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Geral" sheetId="1" r:id="rId5"/>
    <sheet state="visible" name="Calculadora de Leads" sheetId="2" r:id="rId6"/>
    <sheet state="visible" name="Projeção Rápida" sheetId="3" r:id="rId7"/>
    <sheet state="visible" name="Planejador" sheetId="4" r:id="rId8"/>
    <sheet state="visible" name="Dados Históricos" sheetId="5" r:id="rId9"/>
    <sheet state="visible" name="Calendário 2024" sheetId="6" r:id="rId10"/>
    <sheet state="visible" name="Calendário Janeiro" sheetId="7" r:id="rId11"/>
    <sheet state="visible" name="E-mail Mkt" sheetId="8" r:id="rId12"/>
    <sheet state="visible" name="Resultado Criativos" sheetId="9" r:id="rId13"/>
    <sheet state="visible" name="Copy Criativos" sheetId="10" r:id="rId14"/>
    <sheet state="visible" name="Ação por Métricas" sheetId="11" r:id="rId15"/>
    <sheet state="visible" name="ADV - FB" sheetId="12" r:id="rId16"/>
    <sheet state="visible" name="ADV - GG" sheetId="13" r:id="rId17"/>
    <sheet state="visible" name="ADV - GA4" sheetId="14" r:id="rId18"/>
    <sheet state="visible" name="Benchmark de Taxas" sheetId="15" r:id="rId19"/>
    <sheet state="hidden" name="Calendário Fevereiro" sheetId="16" r:id="rId20"/>
    <sheet state="hidden" name="Calendário Março" sheetId="17" r:id="rId21"/>
    <sheet state="hidden" name="Calendário Abril" sheetId="18" r:id="rId22"/>
    <sheet state="hidden" name="Calendário Maio" sheetId="19" r:id="rId23"/>
    <sheet state="hidden" name="Calendário Junho" sheetId="20" r:id="rId24"/>
    <sheet state="hidden" name="Calendário Julho" sheetId="21" r:id="rId25"/>
    <sheet state="hidden" name="Calendário Agosto" sheetId="22" r:id="rId26"/>
    <sheet state="hidden" name="Calendário Setembro" sheetId="23" r:id="rId27"/>
    <sheet state="hidden" name="Calendário Outubro" sheetId="24" r:id="rId28"/>
    <sheet state="hidden" name="Calendário Novembro" sheetId="25" r:id="rId29"/>
    <sheet state="hidden" name="Calendário Dezembro" sheetId="26" r:id="rId30"/>
  </sheets>
  <definedNames>
    <definedName name="zsupermetrics_forceRefresh">#REF!</definedName>
    <definedName name="zsupermetrics_refreshAllSilent">#REF!</definedName>
    <definedName name="zsupermetrics_refreshAll">#REF!</definedName>
    <definedName hidden="1" localSheetId="8" name="Z_D6E236A2_2FB7_489C_BCC8_8AF6C9B795F5_.wvu.FilterData">'Resultado Criativos'!$D$1:$D$1000</definedName>
  </definedNames>
  <calcPr/>
  <customWorkbookViews>
    <customWorkbookView activeSheetId="0" maximized="1" windowHeight="0" windowWidth="0" guid="{D6E236A2-2FB7-489C-BCC8-8AF6C9B795F5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tc={b2a2a4da-19cc-449c-8727-c26514ca327f}</author>
    <author>tc={b3c19bd8-54bc-4b55-bc65-c4640b1d0576}</author>
  </authors>
  <commentList>
    <comment authorId="0" xr:uid="{b2a2a4da-19cc-449c-8727-c26514ca327f}" ref="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Assinantes e Leads Qualificados ou Não.
</t>
      </text>
    </comment>
    <comment authorId="1" xr:uid="{b3c19bd8-54bc-4b55-bc65-c4640b1d0576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Leads, Prontos para Receber Contato.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tc={b69b9c38-35e7-465a-ba79-10fcdc8a08d1}</author>
    <author>tc={f632cc62-2bc3-4209-899d-670e39bfb084}</author>
    <author>tc={f91232bf-1dfa-4fa1-8387-909676f02199}</author>
  </authors>
  <commentList>
    <comment authorId="0" xr:uid="{b69b9c38-35e7-465a-ba79-10fcdc8a08d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Dos LEADS que chegam, quantos são qualificados em %
</t>
      </text>
    </comment>
    <comment authorId="1" xr:uid="{f632cc62-2bc3-4209-899d-670e39bfb084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todos os visitantes, quantos viram leads (em %)
</t>
      </text>
    </comment>
    <comment authorId="2" xr:uid="{f91232bf-1dfa-4fa1-8387-909676f02199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todos os leads que chegam, quantos viram vendas em %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tc={f2a9da85-1352-47b9-bea7-b63052ca9d43}</author>
  </authors>
  <commentList>
    <comment authorId="0" xr:uid="{f2a9da85-1352-47b9-bea7-b63052ca9d43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 Lead para Venda
</t>
      </text>
    </comment>
  </commentList>
</comments>
</file>

<file path=xl/sharedStrings.xml><?xml version="1.0" encoding="utf-8"?>
<sst xmlns="http://schemas.openxmlformats.org/spreadsheetml/2006/main" count="6271" uniqueCount="1565">
  <si>
    <t>DATA</t>
  </si>
  <si>
    <t>DIA</t>
  </si>
  <si>
    <t>AÇÃO DO DIA</t>
  </si>
  <si>
    <t>VALOR INVESTIDO</t>
  </si>
  <si>
    <t>LEADS</t>
  </si>
  <si>
    <t>CPL</t>
  </si>
  <si>
    <t>LEADS QUALIFICADOS</t>
  </si>
  <si>
    <t>VENDAS</t>
  </si>
  <si>
    <t>VALOR DE VENDA</t>
  </si>
  <si>
    <t>SESSÕES</t>
  </si>
  <si>
    <t>CPS</t>
  </si>
  <si>
    <t>TAXA DE CONVERSÃO P/ LEAD</t>
  </si>
  <si>
    <t>META INVESTIMENTO</t>
  </si>
  <si>
    <t>META LEADS</t>
  </si>
  <si>
    <t>CPL META</t>
  </si>
  <si>
    <t>CPS META</t>
  </si>
  <si>
    <t>META SESSÕES</t>
  </si>
  <si>
    <t>META TAXA DE CONVERSÃO P/LEAD</t>
  </si>
  <si>
    <t>JANEIRO</t>
  </si>
  <si>
    <t>quinta-feira</t>
  </si>
  <si>
    <t>sexta-feira</t>
  </si>
  <si>
    <t>sábado</t>
  </si>
  <si>
    <t>domingo</t>
  </si>
  <si>
    <t>segunda-feira</t>
  </si>
  <si>
    <t>terça-feira</t>
  </si>
  <si>
    <t>quarta-feira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</si>
  <si>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</si>
  <si>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</si>
  <si>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</si>
  <si>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</si>
  <si>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</si>
  <si>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</si>
  <si>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</si>
  <si>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</si>
  <si>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</si>
  <si>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</si>
  <si>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</si>
  <si>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</si>
  <si>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Calculadora de Leads</t>
  </si>
  <si>
    <t>Preencha os campos abaixo e descubra qual a quantidade de Leads necessarios para atingir seus objetivos comerciais.</t>
  </si>
  <si>
    <t>Etapa do funil</t>
  </si>
  <si>
    <t>Quantidade Necessária</t>
  </si>
  <si>
    <t>Quantidade Atual</t>
  </si>
  <si>
    <t>Taxa</t>
  </si>
  <si>
    <t>Selecione o seu segmento:</t>
  </si>
  <si>
    <t>Visitantes Únicos</t>
  </si>
  <si>
    <t>Telecomunicações</t>
  </si>
  <si>
    <t>Preencha a baixo o valor que pretende vender no Mês</t>
  </si>
  <si>
    <t>Leads</t>
  </si>
  <si>
    <t>Oportunidades</t>
  </si>
  <si>
    <t>Qual é o seu Ticket médio?
Valor medio de cada venda</t>
  </si>
  <si>
    <t>Vendas</t>
  </si>
  <si>
    <r>
      <rPr>
        <rFont val="Montserrat, Arial"/>
        <color rgb="FFFFFFFF"/>
      </rPr>
      <t xml:space="preserve">Quantos leads seu </t>
    </r>
    <r>
      <rPr>
        <rFont val="Montserrat, Arial"/>
        <b/>
        <color rgb="FFFFFFFF"/>
      </rPr>
      <t>MELHOR</t>
    </r>
    <r>
      <rPr>
        <rFont val="Montserrat, Arial"/>
        <color rgb="FFFFFFFF"/>
      </rPr>
      <t xml:space="preserve"> vendedor atende em média por mês?</t>
    </r>
  </si>
  <si>
    <t>Sua taxa de Conversão</t>
  </si>
  <si>
    <t>Número de vendas necessárias</t>
  </si>
  <si>
    <r>
      <rPr>
        <rFont val="Montserrat, Arial"/>
        <color rgb="FFFFFFFF"/>
      </rPr>
      <t xml:space="preserve">Quantos leads seu </t>
    </r>
    <r>
      <rPr>
        <rFont val="Montserrat, Arial"/>
        <b/>
        <color rgb="FFFFFFFF"/>
      </rPr>
      <t>PIOR</t>
    </r>
    <r>
      <rPr>
        <rFont val="Montserrat, Arial"/>
        <color rgb="FFFFFFFF"/>
      </rPr>
      <t xml:space="preserve"> vendedor atende em média por mês?</t>
    </r>
  </si>
  <si>
    <t>Número de vendedores necessários</t>
  </si>
  <si>
    <t>Número de leads que cada vendedor precisa atender</t>
  </si>
  <si>
    <t>Quantos Visitantes únicos você tem em média hoje?</t>
  </si>
  <si>
    <t>Número de vendas que cada vendedor precisa realizar</t>
  </si>
  <si>
    <t>PROJEÇÃO RÁPIDA</t>
  </si>
  <si>
    <t>Investimento</t>
  </si>
  <si>
    <t>Canal</t>
  </si>
  <si>
    <t>Facebook</t>
  </si>
  <si>
    <t>Google</t>
  </si>
  <si>
    <t>Outros</t>
  </si>
  <si>
    <t>%</t>
  </si>
  <si>
    <t>Verba Mês</t>
  </si>
  <si>
    <t>Ticket Médio</t>
  </si>
  <si>
    <t>Taxa de Conversão Visita -&gt; Lead</t>
  </si>
  <si>
    <t>Verba Dia</t>
  </si>
  <si>
    <t>Taxa de Leads Qualificados</t>
  </si>
  <si>
    <t>Taxa Conversão Lead para Venda</t>
  </si>
  <si>
    <t>FATURAMENTO</t>
  </si>
  <si>
    <t>ANTES DE ENTRAR NO SITE</t>
  </si>
  <si>
    <t>DEPOIS DE ENTRAR NO SITE</t>
  </si>
  <si>
    <t>BENCHMARK DE TAXAS</t>
  </si>
  <si>
    <t>MELHORIAS PARA CPC</t>
  </si>
  <si>
    <t>MELHORIAS PARA TX</t>
  </si>
  <si>
    <t>Segmento</t>
  </si>
  <si>
    <t>CRIATIVO</t>
  </si>
  <si>
    <t>NAVEGABILIDADE</t>
  </si>
  <si>
    <t>Agência de Marketing e Publicidade</t>
  </si>
  <si>
    <t>COPY</t>
  </si>
  <si>
    <t>CONTEÚDO</t>
  </si>
  <si>
    <t>Consultorias e Treinamentos</t>
  </si>
  <si>
    <t>PÚBLICO</t>
  </si>
  <si>
    <t xml:space="preserve">OFERTA </t>
  </si>
  <si>
    <t>E-commerce</t>
  </si>
  <si>
    <t>OFERTA</t>
  </si>
  <si>
    <t>FRETE</t>
  </si>
  <si>
    <t>Educação e Ensino</t>
  </si>
  <si>
    <t>CAMPANHAS DE CPC BAIXO</t>
  </si>
  <si>
    <t>CHECKOUT</t>
  </si>
  <si>
    <t>Engenharia e Indústria em Geral</t>
  </si>
  <si>
    <t>PRODUTO</t>
  </si>
  <si>
    <t>CREDIBILIDADE E PROVA SOCIAL</t>
  </si>
  <si>
    <t>Eventos</t>
  </si>
  <si>
    <t>QUALIDADE DA PÁGINA</t>
  </si>
  <si>
    <t>Financeiro, Jurídico e Serviços Relacionados</t>
  </si>
  <si>
    <t>Hardware e Eletrônicos</t>
  </si>
  <si>
    <t>Imobiliárias</t>
  </si>
  <si>
    <t>Mídia e Comunicação</t>
  </si>
  <si>
    <t>ONGs</t>
  </si>
  <si>
    <t>Saúde e Estética</t>
  </si>
  <si>
    <t>Serviços em Geral</t>
  </si>
  <si>
    <t>Serviços em RH e Coaching</t>
  </si>
  <si>
    <t>Software e Cloud</t>
  </si>
  <si>
    <t>Turismo e Lazer</t>
  </si>
  <si>
    <t>Varejo</t>
  </si>
  <si>
    <t>CENÁRIO ATUAL (ÚLTIMO MÊS)</t>
  </si>
  <si>
    <t>CENÁRIO DESEJADO</t>
  </si>
  <si>
    <t>CENÁRIO IDEAL</t>
  </si>
  <si>
    <t>MÉDIA / ANUAL</t>
  </si>
  <si>
    <t>% ATUAL</t>
  </si>
  <si>
    <t>% MÁX</t>
  </si>
  <si>
    <t>Valor Investimento</t>
  </si>
  <si>
    <t>Faturamento Desejado</t>
  </si>
  <si>
    <t>Verba Mensal</t>
  </si>
  <si>
    <t>CPS Geral</t>
  </si>
  <si>
    <t>CPS Atual</t>
  </si>
  <si>
    <t>CPS Ideal</t>
  </si>
  <si>
    <t>Ticket Médio Ideal</t>
  </si>
  <si>
    <t>TX Conversão Para Lead</t>
  </si>
  <si>
    <t>TX Conversão Para Lead Ideal</t>
  </si>
  <si>
    <t>% Lead Para Venda</t>
  </si>
  <si>
    <t>% Lead Para Venda Ideal</t>
  </si>
  <si>
    <t>Sessões</t>
  </si>
  <si>
    <t>Sessões Ideais</t>
  </si>
  <si>
    <t>CANAL DE VENDA</t>
  </si>
  <si>
    <t>PEDIDOS POR CANAL</t>
  </si>
  <si>
    <t>Leads Ideais</t>
  </si>
  <si>
    <t>Meta Ads</t>
  </si>
  <si>
    <t>Google Ads</t>
  </si>
  <si>
    <t>CPL Ideal</t>
  </si>
  <si>
    <t>Social</t>
  </si>
  <si>
    <t>CPA</t>
  </si>
  <si>
    <t>Organico</t>
  </si>
  <si>
    <t>Faturamento Real</t>
  </si>
  <si>
    <t>Investimento Necessário</t>
  </si>
  <si>
    <t>E-mail</t>
  </si>
  <si>
    <t>ROAS</t>
  </si>
  <si>
    <t>CENÁRIO DIÁRIO ATUAL</t>
  </si>
  <si>
    <t>CENÁRIO DIÁRIO DESEJADO</t>
  </si>
  <si>
    <t>CENÁRIO DIÁRIO IDEAL</t>
  </si>
  <si>
    <t>Total</t>
  </si>
  <si>
    <t>Investimento Diário</t>
  </si>
  <si>
    <t>Sessões Diárias</t>
  </si>
  <si>
    <t>Pedidos Diários</t>
  </si>
  <si>
    <t>Faturamento Diário</t>
  </si>
  <si>
    <t>CRESCIMENTO MoM</t>
  </si>
  <si>
    <t xml:space="preserve">MÉTRICAS MÉDIAS </t>
  </si>
  <si>
    <t>MÉTRICAS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</si>
  <si>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</si>
  <si>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</si>
  <si>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</si>
  <si>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</si>
  <si>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</si>
  <si>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</si>
  <si>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</si>
  <si>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</si>
  <si>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</si>
  <si>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</si>
  <si>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</si>
  <si>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</si>
  <si>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Médio</t>
  </si>
  <si>
    <t>Leads Captados</t>
  </si>
  <si>
    <t>Leads Qualificados</t>
  </si>
  <si>
    <t>% de Qualificados</t>
  </si>
  <si>
    <t>Leads Captados Midia Paga</t>
  </si>
  <si>
    <t>% Mídia Paga</t>
  </si>
  <si>
    <t>Leads Outros Canais</t>
  </si>
  <si>
    <t>% Outros Canais</t>
  </si>
  <si>
    <t>Investimento Ads</t>
  </si>
  <si>
    <t>% Aumento / Redução ADS</t>
  </si>
  <si>
    <t>Sessões Totais</t>
  </si>
  <si>
    <t>Sessões Geral</t>
  </si>
  <si>
    <t>Sessões Midia</t>
  </si>
  <si>
    <t>Sessões Mídia</t>
  </si>
  <si>
    <t>CPS Midia</t>
  </si>
  <si>
    <t>CPS Mídia</t>
  </si>
  <si>
    <t>Taxa de Conversão Para Lead (%)</t>
  </si>
  <si>
    <t>Taxa de Conversão Para Lead</t>
  </si>
  <si>
    <t>Taxa de Conversão Para Qualificado (%)</t>
  </si>
  <si>
    <t>Taxa de Conversão Qualificado</t>
  </si>
  <si>
    <t>CPL Geral</t>
  </si>
  <si>
    <t>CPL Qualificado</t>
  </si>
  <si>
    <t>Negocios Fechados</t>
  </si>
  <si>
    <t>CPA (R$)</t>
  </si>
  <si>
    <t>Valor de Negocios Fechados</t>
  </si>
  <si>
    <t>CANAIS</t>
  </si>
  <si>
    <t>(Other)</t>
  </si>
  <si>
    <t>Direto / none</t>
  </si>
  <si>
    <t>Facebook cpc</t>
  </si>
  <si>
    <t>Google cpc</t>
  </si>
  <si>
    <t>Orgânico</t>
  </si>
  <si>
    <t>Instagram Perfil</t>
  </si>
  <si>
    <t>IG Shopping</t>
  </si>
  <si>
    <t>Instagram / FB Referral</t>
  </si>
  <si>
    <t>Blog</t>
  </si>
  <si>
    <t>Pinterest / Referral</t>
  </si>
  <si>
    <t>TikTok</t>
  </si>
  <si>
    <t>WhatsApp</t>
  </si>
  <si>
    <t>Youtube referral</t>
  </si>
  <si>
    <t>Total de Leads</t>
  </si>
  <si>
    <t>Share dos Meses</t>
  </si>
  <si>
    <t>CALENDÁRIO 2025</t>
  </si>
  <si>
    <t xml:space="preserve">JANEIRO </t>
  </si>
  <si>
    <t xml:space="preserve">MARÇO </t>
  </si>
  <si>
    <t>DATAS COMEMORATIVAS</t>
  </si>
  <si>
    <t>Seg</t>
  </si>
  <si>
    <t>Ter</t>
  </si>
  <si>
    <t>Qua</t>
  </si>
  <si>
    <t>Qui</t>
  </si>
  <si>
    <t>Sex</t>
  </si>
  <si>
    <t xml:space="preserve">Sáb </t>
  </si>
  <si>
    <t>Dom</t>
  </si>
  <si>
    <t>Dia do Trabalho</t>
  </si>
  <si>
    <t>Dia das Mães</t>
  </si>
  <si>
    <t>Dia do Abraço</t>
  </si>
  <si>
    <t>Dia do Orgulho Nerd</t>
  </si>
  <si>
    <t>Dia dos Namorados</t>
  </si>
  <si>
    <t>Inicio do Inverno</t>
  </si>
  <si>
    <t>Dia do Orgulho LGBT</t>
  </si>
  <si>
    <t xml:space="preserve">ABRIL </t>
  </si>
  <si>
    <t xml:space="preserve">JUNHO </t>
  </si>
  <si>
    <t>Dia do Rock</t>
  </si>
  <si>
    <t>Dia do Homem</t>
  </si>
  <si>
    <t>Dia dos Amigos</t>
  </si>
  <si>
    <t>Dia dos Pais</t>
  </si>
  <si>
    <t>Dia dos Solteiros</t>
  </si>
  <si>
    <t>Independencia do Brasil</t>
  </si>
  <si>
    <t>Dia do Cliente</t>
  </si>
  <si>
    <t>Dia das Crianças</t>
  </si>
  <si>
    <t>Halloween</t>
  </si>
  <si>
    <t>Dia da proclamação da Republica</t>
  </si>
  <si>
    <t>Black Friday</t>
  </si>
  <si>
    <t>Cyber Monday</t>
  </si>
  <si>
    <t>Natal</t>
  </si>
  <si>
    <t>Ano novo</t>
  </si>
  <si>
    <t xml:space="preserve">OUTUBRO </t>
  </si>
  <si>
    <t xml:space="preserve">DEZEMBRO </t>
  </si>
  <si>
    <t>JANEIRO 2025</t>
  </si>
  <si>
    <t xml:space="preserve">SEGUNDA-FEIRA </t>
  </si>
  <si>
    <t xml:space="preserve">TERÇA-FEIRA </t>
  </si>
  <si>
    <t>QUARTA-FEIRA</t>
  </si>
  <si>
    <t>QUINTA-FEIRA</t>
  </si>
  <si>
    <t>SEXTA-FEIRA</t>
  </si>
  <si>
    <t>SÁBADO</t>
  </si>
  <si>
    <t xml:space="preserve">DOMINGO </t>
  </si>
  <si>
    <t>OBSERVAÇÕES:</t>
  </si>
  <si>
    <t>LEGENDA:</t>
  </si>
  <si>
    <t>Feriados</t>
  </si>
  <si>
    <t>Datas de nicho</t>
  </si>
  <si>
    <t>Datas Importantes</t>
  </si>
  <si>
    <t>Essenciais no E-commerce</t>
  </si>
  <si>
    <t>Campanha Broadcast</t>
  </si>
  <si>
    <t>Enviados</t>
  </si>
  <si>
    <t>Aberturas</t>
  </si>
  <si>
    <t>% Abertura</t>
  </si>
  <si>
    <t>Cliques</t>
  </si>
  <si>
    <t>% Cliques</t>
  </si>
  <si>
    <t>Nome - data - Segmentação</t>
  </si>
  <si>
    <t>ID</t>
  </si>
  <si>
    <t>Nome Drive</t>
  </si>
  <si>
    <t>ID Copy</t>
  </si>
  <si>
    <t>Data Postagem</t>
  </si>
  <si>
    <t>Info Extra</t>
  </si>
  <si>
    <t>Nome Final</t>
  </si>
  <si>
    <t>CUSTO</t>
  </si>
  <si>
    <t>CTR</t>
  </si>
  <si>
    <t>TP01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</si>
  <si>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</si>
  <si>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</si>
  <si>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</si>
  <si>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</si>
  <si>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</si>
  <si>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</si>
  <si>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</si>
  <si>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</si>
  <si>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</si>
  <si>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</si>
  <si>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</si>
  <si>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</si>
  <si>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</si>
  <si>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</si>
  <si>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</si>
  <si>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</si>
  <si>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</si>
  <si>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</si>
  <si>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</si>
  <si>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</si>
  <si>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</si>
  <si>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</si>
  <si>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</si>
  <si>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</si>
  <si>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</si>
  <si>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</si>
  <si>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</si>
  <si>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</si>
  <si>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</si>
  <si>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</si>
  <si>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</si>
  <si>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</si>
  <si>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</si>
  <si>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</si>
  <si>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</si>
  <si>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</si>
  <si>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</si>
  <si>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</si>
  <si>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</si>
  <si>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</si>
  <si>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</si>
  <si>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</si>
  <si>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</si>
  <si>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</si>
  <si>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</si>
  <si>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</si>
  <si>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</si>
  <si>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</si>
  <si>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TP50</t>
  </si>
  <si>
    <t>TP51</t>
  </si>
  <si>
    <t>TP52</t>
  </si>
  <si>
    <t>TP53</t>
  </si>
  <si>
    <t>TP54</t>
  </si>
  <si>
    <t>TP55</t>
  </si>
  <si>
    <t>TP56</t>
  </si>
  <si>
    <t>TP57</t>
  </si>
  <si>
    <t>TP58</t>
  </si>
  <si>
    <t>TP59</t>
  </si>
  <si>
    <t>TP60</t>
  </si>
  <si>
    <t>TP61</t>
  </si>
  <si>
    <t>TP62</t>
  </si>
  <si>
    <t>TP63</t>
  </si>
  <si>
    <t>TP64</t>
  </si>
  <si>
    <t>TP65</t>
  </si>
  <si>
    <t>TP66</t>
  </si>
  <si>
    <t>TP67</t>
  </si>
  <si>
    <t>TP68</t>
  </si>
  <si>
    <t>TP69</t>
  </si>
  <si>
    <t>TP70</t>
  </si>
  <si>
    <t>TP71</t>
  </si>
  <si>
    <t>TP72</t>
  </si>
  <si>
    <t>TP73</t>
  </si>
  <si>
    <t>TP74</t>
  </si>
  <si>
    <t>TP75</t>
  </si>
  <si>
    <t>TP76</t>
  </si>
  <si>
    <t>TP77</t>
  </si>
  <si>
    <t>TP78</t>
  </si>
  <si>
    <t>TP79</t>
  </si>
  <si>
    <t>TP80</t>
  </si>
  <si>
    <t>TP81</t>
  </si>
  <si>
    <t>TP82</t>
  </si>
  <si>
    <t>TP83</t>
  </si>
  <si>
    <t>TP84</t>
  </si>
  <si>
    <t>TP85</t>
  </si>
  <si>
    <t>TP86</t>
  </si>
  <si>
    <t>TP87</t>
  </si>
  <si>
    <t>TP88</t>
  </si>
  <si>
    <t>TP89</t>
  </si>
  <si>
    <t>TP90</t>
  </si>
  <si>
    <t>TP91</t>
  </si>
  <si>
    <t>TP92</t>
  </si>
  <si>
    <t>TP93</t>
  </si>
  <si>
    <t>TP94</t>
  </si>
  <si>
    <t>TP95</t>
  </si>
  <si>
    <t>TP96</t>
  </si>
  <si>
    <t>TP97</t>
  </si>
  <si>
    <t>TP98</t>
  </si>
  <si>
    <t>TP99</t>
  </si>
  <si>
    <t>TP100</t>
  </si>
  <si>
    <t>TP101</t>
  </si>
  <si>
    <t>TP102</t>
  </si>
  <si>
    <t>TP103</t>
  </si>
  <si>
    <t>TP104</t>
  </si>
  <si>
    <t>TP105</t>
  </si>
  <si>
    <t>TP106</t>
  </si>
  <si>
    <t>TP107</t>
  </si>
  <si>
    <t>TP108</t>
  </si>
  <si>
    <t>TP109</t>
  </si>
  <si>
    <t>TP110</t>
  </si>
  <si>
    <t>TP111</t>
  </si>
  <si>
    <t>TP112</t>
  </si>
  <si>
    <t>TP113</t>
  </si>
  <si>
    <t>TP114</t>
  </si>
  <si>
    <t>TP115</t>
  </si>
  <si>
    <t>TP116</t>
  </si>
  <si>
    <t>TP117</t>
  </si>
  <si>
    <t>TP118</t>
  </si>
  <si>
    <t>TP119</t>
  </si>
  <si>
    <t>TP120</t>
  </si>
  <si>
    <t>TP121</t>
  </si>
  <si>
    <t>TP122</t>
  </si>
  <si>
    <t>TP123</t>
  </si>
  <si>
    <t>TP124</t>
  </si>
  <si>
    <t>TP125</t>
  </si>
  <si>
    <t>TP126</t>
  </si>
  <si>
    <t>TP127</t>
  </si>
  <si>
    <t>TP128</t>
  </si>
  <si>
    <t>TP129</t>
  </si>
  <si>
    <t>TP130</t>
  </si>
  <si>
    <t>TP131</t>
  </si>
  <si>
    <t>TP132</t>
  </si>
  <si>
    <t>TP133</t>
  </si>
  <si>
    <t>TP134</t>
  </si>
  <si>
    <t>TP135</t>
  </si>
  <si>
    <t>TP136</t>
  </si>
  <si>
    <t>TP137</t>
  </si>
  <si>
    <t>TP138</t>
  </si>
  <si>
    <t>TP139</t>
  </si>
  <si>
    <t>TP140</t>
  </si>
  <si>
    <t>TP141</t>
  </si>
  <si>
    <t>TP142</t>
  </si>
  <si>
    <t>TP143</t>
  </si>
  <si>
    <t>TP144</t>
  </si>
  <si>
    <t>TP145</t>
  </si>
  <si>
    <t>TP146</t>
  </si>
  <si>
    <t>TP147</t>
  </si>
  <si>
    <t>TP148</t>
  </si>
  <si>
    <t>TP149</t>
  </si>
  <si>
    <t>TP150</t>
  </si>
  <si>
    <t>TP151</t>
  </si>
  <si>
    <t>TP152</t>
  </si>
  <si>
    <t>TP153</t>
  </si>
  <si>
    <t>TP154</t>
  </si>
  <si>
    <t>TP155</t>
  </si>
  <si>
    <t>TP156</t>
  </si>
  <si>
    <t>TP157</t>
  </si>
  <si>
    <t>TP158</t>
  </si>
  <si>
    <t>TP159</t>
  </si>
  <si>
    <t>TP160</t>
  </si>
  <si>
    <t>TP161</t>
  </si>
  <si>
    <t>TP162</t>
  </si>
  <si>
    <t>TP163</t>
  </si>
  <si>
    <t>TP164</t>
  </si>
  <si>
    <t>TP165</t>
  </si>
  <si>
    <t>TP166</t>
  </si>
  <si>
    <t>TP167</t>
  </si>
  <si>
    <t>TP168</t>
  </si>
  <si>
    <t>TP169</t>
  </si>
  <si>
    <t>TP170</t>
  </si>
  <si>
    <t>TP171</t>
  </si>
  <si>
    <t>TP172</t>
  </si>
  <si>
    <t>TP173</t>
  </si>
  <si>
    <t>TP174</t>
  </si>
  <si>
    <t>TP175</t>
  </si>
  <si>
    <t>TP176</t>
  </si>
  <si>
    <t>TP177</t>
  </si>
  <si>
    <t>TP178</t>
  </si>
  <si>
    <t>TP179</t>
  </si>
  <si>
    <t>TP180</t>
  </si>
  <si>
    <t>TP181</t>
  </si>
  <si>
    <t>TP182</t>
  </si>
  <si>
    <t>TP183</t>
  </si>
  <si>
    <t>TP184</t>
  </si>
  <si>
    <t>TP185</t>
  </si>
  <si>
    <t>TP186</t>
  </si>
  <si>
    <t>TP187</t>
  </si>
  <si>
    <t>TP188</t>
  </si>
  <si>
    <t>TP189</t>
  </si>
  <si>
    <t>TP190</t>
  </si>
  <si>
    <t>TP191</t>
  </si>
  <si>
    <t>TP192</t>
  </si>
  <si>
    <t>TP193</t>
  </si>
  <si>
    <t>TP194</t>
  </si>
  <si>
    <t>TP195</t>
  </si>
  <si>
    <t>TP196</t>
  </si>
  <si>
    <t>TP197</t>
  </si>
  <si>
    <t>TP198</t>
  </si>
  <si>
    <t>TP199</t>
  </si>
  <si>
    <t>TP200</t>
  </si>
  <si>
    <t>TP201</t>
  </si>
  <si>
    <t>TP202</t>
  </si>
  <si>
    <t>TP203</t>
  </si>
  <si>
    <t>TP204</t>
  </si>
  <si>
    <t>TP205</t>
  </si>
  <si>
    <t>TP206</t>
  </si>
  <si>
    <t>TP207</t>
  </si>
  <si>
    <t>TP208</t>
  </si>
  <si>
    <t>TP209</t>
  </si>
  <si>
    <t>TP210</t>
  </si>
  <si>
    <t>TP211</t>
  </si>
  <si>
    <t>TP212</t>
  </si>
  <si>
    <t>TP213</t>
  </si>
  <si>
    <t>TP214</t>
  </si>
  <si>
    <t>TP215</t>
  </si>
  <si>
    <t>TP216</t>
  </si>
  <si>
    <t>TP217</t>
  </si>
  <si>
    <t>TP218</t>
  </si>
  <si>
    <t>TP219</t>
  </si>
  <si>
    <t>TP220</t>
  </si>
  <si>
    <t>TP221</t>
  </si>
  <si>
    <t>TP222</t>
  </si>
  <si>
    <t>TP223</t>
  </si>
  <si>
    <t>TP224</t>
  </si>
  <si>
    <t>TP225</t>
  </si>
  <si>
    <t>TP226</t>
  </si>
  <si>
    <t>TP227</t>
  </si>
  <si>
    <t>TP228</t>
  </si>
  <si>
    <t>TP229</t>
  </si>
  <si>
    <t>TP230</t>
  </si>
  <si>
    <t>TP231</t>
  </si>
  <si>
    <t>TP232</t>
  </si>
  <si>
    <t>TP233</t>
  </si>
  <si>
    <t>TP234</t>
  </si>
  <si>
    <t>TP235</t>
  </si>
  <si>
    <t>TP236</t>
  </si>
  <si>
    <t>TP237</t>
  </si>
  <si>
    <t>TP238</t>
  </si>
  <si>
    <t>TP239</t>
  </si>
  <si>
    <t>TP240</t>
  </si>
  <si>
    <t>TP241</t>
  </si>
  <si>
    <t>TP242</t>
  </si>
  <si>
    <t>TP243</t>
  </si>
  <si>
    <t>TP244</t>
  </si>
  <si>
    <t>TP245</t>
  </si>
  <si>
    <t>TP246</t>
  </si>
  <si>
    <t>TP247</t>
  </si>
  <si>
    <t>TP248</t>
  </si>
  <si>
    <t>TP249</t>
  </si>
  <si>
    <t>TP250</t>
  </si>
  <si>
    <t>TP251</t>
  </si>
  <si>
    <t>TP252</t>
  </si>
  <si>
    <t>TP253</t>
  </si>
  <si>
    <t>TP254</t>
  </si>
  <si>
    <t>TP255</t>
  </si>
  <si>
    <t>TP256</t>
  </si>
  <si>
    <t>TP257</t>
  </si>
  <si>
    <t>TP258</t>
  </si>
  <si>
    <t>TP259</t>
  </si>
  <si>
    <t>TP260</t>
  </si>
  <si>
    <t>TP261</t>
  </si>
  <si>
    <t>TP262</t>
  </si>
  <si>
    <t>TP263</t>
  </si>
  <si>
    <t>TP264</t>
  </si>
  <si>
    <t>TP265</t>
  </si>
  <si>
    <t>TP266</t>
  </si>
  <si>
    <t>TP267</t>
  </si>
  <si>
    <t>TP268</t>
  </si>
  <si>
    <t>TP269</t>
  </si>
  <si>
    <t>TP270</t>
  </si>
  <si>
    <t>TP271</t>
  </si>
  <si>
    <t>TP272</t>
  </si>
  <si>
    <t>TP273</t>
  </si>
  <si>
    <t>TP274</t>
  </si>
  <si>
    <t>TP275</t>
  </si>
  <si>
    <t>TP276</t>
  </si>
  <si>
    <t>TP277</t>
  </si>
  <si>
    <t>TP278</t>
  </si>
  <si>
    <t>TP279</t>
  </si>
  <si>
    <t>TP280</t>
  </si>
  <si>
    <t>TP281</t>
  </si>
  <si>
    <t>TP282</t>
  </si>
  <si>
    <t>TP283</t>
  </si>
  <si>
    <t>TP284</t>
  </si>
  <si>
    <t>TP285</t>
  </si>
  <si>
    <t>TP286</t>
  </si>
  <si>
    <t>TP287</t>
  </si>
  <si>
    <t>TP288</t>
  </si>
  <si>
    <t>TP289</t>
  </si>
  <si>
    <t>TP290</t>
  </si>
  <si>
    <t>TP291</t>
  </si>
  <si>
    <t>TP292</t>
  </si>
  <si>
    <t>TP293</t>
  </si>
  <si>
    <t>TP294</t>
  </si>
  <si>
    <t>TP295</t>
  </si>
  <si>
    <t>TP296</t>
  </si>
  <si>
    <t>TP297</t>
  </si>
  <si>
    <t>TP298</t>
  </si>
  <si>
    <t>TP299</t>
  </si>
  <si>
    <t>TP300</t>
  </si>
  <si>
    <t>TP301</t>
  </si>
  <si>
    <t>TP302</t>
  </si>
  <si>
    <t>TP303</t>
  </si>
  <si>
    <t>TP304</t>
  </si>
  <si>
    <t>TP305</t>
  </si>
  <si>
    <t>TP306</t>
  </si>
  <si>
    <t>TP307</t>
  </si>
  <si>
    <t>TP308</t>
  </si>
  <si>
    <t>TP309</t>
  </si>
  <si>
    <t>TP310</t>
  </si>
  <si>
    <t>TP311</t>
  </si>
  <si>
    <t>TP312</t>
  </si>
  <si>
    <t>TP313</t>
  </si>
  <si>
    <t>TP314</t>
  </si>
  <si>
    <t>TP315</t>
  </si>
  <si>
    <t>TP316</t>
  </si>
  <si>
    <t>TP317</t>
  </si>
  <si>
    <t>TP318</t>
  </si>
  <si>
    <t>TP319</t>
  </si>
  <si>
    <t>TP320</t>
  </si>
  <si>
    <t>TP321</t>
  </si>
  <si>
    <t>TP322</t>
  </si>
  <si>
    <t>TP323</t>
  </si>
  <si>
    <t>TP324</t>
  </si>
  <si>
    <t>TP325</t>
  </si>
  <si>
    <t>TP326</t>
  </si>
  <si>
    <t>TP327</t>
  </si>
  <si>
    <t>TP328</t>
  </si>
  <si>
    <t>TP329</t>
  </si>
  <si>
    <t>TP330</t>
  </si>
  <si>
    <t>TP331</t>
  </si>
  <si>
    <t>TP332</t>
  </si>
  <si>
    <t>TP333</t>
  </si>
  <si>
    <t>TP334</t>
  </si>
  <si>
    <t>TP335</t>
  </si>
  <si>
    <t>TP336</t>
  </si>
  <si>
    <t>TP337</t>
  </si>
  <si>
    <t>TP338</t>
  </si>
  <si>
    <t>TP339</t>
  </si>
  <si>
    <t>TP340</t>
  </si>
  <si>
    <t>TP341</t>
  </si>
  <si>
    <t>TP342</t>
  </si>
  <si>
    <t>TP343</t>
  </si>
  <si>
    <t>TP344</t>
  </si>
  <si>
    <t>TP345</t>
  </si>
  <si>
    <t>TP346</t>
  </si>
  <si>
    <t>TP347</t>
  </si>
  <si>
    <t>TP348</t>
  </si>
  <si>
    <t>TP349</t>
  </si>
  <si>
    <t>TP350</t>
  </si>
  <si>
    <t>TP351</t>
  </si>
  <si>
    <t>TP352</t>
  </si>
  <si>
    <t>TP353</t>
  </si>
  <si>
    <t>TP354</t>
  </si>
  <si>
    <t>TP355</t>
  </si>
  <si>
    <t>TP356</t>
  </si>
  <si>
    <t>TP357</t>
  </si>
  <si>
    <t>TP358</t>
  </si>
  <si>
    <t>TP359</t>
  </si>
  <si>
    <t>TP360</t>
  </si>
  <si>
    <t>TP361</t>
  </si>
  <si>
    <t>TP362</t>
  </si>
  <si>
    <t>TP363</t>
  </si>
  <si>
    <t>TP364</t>
  </si>
  <si>
    <t>TP365</t>
  </si>
  <si>
    <t>TP366</t>
  </si>
  <si>
    <t>TP367</t>
  </si>
  <si>
    <t>TP368</t>
  </si>
  <si>
    <t>TP369</t>
  </si>
  <si>
    <t>TP370</t>
  </si>
  <si>
    <t>TP371</t>
  </si>
  <si>
    <t>TP372</t>
  </si>
  <si>
    <t>TP373</t>
  </si>
  <si>
    <t>TP374</t>
  </si>
  <si>
    <t>TP375</t>
  </si>
  <si>
    <t>TP376</t>
  </si>
  <si>
    <t>TP377</t>
  </si>
  <si>
    <t>TP378</t>
  </si>
  <si>
    <t>TP379</t>
  </si>
  <si>
    <t>TP380</t>
  </si>
  <si>
    <t>TP381</t>
  </si>
  <si>
    <t>TP382</t>
  </si>
  <si>
    <t>TP383</t>
  </si>
  <si>
    <t>TP384</t>
  </si>
  <si>
    <t>TP385</t>
  </si>
  <si>
    <t>TP386</t>
  </si>
  <si>
    <t>TP387</t>
  </si>
  <si>
    <t>TP388</t>
  </si>
  <si>
    <t>TP389</t>
  </si>
  <si>
    <t>TP390</t>
  </si>
  <si>
    <t>TP391</t>
  </si>
  <si>
    <t>TP392</t>
  </si>
  <si>
    <t>TP393</t>
  </si>
  <si>
    <t>TP394</t>
  </si>
  <si>
    <t>TP395</t>
  </si>
  <si>
    <t>TP396</t>
  </si>
  <si>
    <t>TP397</t>
  </si>
  <si>
    <t>TP398</t>
  </si>
  <si>
    <t>TP399</t>
  </si>
  <si>
    <t>TP400</t>
  </si>
  <si>
    <t>TP401</t>
  </si>
  <si>
    <t>TP402</t>
  </si>
  <si>
    <t>TP403</t>
  </si>
  <si>
    <t>TP404</t>
  </si>
  <si>
    <t>TP405</t>
  </si>
  <si>
    <t>TP406</t>
  </si>
  <si>
    <t>TP407</t>
  </si>
  <si>
    <t>TP408</t>
  </si>
  <si>
    <t>TP409</t>
  </si>
  <si>
    <t>TP410</t>
  </si>
  <si>
    <t>TP411</t>
  </si>
  <si>
    <t>TP412</t>
  </si>
  <si>
    <t>TP413</t>
  </si>
  <si>
    <t>TP414</t>
  </si>
  <si>
    <t>TP415</t>
  </si>
  <si>
    <t>TP416</t>
  </si>
  <si>
    <t>TP417</t>
  </si>
  <si>
    <t>TP418</t>
  </si>
  <si>
    <t>TP419</t>
  </si>
  <si>
    <t>TP420</t>
  </si>
  <si>
    <t>TP421</t>
  </si>
  <si>
    <t>TP422</t>
  </si>
  <si>
    <t>TP423</t>
  </si>
  <si>
    <t>TP424</t>
  </si>
  <si>
    <t>TP425</t>
  </si>
  <si>
    <t>TP426</t>
  </si>
  <si>
    <t>TP427</t>
  </si>
  <si>
    <t>TP428</t>
  </si>
  <si>
    <t>TP429</t>
  </si>
  <si>
    <t>TP430</t>
  </si>
  <si>
    <t>TP431</t>
  </si>
  <si>
    <t>TP432</t>
  </si>
  <si>
    <t>TP433</t>
  </si>
  <si>
    <t>TP434</t>
  </si>
  <si>
    <t>TP435</t>
  </si>
  <si>
    <t>TP436</t>
  </si>
  <si>
    <t>TP437</t>
  </si>
  <si>
    <t>TP438</t>
  </si>
  <si>
    <t>TP439</t>
  </si>
  <si>
    <t>TP440</t>
  </si>
  <si>
    <t>TP441</t>
  </si>
  <si>
    <t>TP442</t>
  </si>
  <si>
    <t>TP443</t>
  </si>
  <si>
    <t>TP444</t>
  </si>
  <si>
    <t>TP445</t>
  </si>
  <si>
    <t>TP446</t>
  </si>
  <si>
    <t>TP447</t>
  </si>
  <si>
    <t>TP448</t>
  </si>
  <si>
    <t>TP449</t>
  </si>
  <si>
    <t>TP450</t>
  </si>
  <si>
    <t>TP451</t>
  </si>
  <si>
    <t>TP452</t>
  </si>
  <si>
    <t>TP453</t>
  </si>
  <si>
    <t>TP454</t>
  </si>
  <si>
    <t>TP455</t>
  </si>
  <si>
    <t>TP456</t>
  </si>
  <si>
    <t>TP457</t>
  </si>
  <si>
    <t>TP458</t>
  </si>
  <si>
    <t>TP459</t>
  </si>
  <si>
    <t>TP460</t>
  </si>
  <si>
    <t>TP461</t>
  </si>
  <si>
    <t>TP462</t>
  </si>
  <si>
    <t>TP463</t>
  </si>
  <si>
    <t>TP464</t>
  </si>
  <si>
    <t>TP465</t>
  </si>
  <si>
    <t>TP466</t>
  </si>
  <si>
    <t>TP467</t>
  </si>
  <si>
    <t>TP468</t>
  </si>
  <si>
    <t>TP469</t>
  </si>
  <si>
    <t>TP470</t>
  </si>
  <si>
    <t>TP471</t>
  </si>
  <si>
    <t>TP472</t>
  </si>
  <si>
    <t>TP473</t>
  </si>
  <si>
    <t>TP474</t>
  </si>
  <si>
    <t>TP475</t>
  </si>
  <si>
    <t>TP476</t>
  </si>
  <si>
    <t>TP477</t>
  </si>
  <si>
    <t>TP478</t>
  </si>
  <si>
    <t>TP479</t>
  </si>
  <si>
    <t>TP480</t>
  </si>
  <si>
    <t>TP481</t>
  </si>
  <si>
    <t>TP482</t>
  </si>
  <si>
    <t>TP483</t>
  </si>
  <si>
    <t>TP484</t>
  </si>
  <si>
    <t>TP485</t>
  </si>
  <si>
    <t>TP486</t>
  </si>
  <si>
    <t>TP487</t>
  </si>
  <si>
    <t>TP488</t>
  </si>
  <si>
    <t>TP489</t>
  </si>
  <si>
    <t>TP490</t>
  </si>
  <si>
    <t>TP491</t>
  </si>
  <si>
    <t>TP492</t>
  </si>
  <si>
    <t>TP493</t>
  </si>
  <si>
    <t>TP494</t>
  </si>
  <si>
    <t>TP495</t>
  </si>
  <si>
    <t>TP496</t>
  </si>
  <si>
    <t>TP497</t>
  </si>
  <si>
    <t>TP498</t>
  </si>
  <si>
    <t>TP499</t>
  </si>
  <si>
    <t>TP500</t>
  </si>
  <si>
    <t>TP501</t>
  </si>
  <si>
    <t>TP502</t>
  </si>
  <si>
    <t>TP503</t>
  </si>
  <si>
    <t>TP504</t>
  </si>
  <si>
    <t>TP505</t>
  </si>
  <si>
    <t>TP506</t>
  </si>
  <si>
    <t>TP507</t>
  </si>
  <si>
    <t>TP508</t>
  </si>
  <si>
    <t>TP509</t>
  </si>
  <si>
    <t>TP510</t>
  </si>
  <si>
    <t>TP511</t>
  </si>
  <si>
    <t>TP512</t>
  </si>
  <si>
    <t>TP513</t>
  </si>
  <si>
    <t>TP514</t>
  </si>
  <si>
    <t>TP515</t>
  </si>
  <si>
    <t>TP516</t>
  </si>
  <si>
    <t>TP517</t>
  </si>
  <si>
    <t>TP518</t>
  </si>
  <si>
    <t>TP519</t>
  </si>
  <si>
    <t>TP520</t>
  </si>
  <si>
    <t>TP521</t>
  </si>
  <si>
    <t>TP522</t>
  </si>
  <si>
    <t>TP523</t>
  </si>
  <si>
    <t>TP524</t>
  </si>
  <si>
    <t>TP525</t>
  </si>
  <si>
    <t>TP526</t>
  </si>
  <si>
    <t>TP527</t>
  </si>
  <si>
    <t>TP528</t>
  </si>
  <si>
    <t>TP529</t>
  </si>
  <si>
    <t>TP530</t>
  </si>
  <si>
    <t>TP531</t>
  </si>
  <si>
    <t>TP532</t>
  </si>
  <si>
    <t>TP533</t>
  </si>
  <si>
    <t>TP534</t>
  </si>
  <si>
    <t>TP535</t>
  </si>
  <si>
    <t>TP536</t>
  </si>
  <si>
    <t>TP537</t>
  </si>
  <si>
    <t>TP538</t>
  </si>
  <si>
    <t>TP539</t>
  </si>
  <si>
    <t>TP540</t>
  </si>
  <si>
    <t>TP541</t>
  </si>
  <si>
    <t>TP542</t>
  </si>
  <si>
    <t>TP543</t>
  </si>
  <si>
    <t>TP544</t>
  </si>
  <si>
    <t>TP545</t>
  </si>
  <si>
    <t>TP546</t>
  </si>
  <si>
    <t>TP547</t>
  </si>
  <si>
    <t>TP548</t>
  </si>
  <si>
    <t>TP549</t>
  </si>
  <si>
    <t>TP550</t>
  </si>
  <si>
    <t>TP551</t>
  </si>
  <si>
    <t>TP552</t>
  </si>
  <si>
    <t>TP553</t>
  </si>
  <si>
    <t>TP554</t>
  </si>
  <si>
    <t>TP555</t>
  </si>
  <si>
    <t>TP556</t>
  </si>
  <si>
    <t>TP557</t>
  </si>
  <si>
    <t>TP558</t>
  </si>
  <si>
    <t>TP559</t>
  </si>
  <si>
    <t>TP560</t>
  </si>
  <si>
    <t>TP561</t>
  </si>
  <si>
    <t>TP562</t>
  </si>
  <si>
    <t>TP563</t>
  </si>
  <si>
    <t>TP564</t>
  </si>
  <si>
    <t>TP565</t>
  </si>
  <si>
    <t>TP566</t>
  </si>
  <si>
    <t>TP567</t>
  </si>
  <si>
    <t>TP568</t>
  </si>
  <si>
    <t>TP569</t>
  </si>
  <si>
    <t>TP570</t>
  </si>
  <si>
    <t>TP571</t>
  </si>
  <si>
    <t>TP572</t>
  </si>
  <si>
    <t>TP573</t>
  </si>
  <si>
    <t>TP574</t>
  </si>
  <si>
    <t>TP575</t>
  </si>
  <si>
    <t>TP576</t>
  </si>
  <si>
    <t>TP577</t>
  </si>
  <si>
    <t>TP578</t>
  </si>
  <si>
    <t>TP579</t>
  </si>
  <si>
    <t>TP580</t>
  </si>
  <si>
    <t>TP581</t>
  </si>
  <si>
    <t>TP582</t>
  </si>
  <si>
    <t>TP583</t>
  </si>
  <si>
    <t>TP584</t>
  </si>
  <si>
    <t>TP585</t>
  </si>
  <si>
    <t>TP586</t>
  </si>
  <si>
    <t>TP587</t>
  </si>
  <si>
    <t>TP588</t>
  </si>
  <si>
    <t>TP589</t>
  </si>
  <si>
    <t>TP590</t>
  </si>
  <si>
    <t>TP591</t>
  </si>
  <si>
    <t>TP592</t>
  </si>
  <si>
    <t>TP593</t>
  </si>
  <si>
    <t>TP594</t>
  </si>
  <si>
    <t>TP595</t>
  </si>
  <si>
    <t>TP596</t>
  </si>
  <si>
    <t>TP597</t>
  </si>
  <si>
    <t>TP598</t>
  </si>
  <si>
    <t>TP599</t>
  </si>
  <si>
    <t>TP600</t>
  </si>
  <si>
    <t>TP601</t>
  </si>
  <si>
    <t>TP602</t>
  </si>
  <si>
    <t>TP603</t>
  </si>
  <si>
    <t>TP604</t>
  </si>
  <si>
    <t>TP605</t>
  </si>
  <si>
    <t>TP606</t>
  </si>
  <si>
    <t>TP607</t>
  </si>
  <si>
    <t>TP608</t>
  </si>
  <si>
    <t>TP609</t>
  </si>
  <si>
    <t>TP610</t>
  </si>
  <si>
    <t>TP611</t>
  </si>
  <si>
    <t>TP612</t>
  </si>
  <si>
    <t>TP613</t>
  </si>
  <si>
    <t>TP614</t>
  </si>
  <si>
    <t>TP615</t>
  </si>
  <si>
    <t>TP616</t>
  </si>
  <si>
    <t>TP617</t>
  </si>
  <si>
    <t>TP618</t>
  </si>
  <si>
    <t>TP619</t>
  </si>
  <si>
    <t>TP620</t>
  </si>
  <si>
    <t>TP621</t>
  </si>
  <si>
    <t>TP622</t>
  </si>
  <si>
    <t>TP623</t>
  </si>
  <si>
    <t>TP624</t>
  </si>
  <si>
    <t>TP625</t>
  </si>
  <si>
    <t>TP626</t>
  </si>
  <si>
    <t>TP627</t>
  </si>
  <si>
    <t>TP628</t>
  </si>
  <si>
    <t>TP629</t>
  </si>
  <si>
    <t>TP630</t>
  </si>
  <si>
    <t>TP631</t>
  </si>
  <si>
    <t>TP632</t>
  </si>
  <si>
    <t>TP633</t>
  </si>
  <si>
    <t>TP634</t>
  </si>
  <si>
    <t>TP635</t>
  </si>
  <si>
    <t>TP636</t>
  </si>
  <si>
    <t>TP637</t>
  </si>
  <si>
    <t>TP638</t>
  </si>
  <si>
    <t>TP639</t>
  </si>
  <si>
    <t>TP640</t>
  </si>
  <si>
    <t>TP641</t>
  </si>
  <si>
    <t>TP642</t>
  </si>
  <si>
    <t>TP643</t>
  </si>
  <si>
    <t>TP644</t>
  </si>
  <si>
    <t>TP645</t>
  </si>
  <si>
    <t>TP646</t>
  </si>
  <si>
    <t>TP647</t>
  </si>
  <si>
    <t>TP648</t>
  </si>
  <si>
    <t>TP649</t>
  </si>
  <si>
    <t>TP650</t>
  </si>
  <si>
    <t>TP651</t>
  </si>
  <si>
    <t>TP652</t>
  </si>
  <si>
    <t>TP653</t>
  </si>
  <si>
    <t>TP654</t>
  </si>
  <si>
    <t>TP655</t>
  </si>
  <si>
    <t>TP656</t>
  </si>
  <si>
    <t>TP657</t>
  </si>
  <si>
    <t>TP658</t>
  </si>
  <si>
    <t>TP659</t>
  </si>
  <si>
    <t>TP660</t>
  </si>
  <si>
    <t>TP661</t>
  </si>
  <si>
    <t>TP662</t>
  </si>
  <si>
    <t>TP663</t>
  </si>
  <si>
    <t>TP664</t>
  </si>
  <si>
    <t>TP665</t>
  </si>
  <si>
    <t>TP666</t>
  </si>
  <si>
    <t>TP667</t>
  </si>
  <si>
    <t>TP668</t>
  </si>
  <si>
    <t>TP669</t>
  </si>
  <si>
    <t>TP670</t>
  </si>
  <si>
    <t>TP671</t>
  </si>
  <si>
    <t>TP672</t>
  </si>
  <si>
    <t>TP673</t>
  </si>
  <si>
    <t>TP674</t>
  </si>
  <si>
    <t>TP675</t>
  </si>
  <si>
    <t>TP676</t>
  </si>
  <si>
    <t>TP677</t>
  </si>
  <si>
    <t>TP678</t>
  </si>
  <si>
    <t>TP679</t>
  </si>
  <si>
    <t>TP680</t>
  </si>
  <si>
    <t>TP681</t>
  </si>
  <si>
    <t>TP682</t>
  </si>
  <si>
    <t>TP683</t>
  </si>
  <si>
    <t>TP684</t>
  </si>
  <si>
    <t>TP685</t>
  </si>
  <si>
    <t>TP686</t>
  </si>
  <si>
    <t>TP687</t>
  </si>
  <si>
    <t>TP688</t>
  </si>
  <si>
    <t>TP689</t>
  </si>
  <si>
    <t>TP690</t>
  </si>
  <si>
    <t>TP691</t>
  </si>
  <si>
    <t>TP692</t>
  </si>
  <si>
    <t>TP693</t>
  </si>
  <si>
    <t>TP694</t>
  </si>
  <si>
    <t>TP695</t>
  </si>
  <si>
    <t>TP696</t>
  </si>
  <si>
    <t>TP697</t>
  </si>
  <si>
    <t>TP698</t>
  </si>
  <si>
    <t>TP699</t>
  </si>
  <si>
    <t>TP700</t>
  </si>
  <si>
    <t>TP701</t>
  </si>
  <si>
    <t>TP702</t>
  </si>
  <si>
    <t>TP703</t>
  </si>
  <si>
    <t>TP704</t>
  </si>
  <si>
    <t>TP705</t>
  </si>
  <si>
    <t>TP706</t>
  </si>
  <si>
    <t>TP707</t>
  </si>
  <si>
    <t>TP708</t>
  </si>
  <si>
    <t>TP709</t>
  </si>
  <si>
    <t>TP710</t>
  </si>
  <si>
    <t>TP711</t>
  </si>
  <si>
    <t>TP712</t>
  </si>
  <si>
    <t>TP713</t>
  </si>
  <si>
    <t>TP714</t>
  </si>
  <si>
    <t>TP715</t>
  </si>
  <si>
    <t>TP716</t>
  </si>
  <si>
    <t>TP717</t>
  </si>
  <si>
    <t>TP718</t>
  </si>
  <si>
    <t>TP719</t>
  </si>
  <si>
    <t>TP720</t>
  </si>
  <si>
    <t>TP721</t>
  </si>
  <si>
    <t>TP722</t>
  </si>
  <si>
    <t>TP723</t>
  </si>
  <si>
    <t>TP724</t>
  </si>
  <si>
    <t>TP725</t>
  </si>
  <si>
    <t>TP726</t>
  </si>
  <si>
    <t>TP727</t>
  </si>
  <si>
    <t>TP728</t>
  </si>
  <si>
    <t>TP729</t>
  </si>
  <si>
    <t>TP730</t>
  </si>
  <si>
    <t>TP731</t>
  </si>
  <si>
    <t>TP732</t>
  </si>
  <si>
    <t>TP733</t>
  </si>
  <si>
    <t>TP734</t>
  </si>
  <si>
    <t>TP735</t>
  </si>
  <si>
    <t>TP736</t>
  </si>
  <si>
    <t>TP737</t>
  </si>
  <si>
    <t>TP738</t>
  </si>
  <si>
    <t>TP739</t>
  </si>
  <si>
    <t>TP740</t>
  </si>
  <si>
    <t>TP741</t>
  </si>
  <si>
    <t>TP742</t>
  </si>
  <si>
    <t>TP743</t>
  </si>
  <si>
    <t>TP744</t>
  </si>
  <si>
    <t>TP745</t>
  </si>
  <si>
    <t>TP746</t>
  </si>
  <si>
    <t>TP747</t>
  </si>
  <si>
    <t>TP748</t>
  </si>
  <si>
    <t>TP749</t>
  </si>
  <si>
    <t>TP750</t>
  </si>
  <si>
    <t>TP751</t>
  </si>
  <si>
    <t>TP752</t>
  </si>
  <si>
    <t>TP753</t>
  </si>
  <si>
    <t>TP754</t>
  </si>
  <si>
    <t>TP755</t>
  </si>
  <si>
    <t>TP756</t>
  </si>
  <si>
    <t>TP757</t>
  </si>
  <si>
    <t>TP758</t>
  </si>
  <si>
    <t>TP759</t>
  </si>
  <si>
    <t>TP760</t>
  </si>
  <si>
    <t>TP761</t>
  </si>
  <si>
    <t>TP762</t>
  </si>
  <si>
    <t>TP763</t>
  </si>
  <si>
    <t>TP764</t>
  </si>
  <si>
    <t>TP765</t>
  </si>
  <si>
    <t>TP766</t>
  </si>
  <si>
    <t>TP767</t>
  </si>
  <si>
    <t>TP768</t>
  </si>
  <si>
    <t>TP769</t>
  </si>
  <si>
    <t>TP770</t>
  </si>
  <si>
    <t>TP771</t>
  </si>
  <si>
    <t>TP772</t>
  </si>
  <si>
    <t>TP773</t>
  </si>
  <si>
    <t>TP774</t>
  </si>
  <si>
    <t>TP775</t>
  </si>
  <si>
    <t>TP776</t>
  </si>
  <si>
    <t>TP777</t>
  </si>
  <si>
    <t>TP778</t>
  </si>
  <si>
    <t>TP779</t>
  </si>
  <si>
    <t>TP780</t>
  </si>
  <si>
    <t>TP781</t>
  </si>
  <si>
    <t>TP782</t>
  </si>
  <si>
    <t>TP783</t>
  </si>
  <si>
    <t>TP784</t>
  </si>
  <si>
    <t>TP785</t>
  </si>
  <si>
    <t>TP786</t>
  </si>
  <si>
    <t>TP787</t>
  </si>
  <si>
    <t>TP788</t>
  </si>
  <si>
    <t>TP789</t>
  </si>
  <si>
    <t>TP790</t>
  </si>
  <si>
    <t>TP791</t>
  </si>
  <si>
    <t>TP792</t>
  </si>
  <si>
    <t>TP793</t>
  </si>
  <si>
    <t>TP794</t>
  </si>
  <si>
    <t>TP795</t>
  </si>
  <si>
    <t>TP796</t>
  </si>
  <si>
    <t>TP797</t>
  </si>
  <si>
    <t>TP798</t>
  </si>
  <si>
    <t>TP799</t>
  </si>
  <si>
    <t>TP800</t>
  </si>
  <si>
    <t>TP801</t>
  </si>
  <si>
    <t>TP802</t>
  </si>
  <si>
    <t>TP803</t>
  </si>
  <si>
    <t>TP804</t>
  </si>
  <si>
    <t>TP805</t>
  </si>
  <si>
    <t>TP806</t>
  </si>
  <si>
    <t>TP807</t>
  </si>
  <si>
    <t>TP808</t>
  </si>
  <si>
    <t>TP809</t>
  </si>
  <si>
    <t>TP810</t>
  </si>
  <si>
    <t>TP811</t>
  </si>
  <si>
    <t>TP812</t>
  </si>
  <si>
    <t>TP813</t>
  </si>
  <si>
    <t>TP814</t>
  </si>
  <si>
    <t>TP815</t>
  </si>
  <si>
    <t>TP816</t>
  </si>
  <si>
    <t>TP817</t>
  </si>
  <si>
    <t>TP818</t>
  </si>
  <si>
    <t>TP819</t>
  </si>
  <si>
    <t>TP820</t>
  </si>
  <si>
    <t>TP821</t>
  </si>
  <si>
    <t>TP822</t>
  </si>
  <si>
    <t>TP823</t>
  </si>
  <si>
    <t>TP824</t>
  </si>
  <si>
    <t>TP825</t>
  </si>
  <si>
    <t>TP826</t>
  </si>
  <si>
    <t>TP827</t>
  </si>
  <si>
    <t>TP828</t>
  </si>
  <si>
    <t>TP829</t>
  </si>
  <si>
    <t>TP830</t>
  </si>
  <si>
    <t>TP831</t>
  </si>
  <si>
    <t>TP832</t>
  </si>
  <si>
    <t>TP833</t>
  </si>
  <si>
    <t>TP834</t>
  </si>
  <si>
    <t>TP835</t>
  </si>
  <si>
    <t>TP836</t>
  </si>
  <si>
    <t>TP837</t>
  </si>
  <si>
    <t>TP838</t>
  </si>
  <si>
    <t>TP839</t>
  </si>
  <si>
    <t>TP840</t>
  </si>
  <si>
    <t>TP841</t>
  </si>
  <si>
    <t>TP842</t>
  </si>
  <si>
    <t>TP843</t>
  </si>
  <si>
    <t>TP844</t>
  </si>
  <si>
    <t>TP845</t>
  </si>
  <si>
    <t>TP846</t>
  </si>
  <si>
    <t>TP847</t>
  </si>
  <si>
    <t>TP848</t>
  </si>
  <si>
    <t>TP849</t>
  </si>
  <si>
    <t>TP850</t>
  </si>
  <si>
    <t>TP851</t>
  </si>
  <si>
    <t>TP852</t>
  </si>
  <si>
    <t>TP853</t>
  </si>
  <si>
    <t>TP854</t>
  </si>
  <si>
    <t>TP855</t>
  </si>
  <si>
    <t>TP856</t>
  </si>
  <si>
    <t>TP857</t>
  </si>
  <si>
    <t>TP858</t>
  </si>
  <si>
    <t>TP859</t>
  </si>
  <si>
    <t>TP860</t>
  </si>
  <si>
    <t>TP861</t>
  </si>
  <si>
    <t>TP862</t>
  </si>
  <si>
    <t>TP863</t>
  </si>
  <si>
    <t>TP864</t>
  </si>
  <si>
    <t>TP865</t>
  </si>
  <si>
    <t>TP866</t>
  </si>
  <si>
    <t>TP867</t>
  </si>
  <si>
    <t>TP868</t>
  </si>
  <si>
    <t>TP869</t>
  </si>
  <si>
    <t>TP870</t>
  </si>
  <si>
    <t>TP871</t>
  </si>
  <si>
    <t>TP872</t>
  </si>
  <si>
    <t>TP873</t>
  </si>
  <si>
    <t>TP874</t>
  </si>
  <si>
    <t>TP875</t>
  </si>
  <si>
    <t>TP876</t>
  </si>
  <si>
    <t>TP877</t>
  </si>
  <si>
    <t>TP878</t>
  </si>
  <si>
    <t>TP879</t>
  </si>
  <si>
    <t>TP880</t>
  </si>
  <si>
    <t>TP881</t>
  </si>
  <si>
    <t>TP882</t>
  </si>
  <si>
    <t>TP883</t>
  </si>
  <si>
    <t>TP884</t>
  </si>
  <si>
    <t>TP885</t>
  </si>
  <si>
    <t>TP886</t>
  </si>
  <si>
    <t>TP887</t>
  </si>
  <si>
    <t>TP888</t>
  </si>
  <si>
    <t>TP889</t>
  </si>
  <si>
    <t>TP890</t>
  </si>
  <si>
    <t>TP891</t>
  </si>
  <si>
    <t>TP892</t>
  </si>
  <si>
    <t>TP893</t>
  </si>
  <si>
    <t>TP894</t>
  </si>
  <si>
    <t>TP895</t>
  </si>
  <si>
    <t>TP896</t>
  </si>
  <si>
    <t>TP897</t>
  </si>
  <si>
    <t>TP898</t>
  </si>
  <si>
    <t>TP899</t>
  </si>
  <si>
    <t>TP900</t>
  </si>
  <si>
    <t>TP901</t>
  </si>
  <si>
    <t>TP902</t>
  </si>
  <si>
    <t>TP903</t>
  </si>
  <si>
    <t>TP904</t>
  </si>
  <si>
    <t>TP905</t>
  </si>
  <si>
    <t>TP906</t>
  </si>
  <si>
    <t>TP907</t>
  </si>
  <si>
    <t>TP908</t>
  </si>
  <si>
    <t>TP909</t>
  </si>
  <si>
    <t>TP910</t>
  </si>
  <si>
    <t>TP911</t>
  </si>
  <si>
    <t>TP912</t>
  </si>
  <si>
    <t>TP913</t>
  </si>
  <si>
    <t>TP914</t>
  </si>
  <si>
    <t>TP915</t>
  </si>
  <si>
    <t>TP916</t>
  </si>
  <si>
    <t>TP917</t>
  </si>
  <si>
    <t>TP918</t>
  </si>
  <si>
    <t>TP919</t>
  </si>
  <si>
    <t>TP920</t>
  </si>
  <si>
    <t>TP921</t>
  </si>
  <si>
    <t>TP922</t>
  </si>
  <si>
    <t>TP923</t>
  </si>
  <si>
    <t>TP924</t>
  </si>
  <si>
    <t>TP925</t>
  </si>
  <si>
    <t>TP926</t>
  </si>
  <si>
    <t>TP927</t>
  </si>
  <si>
    <t>TP928</t>
  </si>
  <si>
    <t>TP929</t>
  </si>
  <si>
    <t>TP930</t>
  </si>
  <si>
    <t>TP931</t>
  </si>
  <si>
    <t>TP932</t>
  </si>
  <si>
    <t>TP933</t>
  </si>
  <si>
    <t>TP934</t>
  </si>
  <si>
    <t>TP935</t>
  </si>
  <si>
    <t>TP936</t>
  </si>
  <si>
    <t>TP937</t>
  </si>
  <si>
    <t>TP938</t>
  </si>
  <si>
    <t>TP939</t>
  </si>
  <si>
    <t>TP940</t>
  </si>
  <si>
    <t>TP941</t>
  </si>
  <si>
    <t>TP942</t>
  </si>
  <si>
    <t>TP943</t>
  </si>
  <si>
    <t>TP944</t>
  </si>
  <si>
    <t>TP945</t>
  </si>
  <si>
    <t>TP946</t>
  </si>
  <si>
    <t>TP947</t>
  </si>
  <si>
    <t>TP948</t>
  </si>
  <si>
    <t>TP949</t>
  </si>
  <si>
    <t>TP950</t>
  </si>
  <si>
    <t>TP951</t>
  </si>
  <si>
    <t>TP952</t>
  </si>
  <si>
    <t>TP953</t>
  </si>
  <si>
    <t>TP954</t>
  </si>
  <si>
    <t>TP955</t>
  </si>
  <si>
    <t>TP956</t>
  </si>
  <si>
    <t>TP957</t>
  </si>
  <si>
    <t>TP958</t>
  </si>
  <si>
    <t>TP959</t>
  </si>
  <si>
    <t>TP960</t>
  </si>
  <si>
    <t>TP961</t>
  </si>
  <si>
    <t>TP962</t>
  </si>
  <si>
    <t>TP963</t>
  </si>
  <si>
    <t>TP964</t>
  </si>
  <si>
    <t>TP965</t>
  </si>
  <si>
    <t>TP966</t>
  </si>
  <si>
    <t>TP967</t>
  </si>
  <si>
    <t>TP968</t>
  </si>
  <si>
    <t>TP969</t>
  </si>
  <si>
    <t>TP970</t>
  </si>
  <si>
    <t>TP971</t>
  </si>
  <si>
    <t>TP972</t>
  </si>
  <si>
    <t>TP973</t>
  </si>
  <si>
    <t>TP974</t>
  </si>
  <si>
    <t>TP975</t>
  </si>
  <si>
    <t>TP976</t>
  </si>
  <si>
    <t>TP977</t>
  </si>
  <si>
    <t>TP978</t>
  </si>
  <si>
    <t>TP979</t>
  </si>
  <si>
    <t>TP980</t>
  </si>
  <si>
    <t>TP981</t>
  </si>
  <si>
    <t>TP982</t>
  </si>
  <si>
    <t>TP983</t>
  </si>
  <si>
    <t>TP984</t>
  </si>
  <si>
    <t>TP985</t>
  </si>
  <si>
    <t>TP986</t>
  </si>
  <si>
    <t>TP987</t>
  </si>
  <si>
    <t>TP988</t>
  </si>
  <si>
    <t>TP989</t>
  </si>
  <si>
    <t>TP990</t>
  </si>
  <si>
    <t>TP991</t>
  </si>
  <si>
    <t>TP992</t>
  </si>
  <si>
    <t>TP993</t>
  </si>
  <si>
    <t>TP994</t>
  </si>
  <si>
    <t>TP995</t>
  </si>
  <si>
    <t>TP996</t>
  </si>
  <si>
    <t>TP997</t>
  </si>
  <si>
    <t>TP998</t>
  </si>
  <si>
    <t>TP999</t>
  </si>
  <si>
    <t>Postado</t>
  </si>
  <si>
    <t>Texto Principal</t>
  </si>
  <si>
    <t>headline</t>
  </si>
  <si>
    <t>Descrição</t>
  </si>
  <si>
    <t>VALOR EM COMPRAS</t>
  </si>
  <si>
    <t>adc1</t>
  </si>
  <si>
    <t>adc2</t>
  </si>
  <si>
    <t>adc3</t>
  </si>
  <si>
    <t>adc4</t>
  </si>
  <si>
    <t>adc5</t>
  </si>
  <si>
    <t>adc6</t>
  </si>
  <si>
    <t>adc7</t>
  </si>
  <si>
    <t>adc8</t>
  </si>
  <si>
    <t>adc9</t>
  </si>
  <si>
    <t>adc10</t>
  </si>
  <si>
    <t>adc11</t>
  </si>
  <si>
    <t>adc12</t>
  </si>
  <si>
    <t>adc13</t>
  </si>
  <si>
    <t>adc14</t>
  </si>
  <si>
    <t>adc15</t>
  </si>
  <si>
    <t>adc16</t>
  </si>
  <si>
    <t>adc17</t>
  </si>
  <si>
    <t>adc18</t>
  </si>
  <si>
    <t>adc19</t>
  </si>
  <si>
    <t>adc20</t>
  </si>
  <si>
    <t>adc21</t>
  </si>
  <si>
    <t>adc22</t>
  </si>
  <si>
    <t>adc23</t>
  </si>
  <si>
    <t>adc24</t>
  </si>
  <si>
    <t>adc25</t>
  </si>
  <si>
    <t>adc26</t>
  </si>
  <si>
    <t>adc27</t>
  </si>
  <si>
    <t>adc28</t>
  </si>
  <si>
    <t>adc29</t>
  </si>
  <si>
    <t>adc30</t>
  </si>
  <si>
    <t>adc31</t>
  </si>
  <si>
    <t>adc32</t>
  </si>
  <si>
    <t>adc33</t>
  </si>
  <si>
    <t>adc34</t>
  </si>
  <si>
    <t>adc35</t>
  </si>
  <si>
    <t>adc36</t>
  </si>
  <si>
    <t>adc37</t>
  </si>
  <si>
    <t>adc38</t>
  </si>
  <si>
    <t>adc39</t>
  </si>
  <si>
    <t>adc40</t>
  </si>
  <si>
    <t>adc41</t>
  </si>
  <si>
    <t>adc42</t>
  </si>
  <si>
    <t>adc43</t>
  </si>
  <si>
    <t>adc44</t>
  </si>
  <si>
    <t>adc45</t>
  </si>
  <si>
    <t>adc46</t>
  </si>
  <si>
    <t>adc47</t>
  </si>
  <si>
    <t>adc48</t>
  </si>
  <si>
    <t>adc49</t>
  </si>
  <si>
    <t>adc50</t>
  </si>
  <si>
    <t>adc51</t>
  </si>
  <si>
    <t>adc52</t>
  </si>
  <si>
    <t>adc53</t>
  </si>
  <si>
    <t>adc54</t>
  </si>
  <si>
    <t>adc55</t>
  </si>
  <si>
    <t>adc56</t>
  </si>
  <si>
    <t>adc57</t>
  </si>
  <si>
    <t>adc58</t>
  </si>
  <si>
    <t>adc59</t>
  </si>
  <si>
    <t>adc60</t>
  </si>
  <si>
    <t>adc61</t>
  </si>
  <si>
    <t>adc62</t>
  </si>
  <si>
    <t>adc63</t>
  </si>
  <si>
    <t>adc64</t>
  </si>
  <si>
    <t>adc65</t>
  </si>
  <si>
    <t>adc66</t>
  </si>
  <si>
    <t>adc67</t>
  </si>
  <si>
    <t>adc68</t>
  </si>
  <si>
    <t>adc69</t>
  </si>
  <si>
    <t>adc70</t>
  </si>
  <si>
    <t>adc71</t>
  </si>
  <si>
    <t>adc72</t>
  </si>
  <si>
    <t>adc73</t>
  </si>
  <si>
    <t>adc74</t>
  </si>
  <si>
    <t>adc75</t>
  </si>
  <si>
    <t>adc76</t>
  </si>
  <si>
    <t>adc77</t>
  </si>
  <si>
    <t>adc78</t>
  </si>
  <si>
    <t>adc79</t>
  </si>
  <si>
    <t>adc80</t>
  </si>
  <si>
    <t>adc81</t>
  </si>
  <si>
    <t>adc82</t>
  </si>
  <si>
    <t>adc83</t>
  </si>
  <si>
    <t>adc84</t>
  </si>
  <si>
    <t>adc85</t>
  </si>
  <si>
    <t>adc86</t>
  </si>
  <si>
    <t>adc87</t>
  </si>
  <si>
    <t>adc88</t>
  </si>
  <si>
    <t>adc89</t>
  </si>
  <si>
    <t>adc90</t>
  </si>
  <si>
    <t>adc91</t>
  </si>
  <si>
    <t>adc92</t>
  </si>
  <si>
    <t>adc93</t>
  </si>
  <si>
    <t>adc94</t>
  </si>
  <si>
    <t>adc95</t>
  </si>
  <si>
    <t>adc96</t>
  </si>
  <si>
    <t>adc97</t>
  </si>
  <si>
    <t>adc98</t>
  </si>
  <si>
    <t>adc99</t>
  </si>
  <si>
    <t>PLANEJAMENTO DE AÇÕES POR MÉTRICAS</t>
  </si>
  <si>
    <t>Canais / Ações</t>
  </si>
  <si>
    <t>TAXA DE CONVERSÃO</t>
  </si>
  <si>
    <t>TICKET MÉDIO</t>
  </si>
  <si>
    <t>Analisar melhores Períodos de CTR</t>
  </si>
  <si>
    <t>Analisar melhores Períodos de CPS</t>
  </si>
  <si>
    <t>Analisar melhores Períodos de Sessões</t>
  </si>
  <si>
    <t>Analisar melhores Períodos de Taxa de Conversão</t>
  </si>
  <si>
    <t>Analisar melhores Períodos de Ticket Médio</t>
  </si>
  <si>
    <t>Analisar melhores Períodos de Faturamento</t>
  </si>
  <si>
    <t>Teste A/B de Criativos</t>
  </si>
  <si>
    <t>Analisar melhores Períodos de CPM</t>
  </si>
  <si>
    <t>Iniciar em Canais com mais Chance de Crescimento</t>
  </si>
  <si>
    <t>Velocidade do Site</t>
  </si>
  <si>
    <t>Frete Fixo acima de TM 10%+</t>
  </si>
  <si>
    <t>Campanha de Frete Grátis</t>
  </si>
  <si>
    <t>Teste A/B de Copy</t>
  </si>
  <si>
    <t>Ampliar Aquisição em  Canais com menor Representatividade</t>
  </si>
  <si>
    <t>Mapear Objeções</t>
  </si>
  <si>
    <t>Kit e Combo</t>
  </si>
  <si>
    <t>Ação com Desconto Especial</t>
  </si>
  <si>
    <t>Teste A/B de Públicos</t>
  </si>
  <si>
    <t xml:space="preserve">Revisar LP ( Contexto e Estrutura ) </t>
  </si>
  <si>
    <t xml:space="preserve">Velocidade </t>
  </si>
  <si>
    <t>Mapear Motivações</t>
  </si>
  <si>
    <t>Brindes</t>
  </si>
  <si>
    <t>LiveShop</t>
  </si>
  <si>
    <t>Otimizar Chamada 3 Primeiros Segundos</t>
  </si>
  <si>
    <t>Entender a Relação de Maior CTR x Menor CPS</t>
  </si>
  <si>
    <t>SEO</t>
  </si>
  <si>
    <t>Analisar Gatilhos e Incentivos</t>
  </si>
  <si>
    <t>Order Bump</t>
  </si>
  <si>
    <t>Recuperação de Pagamento</t>
  </si>
  <si>
    <t>Usar Vídeos DSB</t>
  </si>
  <si>
    <t>Decentralizar Mídia</t>
  </si>
  <si>
    <t>Régua de Relacionamento</t>
  </si>
  <si>
    <t>Revisar Oferta</t>
  </si>
  <si>
    <t>Cupom Progressivo</t>
  </si>
  <si>
    <t>Forma de Pagamento</t>
  </si>
  <si>
    <t>Segmentar Audiências</t>
  </si>
  <si>
    <t>Comentários no Anúncio</t>
  </si>
  <si>
    <t>Influencer</t>
  </si>
  <si>
    <t>Direcionar para Canais com mais Taxa de Conversão</t>
  </si>
  <si>
    <t>Frete Grátis acima de TM 15%</t>
  </si>
  <si>
    <t>Cupom de Madrugada</t>
  </si>
  <si>
    <t>Trocar CTA</t>
  </si>
  <si>
    <t>Oferta Agressiva no Criativo</t>
  </si>
  <si>
    <t>Aumento de Verba</t>
  </si>
  <si>
    <t>Ajustar Canais com Menor Taxa de Conversão</t>
  </si>
  <si>
    <t>Compre Junto</t>
  </si>
  <si>
    <t>Focar em Recompra</t>
  </si>
  <si>
    <t>Produtos Curva A</t>
  </si>
  <si>
    <t>Públicos Amplos</t>
  </si>
  <si>
    <t>Cross Public</t>
  </si>
  <si>
    <t>Intensificar entrega de Produtos com maior Taxa de Conversão</t>
  </si>
  <si>
    <t>Produtos Relacionados</t>
  </si>
  <si>
    <t>E-Mail Marketing</t>
  </si>
  <si>
    <t>Posicionamento de ADS</t>
  </si>
  <si>
    <t>Criativo x Persona</t>
  </si>
  <si>
    <t>Criativo Virais</t>
  </si>
  <si>
    <t>Otimizar Frete</t>
  </si>
  <si>
    <t>Upsell</t>
  </si>
  <si>
    <t>Indique e Ganhe</t>
  </si>
  <si>
    <t>PLANEJAMENTO DE AÇÕES POR CANAL</t>
  </si>
  <si>
    <t>Direct</t>
  </si>
  <si>
    <t>E-Mail</t>
  </si>
  <si>
    <t>MetaAds</t>
  </si>
  <si>
    <t>Whatsapp</t>
  </si>
  <si>
    <t>Youtube</t>
  </si>
  <si>
    <t>Pinterest</t>
  </si>
  <si>
    <t>Pesquisa de Palavras Chaves</t>
  </si>
  <si>
    <t>Website Otimizado</t>
  </si>
  <si>
    <t>Segmentação de Lista</t>
  </si>
  <si>
    <t>Ação 1</t>
  </si>
  <si>
    <t>Conteúdo de Qualidade</t>
  </si>
  <si>
    <t>Personalização</t>
  </si>
  <si>
    <t>Ação 2</t>
  </si>
  <si>
    <t>Regularidade das Postagens</t>
  </si>
  <si>
    <t>Assunto Atraente</t>
  </si>
  <si>
    <t>Ação 3</t>
  </si>
  <si>
    <t>Divulgar nas Redes Sociais</t>
  </si>
  <si>
    <t>Redes Sociais</t>
  </si>
  <si>
    <t>Ação 4</t>
  </si>
  <si>
    <t>Guest Posting</t>
  </si>
  <si>
    <t>Google Meu Negócio</t>
  </si>
  <si>
    <t>Design Responsivo</t>
  </si>
  <si>
    <t>Ação 5</t>
  </si>
  <si>
    <t>Divulgar no Email Marketing</t>
  </si>
  <si>
    <t>Avaliações dos Clientes</t>
  </si>
  <si>
    <t>CTAs (Call to Action) Claras</t>
  </si>
  <si>
    <t>Ação 6</t>
  </si>
  <si>
    <t>SEO On Page</t>
  </si>
  <si>
    <t>Fóruns e Comunidades Online</t>
  </si>
  <si>
    <t>Testes A/B</t>
  </si>
  <si>
    <t>Ação 7</t>
  </si>
  <si>
    <t>Rede com outros Blogs</t>
  </si>
  <si>
    <t>Marketing de Conteúdo</t>
  </si>
  <si>
    <t>Horário de Envio Estratégico</t>
  </si>
  <si>
    <t>Ação 8</t>
  </si>
  <si>
    <t>Divulgar em Comunidades Online</t>
  </si>
  <si>
    <t>Influenciadores</t>
  </si>
  <si>
    <t>Automatização</t>
  </si>
  <si>
    <t>Ação 9</t>
  </si>
  <si>
    <t>Acompanhar as Métricas</t>
  </si>
  <si>
    <t>Ação 10</t>
  </si>
  <si>
    <t>Data</t>
  </si>
  <si>
    <t>Campanha</t>
  </si>
  <si>
    <t>Conjunto de Anuncio</t>
  </si>
  <si>
    <t>Anuncio</t>
  </si>
  <si>
    <t>Valor investido</t>
  </si>
  <si>
    <t>Visualização de Página</t>
  </si>
  <si>
    <t>Impressões</t>
  </si>
  <si>
    <t>Cliques (All)</t>
  </si>
  <si>
    <t>Evento Contato</t>
  </si>
  <si>
    <t>Conversas Iniciadas</t>
  </si>
  <si>
    <t>Ad Prefix</t>
  </si>
  <si>
    <t>TP-leads-wpp-04.11</t>
  </si>
  <si>
    <t>TP-Florida-13.02</t>
  </si>
  <si>
    <t>Cirurgia-refrativa-florida</t>
  </si>
  <si>
    <t>TP-Bolivia-13.11</t>
  </si>
  <si>
    <t>V - ONCOLOGIA</t>
  </si>
  <si>
    <t>TP - [Trafego] [Visitas ao Perfil IG]</t>
  </si>
  <si>
    <t>Aberto</t>
  </si>
  <si>
    <t>AD 04 - TP - VÍDEO - JU E ANDRÉ — Cópia</t>
  </si>
  <si>
    <t>V - video andre-11.12</t>
  </si>
  <si>
    <t>V - video andre-02.12</t>
  </si>
  <si>
    <t>V -video novo-13.11</t>
  </si>
  <si>
    <t>V - ju-1x25x-13.11</t>
  </si>
  <si>
    <t>Transplante-capilar-florida</t>
  </si>
  <si>
    <t>TP-Uruguai-04.11</t>
  </si>
  <si>
    <t>TP-Paraguai-04.11</t>
  </si>
  <si>
    <t>V-video andre-02.12</t>
  </si>
  <si>
    <t>V video andre-02.12</t>
  </si>
  <si>
    <t>V - ju-1x25x-01.12</t>
  </si>
  <si>
    <t>V - video novo-01.12</t>
  </si>
  <si>
    <t>V - rj check-up-11.12</t>
  </si>
  <si>
    <t>TP-medicos-sp-22.12</t>
  </si>
  <si>
    <t>medicos parceiro sp</t>
  </si>
  <si>
    <t>Valor Investido</t>
  </si>
  <si>
    <t>CAMPANHA</t>
  </si>
  <si>
    <t>CONVERSÕES</t>
  </si>
  <si>
    <t>Usuarios</t>
  </si>
  <si>
    <t>Novos Usuarios</t>
  </si>
  <si>
    <t>Taxas de mercado extraídas de:</t>
  </si>
  <si>
    <t>https://ferramentas.resultadosdigitais.com.br/funil-de-vendas/</t>
  </si>
  <si>
    <t>Selecione</t>
  </si>
  <si>
    <t>FEVEREIRO 2025</t>
  </si>
  <si>
    <t xml:space="preserve">Carnaval 
</t>
  </si>
  <si>
    <t xml:space="preserve">Dia do Esportista 
</t>
  </si>
  <si>
    <t>Aquecimento</t>
  </si>
  <si>
    <t>MARÇO 2025</t>
  </si>
  <si>
    <t xml:space="preserve">Dia da Mulher
</t>
  </si>
  <si>
    <t xml:space="preserve">Dia do Consumidor 
</t>
  </si>
  <si>
    <t xml:space="preserve"> Início do Outono 
</t>
  </si>
  <si>
    <t xml:space="preserve">Páscoa 
</t>
  </si>
  <si>
    <t>ABRIL 2025</t>
  </si>
  <si>
    <t xml:space="preserve">Dia da Mentira 
</t>
  </si>
  <si>
    <t xml:space="preserve">Dia Mundial da Saúde
</t>
  </si>
  <si>
    <t xml:space="preserve">Dia do Beijo
</t>
  </si>
  <si>
    <t xml:space="preserve">Dia do Café 
</t>
  </si>
  <si>
    <t xml:space="preserve">Dia Mundial da Terra 
</t>
  </si>
  <si>
    <t>MAIO 2025</t>
  </si>
  <si>
    <t xml:space="preserve">Dia do Trabalho 
</t>
  </si>
  <si>
    <t xml:space="preserve">Dia das Mães 
</t>
  </si>
  <si>
    <t xml:space="preserve">Dia do Abraço
</t>
  </si>
  <si>
    <t xml:space="preserve">Dia do Orgulho Nerd 
</t>
  </si>
  <si>
    <t>JUNHO 2025</t>
  </si>
  <si>
    <t xml:space="preserve">Dia dos Namorados 
</t>
  </si>
  <si>
    <t xml:space="preserve">Início do Inverno 
</t>
  </si>
  <si>
    <t xml:space="preserve">Dia do Orgulho
 LGBTQIA+
</t>
  </si>
  <si>
    <t>JULHO 2025</t>
  </si>
  <si>
    <t xml:space="preserve">Dia do Chocolate 
</t>
  </si>
  <si>
    <t xml:space="preserve">Dia do Rock 
</t>
  </si>
  <si>
    <t xml:space="preserve">Dia do Homem 
</t>
  </si>
  <si>
    <t xml:space="preserve">Dia dos Avós 
</t>
  </si>
  <si>
    <t xml:space="preserve">Dia da Amizade 
</t>
  </si>
  <si>
    <t>AGOSTO 2025</t>
  </si>
  <si>
    <t xml:space="preserve">Dia dos Pais 
</t>
  </si>
  <si>
    <t>SETEMBRO 2025</t>
  </si>
  <si>
    <t xml:space="preserve">Independência do
Brasil 
</t>
  </si>
  <si>
    <t xml:space="preserve">Dia do Cliente
</t>
  </si>
  <si>
    <t xml:space="preserve">Dia Mundial Sem Carro 
</t>
  </si>
  <si>
    <t>OUTUBRO 2025</t>
  </si>
  <si>
    <t xml:space="preserve">Dia das Crianças 
</t>
  </si>
  <si>
    <t xml:space="preserve">Dia das Bruxas 
</t>
  </si>
  <si>
    <t>NOVEMBRO 2025</t>
  </si>
  <si>
    <t xml:space="preserve">Black Friday 
</t>
  </si>
  <si>
    <t xml:space="preserve">Cyber Monday 
</t>
  </si>
  <si>
    <t>DEZEMBRO 2025</t>
  </si>
  <si>
    <t xml:space="preserve">Natal 
</t>
  </si>
  <si>
    <t xml:space="preserve">Ano Novo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</si>
</sst>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R$ -416]#,##0"/>
    <numFmt numFmtId="165" formatCode="[$R$ -416]#,##0.00"/>
    <numFmt numFmtId="166" formatCode="dd/mm/yyyy"/>
    <numFmt numFmtId="167" formatCode="[$R$]#,##0"/>
    <numFmt numFmtId="168" formatCode="[$R$]#,##0.0"/>
    <numFmt numFmtId="169" formatCode="&quot;R$&quot;\ #,##0.00;[Red]\-&quot;R$&quot;\ #,##0.00"/>
    <numFmt numFmtId="170" formatCode="0.0"/>
    <numFmt numFmtId="171" formatCode="0.0%"/>
    <numFmt numFmtId="172" formatCode="&quot;R$&quot;#,##0.00"/>
    <numFmt numFmtId="173" formatCode="dd.mm"/>
    <numFmt numFmtId="174" formatCode="d.m"/>
    <numFmt numFmtId="175" formatCode="[$R$]#,##0.00"/>
    <numFmt numFmtId="176" formatCode="yyyy/MM/dd"/>
    <numFmt numFmtId="177" formatCode="yyyy-mm-dd"/>
  </numFmts>
  <fonts count="64">
    <font>
      <sz val="10.0"/>
      <color rgb="FF000000"/>
      <name val="Arial"/>
      <scheme val="minor"/>
    </font>
    <font>
      <b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color theme="1"/>
      <name val="Arial"/>
    </font>
    <font/>
    <font>
      <color rgb="FF000000"/>
      <name val="Calibri"/>
    </font>
    <font>
      <b/>
      <sz val="22.0"/>
      <color rgb="FFFFFFFF"/>
      <name val="Montserrat"/>
    </font>
    <font>
      <color rgb="FFFFFFFF"/>
      <name val="Montserrat"/>
    </font>
    <font>
      <sz val="10.0"/>
      <color rgb="FFFFFFFF"/>
      <name val="Montserrat"/>
    </font>
    <font>
      <sz val="13.0"/>
      <color rgb="FF236BFE"/>
      <name val="Montserrat"/>
    </font>
    <font>
      <sz val="14.0"/>
      <color rgb="FFFFFFFF"/>
      <name val="Montserrat"/>
    </font>
    <font>
      <sz val="16.0"/>
      <color rgb="FFFFFFFF"/>
      <name val="Montserrat"/>
    </font>
    <font>
      <sz val="9.0"/>
      <color rgb="FFFFFFFF"/>
      <name val="Arial"/>
    </font>
    <font>
      <b/>
      <sz val="12.0"/>
      <color rgb="FF000000"/>
      <name val="Montserrat"/>
    </font>
    <font>
      <sz val="12.0"/>
      <color rgb="FF000000"/>
      <name val="Montserrat"/>
    </font>
    <font>
      <color rgb="FFFFFFFF"/>
      <name val="Arial"/>
    </font>
    <font>
      <sz val="11.0"/>
      <color theme="1"/>
      <name val="Montserrat"/>
    </font>
    <font>
      <sz val="16.0"/>
      <color rgb="FFFFFFFF"/>
      <name val="Calibri"/>
    </font>
    <font>
      <sz val="16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i/>
      <sz val="10.0"/>
      <color theme="1"/>
      <name val="Calibri"/>
    </font>
    <font>
      <sz val="12.0"/>
      <color theme="4"/>
      <name val="Calibri"/>
    </font>
    <font>
      <b/>
      <color rgb="FF000000"/>
      <name val="Calibri"/>
    </font>
    <font>
      <sz val="18.0"/>
      <color theme="1"/>
      <name val="Calibri"/>
    </font>
    <font>
      <sz val="13.0"/>
      <color theme="1"/>
      <name val="Calibri"/>
    </font>
    <font>
      <b/>
      <sz val="12.0"/>
      <color theme="0"/>
      <name val="Calibri"/>
    </font>
    <font>
      <b/>
      <sz val="30.0"/>
      <color rgb="FFFFFFFF"/>
      <name val="Lora"/>
    </font>
    <font>
      <b/>
      <color rgb="FFFFFFFF"/>
      <name val="Arial"/>
    </font>
    <font>
      <b/>
      <color theme="1"/>
      <name val="Arial"/>
    </font>
    <font>
      <color rgb="FF4F1199"/>
      <name val="Arial"/>
    </font>
    <font>
      <b/>
      <sz val="36.0"/>
      <color rgb="FFFFFFFF"/>
      <name val="Lora"/>
    </font>
    <font>
      <color rgb="FF202124"/>
      <name val="Roboto"/>
    </font>
    <font>
      <color rgb="FF202124"/>
      <name val="Poppins"/>
    </font>
    <font>
      <b/>
      <sz val="11.0"/>
      <color rgb="FFFFFFFF"/>
      <name val="Arial"/>
    </font>
    <font>
      <sz val="11.0"/>
      <color rgb="FF000000"/>
      <name val="Arial"/>
    </font>
    <font>
      <b/>
      <color theme="0"/>
      <name val="Calibri"/>
    </font>
    <font>
      <b/>
      <u/>
      <color rgb="FF000000"/>
      <name val="Calibri"/>
    </font>
    <font>
      <b/>
      <sz val="11.0"/>
      <color theme="0"/>
      <name val="Calibri"/>
    </font>
    <font>
      <b/>
      <u/>
      <color rgb="FF000000"/>
      <name val="Calibri"/>
    </font>
    <font>
      <b/>
      <sz val="13.0"/>
      <color rgb="FFFFFFFF"/>
      <name val="Calibri"/>
    </font>
    <font>
      <b/>
      <sz val="13.0"/>
      <color rgb="FFEEF1F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Inconsolata"/>
    </font>
    <font>
      <u/>
      <color rgb="FF0000FF"/>
    </font>
    <font>
      <b/>
      <sz val="8.0"/>
      <color theme="1"/>
      <name val="Arial"/>
    </font>
    <font>
      <sz val="8.0"/>
      <color theme="1"/>
      <name val="Arial"/>
    </font>
    <font>
      <b/>
      <sz val="11.0"/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30B77"/>
        <bgColor rgb="FF230B7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7BDF7"/>
        <bgColor rgb="FF67BDF7"/>
      </patternFill>
    </fill>
    <fill>
      <patternFill patternType="solid">
        <fgColor rgb="FF7EB310"/>
        <bgColor rgb="FF7EB310"/>
      </patternFill>
    </fill>
    <fill>
      <patternFill patternType="solid">
        <fgColor rgb="FF1593E8"/>
        <bgColor rgb="FF1593E8"/>
      </patternFill>
    </fill>
    <fill>
      <patternFill patternType="solid">
        <fgColor rgb="FFFFFFFF"/>
        <bgColor rgb="FFFFFFFF"/>
      </patternFill>
    </fill>
    <fill>
      <patternFill patternType="solid">
        <fgColor rgb="FF236BFE"/>
        <bgColor rgb="FF236BFE"/>
      </patternFill>
    </fill>
    <fill>
      <patternFill patternType="solid">
        <fgColor rgb="FF1524E8"/>
        <bgColor rgb="FF1524E8"/>
      </patternFill>
    </fill>
    <fill>
      <patternFill patternType="solid">
        <fgColor rgb="FF1F1F1F"/>
        <bgColor rgb="FF1F1F1F"/>
      </patternFill>
    </fill>
    <fill>
      <patternFill patternType="solid">
        <fgColor rgb="FFD9D9D9"/>
        <bgColor rgb="FFD9D9D9"/>
      </patternFill>
    </fill>
    <fill>
      <patternFill patternType="solid">
        <fgColor rgb="FF1F1C3C"/>
        <bgColor rgb="FF1F1C3C"/>
      </patternFill>
    </fill>
    <fill>
      <patternFill patternType="solid">
        <fgColor rgb="FF4100C8"/>
        <bgColor rgb="FF4100C8"/>
      </patternFill>
    </fill>
    <fill>
      <patternFill patternType="solid">
        <fgColor rgb="FF5B4EED"/>
        <bgColor rgb="FF5B4EED"/>
      </patternFill>
    </fill>
    <fill>
      <patternFill patternType="solid">
        <fgColor rgb="FF7A02CA"/>
        <bgColor rgb="FF7A02CA"/>
      </patternFill>
    </fill>
    <fill>
      <patternFill patternType="solid">
        <fgColor rgb="FFC051F3"/>
        <bgColor rgb="FFC051F3"/>
      </patternFill>
    </fill>
    <fill>
      <patternFill patternType="solid">
        <fgColor rgb="FF2EE69F"/>
        <bgColor rgb="FF2EE69F"/>
      </patternFill>
    </fill>
    <fill>
      <patternFill patternType="solid">
        <fgColor rgb="FFDF614C"/>
        <bgColor rgb="FFDF614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4F1199"/>
        <bgColor rgb="FF4F119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724CD"/>
        <bgColor rgb="FF0724CD"/>
      </patternFill>
    </fill>
    <fill>
      <patternFill patternType="solid">
        <fgColor rgb="FFFF6D01"/>
        <bgColor rgb="FFFF6D01"/>
      </patternFill>
    </fill>
    <fill>
      <patternFill patternType="solid">
        <fgColor rgb="FF001172"/>
        <bgColor rgb="FF001172"/>
      </patternFill>
    </fill>
    <fill>
      <patternFill patternType="solid">
        <fgColor rgb="FF000D58"/>
        <bgColor rgb="FF000D58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236BFE"/>
      </right>
    </border>
    <border>
      <bottom style="double">
        <color rgb="FF236BFE"/>
      </bottom>
    </border>
    <border>
      <bottom style="thick">
        <color rgb="FF000000"/>
      </bottom>
    </border>
    <border>
      <right style="double">
        <color rgb="FF236BFE"/>
      </right>
      <bottom style="double">
        <color rgb="FF236BFE"/>
      </bottom>
    </border>
    <border>
      <left style="double">
        <color rgb="FF236BFE"/>
      </left>
    </border>
    <border>
      <left style="double">
        <color rgb="FF236BFE"/>
      </left>
      <bottom style="double">
        <color rgb="FF236BFE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/>
      <top/>
    </border>
    <border>
      <right style="dotted">
        <color rgb="FFCCCCCC"/>
      </right>
    </border>
    <border>
      <left style="dotted">
        <color rgb="FFCCCCCC"/>
      </left>
      <right style="dotted">
        <color rgb="FFCCCCCC"/>
      </right>
    </border>
    <border>
      <left style="dotted">
        <color rgb="FFCCCCCC"/>
      </left>
      <right style="dotted">
        <color rgb="FFCCCCCC"/>
      </right>
      <bottom style="dotted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3" fontId="2" numFmtId="3" xfId="0" applyAlignment="1" applyBorder="1" applyFill="1" applyFont="1" applyNumberForma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4" fontId="4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  <xf borderId="1" fillId="4" fontId="6" numFmtId="0" xfId="0" applyAlignment="1" applyBorder="1" applyFont="1">
      <alignment horizontal="center" vertical="center"/>
    </xf>
    <xf borderId="2" fillId="4" fontId="5" numFmtId="164" xfId="0" applyAlignment="1" applyBorder="1" applyFont="1" applyNumberFormat="1">
      <alignment horizontal="center" vertical="center"/>
    </xf>
    <xf borderId="2" fillId="4" fontId="5" numFmtId="0" xfId="0" applyAlignment="1" applyBorder="1" applyFont="1">
      <alignment horizontal="center" vertical="center"/>
    </xf>
    <xf borderId="2" fillId="4" fontId="5" numFmtId="49" xfId="0" applyAlignment="1" applyBorder="1" applyFont="1" applyNumberFormat="1">
      <alignment horizontal="center" vertical="center"/>
    </xf>
    <xf borderId="2" fillId="4" fontId="5" numFmtId="3" xfId="0" applyAlignment="1" applyBorder="1" applyFont="1" applyNumberFormat="1">
      <alignment horizontal="center" vertical="center"/>
    </xf>
    <xf borderId="2" fillId="4" fontId="5" numFmtId="165" xfId="0" applyAlignment="1" applyBorder="1" applyFont="1" applyNumberFormat="1">
      <alignment horizontal="center" vertical="center"/>
    </xf>
    <xf borderId="2" fillId="4" fontId="5" numFmtId="10" xfId="0" applyAlignment="1" applyBorder="1" applyFont="1" applyNumberFormat="1">
      <alignment horizontal="center" vertical="center"/>
    </xf>
    <xf borderId="0" fillId="0" fontId="7" numFmtId="0" xfId="0" applyFont="1"/>
    <xf borderId="2" fillId="5" fontId="1" numFmtId="166" xfId="0" applyAlignment="1" applyBorder="1" applyFill="1" applyFont="1" applyNumberFormat="1">
      <alignment horizontal="center"/>
    </xf>
    <xf borderId="2" fillId="6" fontId="8" numFmtId="0" xfId="0" applyAlignment="1" applyBorder="1" applyFill="1" applyFont="1">
      <alignment horizontal="center" vertical="bottom"/>
    </xf>
    <xf borderId="2" fillId="6" fontId="9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0" fontId="10" numFmtId="3" xfId="0" applyAlignment="1" applyBorder="1" applyFont="1" applyNumberFormat="1">
      <alignment horizontal="center" vertical="center"/>
    </xf>
    <xf borderId="2" fillId="0" fontId="10" numFmtId="164" xfId="0" applyAlignment="1" applyBorder="1" applyFont="1" applyNumberForma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3" fillId="0" fontId="3" numFmtId="3" xfId="0" applyAlignment="1" applyBorder="1" applyFont="1" applyNumberForma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 vertical="bottom"/>
    </xf>
    <xf borderId="4" fillId="4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bottom"/>
    </xf>
    <xf borderId="2" fillId="6" fontId="9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" fillId="0" fontId="10" numFmtId="3" xfId="0" applyAlignment="1" applyBorder="1" applyFont="1" applyNumberFormat="1">
      <alignment horizontal="center"/>
    </xf>
    <xf borderId="2" fillId="0" fontId="10" numFmtId="164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2" fillId="0" fontId="3" numFmtId="165" xfId="0" applyAlignment="1" applyBorder="1" applyFont="1" applyNumberFormat="1">
      <alignment horizontal="center"/>
    </xf>
    <xf borderId="2" fillId="0" fontId="3" numFmtId="3" xfId="0" applyAlignment="1" applyBorder="1" applyFont="1" applyNumberFormat="1">
      <alignment horizontal="center"/>
    </xf>
    <xf borderId="2" fillId="0" fontId="3" numFmtId="10" xfId="0" applyAlignment="1" applyBorder="1" applyFont="1" applyNumberFormat="1">
      <alignment horizontal="center"/>
    </xf>
    <xf borderId="5" fillId="4" fontId="4" numFmtId="0" xfId="0" applyAlignment="1" applyBorder="1" applyFont="1">
      <alignment horizontal="center" vertical="bottom"/>
    </xf>
    <xf borderId="3" fillId="0" fontId="12" numFmtId="0" xfId="0" applyBorder="1" applyFont="1"/>
    <xf borderId="2" fillId="5" fontId="7" numFmtId="0" xfId="0" applyBorder="1" applyFont="1"/>
    <xf borderId="2" fillId="5" fontId="1" numFmtId="164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center" vertical="center"/>
    </xf>
    <xf borderId="2" fillId="5" fontId="1" numFmtId="1" xfId="0" applyAlignment="1" applyBorder="1" applyFont="1" applyNumberFormat="1">
      <alignment horizontal="center"/>
    </xf>
    <xf borderId="2" fillId="5" fontId="1" numFmtId="49" xfId="0" applyAlignment="1" applyBorder="1" applyFont="1" applyNumberFormat="1">
      <alignment horizontal="center" vertical="center"/>
    </xf>
    <xf borderId="2" fillId="5" fontId="1" numFmtId="3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  <xf borderId="0" fillId="0" fontId="7" numFmtId="2" xfId="0" applyFont="1" applyNumberFormat="1"/>
    <xf borderId="0" fillId="0" fontId="13" numFmtId="0" xfId="0" applyFont="1"/>
    <xf borderId="0" fillId="0" fontId="13" numFmtId="164" xfId="0" applyFont="1" applyNumberFormat="1"/>
    <xf borderId="0" fillId="2" fontId="11" numFmtId="0" xfId="0" applyAlignment="1" applyFont="1">
      <alignment vertical="center"/>
    </xf>
    <xf borderId="0" fillId="2" fontId="14" numFmtId="0" xfId="0" applyAlignment="1" applyFont="1">
      <alignment horizontal="center" shrinkToFit="0" vertical="center" wrapText="1"/>
    </xf>
    <xf borderId="0" fillId="7" fontId="11" numFmtId="0" xfId="0" applyAlignment="1" applyFill="1" applyFont="1">
      <alignment vertical="center"/>
    </xf>
    <xf borderId="0" fillId="7" fontId="15" numFmtId="0" xfId="0" applyAlignment="1" applyFont="1">
      <alignment horizontal="center" shrinkToFit="0" vertical="center" wrapText="1"/>
    </xf>
    <xf borderId="0" fillId="7" fontId="16" numFmtId="0" xfId="0" applyAlignment="1" applyFont="1">
      <alignment horizontal="center" shrinkToFit="0" vertical="center" wrapText="1"/>
    </xf>
    <xf borderId="6" fillId="7" fontId="11" numFmtId="0" xfId="0" applyAlignment="1" applyBorder="1" applyFont="1">
      <alignment vertical="center"/>
    </xf>
    <xf borderId="7" fillId="0" fontId="12" numFmtId="0" xfId="0" applyBorder="1" applyFont="1"/>
    <xf borderId="0" fillId="7" fontId="17" numFmtId="0" xfId="0" applyAlignment="1" applyFont="1">
      <alignment horizontal="center" shrinkToFit="0" vertical="center" wrapText="1"/>
    </xf>
    <xf borderId="0" fillId="8" fontId="11" numFmtId="0" xfId="0" applyAlignment="1" applyFill="1" applyFont="1">
      <alignment vertical="center"/>
    </xf>
    <xf borderId="0" fillId="8" fontId="18" numFmtId="0" xfId="0" applyAlignment="1" applyFont="1">
      <alignment horizontal="center" shrinkToFit="0" vertical="center" wrapText="1"/>
    </xf>
    <xf borderId="0" fillId="7" fontId="19" numFmtId="3" xfId="0" applyAlignment="1" applyFont="1" applyNumberFormat="1">
      <alignment horizontal="center" shrinkToFit="0" vertical="center" wrapText="1"/>
    </xf>
    <xf borderId="6" fillId="0" fontId="12" numFmtId="0" xfId="0" applyBorder="1" applyFont="1"/>
    <xf borderId="0" fillId="5" fontId="20" numFmtId="0" xfId="0" applyAlignment="1" applyFont="1">
      <alignment horizontal="center" shrinkToFit="0" vertical="center" wrapText="1"/>
    </xf>
    <xf borderId="8" fillId="8" fontId="11" numFmtId="0" xfId="0" applyAlignment="1" applyBorder="1" applyFont="1">
      <alignment vertical="center"/>
    </xf>
    <xf borderId="8" fillId="0" fontId="12" numFmtId="0" xfId="0" applyBorder="1" applyFont="1"/>
    <xf borderId="9" fillId="0" fontId="12" numFmtId="0" xfId="0" applyBorder="1" applyFont="1"/>
    <xf borderId="7" fillId="7" fontId="11" numFmtId="0" xfId="0" applyAlignment="1" applyBorder="1" applyFont="1">
      <alignment vertical="center"/>
    </xf>
    <xf borderId="0" fillId="9" fontId="21" numFmtId="10" xfId="0" applyAlignment="1" applyFill="1" applyFont="1" applyNumberFormat="1">
      <alignment horizontal="center" shrinkToFit="0" vertical="center" wrapText="1"/>
    </xf>
    <xf borderId="0" fillId="10" fontId="11" numFmtId="0" xfId="0" applyAlignment="1" applyFill="1" applyFont="1">
      <alignment vertical="center"/>
    </xf>
    <xf borderId="0" fillId="10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11" fontId="22" numFmtId="167" xfId="0" applyAlignment="1" applyFill="1" applyFont="1" applyNumberFormat="1">
      <alignment horizontal="center" shrinkToFit="0" vertical="center" wrapText="1"/>
    </xf>
    <xf borderId="8" fillId="10" fontId="11" numFmtId="0" xfId="0" applyAlignment="1" applyBorder="1" applyFont="1">
      <alignment vertical="center"/>
    </xf>
    <xf borderId="0" fillId="12" fontId="11" numFmtId="0" xfId="0" applyAlignment="1" applyFill="1" applyFont="1">
      <alignment vertical="center"/>
    </xf>
    <xf borderId="0" fillId="12" fontId="18" numFmtId="0" xfId="0" applyAlignment="1" applyFont="1">
      <alignment horizontal="center" shrinkToFit="0" vertical="center" wrapText="1"/>
    </xf>
    <xf borderId="8" fillId="12" fontId="11" numFmtId="0" xfId="0" applyAlignment="1" applyBorder="1" applyFont="1">
      <alignment vertical="center"/>
    </xf>
    <xf borderId="0" fillId="13" fontId="18" numFmtId="0" xfId="0" applyAlignment="1" applyFill="1" applyFont="1">
      <alignment horizontal="center" shrinkToFit="0" vertical="center" wrapText="1"/>
    </xf>
    <xf borderId="0" fillId="7" fontId="11" numFmtId="10" xfId="0" applyAlignment="1" applyFont="1" applyNumberFormat="1">
      <alignment vertical="center"/>
    </xf>
    <xf borderId="6" fillId="7" fontId="11" numFmtId="3" xfId="0" applyAlignment="1" applyBorder="1" applyFont="1" applyNumberFormat="1">
      <alignment vertical="center"/>
    </xf>
    <xf borderId="7" fillId="7" fontId="11" numFmtId="10" xfId="0" applyAlignment="1" applyBorder="1" applyFont="1" applyNumberFormat="1">
      <alignment vertical="center"/>
    </xf>
    <xf borderId="6" fillId="7" fontId="11" numFmtId="10" xfId="0" applyAlignment="1" applyBorder="1" applyFont="1" applyNumberFormat="1">
      <alignment vertical="center"/>
    </xf>
    <xf borderId="0" fillId="7" fontId="23" numFmtId="10" xfId="0" applyAlignment="1" applyFont="1" applyNumberFormat="1">
      <alignment horizontal="center" shrinkToFit="0" vertical="center" wrapText="1"/>
    </xf>
    <xf borderId="0" fillId="11" fontId="22" numFmtId="0" xfId="0" applyAlignment="1" applyFont="1">
      <alignment horizontal="center" shrinkToFit="0" vertical="center" wrapText="1"/>
    </xf>
    <xf borderId="0" fillId="9" fontId="21" numFmtId="3" xfId="0" applyAlignment="1" applyFont="1" applyNumberFormat="1">
      <alignment horizontal="center" shrinkToFit="0" vertical="center" wrapText="1"/>
    </xf>
    <xf borderId="0" fillId="11" fontId="22" numFmtId="3" xfId="0" applyAlignment="1" applyFont="1" applyNumberFormat="1">
      <alignment horizontal="center" shrinkToFit="0" vertical="center" wrapText="1"/>
    </xf>
    <xf borderId="10" fillId="7" fontId="24" numFmtId="10" xfId="0" applyAlignment="1" applyBorder="1" applyFont="1" applyNumberFormat="1">
      <alignment horizontal="center" shrinkToFit="0" vertical="center" wrapText="1"/>
    </xf>
    <xf borderId="10" fillId="0" fontId="12" numFmtId="0" xfId="0" applyBorder="1" applyFont="1"/>
    <xf borderId="11" fillId="0" fontId="12" numFmtId="0" xfId="0" applyBorder="1" applyFont="1"/>
    <xf borderId="0" fillId="14" fontId="7" numFmtId="0" xfId="0" applyAlignment="1" applyFill="1" applyFont="1">
      <alignment vertical="bottom"/>
    </xf>
    <xf borderId="0" fillId="14" fontId="7" numFmtId="0" xfId="0" applyFont="1"/>
    <xf borderId="0" fillId="14" fontId="1" numFmtId="0" xfId="0" applyAlignment="1" applyFont="1">
      <alignment vertical="center"/>
    </xf>
    <xf borderId="12" fillId="14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2" fillId="0" fontId="7" numFmtId="0" xfId="0" applyAlignment="1" applyBorder="1" applyFont="1">
      <alignment vertical="bottom"/>
    </xf>
    <xf borderId="2" fillId="3" fontId="25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vertical="center"/>
    </xf>
    <xf borderId="2" fillId="11" fontId="26" numFmtId="164" xfId="0" applyAlignment="1" applyBorder="1" applyFont="1" applyNumberFormat="1">
      <alignment horizontal="center"/>
    </xf>
    <xf borderId="2" fillId="11" fontId="26" numFmtId="165" xfId="0" applyAlignment="1" applyBorder="1" applyFont="1" applyNumberFormat="1">
      <alignment horizontal="center"/>
    </xf>
    <xf borderId="2" fillId="11" fontId="7" numFmtId="9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15" fontId="7" numFmtId="164" xfId="0" applyAlignment="1" applyBorder="1" applyFill="1" applyFont="1" applyNumberFormat="1">
      <alignment horizontal="center" vertical="center"/>
    </xf>
    <xf borderId="2" fillId="15" fontId="8" numFmtId="164" xfId="0" applyAlignment="1" applyBorder="1" applyFont="1" applyNumberFormat="1">
      <alignment horizontal="center" vertical="center"/>
    </xf>
    <xf borderId="2" fillId="16" fontId="7" numFmtId="0" xfId="0" applyAlignment="1" applyBorder="1" applyFill="1" applyFont="1">
      <alignment vertical="bottom"/>
    </xf>
    <xf borderId="2" fillId="11" fontId="26" numFmtId="168" xfId="0" applyAlignment="1" applyBorder="1" applyFont="1" applyNumberFormat="1">
      <alignment horizontal="center"/>
    </xf>
    <xf borderId="2" fillId="11" fontId="26" numFmtId="10" xfId="0" applyAlignment="1" applyBorder="1" applyFont="1" applyNumberFormat="1">
      <alignment horizontal="center"/>
    </xf>
    <xf borderId="0" fillId="2" fontId="7" numFmtId="0" xfId="0" applyFont="1"/>
    <xf borderId="2" fillId="17" fontId="7" numFmtId="0" xfId="0" applyAlignment="1" applyBorder="1" applyFill="1" applyFont="1">
      <alignment vertical="bottom"/>
    </xf>
    <xf borderId="2" fillId="18" fontId="7" numFmtId="0" xfId="0" applyAlignment="1" applyBorder="1" applyFill="1" applyFont="1">
      <alignment vertical="bottom"/>
    </xf>
    <xf borderId="2" fillId="19" fontId="27" numFmtId="0" xfId="0" applyAlignment="1" applyBorder="1" applyFill="1" applyFont="1">
      <alignment horizontal="center" vertical="bottom"/>
    </xf>
    <xf borderId="2" fillId="20" fontId="7" numFmtId="0" xfId="0" applyAlignment="1" applyBorder="1" applyFill="1" applyFont="1">
      <alignment vertical="bottom"/>
    </xf>
    <xf borderId="0" fillId="2" fontId="27" numFmtId="0" xfId="0" applyAlignment="1" applyFont="1">
      <alignment horizontal="center" vertical="center"/>
    </xf>
    <xf borderId="2" fillId="21" fontId="7" numFmtId="0" xfId="0" applyBorder="1" applyFill="1" applyFont="1"/>
    <xf borderId="2" fillId="15" fontId="28" numFmtId="3" xfId="0" applyAlignment="1" applyBorder="1" applyFont="1" applyNumberFormat="1">
      <alignment horizontal="center"/>
    </xf>
    <xf borderId="0" fillId="11" fontId="7" numFmtId="0" xfId="0" applyAlignment="1" applyFont="1">
      <alignment vertical="bottom"/>
    </xf>
    <xf borderId="0" fillId="11" fontId="27" numFmtId="0" xfId="0" applyAlignment="1" applyFont="1">
      <alignment horizontal="center" vertical="center"/>
    </xf>
    <xf borderId="0" fillId="11" fontId="7" numFmtId="0" xfId="0" applyFont="1"/>
    <xf borderId="2" fillId="11" fontId="7" numFmtId="0" xfId="0" applyBorder="1" applyFont="1"/>
    <xf borderId="2" fillId="15" fontId="28" numFmtId="165" xfId="0" applyAlignment="1" applyBorder="1" applyFont="1" applyNumberFormat="1">
      <alignment horizontal="center"/>
    </xf>
    <xf borderId="2" fillId="22" fontId="7" numFmtId="0" xfId="0" applyAlignment="1" applyBorder="1" applyFill="1" applyFont="1">
      <alignment vertical="bottom"/>
    </xf>
    <xf borderId="5" fillId="2" fontId="27" numFmtId="0" xfId="0" applyAlignment="1" applyBorder="1" applyFont="1">
      <alignment horizontal="center" vertical="bottom"/>
    </xf>
    <xf borderId="13" fillId="0" fontId="12" numFmtId="0" xfId="0" applyBorder="1" applyFont="1"/>
    <xf borderId="5" fillId="15" fontId="28" numFmtId="165" xfId="0" applyAlignment="1" applyBorder="1" applyFont="1" applyNumberFormat="1">
      <alignment horizontal="center"/>
    </xf>
    <xf borderId="14" fillId="14" fontId="4" numFmtId="0" xfId="0" applyAlignment="1" applyBorder="1" applyFont="1">
      <alignment horizontal="center"/>
    </xf>
    <xf borderId="5" fillId="14" fontId="4" numFmtId="0" xfId="0" applyAlignment="1" applyBorder="1" applyFont="1">
      <alignment horizontal="center"/>
    </xf>
    <xf borderId="15" fillId="0" fontId="7" numFmtId="0" xfId="0" applyAlignment="1" applyBorder="1" applyFont="1">
      <alignment vertical="bottom"/>
    </xf>
    <xf borderId="14" fillId="3" fontId="5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14" fillId="0" fontId="7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horizontal="center"/>
    </xf>
    <xf borderId="2" fillId="0" fontId="11" numFmtId="0" xfId="0" applyBorder="1" applyFont="1"/>
    <xf borderId="2" fillId="0" fontId="11" numFmtId="10" xfId="0" applyBorder="1" applyFont="1" applyNumberFormat="1"/>
    <xf borderId="2" fillId="0" fontId="7" numFmtId="0" xfId="0" applyAlignment="1" applyBorder="1" applyFont="1">
      <alignment horizontal="center" shrinkToFit="0" wrapText="1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horizontal="left" vertical="center"/>
    </xf>
    <xf borderId="0" fillId="4" fontId="29" numFmtId="0" xfId="0" applyAlignment="1" applyFont="1">
      <alignment horizontal="center" vertical="center"/>
    </xf>
    <xf borderId="0" fillId="4" fontId="30" numFmtId="0" xfId="0" applyAlignment="1" applyFont="1">
      <alignment horizontal="center" vertical="center"/>
    </xf>
    <xf borderId="0" fillId="4" fontId="31" numFmtId="0" xfId="0" applyAlignment="1" applyFont="1">
      <alignment horizontal="center" vertical="center"/>
    </xf>
    <xf borderId="0" fillId="4" fontId="32" numFmtId="0" xfId="0" applyFont="1"/>
    <xf borderId="0" fillId="4" fontId="7" numFmtId="0" xfId="0" applyFont="1"/>
    <xf borderId="0" fillId="11" fontId="5" numFmtId="0" xfId="0" applyAlignment="1" applyFont="1">
      <alignment horizontal="center" vertical="center"/>
    </xf>
    <xf borderId="0" fillId="11" fontId="29" numFmtId="0" xfId="0" applyAlignment="1" applyFont="1">
      <alignment horizontal="center" vertical="center"/>
    </xf>
    <xf borderId="0" fillId="11" fontId="30" numFmtId="0" xfId="0" applyAlignment="1" applyFont="1">
      <alignment horizontal="center" vertical="center"/>
    </xf>
    <xf borderId="0" fillId="11" fontId="32" numFmtId="0" xfId="0" applyFont="1"/>
    <xf borderId="0" fillId="0" fontId="5" numFmtId="0" xfId="0" applyAlignment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0" fillId="0" fontId="29" numFmtId="0" xfId="0" applyAlignment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4" fillId="0" fontId="12" numFmtId="0" xfId="0" applyBorder="1" applyFont="1"/>
    <xf borderId="0" fillId="0" fontId="30" numFmtId="0" xfId="0" applyAlignment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0" fillId="0" fontId="32" numFmtId="0" xfId="0" applyFont="1"/>
    <xf borderId="0" fillId="0" fontId="33" numFmtId="0" xfId="0" applyAlignment="1" applyFont="1">
      <alignment horizontal="center" vertical="center"/>
    </xf>
    <xf borderId="2" fillId="23" fontId="34" numFmtId="0" xfId="0" applyAlignment="1" applyBorder="1" applyFill="1" applyFont="1">
      <alignment horizontal="center" vertical="center"/>
    </xf>
    <xf borderId="18" fillId="24" fontId="10" numFmtId="169" xfId="0" applyAlignment="1" applyBorder="1" applyFill="1" applyFont="1" applyNumberFormat="1">
      <alignment horizontal="center" vertical="center"/>
    </xf>
    <xf borderId="2" fillId="2" fontId="5" numFmtId="0" xfId="0" applyAlignment="1" applyBorder="1" applyFont="1">
      <alignment horizontal="center" vertical="center"/>
    </xf>
    <xf borderId="19" fillId="0" fontId="35" numFmtId="165" xfId="0" applyAlignment="1" applyBorder="1" applyFont="1" applyNumberFormat="1">
      <alignment horizontal="center" vertical="center"/>
    </xf>
    <xf borderId="17" fillId="6" fontId="3" numFmtId="10" xfId="0" applyAlignment="1" applyBorder="1" applyFont="1" applyNumberFormat="1">
      <alignment horizontal="center" vertical="center"/>
    </xf>
    <xf borderId="2" fillId="6" fontId="36" numFmtId="9" xfId="0" applyAlignment="1" applyBorder="1" applyFont="1" applyNumberFormat="1">
      <alignment horizontal="center" vertical="center"/>
    </xf>
    <xf borderId="0" fillId="0" fontId="37" numFmtId="0" xfId="0" applyAlignment="1" applyFont="1">
      <alignment horizontal="center"/>
    </xf>
    <xf borderId="19" fillId="24" fontId="10" numFmtId="169" xfId="0" applyAlignment="1" applyBorder="1" applyFont="1" applyNumberFormat="1">
      <alignment horizontal="center" vertical="center"/>
    </xf>
    <xf borderId="2" fillId="23" fontId="33" numFmtId="0" xfId="0" applyAlignment="1" applyBorder="1" applyFont="1">
      <alignment horizontal="center" vertical="center"/>
    </xf>
    <xf borderId="17" fillId="15" fontId="10" numFmtId="165" xfId="0" applyAlignment="1" applyBorder="1" applyFont="1" applyNumberFormat="1">
      <alignment horizontal="center" vertical="center"/>
    </xf>
    <xf borderId="2" fillId="6" fontId="3" numFmtId="10" xfId="0" applyAlignment="1" applyBorder="1" applyFont="1" applyNumberFormat="1">
      <alignment horizontal="center" vertical="center"/>
    </xf>
    <xf borderId="2" fillId="15" fontId="10" numFmtId="165" xfId="0" applyAlignment="1" applyBorder="1" applyFont="1" applyNumberFormat="1">
      <alignment horizontal="center" vertical="center"/>
    </xf>
    <xf borderId="19" fillId="24" fontId="10" numFmtId="10" xfId="0" applyAlignment="1" applyBorder="1" applyFont="1" applyNumberFormat="1">
      <alignment horizontal="center" vertical="center"/>
    </xf>
    <xf borderId="2" fillId="15" fontId="10" numFmtId="10" xfId="0" applyAlignment="1" applyBorder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2" fillId="15" fontId="10" numFmtId="3" xfId="0" applyAlignment="1" applyBorder="1" applyFont="1" applyNumberFormat="1">
      <alignment horizontal="center" vertical="center"/>
    </xf>
    <xf borderId="5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0" fillId="0" fontId="10" numFmtId="9" xfId="0" applyAlignment="1" applyBorder="1" applyFont="1" applyNumberFormat="1">
      <alignment horizontal="center" vertical="center"/>
    </xf>
    <xf borderId="2" fillId="15" fontId="3" numFmtId="1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2" fillId="15" fontId="10" numFmtId="1" xfId="0" applyAlignment="1" applyBorder="1" applyFont="1" applyNumberFormat="1">
      <alignment horizontal="center" vertical="center"/>
    </xf>
    <xf borderId="21" fillId="0" fontId="10" numFmtId="9" xfId="0" applyAlignment="1" applyBorder="1" applyFont="1" applyNumberFormat="1">
      <alignment horizontal="center" vertical="center"/>
    </xf>
    <xf borderId="2" fillId="23" fontId="35" numFmtId="165" xfId="0" applyAlignment="1" applyBorder="1" applyFont="1" applyNumberFormat="1">
      <alignment horizontal="center" vertical="center"/>
    </xf>
    <xf borderId="2" fillId="0" fontId="9" numFmtId="165" xfId="0" applyAlignment="1" applyBorder="1" applyFont="1" applyNumberFormat="1">
      <alignment horizontal="center" vertical="center"/>
    </xf>
    <xf borderId="22" fillId="0" fontId="10" numFmtId="9" xfId="0" applyAlignment="1" applyBorder="1" applyFont="1" applyNumberFormat="1">
      <alignment horizontal="center" vertical="center"/>
    </xf>
    <xf borderId="2" fillId="15" fontId="10" numFmtId="2" xfId="0" applyAlignment="1" applyBorder="1" applyFont="1" applyNumberFormat="1">
      <alignment horizontal="center" vertical="center"/>
    </xf>
    <xf borderId="2" fillId="25" fontId="10" numFmtId="2" xfId="0" applyAlignment="1" applyBorder="1" applyFill="1" applyFont="1" applyNumberFormat="1">
      <alignment horizontal="center" vertical="center"/>
    </xf>
    <xf borderId="2" fillId="0" fontId="35" numFmtId="9" xfId="0" applyAlignment="1" applyBorder="1" applyFont="1" applyNumberFormat="1">
      <alignment horizontal="center" vertical="center"/>
    </xf>
    <xf borderId="2" fillId="15" fontId="9" numFmtId="1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18" fillId="11" fontId="7" numFmtId="9" xfId="0" applyAlignment="1" applyBorder="1" applyFont="1" applyNumberFormat="1">
      <alignment horizontal="center" vertical="center"/>
    </xf>
    <xf borderId="23" fillId="11" fontId="7" numFmtId="9" xfId="0" applyAlignment="1" applyBorder="1" applyFont="1" applyNumberFormat="1">
      <alignment horizontal="center" vertical="center"/>
    </xf>
    <xf borderId="24" fillId="11" fontId="7" numFmtId="9" xfId="0" applyAlignment="1" applyBorder="1" applyFont="1" applyNumberFormat="1">
      <alignment horizontal="center" vertical="center"/>
    </xf>
    <xf borderId="2" fillId="15" fontId="8" numFmtId="9" xfId="0" applyAlignment="1" applyBorder="1" applyFont="1" applyNumberFormat="1">
      <alignment horizontal="center" vertical="center"/>
    </xf>
    <xf borderId="0" fillId="0" fontId="35" numFmtId="9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2" fillId="23" fontId="38" numFmtId="0" xfId="0" applyAlignment="1" applyBorder="1" applyFont="1">
      <alignment horizontal="center" vertical="center"/>
    </xf>
    <xf borderId="17" fillId="15" fontId="7" numFmtId="164" xfId="0" applyAlignment="1" applyBorder="1" applyFont="1" applyNumberFormat="1">
      <alignment horizontal="center" vertical="center"/>
    </xf>
    <xf borderId="2" fillId="15" fontId="10" numFmtId="170" xfId="0" applyAlignment="1" applyBorder="1" applyFont="1" applyNumberFormat="1">
      <alignment horizontal="center" vertical="center"/>
    </xf>
    <xf borderId="0" fillId="26" fontId="4" numFmtId="0" xfId="0" applyAlignment="1" applyFill="1" applyFont="1">
      <alignment horizontal="center" vertical="center"/>
    </xf>
    <xf borderId="0" fillId="26" fontId="4" numFmtId="0" xfId="0" applyAlignment="1" applyFont="1">
      <alignment horizontal="left" vertical="center"/>
    </xf>
    <xf borderId="0" fillId="26" fontId="29" numFmtId="0" xfId="0" applyAlignment="1" applyFont="1">
      <alignment horizontal="center" vertical="center"/>
    </xf>
    <xf borderId="0" fillId="26" fontId="30" numFmtId="0" xfId="0" applyAlignment="1" applyFont="1">
      <alignment horizontal="center" vertical="center"/>
    </xf>
    <xf borderId="0" fillId="26" fontId="31" numFmtId="0" xfId="0" applyAlignment="1" applyFont="1">
      <alignment horizontal="center" vertical="center"/>
    </xf>
    <xf borderId="0" fillId="26" fontId="32" numFmtId="0" xfId="0" applyFont="1"/>
    <xf borderId="0" fillId="26" fontId="7" numFmtId="0" xfId="0" applyFont="1"/>
    <xf borderId="0" fillId="26" fontId="11" numFmtId="0" xfId="0" applyFont="1"/>
    <xf borderId="0" fillId="11" fontId="11" numFmtId="0" xfId="0" applyFont="1"/>
    <xf borderId="25" fillId="2" fontId="5" numFmtId="0" xfId="0" applyAlignment="1" applyBorder="1" applyFont="1">
      <alignment horizontal="center" vertical="center"/>
    </xf>
    <xf borderId="15" fillId="0" fontId="12" numFmtId="0" xfId="0" applyBorder="1" applyFont="1"/>
    <xf borderId="21" fillId="0" fontId="35" numFmtId="165" xfId="0" applyAlignment="1" applyBorder="1" applyFont="1" applyNumberFormat="1">
      <alignment horizontal="center" vertical="center"/>
    </xf>
    <xf borderId="26" fillId="0" fontId="35" numFmtId="165" xfId="0" applyAlignment="1" applyBorder="1" applyFont="1" applyNumberFormat="1">
      <alignment horizontal="center" vertical="center"/>
    </xf>
    <xf borderId="21" fillId="0" fontId="10" numFmtId="165" xfId="0" applyAlignment="1" applyBorder="1" applyFont="1" applyNumberFormat="1">
      <alignment horizontal="center" vertical="center"/>
    </xf>
    <xf borderId="26" fillId="0" fontId="10" numFmtId="165" xfId="0" applyAlignment="1" applyBorder="1" applyFont="1" applyNumberFormat="1">
      <alignment horizontal="center" vertical="center"/>
    </xf>
    <xf borderId="2" fillId="15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" fillId="3" fontId="4" numFmtId="0" xfId="0" applyAlignment="1" applyBorder="1" applyFont="1">
      <alignment horizontal="center" vertical="center"/>
    </xf>
    <xf borderId="0" fillId="0" fontId="39" numFmtId="0" xfId="0" applyAlignment="1" applyFont="1">
      <alignment horizontal="center"/>
    </xf>
    <xf borderId="2" fillId="27" fontId="31" numFmtId="171" xfId="0" applyAlignment="1" applyBorder="1" applyFill="1" applyFont="1" applyNumberFormat="1">
      <alignment horizontal="center" vertical="center"/>
    </xf>
    <xf borderId="5" fillId="3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15" fontId="9" numFmtId="10" xfId="0" applyAlignment="1" applyBorder="1" applyFont="1" applyNumberFormat="1">
      <alignment horizontal="center" vertical="center"/>
    </xf>
    <xf borderId="2" fillId="11" fontId="33" numFmtId="0" xfId="0" applyAlignment="1" applyBorder="1" applyFont="1">
      <alignment horizontal="left" vertical="center"/>
    </xf>
    <xf borderId="2" fillId="15" fontId="3" numFmtId="165" xfId="0" applyAlignment="1" applyBorder="1" applyFont="1" applyNumberFormat="1">
      <alignment horizontal="center" shrinkToFit="0" vertical="center" wrapText="1"/>
    </xf>
    <xf borderId="2" fillId="15" fontId="34" numFmtId="0" xfId="0" applyAlignment="1" applyBorder="1" applyFont="1">
      <alignment horizontal="left" vertical="center"/>
    </xf>
    <xf borderId="2" fillId="15" fontId="3" numFmtId="1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2" fillId="15" fontId="3" numFmtId="10" xfId="0" applyAlignment="1" applyBorder="1" applyFont="1" applyNumberFormat="1">
      <alignment horizontal="center" shrinkToFit="0" vertical="center" wrapText="1"/>
    </xf>
    <xf borderId="2" fillId="15" fontId="3" numFmtId="3" xfId="0" applyAlignment="1" applyBorder="1" applyFont="1" applyNumberFormat="1">
      <alignment horizontal="center" shrinkToFit="0" vertical="center" wrapText="1"/>
    </xf>
    <xf borderId="2" fillId="15" fontId="3" numFmtId="171" xfId="0" applyAlignment="1" applyBorder="1" applyFont="1" applyNumberFormat="1">
      <alignment horizontal="center" vertical="center"/>
    </xf>
    <xf borderId="2" fillId="15" fontId="3" numFmtId="171" xfId="0" applyAlignment="1" applyBorder="1" applyFont="1" applyNumberFormat="1">
      <alignment horizontal="center" shrinkToFit="0" vertical="center" wrapText="1"/>
    </xf>
    <xf borderId="2" fillId="15" fontId="3" numFmtId="3" xfId="0" applyAlignment="1" applyBorder="1" applyFont="1" applyNumberFormat="1">
      <alignment horizontal="center" vertical="center"/>
    </xf>
    <xf borderId="2" fillId="0" fontId="3" numFmtId="169" xfId="0" applyAlignment="1" applyBorder="1" applyFont="1" applyNumberFormat="1">
      <alignment horizontal="center" vertical="center"/>
    </xf>
    <xf borderId="2" fillId="15" fontId="3" numFmtId="169" xfId="0" applyAlignment="1" applyBorder="1" applyFont="1" applyNumberFormat="1">
      <alignment horizontal="center" shrinkToFit="0" vertical="center" wrapText="1"/>
    </xf>
    <xf borderId="2" fillId="15" fontId="3" numFmtId="169" xfId="0" applyAlignment="1" applyBorder="1" applyFont="1" applyNumberFormat="1">
      <alignment horizontal="center" vertical="center"/>
    </xf>
    <xf borderId="2" fillId="15" fontId="3" numFmtId="165" xfId="0" applyAlignment="1" applyBorder="1" applyFont="1" applyNumberFormat="1">
      <alignment horizontal="center" vertical="center"/>
    </xf>
    <xf borderId="2" fillId="11" fontId="34" numFmtId="0" xfId="0" applyAlignment="1" applyBorder="1" applyFont="1">
      <alignment horizontal="left" vertical="center"/>
    </xf>
    <xf borderId="2" fillId="11" fontId="3" numFmtId="3" xfId="0" applyAlignment="1" applyBorder="1" applyFont="1" applyNumberFormat="1">
      <alignment horizontal="center" vertical="center"/>
    </xf>
    <xf borderId="2" fillId="11" fontId="3" numFmtId="164" xfId="0" applyAlignment="1" applyBorder="1" applyFont="1" applyNumberFormat="1">
      <alignment horizontal="center" vertical="center"/>
    </xf>
    <xf borderId="2" fillId="15" fontId="3" numFmtId="164" xfId="0" applyAlignment="1" applyBorder="1" applyFont="1" applyNumberFormat="1">
      <alignment horizontal="center" vertical="center"/>
    </xf>
    <xf borderId="2" fillId="15" fontId="3" numFmtId="4" xfId="0" applyAlignment="1" applyBorder="1" applyFont="1" applyNumberFormat="1">
      <alignment horizontal="center" vertical="center"/>
    </xf>
    <xf borderId="0" fillId="14" fontId="39" numFmtId="0" xfId="0" applyAlignment="1" applyFont="1">
      <alignment horizontal="center"/>
    </xf>
    <xf borderId="0" fillId="0" fontId="39" numFmtId="0" xfId="0" applyFont="1"/>
    <xf borderId="0" fillId="0" fontId="39" numFmtId="0" xfId="0" applyAlignment="1" applyFont="1">
      <alignment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27" fillId="3" fontId="4" numFmtId="0" xfId="0" applyAlignment="1" applyBorder="1" applyFont="1">
      <alignment horizontal="center" vertical="center"/>
    </xf>
    <xf borderId="2" fillId="3" fontId="41" numFmtId="0" xfId="0" applyAlignment="1" applyBorder="1" applyFont="1">
      <alignment horizontal="center" vertical="center"/>
    </xf>
    <xf borderId="2" fillId="11" fontId="33" numFmtId="0" xfId="0" applyAlignment="1" applyBorder="1" applyFont="1">
      <alignment vertical="center"/>
    </xf>
    <xf borderId="2" fillId="11" fontId="3" numFmtId="4" xfId="0" applyAlignment="1" applyBorder="1" applyFont="1" applyNumberFormat="1">
      <alignment horizontal="center" vertical="center"/>
    </xf>
    <xf borderId="2" fillId="11" fontId="3" numFmtId="172" xfId="0" applyAlignment="1" applyBorder="1" applyFont="1" applyNumberFormat="1">
      <alignment horizontal="center" vertical="center"/>
    </xf>
    <xf borderId="2" fillId="0" fontId="7" numFmtId="10" xfId="0" applyAlignment="1" applyBorder="1" applyFont="1" applyNumberFormat="1">
      <alignment horizontal="center"/>
    </xf>
    <xf borderId="2" fillId="15" fontId="34" numFmtId="0" xfId="0" applyAlignment="1" applyBorder="1" applyFont="1">
      <alignment vertical="center"/>
    </xf>
    <xf borderId="2" fillId="15" fontId="35" numFmtId="49" xfId="0" applyAlignment="1" applyBorder="1" applyFont="1" applyNumberFormat="1">
      <alignment horizontal="center" vertical="center"/>
    </xf>
    <xf borderId="2" fillId="15" fontId="35" numFmtId="165" xfId="0" applyAlignment="1" applyBorder="1" applyFont="1" applyNumberFormat="1">
      <alignment horizontal="center" vertical="center"/>
    </xf>
    <xf borderId="2" fillId="2" fontId="2" numFmtId="3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7" fontId="39" numFmtId="0" xfId="0" applyFont="1"/>
    <xf borderId="0" fillId="28" fontId="11" numFmtId="0" xfId="0" applyFill="1" applyFont="1"/>
    <xf borderId="0" fillId="28" fontId="42" numFmtId="49" xfId="0" applyAlignment="1" applyFont="1" applyNumberFormat="1">
      <alignment shrinkToFit="0" wrapText="1"/>
    </xf>
    <xf borderId="0" fillId="11" fontId="43" numFmtId="0" xfId="0" applyFont="1"/>
    <xf borderId="0" fillId="28" fontId="43" numFmtId="0" xfId="0" applyAlignment="1" applyFont="1">
      <alignment vertical="center"/>
    </xf>
    <xf borderId="0" fillId="28" fontId="44" numFmtId="0" xfId="0" applyAlignment="1" applyFont="1">
      <alignment vertical="center"/>
    </xf>
    <xf borderId="0" fillId="28" fontId="43" numFmtId="0" xfId="0" applyAlignment="1" applyFont="1">
      <alignment horizontal="center" vertical="center"/>
    </xf>
    <xf borderId="0" fillId="11" fontId="43" numFmtId="0" xfId="0" applyAlignment="1" applyFont="1">
      <alignment horizontal="center" vertical="center"/>
    </xf>
    <xf borderId="0" fillId="11" fontId="44" numFmtId="0" xfId="0" applyFont="1"/>
    <xf borderId="0" fillId="0" fontId="45" numFmtId="0" xfId="0" applyFont="1"/>
    <xf borderId="2" fillId="0" fontId="11" numFmtId="173" xfId="0" applyAlignment="1" applyBorder="1" applyFont="1" applyNumberFormat="1">
      <alignment horizontal="center"/>
    </xf>
    <xf borderId="0" fillId="0" fontId="11" numFmtId="0" xfId="0" applyFont="1"/>
    <xf borderId="0" fillId="29" fontId="11" numFmtId="0" xfId="0" applyFill="1" applyFont="1"/>
    <xf borderId="0" fillId="30" fontId="11" numFmtId="0" xfId="0" applyFill="1" applyFont="1"/>
    <xf borderId="2" fillId="0" fontId="11" numFmtId="174" xfId="0" applyAlignment="1" applyBorder="1" applyFont="1" applyNumberFormat="1">
      <alignment horizontal="center"/>
    </xf>
    <xf borderId="0" fillId="11" fontId="45" numFmtId="0" xfId="0" applyFont="1"/>
    <xf borderId="0" fillId="28" fontId="46" numFmtId="49" xfId="0" applyFont="1" applyNumberFormat="1"/>
    <xf borderId="0" fillId="0" fontId="11" numFmtId="0" xfId="0" applyAlignment="1" applyFont="1">
      <alignment horizontal="center"/>
    </xf>
    <xf borderId="2" fillId="28" fontId="43" numFmtId="0" xfId="0" applyAlignment="1" applyBorder="1" applyFont="1">
      <alignment horizontal="center" vertical="center"/>
    </xf>
    <xf borderId="2" fillId="6" fontId="44" numFmtId="0" xfId="0" applyBorder="1" applyFont="1"/>
    <xf borderId="2" fillId="25" fontId="44" numFmtId="0" xfId="0" applyBorder="1" applyFont="1"/>
    <xf borderId="0" fillId="11" fontId="47" numFmtId="0" xfId="0" applyAlignment="1" applyFont="1">
      <alignment horizontal="right" shrinkToFit="0" vertical="bottom" wrapText="0"/>
    </xf>
    <xf borderId="2" fillId="11" fontId="44" numFmtId="0" xfId="0" applyBorder="1" applyFont="1"/>
    <xf borderId="2" fillId="0" fontId="44" numFmtId="0" xfId="0" applyBorder="1" applyFont="1"/>
    <xf borderId="0" fillId="11" fontId="48" numFmtId="0" xfId="0" applyAlignment="1" applyFont="1">
      <alignment shrinkToFit="0" vertical="top" wrapText="0"/>
    </xf>
    <xf borderId="1" fillId="0" fontId="44" numFmtId="0" xfId="0" applyBorder="1" applyFont="1"/>
    <xf borderId="28" fillId="25" fontId="44" numFmtId="0" xfId="0" applyBorder="1" applyFont="1"/>
    <xf borderId="29" fillId="25" fontId="44" numFmtId="0" xfId="0" applyBorder="1" applyFont="1"/>
    <xf borderId="30" fillId="0" fontId="11" numFmtId="0" xfId="0" applyBorder="1" applyFont="1"/>
    <xf borderId="0" fillId="11" fontId="49" numFmtId="0" xfId="0" applyFont="1"/>
    <xf borderId="16" fillId="7" fontId="49" numFmtId="0" xfId="0" applyBorder="1" applyFont="1"/>
    <xf borderId="12" fillId="0" fontId="12" numFmtId="0" xfId="0" applyBorder="1" applyFont="1"/>
    <xf borderId="0" fillId="11" fontId="48" numFmtId="0" xfId="0" applyAlignment="1" applyFont="1">
      <alignment horizontal="left" shrinkToFit="0" vertical="center" wrapText="1"/>
    </xf>
    <xf borderId="31" fillId="11" fontId="48" numFmtId="0" xfId="0" applyAlignment="1" applyBorder="1" applyFont="1">
      <alignment horizontal="left" shrinkToFit="0" vertical="center" wrapText="1"/>
    </xf>
    <xf borderId="32" fillId="0" fontId="12" numFmtId="0" xfId="0" applyBorder="1" applyFont="1"/>
    <xf borderId="4" fillId="0" fontId="12" numFmtId="0" xfId="0" applyBorder="1" applyFont="1"/>
    <xf borderId="25" fillId="0" fontId="12" numFmtId="0" xfId="0" applyBorder="1" applyFont="1"/>
    <xf borderId="16" fillId="0" fontId="12" numFmtId="0" xfId="0" applyBorder="1" applyFont="1"/>
    <xf borderId="2" fillId="7" fontId="49" numFmtId="0" xfId="0" applyBorder="1" applyFont="1"/>
    <xf borderId="2" fillId="31" fontId="50" numFmtId="0" xfId="0" applyBorder="1" applyFill="1" applyFont="1"/>
    <xf borderId="2" fillId="32" fontId="50" numFmtId="0" xfId="0" applyBorder="1" applyFill="1" applyFont="1"/>
    <xf borderId="2" fillId="33" fontId="50" numFmtId="0" xfId="0" applyBorder="1" applyFill="1" applyFont="1"/>
    <xf borderId="2" fillId="34" fontId="50" numFmtId="0" xfId="0" applyAlignment="1" applyBorder="1" applyFill="1" applyFont="1">
      <alignment shrinkToFit="0" wrapText="1"/>
    </xf>
    <xf borderId="2" fillId="4" fontId="1" numFmtId="0" xfId="0" applyAlignment="1" applyBorder="1" applyFont="1">
      <alignment horizontal="center" shrinkToFit="0" vertical="center" wrapText="1"/>
    </xf>
    <xf borderId="3" fillId="4" fontId="1" numFmtId="3" xfId="0" applyAlignment="1" applyBorder="1" applyFont="1" applyNumberFormat="1">
      <alignment horizontal="center" vertical="center"/>
    </xf>
    <xf borderId="3" fillId="4" fontId="1" numFmtId="10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17" fillId="0" fontId="7" numFmtId="0" xfId="0" applyAlignment="1" applyBorder="1" applyFont="1">
      <alignment horizontal="center" shrinkToFit="0" wrapText="1"/>
    </xf>
    <xf borderId="14" fillId="0" fontId="7" numFmtId="3" xfId="0" applyAlignment="1" applyBorder="1" applyFont="1" applyNumberFormat="1">
      <alignment horizontal="center"/>
    </xf>
    <xf borderId="14" fillId="15" fontId="8" numFmtId="10" xfId="0" applyAlignment="1" applyBorder="1" applyFont="1" applyNumberFormat="1">
      <alignment horizontal="center"/>
    </xf>
    <xf borderId="0" fillId="35" fontId="1" numFmtId="0" xfId="0" applyAlignment="1" applyFill="1" applyFont="1">
      <alignment horizontal="center" vertical="center"/>
    </xf>
    <xf borderId="2" fillId="35" fontId="1" numFmtId="0" xfId="0" applyAlignment="1" applyBorder="1" applyFont="1">
      <alignment horizontal="center" vertical="center"/>
    </xf>
    <xf borderId="2" fillId="36" fontId="1" numFmtId="0" xfId="0" applyAlignment="1" applyBorder="1" applyFill="1" applyFont="1">
      <alignment horizontal="center" vertical="center"/>
    </xf>
    <xf borderId="2" fillId="37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2" fillId="35" fontId="51" numFmtId="0" xfId="0" applyAlignment="1" applyBorder="1" applyFont="1">
      <alignment horizontal="center" vertical="bottom"/>
    </xf>
    <xf borderId="2" fillId="25" fontId="7" numFmtId="0" xfId="0" applyAlignment="1" applyBorder="1" applyFont="1">
      <alignment horizontal="center" shrinkToFit="0" vertical="bottom" wrapText="0"/>
    </xf>
    <xf borderId="2" fillId="25" fontId="7" numFmtId="0" xfId="0" applyAlignment="1" applyBorder="1" applyFont="1">
      <alignment horizontal="center" vertical="bottom"/>
    </xf>
    <xf borderId="2" fillId="25" fontId="7" numFmtId="166" xfId="0" applyAlignment="1" applyBorder="1" applyFont="1" applyNumberFormat="1">
      <alignment horizontal="center" vertical="bottom"/>
    </xf>
    <xf borderId="2" fillId="25" fontId="7" numFmtId="0" xfId="0" applyBorder="1" applyFont="1"/>
    <xf borderId="2" fillId="25" fontId="7" numFmtId="0" xfId="0" applyAlignment="1" applyBorder="1" applyFont="1">
      <alignment vertical="bottom"/>
    </xf>
    <xf borderId="2" fillId="25" fontId="8" numFmtId="175" xfId="0" applyAlignment="1" applyBorder="1" applyFont="1" applyNumberFormat="1">
      <alignment horizontal="center" vertical="bottom"/>
    </xf>
    <xf borderId="2" fillId="25" fontId="7" numFmtId="10" xfId="0" applyAlignment="1" applyBorder="1" applyFont="1" applyNumberFormat="1">
      <alignment horizontal="center" vertical="bottom"/>
    </xf>
    <xf borderId="2" fillId="25" fontId="7" numFmtId="165" xfId="0" applyAlignment="1" applyBorder="1" applyFont="1" applyNumberFormat="1">
      <alignment horizontal="center" vertical="bottom"/>
    </xf>
    <xf borderId="0" fillId="24" fontId="7" numFmtId="0" xfId="0" applyFont="1"/>
    <xf borderId="2" fillId="35" fontId="2" numFmtId="0" xfId="0" applyAlignment="1" applyBorder="1" applyFont="1">
      <alignment horizontal="center" shrinkToFit="0" vertical="center" wrapText="1"/>
    </xf>
    <xf borderId="0" fillId="35" fontId="2" numFmtId="0" xfId="0" applyAlignment="1" applyFont="1">
      <alignment horizontal="center" shrinkToFit="0" vertical="center" wrapText="1"/>
    </xf>
    <xf borderId="1" fillId="37" fontId="2" numFmtId="0" xfId="0" applyAlignment="1" applyBorder="1" applyFont="1">
      <alignment horizontal="center" shrinkToFit="0" vertical="center" wrapText="1"/>
    </xf>
    <xf borderId="1" fillId="37" fontId="2" numFmtId="3" xfId="0" applyAlignment="1" applyBorder="1" applyFont="1" applyNumberFormat="1">
      <alignment horizontal="center" shrinkToFit="0" vertical="center" wrapText="1"/>
    </xf>
    <xf borderId="0" fillId="24" fontId="3" numFmtId="0" xfId="0" applyAlignment="1" applyFont="1">
      <alignment horizontal="center" vertical="center"/>
    </xf>
    <xf borderId="0" fillId="35" fontId="5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" fillId="11" fontId="38" numFmtId="175" xfId="0" applyAlignment="1" applyBorder="1" applyFont="1" applyNumberFormat="1">
      <alignment horizontal="center" vertical="bottom"/>
    </xf>
    <xf borderId="2" fillId="11" fontId="13" numFmtId="10" xfId="0" applyAlignment="1" applyBorder="1" applyFont="1" applyNumberFormat="1">
      <alignment horizontal="center" vertical="bottom"/>
    </xf>
    <xf borderId="2" fillId="11" fontId="13" numFmtId="3" xfId="0" applyAlignment="1" applyBorder="1" applyFont="1" applyNumberFormat="1">
      <alignment horizontal="center" shrinkToFit="0" vertical="center" wrapText="1"/>
    </xf>
    <xf borderId="2" fillId="11" fontId="13" numFmtId="170" xfId="0" applyAlignment="1" applyBorder="1" applyFont="1" applyNumberFormat="1">
      <alignment horizontal="center" shrinkToFit="0" vertical="center" wrapText="1"/>
    </xf>
    <xf borderId="2" fillId="11" fontId="13" numFmtId="175" xfId="0" applyAlignment="1" applyBorder="1" applyFont="1" applyNumberFormat="1">
      <alignment horizontal="center" shrinkToFit="0" vertical="center" wrapText="1"/>
    </xf>
    <xf borderId="2" fillId="11" fontId="13" numFmtId="10" xfId="0" applyAlignment="1" applyBorder="1" applyFont="1" applyNumberFormat="1">
      <alignment horizontal="center" vertical="bottom"/>
    </xf>
    <xf borderId="0" fillId="11" fontId="52" numFmtId="0" xfId="0" applyAlignment="1" applyFont="1">
      <alignment horizontal="center" vertical="bottom"/>
    </xf>
    <xf borderId="2" fillId="35" fontId="53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11" fontId="38" numFmtId="0" xfId="0" applyAlignment="1" applyBorder="1" applyFont="1">
      <alignment horizontal="center" shrinkToFit="0" vertical="center" wrapText="1"/>
    </xf>
    <xf borderId="2" fillId="11" fontId="13" numFmtId="0" xfId="0" applyAlignment="1" applyBorder="1" applyFont="1">
      <alignment horizontal="center" shrinkToFit="0" vertical="center" wrapText="1"/>
    </xf>
    <xf borderId="2" fillId="11" fontId="13" numFmtId="0" xfId="0" applyAlignment="1" applyBorder="1" applyFont="1">
      <alignment horizontal="center" shrinkToFit="0" vertical="center" wrapText="1"/>
    </xf>
    <xf borderId="2" fillId="11" fontId="7" numFmtId="0" xfId="0" applyAlignment="1" applyBorder="1" applyFont="1">
      <alignment horizontal="center" shrinkToFit="0" vertical="center" wrapText="1"/>
    </xf>
    <xf borderId="0" fillId="11" fontId="54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11" fontId="38" numFmtId="0" xfId="0" applyAlignment="1" applyFont="1">
      <alignment horizontal="center" shrinkToFit="0" vertical="center" wrapText="1"/>
    </xf>
    <xf borderId="0" fillId="11" fontId="13" numFmtId="0" xfId="0" applyAlignment="1" applyFont="1">
      <alignment horizontal="center" shrinkToFit="0" vertical="center" wrapText="1"/>
    </xf>
    <xf borderId="0" fillId="11" fontId="13" numFmtId="3" xfId="0" applyAlignment="1" applyFont="1" applyNumberFormat="1">
      <alignment horizontal="center" shrinkToFit="0" vertical="center" wrapText="1"/>
    </xf>
    <xf borderId="0" fillId="11" fontId="13" numFmtId="0" xfId="0" applyAlignment="1" applyFont="1">
      <alignment horizontal="center"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11" fontId="38" numFmtId="0" xfId="0" applyAlignment="1" applyFont="1">
      <alignment horizontal="center" shrinkToFit="0" vertical="center" wrapText="1"/>
    </xf>
    <xf borderId="0" fillId="11" fontId="13" numFmtId="3" xfId="0" applyAlignment="1" applyFont="1" applyNumberFormat="1">
      <alignment horizontal="center" shrinkToFit="0" vertical="center" wrapText="1"/>
    </xf>
    <xf borderId="33" fillId="11" fontId="55" numFmtId="0" xfId="0" applyAlignment="1" applyBorder="1" applyFont="1">
      <alignment horizontal="center" vertical="center"/>
    </xf>
    <xf borderId="31" fillId="7" fontId="55" numFmtId="0" xfId="0" applyAlignment="1" applyBorder="1" applyFont="1">
      <alignment horizontal="center" vertical="center"/>
    </xf>
    <xf borderId="0" fillId="0" fontId="10" numFmtId="0" xfId="0" applyFont="1"/>
    <xf borderId="34" fillId="11" fontId="56" numFmtId="0" xfId="0" applyAlignment="1" applyBorder="1" applyFont="1">
      <alignment horizontal="center" vertical="center"/>
    </xf>
    <xf borderId="2" fillId="3" fontId="5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34" fillId="11" fontId="6" numFmtId="0" xfId="0" applyAlignment="1" applyBorder="1" applyFont="1">
      <alignment vertical="center"/>
    </xf>
    <xf borderId="2" fillId="15" fontId="34" numFmtId="0" xfId="0" applyAlignment="1" applyBorder="1" applyFont="1">
      <alignment horizontal="center" vertical="center"/>
    </xf>
    <xf borderId="2" fillId="11" fontId="57" numFmtId="172" xfId="0" applyAlignment="1" applyBorder="1" applyFont="1" applyNumberFormat="1">
      <alignment horizontal="center" shrinkToFit="0" vertical="center" wrapText="1"/>
    </xf>
    <xf borderId="35" fillId="7" fontId="55" numFmtId="0" xfId="0" applyAlignment="1" applyBorder="1" applyFont="1">
      <alignment horizontal="center" vertical="center"/>
    </xf>
    <xf borderId="36" fillId="0" fontId="12" numFmtId="0" xfId="0" applyBorder="1" applyFont="1"/>
    <xf borderId="27" fillId="3" fontId="56" numFmtId="0" xfId="0" applyAlignment="1" applyBorder="1" applyFont="1">
      <alignment horizontal="center" vertical="center"/>
    </xf>
    <xf borderId="37" fillId="3" fontId="56" numFmtId="0" xfId="0" applyAlignment="1" applyBorder="1" applyFont="1">
      <alignment horizontal="center" vertical="center"/>
    </xf>
    <xf borderId="2" fillId="11" fontId="57" numFmtId="172" xfId="0" applyAlignment="1" applyBorder="1" applyFont="1" applyNumberFormat="1">
      <alignment horizontal="center" vertical="center"/>
    </xf>
    <xf borderId="0" fillId="38" fontId="43" numFmtId="176" xfId="0" applyAlignment="1" applyFill="1" applyFont="1" applyNumberFormat="1">
      <alignment horizontal="center" vertical="center"/>
    </xf>
    <xf borderId="2" fillId="38" fontId="43" numFmtId="0" xfId="0" applyAlignment="1" applyBorder="1" applyFont="1">
      <alignment horizontal="center" vertical="center"/>
    </xf>
    <xf borderId="0" fillId="0" fontId="11" numFmtId="177" xfId="0" applyAlignment="1" applyFont="1" applyNumberFormat="1">
      <alignment readingOrder="0"/>
    </xf>
    <xf borderId="0" fillId="0" fontId="58" numFmtId="0" xfId="0" applyAlignment="1" applyFont="1">
      <alignment readingOrder="0"/>
    </xf>
    <xf borderId="0" fillId="11" fontId="59" numFmtId="0" xfId="0" applyAlignment="1" applyFont="1">
      <alignment readingOrder="0"/>
    </xf>
    <xf borderId="0" fillId="0" fontId="5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77" xfId="0" applyFont="1" applyNumberFormat="1"/>
    <xf borderId="2" fillId="38" fontId="43" numFmtId="175" xfId="0" applyAlignment="1" applyBorder="1" applyFont="1" applyNumberFormat="1">
      <alignment horizontal="center" vertical="center"/>
    </xf>
    <xf borderId="2" fillId="35" fontId="43" numFmtId="175" xfId="0" applyAlignment="1" applyBorder="1" applyFont="1" applyNumberFormat="1">
      <alignment horizontal="center" vertical="center"/>
    </xf>
    <xf borderId="38" fillId="0" fontId="11" numFmtId="0" xfId="0" applyBorder="1" applyFont="1"/>
    <xf borderId="38" fillId="0" fontId="11" numFmtId="0" xfId="0" applyAlignment="1" applyBorder="1" applyFont="1">
      <alignment horizontal="left"/>
    </xf>
    <xf borderId="38" fillId="0" fontId="11" numFmtId="0" xfId="0" applyAlignment="1" applyBorder="1" applyFont="1">
      <alignment horizontal="right"/>
    </xf>
    <xf borderId="39" fillId="0" fontId="60" numFmtId="0" xfId="0" applyAlignment="1" applyBorder="1" applyFont="1">
      <alignment horizontal="left"/>
    </xf>
    <xf borderId="39" fillId="0" fontId="11" numFmtId="0" xfId="0" applyAlignment="1" applyBorder="1" applyFont="1">
      <alignment horizontal="right"/>
    </xf>
    <xf borderId="0" fillId="0" fontId="44" numFmtId="0" xfId="0" applyFont="1"/>
    <xf borderId="0" fillId="0" fontId="44" numFmtId="0" xfId="0" applyAlignment="1" applyFont="1">
      <alignment horizontal="right"/>
    </xf>
    <xf borderId="0" fillId="0" fontId="11" numFmtId="10" xfId="0" applyFont="1" applyNumberFormat="1"/>
    <xf borderId="23" fillId="6" fontId="44" numFmtId="0" xfId="0" applyBorder="1" applyFont="1"/>
    <xf borderId="24" fillId="6" fontId="44" numFmtId="0" xfId="0" applyBorder="1" applyFont="1"/>
    <xf borderId="40" fillId="11" fontId="61" numFmtId="0" xfId="0" applyAlignment="1" applyBorder="1" applyFont="1">
      <alignment vertical="top"/>
    </xf>
    <xf borderId="41" fillId="11" fontId="61" numFmtId="0" xfId="0" applyAlignment="1" applyBorder="1" applyFont="1">
      <alignment vertical="top"/>
    </xf>
    <xf borderId="2" fillId="11" fontId="61" numFmtId="0" xfId="0" applyAlignment="1" applyBorder="1" applyFont="1">
      <alignment vertical="top"/>
    </xf>
    <xf borderId="2" fillId="0" fontId="61" numFmtId="0" xfId="0" applyAlignment="1" applyBorder="1" applyFont="1">
      <alignment vertical="top"/>
    </xf>
    <xf borderId="2" fillId="33" fontId="44" numFmtId="0" xfId="0" applyBorder="1" applyFont="1"/>
    <xf borderId="2" fillId="39" fontId="44" numFmtId="0" xfId="0" applyBorder="1" applyFill="1" applyFont="1"/>
    <xf borderId="1" fillId="0" fontId="61" numFmtId="0" xfId="0" applyAlignment="1" applyBorder="1" applyFont="1">
      <alignment vertical="top"/>
    </xf>
    <xf borderId="2" fillId="0" fontId="62" numFmtId="0" xfId="0" applyAlignment="1" applyBorder="1" applyFont="1">
      <alignment vertical="top"/>
    </xf>
    <xf borderId="16" fillId="7" fontId="43" numFmtId="0" xfId="0" applyBorder="1" applyFont="1"/>
    <xf borderId="2" fillId="7" fontId="49" numFmtId="0" xfId="0" applyAlignment="1" applyBorder="1" applyFont="1">
      <alignment horizontal="center" vertical="center"/>
    </xf>
    <xf borderId="2" fillId="31" fontId="63" numFmtId="0" xfId="0" applyAlignment="1" applyBorder="1" applyFont="1">
      <alignment horizontal="center" vertical="center"/>
    </xf>
    <xf borderId="2" fillId="32" fontId="63" numFmtId="0" xfId="0" applyAlignment="1" applyBorder="1" applyFont="1">
      <alignment horizontal="center" vertical="center"/>
    </xf>
    <xf borderId="2" fillId="33" fontId="63" numFmtId="0" xfId="0" applyAlignment="1" applyBorder="1" applyFont="1">
      <alignment horizontal="center" vertical="center"/>
    </xf>
    <xf borderId="2" fillId="34" fontId="63" numFmtId="0" xfId="0" applyAlignment="1" applyBorder="1" applyFont="1">
      <alignment horizontal="center" shrinkToFit="0" vertical="center" wrapText="1"/>
    </xf>
    <xf borderId="2" fillId="40" fontId="63" numFmtId="0" xfId="0" applyAlignment="1" applyBorder="1" applyFill="1" applyFont="1">
      <alignment horizontal="center"/>
    </xf>
    <xf borderId="2" fillId="34" fontId="44" numFmtId="0" xfId="0" applyBorder="1" applyFont="1"/>
    <xf borderId="2" fillId="34" fontId="63" numFmtId="0" xfId="0" applyAlignment="1" applyBorder="1" applyFont="1">
      <alignment horizontal="center" vertical="center"/>
    </xf>
    <xf borderId="22" fillId="11" fontId="61" numFmtId="0" xfId="0" applyAlignment="1" applyBorder="1" applyFont="1">
      <alignment vertical="top"/>
    </xf>
    <xf borderId="2" fillId="32" fontId="44" numFmtId="0" xfId="0" applyBorder="1" applyFont="1"/>
    <xf borderId="23" fillId="0" fontId="11" numFmtId="0" xfId="0" applyBorder="1" applyFont="1"/>
    <xf borderId="24" fillId="0" fontId="11" numFmtId="0" xfId="0" applyBorder="1" applyFont="1"/>
    <xf borderId="2" fillId="31" fontId="44" numFmtId="0" xfId="0" applyBorder="1" applyFont="1"/>
    <xf borderId="40" fillId="11" fontId="61" numFmtId="0" xfId="0" applyAlignment="1" applyBorder="1" applyFont="1">
      <alignment horizontal="left" vertical="top"/>
    </xf>
    <xf borderId="40" fillId="0" fontId="61" numFmtId="0" xfId="0" applyAlignment="1" applyBorder="1" applyFont="1">
      <alignment horizontal="left" vertical="top"/>
    </xf>
    <xf borderId="41" fillId="11" fontId="61" numFmtId="0" xfId="0" applyAlignment="1" applyBorder="1" applyFont="1">
      <alignment horizontal="left" vertical="top"/>
    </xf>
    <xf borderId="2" fillId="11" fontId="61" numFmtId="0" xfId="0" applyAlignment="1" applyBorder="1" applyFont="1">
      <alignment horizontal="left" vertical="top"/>
    </xf>
    <xf borderId="2" fillId="0" fontId="62" numFmtId="0" xfId="0" applyAlignment="1" applyBorder="1" applyFont="1">
      <alignment horizontal="left" vertical="top"/>
    </xf>
    <xf borderId="2" fillId="0" fontId="61" numFmtId="0" xfId="0" applyAlignment="1" applyBorder="1" applyFont="1">
      <alignment horizontal="left" vertical="top"/>
    </xf>
    <xf borderId="1" fillId="0" fontId="61" numFmtId="0" xfId="0" applyAlignment="1" applyBorder="1" applyFont="1">
      <alignment horizontal="left" vertical="top"/>
    </xf>
    <xf borderId="40" fillId="0" fontId="61" numFmtId="0" xfId="0" applyAlignment="1" applyBorder="1" applyFont="1">
      <alignment vertical="top"/>
    </xf>
  </cellXfs>
  <cellStyles count="1">
    <cellStyle xfId="0" name="Normal" builtinId="0"/>
  </cellStyles>
  <dxfs count="10">
    <dxf>
      <font>
        <color rgb="FF7EB310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Resultado Criativos-style">
      <tableStyleElement dxfId="7" type="firstRowStripe"/>
      <tableStyleElement dxfId="8" type="secondRowStripe"/>
    </tableStyle>
    <tableStyle count="2" pivot="0" name="Copy Criativos-style"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104775</xdr:rowOff>
    </xdr:from>
    <xdr:ext cx="245745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099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26</xdr:row>
      <xdr:rowOff>200025</xdr:rowOff>
    </xdr:from>
    <xdr:ext cx="8591550" cy="48387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79879970-9655-4506-bb88-f62bbc667367}" providerId="google-sheets"/>
</x18tc:personList>
</file>

<file path=xl/tables/table1.xml><?xml version="1.0" encoding="utf-8"?>
<table xmlns="http://schemas.openxmlformats.org/spreadsheetml/2006/main" headerRowCount="0" ref="B2:K100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sultado Criativ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:K285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y Cria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7A02CA"/>
      </a:accent2>
      <a:accent3>
        <a:srgbClr val="2EE69F"/>
      </a:accent3>
      <a:accent4>
        <a:srgbClr val="34A853"/>
      </a:accent4>
      <a:accent5>
        <a:srgbClr val="DF614C"/>
      </a:accent5>
      <a:accent6>
        <a:srgbClr val="F1C23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9" dT="2025-10-28T17:55:09.00" personId="{79879970-9655-4506-bb88-f62bbc667367}" id="{b2a2a4da-19cc-449c-8727-c26514ca327f}" done="0">
    <x18tc:text xml:space="preserve">Assinantes e Leads Qualificados ou Não.</x18tc:text>
  </x18tc:threadedComment>
  <x18tc:threadedComment ref="M12" dT="2025-10-28T17:55:09.00" personId="{79879970-9655-4506-bb88-f62bbc667367}" id="{b3c19bd8-54bc-4b55-bc65-c4640b1d0576}" done="0">
    <x18tc:text xml:space="preserve">Leads, Prontos para Receber Contato.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" dT="2025-10-28T17:55:09.00" personId="{79879970-9655-4506-bb88-f62bbc667367}" id="{f91232bf-1dfa-4fa1-8387-909676f02199}" done="0">
    <x18tc:text xml:space="preserve">De todos os leads que chegam, quantos viram vendas em %</x18tc:text>
  </x18tc:threadedComment>
  <x18tc:threadedComment ref="B9" dT="2025-10-28T17:55:09.00" personId="{79879970-9655-4506-bb88-f62bbc667367}" id="{b69b9c38-35e7-465a-ba79-10fcdc8a08d1}" done="0">
    <x18tc:text xml:space="preserve">Dos LEADS que chegam, quantos são qualificados em %</x18tc:text>
  </x18tc:threadedComment>
  <x18tc:threadedComment ref="D6" dT="2025-10-28T17:55:09.00" personId="{79879970-9655-4506-bb88-f62bbc667367}" id="{f632cc62-2bc3-4209-899d-670e39bfb084}" done="0">
    <x18tc:text xml:space="preserve">De todos os visitantes, quantos viram leads (em %)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4" dT="2025-10-28T17:55:09.00" personId="{79879970-9655-4506-bb88-f62bbc667367}" id="{f2a9da85-1352-47b9-bea7-b63052ca9d43}" done="0">
    <x18tc:text xml:space="preserve">% Lead para Venda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ferramentas.resultadosdigitais.com.br/funil-de-vendas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E69F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2.63"/>
    <col customWidth="1" min="2" max="2" width="14.5"/>
    <col customWidth="1" min="3" max="3" width="21.25"/>
    <col customWidth="1" min="4" max="6" width="16.38"/>
    <col customWidth="1" min="7" max="7" width="17.38"/>
    <col customWidth="1" min="8" max="11" width="16.38"/>
    <col customWidth="1" min="12" max="12" width="17.25"/>
    <col customWidth="1" min="13" max="13" width="16.38"/>
    <col customWidth="1" min="14" max="14" width="13.5"/>
    <col customWidth="1" min="16" max="18" width="16.38"/>
  </cols>
  <sheetData>
    <row r="1" ht="33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/>
      <c r="T1" s="6"/>
      <c r="U1" s="6"/>
      <c r="V1" s="6"/>
      <c r="W1" s="6"/>
      <c r="X1" s="6"/>
      <c r="Y1" s="6"/>
      <c r="Z1" s="6"/>
    </row>
    <row r="2" ht="22.5" customHeight="1" collapsed="1">
      <c r="A2" s="7" t="s">
        <v>18</v>
      </c>
      <c r="B2" s="8">
        <v>31.0</v>
      </c>
      <c r="C2" s="9"/>
      <c r="D2" s="10">
        <f>IFERROR(SUM(D3:D33),"")</f>
        <v>2003.14</v>
      </c>
      <c r="E2" s="11">
        <f>iferror(SUM(E3:E33),"")</f>
        <v>382</v>
      </c>
      <c r="F2" s="10">
        <f t="shared" ref="F2:F347" si="2">IFERROR(D2/E2,"")</f>
        <v>5.24382199</v>
      </c>
      <c r="G2" s="12">
        <f t="shared" ref="G2:I2" si="1">iferror(SUM(G3:G33),"")</f>
        <v>0</v>
      </c>
      <c r="H2" s="12">
        <f t="shared" si="1"/>
        <v>0</v>
      </c>
      <c r="I2" s="10">
        <f t="shared" si="1"/>
        <v>0</v>
      </c>
      <c r="J2" s="13">
        <f>IFERROR(SUM(J3:J33),"")</f>
        <v>0</v>
      </c>
      <c r="K2" s="14" t="str">
        <f>iferror(D2/J2,"")</f>
        <v/>
      </c>
      <c r="L2" s="15" t="str">
        <f t="shared" ref="L2:L378" si="3">iferror(E2/J2,"")</f>
        <v/>
      </c>
      <c r="M2" s="10" t="str">
        <f>iferror(Planejador!$I$4,"")</f>
        <v/>
      </c>
      <c r="N2" s="13" t="str">
        <f>iferror(Planejador!$I$11,"")</f>
        <v/>
      </c>
      <c r="O2" s="14" t="str">
        <f>iferror(Planejador!$I$13,"")</f>
        <v/>
      </c>
      <c r="P2" s="14" t="str">
        <f>iferror(Planejador!$I$5,"")</f>
        <v/>
      </c>
      <c r="Q2" s="13" t="str">
        <f>iferror(Planejador!$I$10,"")</f>
        <v/>
      </c>
      <c r="R2" s="15" t="str">
        <f>Iferror(Planejador!$I$7,"")</f>
        <v/>
      </c>
      <c r="S2" s="16"/>
      <c r="T2" s="16"/>
      <c r="U2" s="16"/>
      <c r="V2" s="16"/>
      <c r="W2" s="16"/>
      <c r="X2" s="16"/>
      <c r="Y2" s="16"/>
      <c r="Z2" s="16"/>
    </row>
    <row r="3" ht="15.75" hidden="1" customHeight="1" outlineLevel="1">
      <c r="A3" s="17">
        <v>46023.0</v>
      </c>
      <c r="B3" s="18" t="s">
        <v>19</v>
      </c>
      <c r="C3" s="19"/>
      <c r="D3" s="20">
        <f>SUMIF('ADV - GG'!A:A,A3,'ADV - GG'!C:C)+SUMIF('ADV - FB'!A:A,$A3,'ADV - FB'!E:E)</f>
        <v>82.16</v>
      </c>
      <c r="E3" s="21">
        <f>SUMIF('ADV - GG'!A:A,A3,'ADV - GG'!H:H)+SUMIF('ADV - FB'!A:A,$A3,'ADV - FB'!I:I)+SUMIF('ADV - FB'!A:A,$A3,'ADV - FB'!J:J)+SUMIF('ADV - FB'!A:A,$A3,'ADV - FB'!K:K)</f>
        <v>14</v>
      </c>
      <c r="F3" s="20">
        <f t="shared" si="2"/>
        <v>5.868571429</v>
      </c>
      <c r="G3" s="22"/>
      <c r="H3" s="22"/>
      <c r="I3" s="23"/>
      <c r="J3" s="22">
        <f>SUMIF('ADV - GA4'!A:A,A3,'ADV - GA4'!C:C)</f>
        <v>0</v>
      </c>
      <c r="K3" s="20" t="str">
        <f t="shared" ref="K3:K33" si="4">IFERROR(D3/J3,"")</f>
        <v/>
      </c>
      <c r="L3" s="24" t="str">
        <f t="shared" si="3"/>
        <v/>
      </c>
      <c r="M3" s="25">
        <f t="shared" ref="M3:M33" si="5">iferror($M$2/$B$2,"")</f>
        <v>0</v>
      </c>
      <c r="N3" s="26">
        <f t="shared" ref="N3:N33" si="6">iferror($N$2/$B$2,"")</f>
        <v>0</v>
      </c>
      <c r="O3" s="20" t="str">
        <f>iferror(Planejador!$I$13,"")</f>
        <v/>
      </c>
      <c r="P3" s="20" t="str">
        <f>Planejador!$I$5</f>
        <v/>
      </c>
      <c r="Q3" s="27">
        <f t="shared" ref="Q3:Q33" si="7">iferror($Q$2/$B$2,"")</f>
        <v>0</v>
      </c>
      <c r="R3" s="24" t="str">
        <f>Planejador!$I$7</f>
        <v/>
      </c>
      <c r="S3" s="16"/>
      <c r="U3" s="16"/>
      <c r="V3" s="16"/>
      <c r="W3" s="16"/>
      <c r="X3" s="16"/>
      <c r="Y3" s="16"/>
      <c r="Z3" s="16"/>
    </row>
    <row r="4" ht="15.75" hidden="1" customHeight="1" outlineLevel="1">
      <c r="A4" s="17">
        <v>46024.0</v>
      </c>
      <c r="B4" s="18" t="s">
        <v>20</v>
      </c>
      <c r="C4" s="19"/>
      <c r="D4" s="20">
        <f>SUMIF('ADV - GG'!A:A,A4,'ADV - GG'!C:C)+SUMIF('ADV - FB'!A:A,$A4,'ADV - FB'!E:E)</f>
        <v>83.78</v>
      </c>
      <c r="E4" s="21">
        <f>SUMIF('ADV - GG'!A:A,A4,'ADV - GG'!H:H)+SUMIF('ADV - FB'!A:A,$A4,'ADV - FB'!I:I)+SUMIF('ADV - FB'!A:A,$A4,'ADV - FB'!J:J)+SUMIF('ADV - FB'!A:A,$A4,'ADV - FB'!K:K)</f>
        <v>20</v>
      </c>
      <c r="F4" s="20">
        <f t="shared" si="2"/>
        <v>4.189</v>
      </c>
      <c r="G4" s="22"/>
      <c r="H4" s="22"/>
      <c r="I4" s="23"/>
      <c r="J4" s="22">
        <f>SUMIF('ADV - GA4'!A:A,A4,'ADV - GA4'!C:C)</f>
        <v>0</v>
      </c>
      <c r="K4" s="20" t="str">
        <f t="shared" si="4"/>
        <v/>
      </c>
      <c r="L4" s="24" t="str">
        <f t="shared" si="3"/>
        <v/>
      </c>
      <c r="M4" s="25">
        <f t="shared" si="5"/>
        <v>0</v>
      </c>
      <c r="N4" s="26">
        <f t="shared" si="6"/>
        <v>0</v>
      </c>
      <c r="O4" s="20" t="str">
        <f>iferror(Planejador!$I$13,"")</f>
        <v/>
      </c>
      <c r="P4" s="20" t="str">
        <f>Planejador!$I$5</f>
        <v/>
      </c>
      <c r="Q4" s="27">
        <f t="shared" si="7"/>
        <v>0</v>
      </c>
      <c r="R4" s="24" t="str">
        <f>Planejador!$I$7</f>
        <v/>
      </c>
      <c r="S4" s="16"/>
      <c r="T4" s="16"/>
      <c r="U4" s="16"/>
      <c r="V4" s="16"/>
      <c r="W4" s="16"/>
      <c r="X4" s="16"/>
      <c r="Y4" s="16"/>
      <c r="Z4" s="16"/>
    </row>
    <row r="5" ht="15.75" hidden="1" customHeight="1" outlineLevel="1">
      <c r="A5" s="17">
        <v>46025.0</v>
      </c>
      <c r="B5" s="18" t="s">
        <v>21</v>
      </c>
      <c r="C5" s="19"/>
      <c r="D5" s="20">
        <f>SUMIF('ADV - GG'!A:A,A5,'ADV - GG'!C:C)+SUMIF('ADV - FB'!A:A,$A5,'ADV - FB'!E:E)</f>
        <v>78.33</v>
      </c>
      <c r="E5" s="21">
        <f>SUMIF('ADV - GG'!A:A,A5,'ADV - GG'!H:H)+SUMIF('ADV - FB'!A:A,$A5,'ADV - FB'!I:I)+SUMIF('ADV - FB'!A:A,$A5,'ADV - FB'!J:J)+SUMIF('ADV - FB'!A:A,$A5,'ADV - FB'!K:K)</f>
        <v>20</v>
      </c>
      <c r="F5" s="20">
        <f t="shared" si="2"/>
        <v>3.9165</v>
      </c>
      <c r="G5" s="22"/>
      <c r="H5" s="22"/>
      <c r="I5" s="23"/>
      <c r="J5" s="22">
        <f>SUMIF('ADV - GA4'!A:A,A5,'ADV - GA4'!C:C)</f>
        <v>0</v>
      </c>
      <c r="K5" s="20" t="str">
        <f t="shared" si="4"/>
        <v/>
      </c>
      <c r="L5" s="24" t="str">
        <f t="shared" si="3"/>
        <v/>
      </c>
      <c r="M5" s="25">
        <f t="shared" si="5"/>
        <v>0</v>
      </c>
      <c r="N5" s="26">
        <f t="shared" si="6"/>
        <v>0</v>
      </c>
      <c r="O5" s="20" t="str">
        <f>iferror(Planejador!$I$13,"")</f>
        <v/>
      </c>
      <c r="P5" s="20" t="str">
        <f>Planejador!$I$5</f>
        <v/>
      </c>
      <c r="Q5" s="27">
        <f t="shared" si="7"/>
        <v>0</v>
      </c>
      <c r="R5" s="24" t="str">
        <f>Planejador!$I$7</f>
        <v/>
      </c>
      <c r="S5" s="16"/>
      <c r="T5" s="16"/>
      <c r="V5" s="16"/>
      <c r="W5" s="16"/>
      <c r="X5" s="16"/>
      <c r="Y5" s="16"/>
      <c r="Z5" s="16"/>
    </row>
    <row r="6" ht="15.75" hidden="1" customHeight="1" outlineLevel="1">
      <c r="A6" s="17">
        <v>46026.0</v>
      </c>
      <c r="B6" s="18" t="s">
        <v>22</v>
      </c>
      <c r="C6" s="19"/>
      <c r="D6" s="20">
        <f>SUMIF('ADV - GG'!A:A,A6,'ADV - GG'!C:C)+SUMIF('ADV - FB'!A:A,$A6,'ADV - FB'!E:E)</f>
        <v>85.09</v>
      </c>
      <c r="E6" s="21">
        <f>SUMIF('ADV - GG'!A:A,A6,'ADV - GG'!H:H)+SUMIF('ADV - FB'!A:A,$A6,'ADV - FB'!I:I)+SUMIF('ADV - FB'!A:A,$A6,'ADV - FB'!J:J)+SUMIF('ADV - FB'!A:A,$A6,'ADV - FB'!K:K)</f>
        <v>19</v>
      </c>
      <c r="F6" s="20">
        <f t="shared" si="2"/>
        <v>4.478421053</v>
      </c>
      <c r="G6" s="22"/>
      <c r="H6" s="22"/>
      <c r="I6" s="23"/>
      <c r="J6" s="22">
        <f>SUMIF('ADV - GA4'!A:A,A6,'ADV - GA4'!C:C)</f>
        <v>0</v>
      </c>
      <c r="K6" s="20" t="str">
        <f t="shared" si="4"/>
        <v/>
      </c>
      <c r="L6" s="24" t="str">
        <f t="shared" si="3"/>
        <v/>
      </c>
      <c r="M6" s="25">
        <f t="shared" si="5"/>
        <v>0</v>
      </c>
      <c r="N6" s="26">
        <f t="shared" si="6"/>
        <v>0</v>
      </c>
      <c r="O6" s="20" t="str">
        <f>iferror(Planejador!$I$13,"")</f>
        <v/>
      </c>
      <c r="P6" s="20" t="str">
        <f>Planejador!$I$5</f>
        <v/>
      </c>
      <c r="Q6" s="27">
        <f t="shared" si="7"/>
        <v>0</v>
      </c>
      <c r="R6" s="24" t="str">
        <f>Planejador!$I$7</f>
        <v/>
      </c>
      <c r="S6" s="16"/>
      <c r="T6" s="16"/>
      <c r="U6" s="16"/>
      <c r="V6" s="16"/>
      <c r="W6" s="16"/>
      <c r="X6" s="16"/>
      <c r="Y6" s="16"/>
      <c r="Z6" s="16"/>
    </row>
    <row r="7" ht="15.75" hidden="1" customHeight="1" outlineLevel="1">
      <c r="A7" s="17">
        <v>46027.0</v>
      </c>
      <c r="B7" s="18" t="s">
        <v>23</v>
      </c>
      <c r="C7" s="19"/>
      <c r="D7" s="20">
        <f>SUMIF('ADV - GG'!A:A,A7,'ADV - GG'!C:C)+SUMIF('ADV - FB'!A:A,$A7,'ADV - FB'!E:E)</f>
        <v>76.3</v>
      </c>
      <c r="E7" s="21">
        <f>SUMIF('ADV - GG'!A:A,A7,'ADV - GG'!H:H)+SUMIF('ADV - FB'!A:A,$A7,'ADV - FB'!I:I)+SUMIF('ADV - FB'!A:A,$A7,'ADV - FB'!J:J)+SUMIF('ADV - FB'!A:A,$A7,'ADV - FB'!K:K)</f>
        <v>11</v>
      </c>
      <c r="F7" s="20">
        <f t="shared" si="2"/>
        <v>6.936363636</v>
      </c>
      <c r="G7" s="22"/>
      <c r="H7" s="22"/>
      <c r="I7" s="23"/>
      <c r="J7" s="22">
        <f>SUMIF('ADV - GA4'!A:A,A7,'ADV - GA4'!C:C)</f>
        <v>0</v>
      </c>
      <c r="K7" s="20" t="str">
        <f t="shared" si="4"/>
        <v/>
      </c>
      <c r="L7" s="24" t="str">
        <f t="shared" si="3"/>
        <v/>
      </c>
      <c r="M7" s="25">
        <f t="shared" si="5"/>
        <v>0</v>
      </c>
      <c r="N7" s="26">
        <f t="shared" si="6"/>
        <v>0</v>
      </c>
      <c r="O7" s="20" t="str">
        <f>iferror(Planejador!$I$13,"")</f>
        <v/>
      </c>
      <c r="P7" s="20" t="str">
        <f>Planejador!$I$5</f>
        <v/>
      </c>
      <c r="Q7" s="27">
        <f t="shared" si="7"/>
        <v>0</v>
      </c>
      <c r="R7" s="24" t="str">
        <f>Planejador!$I$7</f>
        <v/>
      </c>
      <c r="S7" s="16"/>
      <c r="T7" s="16"/>
      <c r="U7" s="16"/>
      <c r="V7" s="16"/>
      <c r="W7" s="16"/>
      <c r="X7" s="16"/>
      <c r="Y7" s="16"/>
      <c r="Z7" s="16"/>
    </row>
    <row r="8" ht="15.75" hidden="1" customHeight="1" outlineLevel="1">
      <c r="A8" s="17">
        <v>46028.0</v>
      </c>
      <c r="B8" s="18" t="s">
        <v>24</v>
      </c>
      <c r="C8" s="19"/>
      <c r="D8" s="20">
        <f>SUMIF('ADV - GG'!A:A,A8,'ADV - GG'!C:C)+SUMIF('ADV - FB'!A:A,$A8,'ADV - FB'!E:E)</f>
        <v>81.59</v>
      </c>
      <c r="E8" s="21">
        <f>SUMIF('ADV - GG'!A:A,A8,'ADV - GG'!H:H)+SUMIF('ADV - FB'!A:A,$A8,'ADV - FB'!I:I)+SUMIF('ADV - FB'!A:A,$A8,'ADV - FB'!J:J)+SUMIF('ADV - FB'!A:A,$A8,'ADV - FB'!K:K)</f>
        <v>19</v>
      </c>
      <c r="F8" s="20">
        <f t="shared" si="2"/>
        <v>4.294210526</v>
      </c>
      <c r="G8" s="22"/>
      <c r="H8" s="22"/>
      <c r="I8" s="23"/>
      <c r="J8" s="22">
        <f>SUMIF('ADV - GA4'!A:A,A8,'ADV - GA4'!C:C)</f>
        <v>0</v>
      </c>
      <c r="K8" s="20" t="str">
        <f t="shared" si="4"/>
        <v/>
      </c>
      <c r="L8" s="24" t="str">
        <f t="shared" si="3"/>
        <v/>
      </c>
      <c r="M8" s="25">
        <f t="shared" si="5"/>
        <v>0</v>
      </c>
      <c r="N8" s="26">
        <f t="shared" si="6"/>
        <v>0</v>
      </c>
      <c r="O8" s="20" t="str">
        <f>iferror(Planejador!$I$13,"")</f>
        <v/>
      </c>
      <c r="P8" s="20" t="str">
        <f>Planejador!$I$5</f>
        <v/>
      </c>
      <c r="Q8" s="27">
        <f t="shared" si="7"/>
        <v>0</v>
      </c>
      <c r="R8" s="24" t="str">
        <f>Planejador!$I$7</f>
        <v/>
      </c>
      <c r="S8" s="16"/>
      <c r="T8" s="16"/>
      <c r="U8" s="16"/>
      <c r="V8" s="16"/>
      <c r="W8" s="16"/>
      <c r="X8" s="16"/>
      <c r="Y8" s="16"/>
      <c r="Z8" s="16"/>
    </row>
    <row r="9" ht="15.75" hidden="1" customHeight="1" outlineLevel="1">
      <c r="A9" s="17">
        <v>46029.0</v>
      </c>
      <c r="B9" s="18" t="s">
        <v>25</v>
      </c>
      <c r="C9" s="19"/>
      <c r="D9" s="20">
        <f>SUMIF('ADV - GG'!A:A,A9,'ADV - GG'!C:C)+SUMIF('ADV - FB'!A:A,$A9,'ADV - FB'!E:E)</f>
        <v>79.41</v>
      </c>
      <c r="E9" s="21">
        <f>SUMIF('ADV - GG'!A:A,A9,'ADV - GG'!H:H)+SUMIF('ADV - FB'!A:A,$A9,'ADV - FB'!I:I)+SUMIF('ADV - FB'!A:A,$A9,'ADV - FB'!J:J)+SUMIF('ADV - FB'!A:A,$A9,'ADV - FB'!K:K)</f>
        <v>13</v>
      </c>
      <c r="F9" s="20">
        <f t="shared" si="2"/>
        <v>6.108461538</v>
      </c>
      <c r="G9" s="22"/>
      <c r="H9" s="22"/>
      <c r="I9" s="23"/>
      <c r="J9" s="22">
        <f>SUMIF('ADV - GA4'!A:A,A9,'ADV - GA4'!C:C)</f>
        <v>0</v>
      </c>
      <c r="K9" s="20" t="str">
        <f t="shared" si="4"/>
        <v/>
      </c>
      <c r="L9" s="24" t="str">
        <f t="shared" si="3"/>
        <v/>
      </c>
      <c r="M9" s="25">
        <f t="shared" si="5"/>
        <v>0</v>
      </c>
      <c r="N9" s="26">
        <f t="shared" si="6"/>
        <v>0</v>
      </c>
      <c r="O9" s="20" t="str">
        <f>iferror(Planejador!$I$13,"")</f>
        <v/>
      </c>
      <c r="P9" s="20" t="str">
        <f>Planejador!$I$5</f>
        <v/>
      </c>
      <c r="Q9" s="27">
        <f t="shared" si="7"/>
        <v>0</v>
      </c>
      <c r="R9" s="24" t="str">
        <f>Planejador!$I$7</f>
        <v/>
      </c>
      <c r="S9" s="16"/>
      <c r="T9" s="16"/>
      <c r="U9" s="16"/>
      <c r="V9" s="16"/>
      <c r="W9" s="16"/>
      <c r="X9" s="16"/>
      <c r="Y9" s="16"/>
      <c r="Z9" s="16"/>
    </row>
    <row r="10" ht="15.75" hidden="1" customHeight="1" outlineLevel="1">
      <c r="A10" s="17">
        <v>46030.0</v>
      </c>
      <c r="B10" s="18" t="s">
        <v>19</v>
      </c>
      <c r="C10" s="19"/>
      <c r="D10" s="20">
        <f>SUMIF('ADV - GG'!A:A,A10,'ADV - GG'!C:C)+SUMIF('ADV - FB'!A:A,$A10,'ADV - FB'!E:E)</f>
        <v>83.06</v>
      </c>
      <c r="E10" s="21">
        <f>SUMIF('ADV - GG'!A:A,A10,'ADV - GG'!H:H)+SUMIF('ADV - FB'!A:A,$A10,'ADV - FB'!I:I)+SUMIF('ADV - FB'!A:A,$A10,'ADV - FB'!J:J)+SUMIF('ADV - FB'!A:A,$A10,'ADV - FB'!K:K)</f>
        <v>8</v>
      </c>
      <c r="F10" s="20">
        <f t="shared" si="2"/>
        <v>10.3825</v>
      </c>
      <c r="G10" s="22"/>
      <c r="H10" s="22"/>
      <c r="I10" s="23"/>
      <c r="J10" s="22">
        <f>SUMIF('ADV - GA4'!A:A,A10,'ADV - GA4'!C:C)</f>
        <v>0</v>
      </c>
      <c r="K10" s="20" t="str">
        <f t="shared" si="4"/>
        <v/>
      </c>
      <c r="L10" s="24" t="str">
        <f t="shared" si="3"/>
        <v/>
      </c>
      <c r="M10" s="25">
        <f t="shared" si="5"/>
        <v>0</v>
      </c>
      <c r="N10" s="26">
        <f t="shared" si="6"/>
        <v>0</v>
      </c>
      <c r="O10" s="20" t="str">
        <f>iferror(Planejador!$I$13,"")</f>
        <v/>
      </c>
      <c r="P10" s="20" t="str">
        <f>Planejador!$I$5</f>
        <v/>
      </c>
      <c r="Q10" s="27">
        <f t="shared" si="7"/>
        <v>0</v>
      </c>
      <c r="R10" s="24" t="str">
        <f>Planejador!$I$7</f>
        <v/>
      </c>
      <c r="S10" s="16"/>
      <c r="T10" s="16"/>
      <c r="U10" s="16"/>
      <c r="V10" s="16"/>
      <c r="W10" s="16"/>
      <c r="X10" s="16"/>
      <c r="Y10" s="16"/>
      <c r="Z10" s="16"/>
    </row>
    <row r="11" ht="15.75" hidden="1" customHeight="1" outlineLevel="1">
      <c r="A11" s="17">
        <v>46031.0</v>
      </c>
      <c r="B11" s="18" t="s">
        <v>20</v>
      </c>
      <c r="C11" s="19"/>
      <c r="D11" s="20">
        <f>SUMIF('ADV - GG'!A:A,A11,'ADV - GG'!C:C)+SUMIF('ADV - FB'!A:A,$A11,'ADV - FB'!E:E)</f>
        <v>77.34</v>
      </c>
      <c r="E11" s="21">
        <f>SUMIF('ADV - GG'!A:A,A11,'ADV - GG'!H:H)+SUMIF('ADV - FB'!A:A,$A11,'ADV - FB'!I:I)+SUMIF('ADV - FB'!A:A,$A11,'ADV - FB'!J:J)+SUMIF('ADV - FB'!A:A,$A11,'ADV - FB'!K:K)</f>
        <v>14</v>
      </c>
      <c r="F11" s="20">
        <f t="shared" si="2"/>
        <v>5.524285714</v>
      </c>
      <c r="G11" s="22"/>
      <c r="H11" s="22"/>
      <c r="I11" s="23"/>
      <c r="J11" s="22">
        <f>SUMIF('ADV - GA4'!A:A,A11,'ADV - GA4'!C:C)</f>
        <v>0</v>
      </c>
      <c r="K11" s="20" t="str">
        <f t="shared" si="4"/>
        <v/>
      </c>
      <c r="L11" s="24" t="str">
        <f t="shared" si="3"/>
        <v/>
      </c>
      <c r="M11" s="25">
        <f t="shared" si="5"/>
        <v>0</v>
      </c>
      <c r="N11" s="26">
        <f t="shared" si="6"/>
        <v>0</v>
      </c>
      <c r="O11" s="20" t="str">
        <f>iferror(Planejador!$I$13,"")</f>
        <v/>
      </c>
      <c r="P11" s="20" t="str">
        <f>Planejador!$I$5</f>
        <v/>
      </c>
      <c r="Q11" s="27">
        <f t="shared" si="7"/>
        <v>0</v>
      </c>
      <c r="R11" s="24" t="str">
        <f>Planejador!$I$7</f>
        <v/>
      </c>
      <c r="S11" s="16"/>
      <c r="T11" s="16"/>
      <c r="U11" s="16"/>
      <c r="V11" s="16"/>
      <c r="W11" s="16"/>
      <c r="X11" s="16"/>
      <c r="Y11" s="16"/>
      <c r="Z11" s="16"/>
    </row>
    <row r="12" ht="15.75" hidden="1" customHeight="1" outlineLevel="1">
      <c r="A12" s="17">
        <v>46032.0</v>
      </c>
      <c r="B12" s="18" t="s">
        <v>21</v>
      </c>
      <c r="C12" s="19"/>
      <c r="D12" s="20">
        <f>SUMIF('ADV - GG'!A:A,A12,'ADV - GG'!C:C)+SUMIF('ADV - FB'!A:A,$A12,'ADV - FB'!E:E)</f>
        <v>75.27</v>
      </c>
      <c r="E12" s="21">
        <f>SUMIF('ADV - GG'!A:A,A12,'ADV - GG'!H:H)+SUMIF('ADV - FB'!A:A,$A12,'ADV - FB'!I:I)+SUMIF('ADV - FB'!A:A,$A12,'ADV - FB'!J:J)+SUMIF('ADV - FB'!A:A,$A12,'ADV - FB'!K:K)</f>
        <v>11</v>
      </c>
      <c r="F12" s="20">
        <f t="shared" si="2"/>
        <v>6.842727273</v>
      </c>
      <c r="G12" s="22"/>
      <c r="H12" s="22"/>
      <c r="I12" s="23"/>
      <c r="J12" s="22">
        <f>SUMIF('ADV - GA4'!A:A,A12,'ADV - GA4'!C:C)</f>
        <v>0</v>
      </c>
      <c r="K12" s="20" t="str">
        <f t="shared" si="4"/>
        <v/>
      </c>
      <c r="L12" s="24" t="str">
        <f t="shared" si="3"/>
        <v/>
      </c>
      <c r="M12" s="25">
        <f t="shared" si="5"/>
        <v>0</v>
      </c>
      <c r="N12" s="26">
        <f t="shared" si="6"/>
        <v>0</v>
      </c>
      <c r="O12" s="20" t="str">
        <f>iferror(Planejador!$I$13,"")</f>
        <v/>
      </c>
      <c r="P12" s="20" t="str">
        <f>Planejador!$I$5</f>
        <v/>
      </c>
      <c r="Q12" s="27">
        <f t="shared" si="7"/>
        <v>0</v>
      </c>
      <c r="R12" s="24" t="str">
        <f>Planejador!$I$7</f>
        <v/>
      </c>
      <c r="S12" s="16"/>
      <c r="T12" s="16"/>
      <c r="U12" s="16"/>
      <c r="V12" s="16"/>
      <c r="W12" s="16"/>
      <c r="X12" s="16"/>
      <c r="Y12" s="16"/>
      <c r="Z12" s="16"/>
    </row>
    <row r="13" ht="15.75" hidden="1" customHeight="1" outlineLevel="1">
      <c r="A13" s="17">
        <v>46033.0</v>
      </c>
      <c r="B13" s="18" t="s">
        <v>22</v>
      </c>
      <c r="C13" s="19"/>
      <c r="D13" s="20">
        <f>SUMIF('ADV - GG'!A:A,A13,'ADV - GG'!C:C)+SUMIF('ADV - FB'!A:A,$A13,'ADV - FB'!E:E)</f>
        <v>78.85</v>
      </c>
      <c r="E13" s="21">
        <f>SUMIF('ADV - GG'!A:A,A13,'ADV - GG'!H:H)+SUMIF('ADV - FB'!A:A,$A13,'ADV - FB'!I:I)+SUMIF('ADV - FB'!A:A,$A13,'ADV - FB'!J:J)+SUMIF('ADV - FB'!A:A,$A13,'ADV - FB'!K:K)</f>
        <v>19</v>
      </c>
      <c r="F13" s="20">
        <f t="shared" si="2"/>
        <v>4.15</v>
      </c>
      <c r="G13" s="22"/>
      <c r="H13" s="22"/>
      <c r="I13" s="23"/>
      <c r="J13" s="22">
        <f>SUMIF('ADV - GA4'!A:A,A13,'ADV - GA4'!C:C)</f>
        <v>0</v>
      </c>
      <c r="K13" s="20" t="str">
        <f t="shared" si="4"/>
        <v/>
      </c>
      <c r="L13" s="24" t="str">
        <f t="shared" si="3"/>
        <v/>
      </c>
      <c r="M13" s="25">
        <f t="shared" si="5"/>
        <v>0</v>
      </c>
      <c r="N13" s="26">
        <f t="shared" si="6"/>
        <v>0</v>
      </c>
      <c r="O13" s="20" t="str">
        <f>iferror(Planejador!$I$13,"")</f>
        <v/>
      </c>
      <c r="P13" s="20" t="str">
        <f>Planejador!$I$5</f>
        <v/>
      </c>
      <c r="Q13" s="27">
        <f t="shared" si="7"/>
        <v>0</v>
      </c>
      <c r="R13" s="24" t="str">
        <f>Planejador!$I$7</f>
        <v/>
      </c>
      <c r="S13" s="16"/>
      <c r="T13" s="16"/>
      <c r="U13" s="16"/>
      <c r="V13" s="16"/>
      <c r="W13" s="16"/>
      <c r="X13" s="16"/>
      <c r="Y13" s="16"/>
      <c r="Z13" s="16"/>
    </row>
    <row r="14" ht="15.75" hidden="1" customHeight="1" outlineLevel="1">
      <c r="A14" s="17">
        <v>46034.0</v>
      </c>
      <c r="B14" s="18" t="s">
        <v>23</v>
      </c>
      <c r="C14" s="19"/>
      <c r="D14" s="20">
        <f>SUMIF('ADV - GG'!A:A,A14,'ADV - GG'!C:C)+SUMIF('ADV - FB'!A:A,$A14,'ADV - FB'!E:E)</f>
        <v>72.4</v>
      </c>
      <c r="E14" s="21">
        <f>SUMIF('ADV - GG'!A:A,A14,'ADV - GG'!H:H)+SUMIF('ADV - FB'!A:A,$A14,'ADV - FB'!I:I)+SUMIF('ADV - FB'!A:A,$A14,'ADV - FB'!J:J)+SUMIF('ADV - FB'!A:A,$A14,'ADV - FB'!K:K)</f>
        <v>9</v>
      </c>
      <c r="F14" s="20">
        <f t="shared" si="2"/>
        <v>8.044444444</v>
      </c>
      <c r="G14" s="22"/>
      <c r="H14" s="22"/>
      <c r="I14" s="23"/>
      <c r="J14" s="22">
        <f>SUMIF('ADV - GA4'!A:A,A14,'ADV - GA4'!C:C)</f>
        <v>0</v>
      </c>
      <c r="K14" s="20" t="str">
        <f t="shared" si="4"/>
        <v/>
      </c>
      <c r="L14" s="24" t="str">
        <f t="shared" si="3"/>
        <v/>
      </c>
      <c r="M14" s="25">
        <f t="shared" si="5"/>
        <v>0</v>
      </c>
      <c r="N14" s="26">
        <f t="shared" si="6"/>
        <v>0</v>
      </c>
      <c r="O14" s="20" t="str">
        <f>iferror(Planejador!$I$13,"")</f>
        <v/>
      </c>
      <c r="P14" s="20" t="str">
        <f>Planejador!$I$5</f>
        <v/>
      </c>
      <c r="Q14" s="27">
        <f t="shared" si="7"/>
        <v>0</v>
      </c>
      <c r="R14" s="24" t="str">
        <f>Planejador!$I$7</f>
        <v/>
      </c>
      <c r="S14" s="16"/>
      <c r="T14" s="16"/>
      <c r="U14" s="16"/>
      <c r="V14" s="16"/>
      <c r="W14" s="16"/>
      <c r="X14" s="16"/>
      <c r="Y14" s="16"/>
      <c r="Z14" s="16"/>
    </row>
    <row r="15" ht="15.75" hidden="1" customHeight="1" outlineLevel="1">
      <c r="A15" s="17">
        <v>46035.0</v>
      </c>
      <c r="B15" s="18" t="s">
        <v>24</v>
      </c>
      <c r="C15" s="19"/>
      <c r="D15" s="20">
        <f>SUMIF('ADV - GG'!A:A,A15,'ADV - GG'!C:C)+SUMIF('ADV - FB'!A:A,$A15,'ADV - FB'!E:E)</f>
        <v>73.27</v>
      </c>
      <c r="E15" s="21">
        <f>SUMIF('ADV - GG'!A:A,A15,'ADV - GG'!H:H)+SUMIF('ADV - FB'!A:A,$A15,'ADV - FB'!I:I)+SUMIF('ADV - FB'!A:A,$A15,'ADV - FB'!J:J)+SUMIF('ADV - FB'!A:A,$A15,'ADV - FB'!K:K)</f>
        <v>12</v>
      </c>
      <c r="F15" s="20">
        <f t="shared" si="2"/>
        <v>6.105833333</v>
      </c>
      <c r="G15" s="22"/>
      <c r="H15" s="22"/>
      <c r="I15" s="23"/>
      <c r="J15" s="22">
        <f>SUMIF('ADV - GA4'!A:A,A15,'ADV - GA4'!C:C)</f>
        <v>0</v>
      </c>
      <c r="K15" s="20" t="str">
        <f t="shared" si="4"/>
        <v/>
      </c>
      <c r="L15" s="24" t="str">
        <f t="shared" si="3"/>
        <v/>
      </c>
      <c r="M15" s="25">
        <f t="shared" si="5"/>
        <v>0</v>
      </c>
      <c r="N15" s="26">
        <f t="shared" si="6"/>
        <v>0</v>
      </c>
      <c r="O15" s="20" t="str">
        <f>iferror(Planejador!$I$13,"")</f>
        <v/>
      </c>
      <c r="P15" s="20" t="str">
        <f>Planejador!$I$5</f>
        <v/>
      </c>
      <c r="Q15" s="27">
        <f t="shared" si="7"/>
        <v>0</v>
      </c>
      <c r="R15" s="24" t="str">
        <f>Planejador!$I$7</f>
        <v/>
      </c>
      <c r="S15" s="16"/>
      <c r="T15" s="16"/>
      <c r="U15" s="16"/>
      <c r="V15" s="16"/>
      <c r="W15" s="16"/>
      <c r="X15" s="16"/>
      <c r="Y15" s="16"/>
      <c r="Z15" s="16"/>
    </row>
    <row r="16" ht="15.75" hidden="1" customHeight="1" outlineLevel="1">
      <c r="A16" s="17">
        <v>46036.0</v>
      </c>
      <c r="B16" s="18" t="s">
        <v>25</v>
      </c>
      <c r="C16" s="19"/>
      <c r="D16" s="20">
        <f>SUMIF('ADV - GG'!A:A,A16,'ADV - GG'!C:C)+SUMIF('ADV - FB'!A:A,$A16,'ADV - FB'!E:E)</f>
        <v>62.04</v>
      </c>
      <c r="E16" s="21">
        <f>SUMIF('ADV - GG'!A:A,A16,'ADV - GG'!H:H)+SUMIF('ADV - FB'!A:A,$A16,'ADV - FB'!I:I)+SUMIF('ADV - FB'!A:A,$A16,'ADV - FB'!J:J)+SUMIF('ADV - FB'!A:A,$A16,'ADV - FB'!K:K)</f>
        <v>12</v>
      </c>
      <c r="F16" s="20">
        <f t="shared" si="2"/>
        <v>5.17</v>
      </c>
      <c r="G16" s="22"/>
      <c r="H16" s="22"/>
      <c r="I16" s="23"/>
      <c r="J16" s="22">
        <f>SUMIF('ADV - GA4'!A:A,A16,'ADV - GA4'!C:C)</f>
        <v>0</v>
      </c>
      <c r="K16" s="20" t="str">
        <f t="shared" si="4"/>
        <v/>
      </c>
      <c r="L16" s="24" t="str">
        <f t="shared" si="3"/>
        <v/>
      </c>
      <c r="M16" s="25">
        <f t="shared" si="5"/>
        <v>0</v>
      </c>
      <c r="N16" s="26">
        <f t="shared" si="6"/>
        <v>0</v>
      </c>
      <c r="O16" s="20" t="str">
        <f>iferror(Planejador!$I$13,"")</f>
        <v/>
      </c>
      <c r="P16" s="20" t="str">
        <f>Planejador!$I$5</f>
        <v/>
      </c>
      <c r="Q16" s="27">
        <f t="shared" si="7"/>
        <v>0</v>
      </c>
      <c r="R16" s="24" t="str">
        <f>Planejador!$I$7</f>
        <v/>
      </c>
      <c r="S16" s="16"/>
      <c r="T16" s="16"/>
      <c r="U16" s="16"/>
      <c r="V16" s="16"/>
      <c r="W16" s="16"/>
      <c r="X16" s="16"/>
      <c r="Y16" s="16"/>
      <c r="Z16" s="16"/>
    </row>
    <row r="17" ht="15.75" hidden="1" customHeight="1" outlineLevel="1">
      <c r="A17" s="17">
        <v>46037.0</v>
      </c>
      <c r="B17" s="18" t="s">
        <v>19</v>
      </c>
      <c r="C17" s="19"/>
      <c r="D17" s="20">
        <f>SUMIF('ADV - GG'!A:A,A17,'ADV - GG'!C:C)+SUMIF('ADV - FB'!A:A,$A17,'ADV - FB'!E:E)</f>
        <v>65.47</v>
      </c>
      <c r="E17" s="21">
        <f>SUMIF('ADV - GG'!A:A,A17,'ADV - GG'!H:H)+SUMIF('ADV - FB'!A:A,$A17,'ADV - FB'!I:I)+SUMIF('ADV - FB'!A:A,$A17,'ADV - FB'!J:J)+SUMIF('ADV - FB'!A:A,$A17,'ADV - FB'!K:K)</f>
        <v>16</v>
      </c>
      <c r="F17" s="20">
        <f t="shared" si="2"/>
        <v>4.091875</v>
      </c>
      <c r="G17" s="22"/>
      <c r="H17" s="22"/>
      <c r="I17" s="23"/>
      <c r="J17" s="22">
        <f>SUMIF('ADV - GA4'!A:A,A17,'ADV - GA4'!C:C)</f>
        <v>0</v>
      </c>
      <c r="K17" s="20" t="str">
        <f t="shared" si="4"/>
        <v/>
      </c>
      <c r="L17" s="24" t="str">
        <f t="shared" si="3"/>
        <v/>
      </c>
      <c r="M17" s="25">
        <f t="shared" si="5"/>
        <v>0</v>
      </c>
      <c r="N17" s="26">
        <f t="shared" si="6"/>
        <v>0</v>
      </c>
      <c r="O17" s="20" t="str">
        <f>iferror(Planejador!$I$13,"")</f>
        <v/>
      </c>
      <c r="P17" s="20" t="str">
        <f>Planejador!$I$5</f>
        <v/>
      </c>
      <c r="Q17" s="27">
        <f t="shared" si="7"/>
        <v>0</v>
      </c>
      <c r="R17" s="24" t="str">
        <f>Planejador!$I$7</f>
        <v/>
      </c>
      <c r="S17" s="16"/>
      <c r="T17" s="16"/>
      <c r="U17" s="16"/>
      <c r="V17" s="16"/>
      <c r="W17" s="16"/>
      <c r="X17" s="16"/>
      <c r="Y17" s="16"/>
      <c r="Z17" s="16"/>
    </row>
    <row r="18" ht="15.75" hidden="1" customHeight="1" outlineLevel="1">
      <c r="A18" s="17">
        <v>46038.0</v>
      </c>
      <c r="B18" s="18" t="s">
        <v>20</v>
      </c>
      <c r="C18" s="19"/>
      <c r="D18" s="20">
        <f>SUMIF('ADV - GG'!A:A,A18,'ADV - GG'!C:C)+SUMIF('ADV - FB'!A:A,$A18,'ADV - FB'!E:E)</f>
        <v>63.22</v>
      </c>
      <c r="E18" s="21">
        <f>SUMIF('ADV - GG'!A:A,A18,'ADV - GG'!H:H)+SUMIF('ADV - FB'!A:A,$A18,'ADV - FB'!I:I)+SUMIF('ADV - FB'!A:A,$A18,'ADV - FB'!J:J)+SUMIF('ADV - FB'!A:A,$A18,'ADV - FB'!K:K)</f>
        <v>11</v>
      </c>
      <c r="F18" s="20">
        <f t="shared" si="2"/>
        <v>5.747272727</v>
      </c>
      <c r="G18" s="22"/>
      <c r="H18" s="22"/>
      <c r="I18" s="23"/>
      <c r="J18" s="22">
        <f>SUMIF('ADV - GA4'!A:A,A18,'ADV - GA4'!C:C)</f>
        <v>0</v>
      </c>
      <c r="K18" s="20" t="str">
        <f t="shared" si="4"/>
        <v/>
      </c>
      <c r="L18" s="24" t="str">
        <f t="shared" si="3"/>
        <v/>
      </c>
      <c r="M18" s="25">
        <f t="shared" si="5"/>
        <v>0</v>
      </c>
      <c r="N18" s="26">
        <f t="shared" si="6"/>
        <v>0</v>
      </c>
      <c r="O18" s="20" t="str">
        <f>iferror(Planejador!$I$13,"")</f>
        <v/>
      </c>
      <c r="P18" s="20" t="str">
        <f>Planejador!$I$5</f>
        <v/>
      </c>
      <c r="Q18" s="27">
        <f t="shared" si="7"/>
        <v>0</v>
      </c>
      <c r="R18" s="24" t="str">
        <f>Planejador!$I$7</f>
        <v/>
      </c>
      <c r="S18" s="16"/>
      <c r="T18" s="16"/>
      <c r="U18" s="16"/>
      <c r="V18" s="16"/>
      <c r="W18" s="16"/>
      <c r="X18" s="16"/>
      <c r="Y18" s="16"/>
      <c r="Z18" s="16"/>
    </row>
    <row r="19" ht="15.75" hidden="1" customHeight="1" outlineLevel="1">
      <c r="A19" s="17">
        <v>46039.0</v>
      </c>
      <c r="B19" s="18" t="s">
        <v>21</v>
      </c>
      <c r="C19" s="19"/>
      <c r="D19" s="20">
        <f>SUMIF('ADV - GG'!A:A,A19,'ADV - GG'!C:C)+SUMIF('ADV - FB'!A:A,$A19,'ADV - FB'!E:E)</f>
        <v>61.01</v>
      </c>
      <c r="E19" s="21">
        <f>SUMIF('ADV - GG'!A:A,A19,'ADV - GG'!H:H)+SUMIF('ADV - FB'!A:A,$A19,'ADV - FB'!I:I)+SUMIF('ADV - FB'!A:A,$A19,'ADV - FB'!J:J)+SUMIF('ADV - FB'!A:A,$A19,'ADV - FB'!K:K)</f>
        <v>12</v>
      </c>
      <c r="F19" s="20">
        <f t="shared" si="2"/>
        <v>5.084166667</v>
      </c>
      <c r="G19" s="22"/>
      <c r="H19" s="22"/>
      <c r="I19" s="23"/>
      <c r="J19" s="22">
        <f>SUMIF('ADV - GA4'!A:A,A19,'ADV - GA4'!C:C)</f>
        <v>0</v>
      </c>
      <c r="K19" s="20" t="str">
        <f t="shared" si="4"/>
        <v/>
      </c>
      <c r="L19" s="24" t="str">
        <f t="shared" si="3"/>
        <v/>
      </c>
      <c r="M19" s="25">
        <f t="shared" si="5"/>
        <v>0</v>
      </c>
      <c r="N19" s="26">
        <f t="shared" si="6"/>
        <v>0</v>
      </c>
      <c r="O19" s="20" t="str">
        <f>iferror(Planejador!$I$13,"")</f>
        <v/>
      </c>
      <c r="P19" s="20" t="str">
        <f>Planejador!$I$5</f>
        <v/>
      </c>
      <c r="Q19" s="27">
        <f t="shared" si="7"/>
        <v>0</v>
      </c>
      <c r="R19" s="24" t="str">
        <f>Planejador!$I$7</f>
        <v/>
      </c>
      <c r="S19" s="16"/>
      <c r="T19" s="16"/>
      <c r="U19" s="16"/>
      <c r="V19" s="16"/>
      <c r="W19" s="16"/>
      <c r="X19" s="16"/>
      <c r="Y19" s="16"/>
      <c r="Z19" s="16"/>
    </row>
    <row r="20" ht="15.75" hidden="1" customHeight="1" outlineLevel="1">
      <c r="A20" s="17">
        <v>46040.0</v>
      </c>
      <c r="B20" s="18" t="s">
        <v>22</v>
      </c>
      <c r="C20" s="19"/>
      <c r="D20" s="20">
        <f>SUMIF('ADV - GG'!A:A,A20,'ADV - GG'!C:C)+SUMIF('ADV - FB'!A:A,$A20,'ADV - FB'!E:E)</f>
        <v>67.83</v>
      </c>
      <c r="E20" s="21">
        <f>SUMIF('ADV - GG'!A:A,A20,'ADV - GG'!H:H)+SUMIF('ADV - FB'!A:A,$A20,'ADV - FB'!I:I)+SUMIF('ADV - FB'!A:A,$A20,'ADV - FB'!J:J)+SUMIF('ADV - FB'!A:A,$A20,'ADV - FB'!K:K)</f>
        <v>17</v>
      </c>
      <c r="F20" s="20">
        <f t="shared" si="2"/>
        <v>3.99</v>
      </c>
      <c r="G20" s="22"/>
      <c r="H20" s="22"/>
      <c r="I20" s="23"/>
      <c r="J20" s="22">
        <f>SUMIF('ADV - GA4'!A:A,A20,'ADV - GA4'!C:C)</f>
        <v>0</v>
      </c>
      <c r="K20" s="20" t="str">
        <f t="shared" si="4"/>
        <v/>
      </c>
      <c r="L20" s="24" t="str">
        <f t="shared" si="3"/>
        <v/>
      </c>
      <c r="M20" s="25">
        <f t="shared" si="5"/>
        <v>0</v>
      </c>
      <c r="N20" s="26">
        <f t="shared" si="6"/>
        <v>0</v>
      </c>
      <c r="O20" s="20" t="str">
        <f>iferror(Planejador!$I$13,"")</f>
        <v/>
      </c>
      <c r="P20" s="20" t="str">
        <f>Planejador!$I$5</f>
        <v/>
      </c>
      <c r="Q20" s="27">
        <f t="shared" si="7"/>
        <v>0</v>
      </c>
      <c r="R20" s="24" t="str">
        <f>Planejador!$I$7</f>
        <v/>
      </c>
      <c r="S20" s="16"/>
      <c r="T20" s="16"/>
      <c r="U20" s="16"/>
      <c r="V20" s="16"/>
      <c r="W20" s="16"/>
      <c r="X20" s="16"/>
      <c r="Y20" s="16"/>
      <c r="Z20" s="16"/>
    </row>
    <row r="21" ht="15.75" hidden="1" customHeight="1" outlineLevel="1">
      <c r="A21" s="17">
        <v>46041.0</v>
      </c>
      <c r="B21" s="18" t="s">
        <v>23</v>
      </c>
      <c r="C21" s="19"/>
      <c r="D21" s="20">
        <f>SUMIF('ADV - GG'!A:A,A21,'ADV - GG'!C:C)+SUMIF('ADV - FB'!A:A,$A21,'ADV - FB'!E:E)</f>
        <v>51.31</v>
      </c>
      <c r="E21" s="21">
        <f>SUMIF('ADV - GG'!A:A,A21,'ADV - GG'!H:H)+SUMIF('ADV - FB'!A:A,$A21,'ADV - FB'!I:I)+SUMIF('ADV - FB'!A:A,$A21,'ADV - FB'!J:J)+SUMIF('ADV - FB'!A:A,$A21,'ADV - FB'!K:K)</f>
        <v>17</v>
      </c>
      <c r="F21" s="20">
        <f t="shared" si="2"/>
        <v>3.018235294</v>
      </c>
      <c r="G21" s="22"/>
      <c r="H21" s="22"/>
      <c r="I21" s="23"/>
      <c r="J21" s="22">
        <f>SUMIF('ADV - GA4'!A:A,A21,'ADV - GA4'!C:C)</f>
        <v>0</v>
      </c>
      <c r="K21" s="20" t="str">
        <f t="shared" si="4"/>
        <v/>
      </c>
      <c r="L21" s="24" t="str">
        <f t="shared" si="3"/>
        <v/>
      </c>
      <c r="M21" s="25">
        <f t="shared" si="5"/>
        <v>0</v>
      </c>
      <c r="N21" s="26">
        <f t="shared" si="6"/>
        <v>0</v>
      </c>
      <c r="O21" s="20" t="str">
        <f>iferror(Planejador!$I$13,"")</f>
        <v/>
      </c>
      <c r="P21" s="20" t="str">
        <f>Planejador!$I$5</f>
        <v/>
      </c>
      <c r="Q21" s="27">
        <f t="shared" si="7"/>
        <v>0</v>
      </c>
      <c r="R21" s="24" t="str">
        <f>Planejador!$I$7</f>
        <v/>
      </c>
      <c r="S21" s="16"/>
      <c r="T21" s="16"/>
      <c r="U21" s="16"/>
      <c r="V21" s="16"/>
      <c r="W21" s="16"/>
      <c r="X21" s="16"/>
      <c r="Y21" s="16"/>
      <c r="Z21" s="16"/>
    </row>
    <row r="22" ht="15.75" hidden="1" customHeight="1" outlineLevel="1">
      <c r="A22" s="17">
        <v>46042.0</v>
      </c>
      <c r="B22" s="18" t="s">
        <v>24</v>
      </c>
      <c r="C22" s="19"/>
      <c r="D22" s="20">
        <f>SUMIF('ADV - GG'!A:A,A22,'ADV - GG'!C:C)+SUMIF('ADV - FB'!A:A,$A22,'ADV - FB'!E:E)</f>
        <v>47.34</v>
      </c>
      <c r="E22" s="21">
        <f>SUMIF('ADV - GG'!A:A,A22,'ADV - GG'!H:H)+SUMIF('ADV - FB'!A:A,$A22,'ADV - FB'!I:I)+SUMIF('ADV - FB'!A:A,$A22,'ADV - FB'!J:J)+SUMIF('ADV - FB'!A:A,$A22,'ADV - FB'!K:K)</f>
        <v>10</v>
      </c>
      <c r="F22" s="20">
        <f t="shared" si="2"/>
        <v>4.734</v>
      </c>
      <c r="G22" s="22"/>
      <c r="H22" s="22"/>
      <c r="I22" s="23"/>
      <c r="J22" s="22">
        <f>SUMIF('ADV - GA4'!A:A,A22,'ADV - GA4'!C:C)</f>
        <v>0</v>
      </c>
      <c r="K22" s="20" t="str">
        <f t="shared" si="4"/>
        <v/>
      </c>
      <c r="L22" s="24" t="str">
        <f t="shared" si="3"/>
        <v/>
      </c>
      <c r="M22" s="25">
        <f t="shared" si="5"/>
        <v>0</v>
      </c>
      <c r="N22" s="26">
        <f t="shared" si="6"/>
        <v>0</v>
      </c>
      <c r="O22" s="20" t="str">
        <f>iferror(Planejador!$I$13,"")</f>
        <v/>
      </c>
      <c r="P22" s="20" t="str">
        <f>Planejador!$I$5</f>
        <v/>
      </c>
      <c r="Q22" s="27">
        <f t="shared" si="7"/>
        <v>0</v>
      </c>
      <c r="R22" s="24" t="str">
        <f>Planejador!$I$7</f>
        <v/>
      </c>
      <c r="S22" s="16"/>
      <c r="T22" s="16"/>
      <c r="U22" s="16"/>
      <c r="V22" s="16"/>
      <c r="W22" s="16"/>
      <c r="X22" s="16"/>
      <c r="Y22" s="16"/>
      <c r="Z22" s="16"/>
    </row>
    <row r="23" ht="15.75" hidden="1" customHeight="1" outlineLevel="1">
      <c r="A23" s="17">
        <v>46043.0</v>
      </c>
      <c r="B23" s="18" t="s">
        <v>25</v>
      </c>
      <c r="C23" s="19"/>
      <c r="D23" s="20">
        <f>SUMIF('ADV - GG'!A:A,A23,'ADV - GG'!C:C)+SUMIF('ADV - FB'!A:A,$A23,'ADV - FB'!E:E)</f>
        <v>48.4</v>
      </c>
      <c r="E23" s="21">
        <f>SUMIF('ADV - GG'!A:A,A23,'ADV - GG'!H:H)+SUMIF('ADV - FB'!A:A,$A23,'ADV - FB'!I:I)+SUMIF('ADV - FB'!A:A,$A23,'ADV - FB'!J:J)+SUMIF('ADV - FB'!A:A,$A23,'ADV - FB'!K:K)</f>
        <v>16</v>
      </c>
      <c r="F23" s="20">
        <f t="shared" si="2"/>
        <v>3.025</v>
      </c>
      <c r="G23" s="22"/>
      <c r="H23" s="22"/>
      <c r="I23" s="23"/>
      <c r="J23" s="22">
        <f>SUMIF('ADV - GA4'!A:A,A23,'ADV - GA4'!C:C)</f>
        <v>0</v>
      </c>
      <c r="K23" s="20" t="str">
        <f t="shared" si="4"/>
        <v/>
      </c>
      <c r="L23" s="24" t="str">
        <f t="shared" si="3"/>
        <v/>
      </c>
      <c r="M23" s="25">
        <f t="shared" si="5"/>
        <v>0</v>
      </c>
      <c r="N23" s="26">
        <f t="shared" si="6"/>
        <v>0</v>
      </c>
      <c r="O23" s="20" t="str">
        <f>iferror(Planejador!$I$13,"")</f>
        <v/>
      </c>
      <c r="P23" s="20" t="str">
        <f>Planejador!$I$5</f>
        <v/>
      </c>
      <c r="Q23" s="27">
        <f t="shared" si="7"/>
        <v>0</v>
      </c>
      <c r="R23" s="24" t="str">
        <f>Planejador!$I$7</f>
        <v/>
      </c>
      <c r="S23" s="16"/>
      <c r="T23" s="16"/>
      <c r="U23" s="16"/>
      <c r="V23" s="16"/>
      <c r="W23" s="16"/>
      <c r="X23" s="16"/>
      <c r="Y23" s="16"/>
      <c r="Z23" s="16"/>
    </row>
    <row r="24" ht="15.75" hidden="1" customHeight="1" outlineLevel="1">
      <c r="A24" s="17">
        <v>46044.0</v>
      </c>
      <c r="B24" s="18" t="s">
        <v>19</v>
      </c>
      <c r="C24" s="19"/>
      <c r="D24" s="20">
        <f>SUMIF('ADV - GG'!A:A,A24,'ADV - GG'!C:C)+SUMIF('ADV - FB'!A:A,$A24,'ADV - FB'!E:E)</f>
        <v>43.85</v>
      </c>
      <c r="E24" s="21">
        <f>SUMIF('ADV - GG'!A:A,A24,'ADV - GG'!H:H)+SUMIF('ADV - FB'!A:A,$A24,'ADV - FB'!I:I)+SUMIF('ADV - FB'!A:A,$A24,'ADV - FB'!J:J)+SUMIF('ADV - FB'!A:A,$A24,'ADV - FB'!K:K)</f>
        <v>13</v>
      </c>
      <c r="F24" s="20">
        <f t="shared" si="2"/>
        <v>3.373076923</v>
      </c>
      <c r="G24" s="22"/>
      <c r="H24" s="22"/>
      <c r="I24" s="23"/>
      <c r="J24" s="22">
        <f>SUMIF('ADV - GA4'!A:A,A24,'ADV - GA4'!C:C)</f>
        <v>0</v>
      </c>
      <c r="K24" s="20" t="str">
        <f t="shared" si="4"/>
        <v/>
      </c>
      <c r="L24" s="24" t="str">
        <f t="shared" si="3"/>
        <v/>
      </c>
      <c r="M24" s="25">
        <f t="shared" si="5"/>
        <v>0</v>
      </c>
      <c r="N24" s="26">
        <f t="shared" si="6"/>
        <v>0</v>
      </c>
      <c r="O24" s="20" t="str">
        <f>iferror(Planejador!$I$13,"")</f>
        <v/>
      </c>
      <c r="P24" s="20" t="str">
        <f>Planejador!$I$5</f>
        <v/>
      </c>
      <c r="Q24" s="27">
        <f t="shared" si="7"/>
        <v>0</v>
      </c>
      <c r="R24" s="24" t="str">
        <f>Planejador!$I$7</f>
        <v/>
      </c>
      <c r="S24" s="16"/>
      <c r="T24" s="16"/>
      <c r="U24" s="16"/>
      <c r="V24" s="16"/>
      <c r="W24" s="16"/>
      <c r="X24" s="16"/>
      <c r="Y24" s="16"/>
      <c r="Z24" s="16"/>
    </row>
    <row r="25" ht="15.75" hidden="1" customHeight="1" outlineLevel="1">
      <c r="A25" s="17">
        <v>46045.0</v>
      </c>
      <c r="B25" s="18" t="s">
        <v>20</v>
      </c>
      <c r="C25" s="19"/>
      <c r="D25" s="20">
        <f>SUMIF('ADV - GG'!A:A,A25,'ADV - GG'!C:C)+SUMIF('ADV - FB'!A:A,$A25,'ADV - FB'!E:E)</f>
        <v>43.54</v>
      </c>
      <c r="E25" s="21">
        <f>SUMIF('ADV - GG'!A:A,A25,'ADV - GG'!H:H)+SUMIF('ADV - FB'!A:A,$A25,'ADV - FB'!I:I)+SUMIF('ADV - FB'!A:A,$A25,'ADV - FB'!J:J)+SUMIF('ADV - FB'!A:A,$A25,'ADV - FB'!K:K)</f>
        <v>11</v>
      </c>
      <c r="F25" s="20">
        <f t="shared" si="2"/>
        <v>3.958181818</v>
      </c>
      <c r="G25" s="22"/>
      <c r="H25" s="22"/>
      <c r="I25" s="23"/>
      <c r="J25" s="22">
        <f>SUMIF('ADV - GA4'!A:A,A25,'ADV - GA4'!C:C)</f>
        <v>0</v>
      </c>
      <c r="K25" s="20" t="str">
        <f t="shared" si="4"/>
        <v/>
      </c>
      <c r="L25" s="24" t="str">
        <f t="shared" si="3"/>
        <v/>
      </c>
      <c r="M25" s="25">
        <f t="shared" si="5"/>
        <v>0</v>
      </c>
      <c r="N25" s="26">
        <f t="shared" si="6"/>
        <v>0</v>
      </c>
      <c r="O25" s="20" t="str">
        <f>iferror(Planejador!$I$13,"")</f>
        <v/>
      </c>
      <c r="P25" s="20" t="str">
        <f>Planejador!$I$5</f>
        <v/>
      </c>
      <c r="Q25" s="27">
        <f t="shared" si="7"/>
        <v>0</v>
      </c>
      <c r="R25" s="24" t="str">
        <f>Planejador!$I$7</f>
        <v/>
      </c>
      <c r="S25" s="16"/>
      <c r="T25" s="16"/>
      <c r="U25" s="16"/>
      <c r="V25" s="16"/>
      <c r="W25" s="16"/>
      <c r="X25" s="16"/>
      <c r="Y25" s="16"/>
      <c r="Z25" s="16"/>
    </row>
    <row r="26" ht="15.75" hidden="1" customHeight="1" outlineLevel="1">
      <c r="A26" s="17">
        <v>46046.0</v>
      </c>
      <c r="B26" s="18" t="s">
        <v>21</v>
      </c>
      <c r="C26" s="19"/>
      <c r="D26" s="20">
        <f>SUMIF('ADV - GG'!A:A,A26,'ADV - GG'!C:C)+SUMIF('ADV - FB'!A:A,$A26,'ADV - FB'!E:E)</f>
        <v>37.64</v>
      </c>
      <c r="E26" s="21">
        <f>SUMIF('ADV - GG'!A:A,A26,'ADV - GG'!H:H)+SUMIF('ADV - FB'!A:A,$A26,'ADV - FB'!I:I)+SUMIF('ADV - FB'!A:A,$A26,'ADV - FB'!J:J)+SUMIF('ADV - FB'!A:A,$A26,'ADV - FB'!K:K)</f>
        <v>4</v>
      </c>
      <c r="F26" s="20">
        <f t="shared" si="2"/>
        <v>9.41</v>
      </c>
      <c r="G26" s="22"/>
      <c r="H26" s="22"/>
      <c r="I26" s="23"/>
      <c r="J26" s="22">
        <f>SUMIF('ADV - GA4'!A:A,A26,'ADV - GA4'!C:C)</f>
        <v>0</v>
      </c>
      <c r="K26" s="20" t="str">
        <f t="shared" si="4"/>
        <v/>
      </c>
      <c r="L26" s="24" t="str">
        <f t="shared" si="3"/>
        <v/>
      </c>
      <c r="M26" s="25">
        <f t="shared" si="5"/>
        <v>0</v>
      </c>
      <c r="N26" s="26">
        <f t="shared" si="6"/>
        <v>0</v>
      </c>
      <c r="O26" s="20" t="str">
        <f>iferror(Planejador!$I$13,"")</f>
        <v/>
      </c>
      <c r="P26" s="20" t="str">
        <f>Planejador!$I$5</f>
        <v/>
      </c>
      <c r="Q26" s="27">
        <f t="shared" si="7"/>
        <v>0</v>
      </c>
      <c r="R26" s="24" t="str">
        <f>Planejador!$I$7</f>
        <v/>
      </c>
      <c r="S26" s="16"/>
      <c r="T26" s="16"/>
      <c r="U26" s="16"/>
      <c r="V26" s="16"/>
      <c r="W26" s="16"/>
      <c r="X26" s="16"/>
      <c r="Y26" s="16"/>
      <c r="Z26" s="16"/>
    </row>
    <row r="27" ht="15.75" hidden="1" customHeight="1" outlineLevel="1">
      <c r="A27" s="17">
        <v>46047.0</v>
      </c>
      <c r="B27" s="18" t="s">
        <v>22</v>
      </c>
      <c r="C27" s="19"/>
      <c r="D27" s="20">
        <f>SUMIF('ADV - GG'!A:A,A27,'ADV - GG'!C:C)+SUMIF('ADV - FB'!A:A,$A27,'ADV - FB'!E:E)</f>
        <v>44.27</v>
      </c>
      <c r="E27" s="21">
        <f>SUMIF('ADV - GG'!A:A,A27,'ADV - GG'!H:H)+SUMIF('ADV - FB'!A:A,$A27,'ADV - FB'!I:I)+SUMIF('ADV - FB'!A:A,$A27,'ADV - FB'!J:J)+SUMIF('ADV - FB'!A:A,$A27,'ADV - FB'!K:K)</f>
        <v>9</v>
      </c>
      <c r="F27" s="20">
        <f t="shared" si="2"/>
        <v>4.918888889</v>
      </c>
      <c r="G27" s="22"/>
      <c r="H27" s="22"/>
      <c r="I27" s="23"/>
      <c r="J27" s="22">
        <f>SUMIF('ADV - GA4'!A:A,A27,'ADV - GA4'!C:C)</f>
        <v>0</v>
      </c>
      <c r="K27" s="20" t="str">
        <f t="shared" si="4"/>
        <v/>
      </c>
      <c r="L27" s="24" t="str">
        <f t="shared" si="3"/>
        <v/>
      </c>
      <c r="M27" s="25">
        <f t="shared" si="5"/>
        <v>0</v>
      </c>
      <c r="N27" s="26">
        <f t="shared" si="6"/>
        <v>0</v>
      </c>
      <c r="O27" s="20" t="str">
        <f>iferror(Planejador!$I$13,"")</f>
        <v/>
      </c>
      <c r="P27" s="20" t="str">
        <f>Planejador!$I$5</f>
        <v/>
      </c>
      <c r="Q27" s="27">
        <f t="shared" si="7"/>
        <v>0</v>
      </c>
      <c r="R27" s="24" t="str">
        <f>Planejador!$I$7</f>
        <v/>
      </c>
      <c r="S27" s="16"/>
      <c r="T27" s="16"/>
      <c r="U27" s="16"/>
      <c r="V27" s="16"/>
      <c r="W27" s="16"/>
      <c r="X27" s="16"/>
      <c r="Y27" s="16"/>
      <c r="Z27" s="16"/>
    </row>
    <row r="28" ht="15.75" hidden="1" customHeight="1" outlineLevel="1">
      <c r="A28" s="17">
        <v>46048.0</v>
      </c>
      <c r="B28" s="18" t="s">
        <v>23</v>
      </c>
      <c r="C28" s="19"/>
      <c r="D28" s="20">
        <f>SUMIF('ADV - GG'!A:A,A28,'ADV - GG'!C:C)+SUMIF('ADV - FB'!A:A,$A28,'ADV - FB'!E:E)</f>
        <v>57.5</v>
      </c>
      <c r="E28" s="21">
        <f>SUMIF('ADV - GG'!A:A,A28,'ADV - GG'!H:H)+SUMIF('ADV - FB'!A:A,$A28,'ADV - FB'!I:I)+SUMIF('ADV - FB'!A:A,$A28,'ADV - FB'!J:J)+SUMIF('ADV - FB'!A:A,$A28,'ADV - FB'!K:K)</f>
        <v>5</v>
      </c>
      <c r="F28" s="20">
        <f t="shared" si="2"/>
        <v>11.5</v>
      </c>
      <c r="G28" s="22"/>
      <c r="H28" s="22"/>
      <c r="I28" s="23"/>
      <c r="J28" s="22">
        <f>SUMIF('ADV - GA4'!A:A,A28,'ADV - GA4'!C:C)</f>
        <v>0</v>
      </c>
      <c r="K28" s="20" t="str">
        <f t="shared" si="4"/>
        <v/>
      </c>
      <c r="L28" s="24" t="str">
        <f t="shared" si="3"/>
        <v/>
      </c>
      <c r="M28" s="25">
        <f t="shared" si="5"/>
        <v>0</v>
      </c>
      <c r="N28" s="26">
        <f t="shared" si="6"/>
        <v>0</v>
      </c>
      <c r="O28" s="20" t="str">
        <f>iferror(Planejador!$I$13,"")</f>
        <v/>
      </c>
      <c r="P28" s="20" t="str">
        <f>Planejador!$I$5</f>
        <v/>
      </c>
      <c r="Q28" s="27">
        <f t="shared" si="7"/>
        <v>0</v>
      </c>
      <c r="R28" s="24" t="str">
        <f>Planejador!$I$7</f>
        <v/>
      </c>
      <c r="S28" s="16"/>
      <c r="T28" s="16"/>
      <c r="U28" s="16"/>
      <c r="V28" s="16"/>
      <c r="W28" s="16"/>
      <c r="X28" s="16"/>
      <c r="Y28" s="16"/>
      <c r="Z28" s="16"/>
    </row>
    <row r="29" ht="15.75" hidden="1" customHeight="1" outlineLevel="1">
      <c r="A29" s="17">
        <v>46049.0</v>
      </c>
      <c r="B29" s="18" t="s">
        <v>24</v>
      </c>
      <c r="C29" s="19"/>
      <c r="D29" s="20">
        <f>SUMIF('ADV - GG'!A:A,A29,'ADV - GG'!C:C)+SUMIF('ADV - FB'!A:A,$A29,'ADV - FB'!E:E)</f>
        <v>62.68</v>
      </c>
      <c r="E29" s="21">
        <f>SUMIF('ADV - GG'!A:A,A29,'ADV - GG'!H:H)+SUMIF('ADV - FB'!A:A,$A29,'ADV - FB'!I:I)+SUMIF('ADV - FB'!A:A,$A29,'ADV - FB'!J:J)+SUMIF('ADV - FB'!A:A,$A29,'ADV - FB'!K:K)</f>
        <v>10</v>
      </c>
      <c r="F29" s="20">
        <f t="shared" si="2"/>
        <v>6.268</v>
      </c>
      <c r="G29" s="22"/>
      <c r="H29" s="22"/>
      <c r="I29" s="23"/>
      <c r="J29" s="22">
        <f>SUMIF('ADV - GA4'!A:A,A29,'ADV - GA4'!C:C)</f>
        <v>0</v>
      </c>
      <c r="K29" s="20" t="str">
        <f t="shared" si="4"/>
        <v/>
      </c>
      <c r="L29" s="24" t="str">
        <f t="shared" si="3"/>
        <v/>
      </c>
      <c r="M29" s="25">
        <f t="shared" si="5"/>
        <v>0</v>
      </c>
      <c r="N29" s="26">
        <f t="shared" si="6"/>
        <v>0</v>
      </c>
      <c r="O29" s="20" t="str">
        <f>iferror(Planejador!$I$13,"")</f>
        <v/>
      </c>
      <c r="P29" s="20" t="str">
        <f>Planejador!$I$5</f>
        <v/>
      </c>
      <c r="Q29" s="27">
        <f t="shared" si="7"/>
        <v>0</v>
      </c>
      <c r="R29" s="24" t="str">
        <f>Planejador!$I$7</f>
        <v/>
      </c>
      <c r="S29" s="16"/>
      <c r="T29" s="16"/>
      <c r="U29" s="16"/>
      <c r="V29" s="16"/>
      <c r="W29" s="16"/>
      <c r="X29" s="16"/>
      <c r="Y29" s="16"/>
      <c r="Z29" s="16"/>
    </row>
    <row r="30" ht="15.75" hidden="1" customHeight="1" outlineLevel="1">
      <c r="A30" s="17">
        <v>46050.0</v>
      </c>
      <c r="B30" s="18" t="s">
        <v>25</v>
      </c>
      <c r="C30" s="19"/>
      <c r="D30" s="20">
        <f>SUMIF('ADV - GG'!A:A,A30,'ADV - GG'!C:C)+SUMIF('ADV - FB'!A:A,$A30,'ADV - FB'!E:E)</f>
        <v>56.9</v>
      </c>
      <c r="E30" s="21">
        <f>SUMIF('ADV - GG'!A:A,A30,'ADV - GG'!H:H)+SUMIF('ADV - FB'!A:A,$A30,'ADV - FB'!I:I)+SUMIF('ADV - FB'!A:A,$A30,'ADV - FB'!J:J)+SUMIF('ADV - FB'!A:A,$A30,'ADV - FB'!K:K)</f>
        <v>13</v>
      </c>
      <c r="F30" s="20">
        <f t="shared" si="2"/>
        <v>4.376923077</v>
      </c>
      <c r="G30" s="22"/>
      <c r="H30" s="22"/>
      <c r="I30" s="23"/>
      <c r="J30" s="22">
        <f>SUMIF('ADV - GA4'!A:A,A30,'ADV - GA4'!C:C)</f>
        <v>0</v>
      </c>
      <c r="K30" s="20" t="str">
        <f t="shared" si="4"/>
        <v/>
      </c>
      <c r="L30" s="24" t="str">
        <f t="shared" si="3"/>
        <v/>
      </c>
      <c r="M30" s="25">
        <f t="shared" si="5"/>
        <v>0</v>
      </c>
      <c r="N30" s="26">
        <f t="shared" si="6"/>
        <v>0</v>
      </c>
      <c r="O30" s="20" t="str">
        <f>iferror(Planejador!$I$13,"")</f>
        <v/>
      </c>
      <c r="P30" s="20" t="str">
        <f>Planejador!$I$5</f>
        <v/>
      </c>
      <c r="Q30" s="27">
        <f t="shared" si="7"/>
        <v>0</v>
      </c>
      <c r="R30" s="24" t="str">
        <f>Planejador!$I$7</f>
        <v/>
      </c>
      <c r="S30" s="16"/>
      <c r="T30" s="16"/>
      <c r="U30" s="16"/>
      <c r="V30" s="16"/>
      <c r="W30" s="16"/>
      <c r="X30" s="16"/>
      <c r="Y30" s="16"/>
      <c r="Z30" s="16"/>
    </row>
    <row r="31" ht="15.75" hidden="1" customHeight="1" outlineLevel="1">
      <c r="A31" s="17">
        <v>46051.0</v>
      </c>
      <c r="B31" s="18" t="s">
        <v>19</v>
      </c>
      <c r="C31" s="19"/>
      <c r="D31" s="20">
        <f>SUMIF('ADV - GG'!A:A,A31,'ADV - GG'!C:C)+SUMIF('ADV - FB'!A:A,$A31,'ADV - FB'!E:E)</f>
        <v>55</v>
      </c>
      <c r="E31" s="21">
        <f>SUMIF('ADV - GG'!A:A,A31,'ADV - GG'!H:H)+SUMIF('ADV - FB'!A:A,$A31,'ADV - FB'!I:I)+SUMIF('ADV - FB'!A:A,$A31,'ADV - FB'!J:J)+SUMIF('ADV - FB'!A:A,$A31,'ADV - FB'!K:K)</f>
        <v>6</v>
      </c>
      <c r="F31" s="20">
        <f t="shared" si="2"/>
        <v>9.166666667</v>
      </c>
      <c r="G31" s="22"/>
      <c r="H31" s="22"/>
      <c r="I31" s="23"/>
      <c r="J31" s="22">
        <f>SUMIF('ADV - GA4'!A:A,A31,'ADV - GA4'!C:C)</f>
        <v>0</v>
      </c>
      <c r="K31" s="20" t="str">
        <f t="shared" si="4"/>
        <v/>
      </c>
      <c r="L31" s="24" t="str">
        <f t="shared" si="3"/>
        <v/>
      </c>
      <c r="M31" s="25">
        <f t="shared" si="5"/>
        <v>0</v>
      </c>
      <c r="N31" s="26">
        <f t="shared" si="6"/>
        <v>0</v>
      </c>
      <c r="O31" s="20" t="str">
        <f>iferror(Planejador!$I$13,"")</f>
        <v/>
      </c>
      <c r="P31" s="20" t="str">
        <f>Planejador!$I$5</f>
        <v/>
      </c>
      <c r="Q31" s="27">
        <f t="shared" si="7"/>
        <v>0</v>
      </c>
      <c r="R31" s="24" t="str">
        <f>Planejador!$I$7</f>
        <v/>
      </c>
      <c r="S31" s="16"/>
      <c r="T31" s="16"/>
      <c r="U31" s="16"/>
      <c r="V31" s="16"/>
      <c r="W31" s="16"/>
      <c r="X31" s="16"/>
      <c r="Y31" s="16"/>
      <c r="Z31" s="16"/>
    </row>
    <row r="32" ht="15.75" hidden="1" customHeight="1" outlineLevel="1">
      <c r="A32" s="17">
        <v>46052.0</v>
      </c>
      <c r="B32" s="18" t="s">
        <v>20</v>
      </c>
      <c r="C32" s="19"/>
      <c r="D32" s="20">
        <f>SUMIF('ADV - GG'!A:A,A32,'ADV - GG'!C:C)+SUMIF('ADV - FB'!A:A,$A32,'ADV - FB'!E:E)</f>
        <v>54.74</v>
      </c>
      <c r="E32" s="21">
        <f>SUMIF('ADV - GG'!A:A,A32,'ADV - GG'!H:H)+SUMIF('ADV - FB'!A:A,$A32,'ADV - FB'!I:I)+SUMIF('ADV - FB'!A:A,$A32,'ADV - FB'!J:J)+SUMIF('ADV - FB'!A:A,$A32,'ADV - FB'!K:K)</f>
        <v>8</v>
      </c>
      <c r="F32" s="20">
        <f t="shared" si="2"/>
        <v>6.8425</v>
      </c>
      <c r="G32" s="22"/>
      <c r="H32" s="22"/>
      <c r="I32" s="23"/>
      <c r="J32" s="22">
        <f>SUMIF('ADV - GA4'!A:A,A32,'ADV - GA4'!C:C)</f>
        <v>0</v>
      </c>
      <c r="K32" s="20" t="str">
        <f t="shared" si="4"/>
        <v/>
      </c>
      <c r="L32" s="24" t="str">
        <f t="shared" si="3"/>
        <v/>
      </c>
      <c r="M32" s="25">
        <f t="shared" si="5"/>
        <v>0</v>
      </c>
      <c r="N32" s="26">
        <f t="shared" si="6"/>
        <v>0</v>
      </c>
      <c r="O32" s="20" t="str">
        <f>iferror(Planejador!$I$13,"")</f>
        <v/>
      </c>
      <c r="P32" s="20" t="str">
        <f>Planejador!$I$5</f>
        <v/>
      </c>
      <c r="Q32" s="27">
        <f t="shared" si="7"/>
        <v>0</v>
      </c>
      <c r="R32" s="24" t="str">
        <f>Planejador!$I$7</f>
        <v/>
      </c>
      <c r="S32" s="16"/>
      <c r="T32" s="16"/>
      <c r="U32" s="16"/>
      <c r="V32" s="16"/>
      <c r="W32" s="16"/>
      <c r="X32" s="16"/>
      <c r="Y32" s="16"/>
      <c r="Z32" s="16"/>
    </row>
    <row r="33" ht="15.75" hidden="1" customHeight="1" outlineLevel="1">
      <c r="A33" s="17">
        <v>46053.0</v>
      </c>
      <c r="B33" s="18" t="s">
        <v>21</v>
      </c>
      <c r="C33" s="19"/>
      <c r="D33" s="20">
        <f>SUMIF('ADV - GG'!A:A,A33,'ADV - GG'!C:C)+SUMIF('ADV - FB'!A:A,$A33,'ADV - FB'!E:E)</f>
        <v>53.55</v>
      </c>
      <c r="E33" s="21">
        <f>SUMIF('ADV - GG'!A:A,A33,'ADV - GG'!H:H)+SUMIF('ADV - FB'!A:A,$A33,'ADV - FB'!I:I)+SUMIF('ADV - FB'!A:A,$A33,'ADV - FB'!J:J)+SUMIF('ADV - FB'!A:A,$A33,'ADV - FB'!K:K)</f>
        <v>3</v>
      </c>
      <c r="F33" s="20">
        <f t="shared" si="2"/>
        <v>17.85</v>
      </c>
      <c r="G33" s="22"/>
      <c r="H33" s="22"/>
      <c r="I33" s="23"/>
      <c r="J33" s="22">
        <f>SUMIF('ADV - GA4'!A:A,A33,'ADV - GA4'!C:C)</f>
        <v>0</v>
      </c>
      <c r="K33" s="20" t="str">
        <f t="shared" si="4"/>
        <v/>
      </c>
      <c r="L33" s="24" t="str">
        <f t="shared" si="3"/>
        <v/>
      </c>
      <c r="M33" s="25">
        <f t="shared" si="5"/>
        <v>0</v>
      </c>
      <c r="N33" s="26">
        <f t="shared" si="6"/>
        <v>0</v>
      </c>
      <c r="O33" s="20" t="str">
        <f>iferror(Planejador!$I$13,"")</f>
        <v/>
      </c>
      <c r="P33" s="20" t="str">
        <f>Planejador!$I$5</f>
        <v/>
      </c>
      <c r="Q33" s="27">
        <f t="shared" si="7"/>
        <v>0</v>
      </c>
      <c r="R33" s="24" t="str">
        <f>Planejador!$I$7</f>
        <v/>
      </c>
      <c r="S33" s="16"/>
      <c r="T33" s="16"/>
      <c r="U33" s="16"/>
      <c r="V33" s="16"/>
      <c r="W33" s="16"/>
      <c r="X33" s="16"/>
      <c r="Y33" s="16"/>
      <c r="Z33" s="16"/>
    </row>
    <row r="34" ht="22.5" customHeight="1" collapsed="1">
      <c r="A34" s="7" t="s">
        <v>26</v>
      </c>
      <c r="B34" s="8">
        <f>COUNTA(A35:A62)</f>
        <v>28</v>
      </c>
      <c r="C34" s="9"/>
      <c r="D34" s="10">
        <f>IFERROR(SUM(D35:D62),"")</f>
        <v>1840.12</v>
      </c>
      <c r="E34" s="11">
        <f>iferror(SUM(E35:E62),"")</f>
        <v>250</v>
      </c>
      <c r="F34" s="14">
        <f t="shared" si="2"/>
        <v>7.36048</v>
      </c>
      <c r="G34" s="13">
        <f t="shared" ref="G34:I34" si="8">iferror(SUM(G35:G62),"")</f>
        <v>0</v>
      </c>
      <c r="H34" s="13">
        <f t="shared" si="8"/>
        <v>0</v>
      </c>
      <c r="I34" s="10">
        <f t="shared" si="8"/>
        <v>0</v>
      </c>
      <c r="J34" s="13">
        <f>IFERROR(SUM(J35:J62),"")</f>
        <v>0</v>
      </c>
      <c r="K34" s="14" t="str">
        <f>iferror(D34/J34,"")</f>
        <v/>
      </c>
      <c r="L34" s="15" t="str">
        <f t="shared" si="3"/>
        <v/>
      </c>
      <c r="M34" s="10" t="str">
        <f>iferror(Planejador!$I$27,"")</f>
        <v/>
      </c>
      <c r="N34" s="13" t="str">
        <f>iferror(Planejador!$I$34,"")</f>
        <v/>
      </c>
      <c r="O34" s="14" t="str">
        <f>iferror(Planejador!$I$36,"")</f>
        <v/>
      </c>
      <c r="P34" s="14" t="str">
        <f>iferror(Planejador!$I$28,"")</f>
        <v/>
      </c>
      <c r="Q34" s="13" t="str">
        <f>iferror(Planejador!$I$33,"")</f>
        <v/>
      </c>
      <c r="R34" s="15" t="str">
        <f>Iferror(Planejador!$I$30,"")</f>
        <v/>
      </c>
      <c r="S34" s="16"/>
      <c r="T34" s="16"/>
      <c r="U34" s="16"/>
      <c r="V34" s="16"/>
      <c r="W34" s="16"/>
      <c r="X34" s="16"/>
      <c r="Y34" s="16"/>
      <c r="Z34" s="16"/>
    </row>
    <row r="35" ht="15.75" hidden="1" customHeight="1" outlineLevel="1">
      <c r="A35" s="17">
        <v>46054.0</v>
      </c>
      <c r="B35" s="18" t="str">
        <f t="shared" ref="B35:B62" si="9">TEXT(A35,"dddd")</f>
        <v>domingo</v>
      </c>
      <c r="C35" s="19"/>
      <c r="D35" s="20">
        <f>SUMIF('ADV - GG'!A:A,A35,'ADV - GG'!C:C)+SUMIF('ADV - FB'!A:A,$A35,'ADV - FB'!E:E)</f>
        <v>60.4</v>
      </c>
      <c r="E35" s="21">
        <f>SUMIF('ADV - GG'!A:A,A35,'ADV - GG'!H:H)+SUMIF('ADV - FB'!A:A,$A35,'ADV - FB'!I:I)+SUMIF('ADV - FB'!A:A,$A35,'ADV - FB'!J:J)+SUMIF('ADV - FB'!A:A,$A35,'ADV - FB'!K:K)</f>
        <v>6</v>
      </c>
      <c r="F35" s="20">
        <f t="shared" si="2"/>
        <v>10.06666667</v>
      </c>
      <c r="G35" s="22"/>
      <c r="H35" s="22"/>
      <c r="I35" s="23"/>
      <c r="J35" s="22">
        <f>SUMIF('ADV - GA4'!A:A,A35,'ADV - GA4'!C:C)</f>
        <v>0</v>
      </c>
      <c r="K35" s="20" t="str">
        <f t="shared" ref="K35:K62" si="10">IFERROR(D35/J35,"")</f>
        <v/>
      </c>
      <c r="L35" s="24" t="str">
        <f t="shared" si="3"/>
        <v/>
      </c>
      <c r="M35" s="25">
        <f t="shared" ref="M35:M62" si="11">$M$34/$B$34</f>
        <v>0</v>
      </c>
      <c r="N35" s="26">
        <f t="shared" ref="N35:N62" si="12">iferror($N$34/$B$34,"")</f>
        <v>0</v>
      </c>
      <c r="O35" s="20" t="str">
        <f>iferror(Planejador!$I$36,"")</f>
        <v/>
      </c>
      <c r="P35" s="20" t="str">
        <f>Planejador!$I$28</f>
        <v/>
      </c>
      <c r="Q35" s="27">
        <f t="shared" ref="Q35:Q62" si="13">iferror($Q$34/$B$34,"")</f>
        <v>0</v>
      </c>
      <c r="R35" s="24" t="str">
        <f>Planejador!$I$30</f>
        <v/>
      </c>
      <c r="S35" s="16"/>
      <c r="T35" s="16"/>
      <c r="U35" s="16"/>
      <c r="V35" s="16"/>
      <c r="W35" s="16"/>
      <c r="X35" s="16"/>
      <c r="Y35" s="16"/>
      <c r="Z35" s="16"/>
    </row>
    <row r="36" ht="15.75" hidden="1" customHeight="1" outlineLevel="1">
      <c r="A36" s="17">
        <v>46055.0</v>
      </c>
      <c r="B36" s="18" t="str">
        <f t="shared" si="9"/>
        <v>segunda-feira</v>
      </c>
      <c r="C36" s="19"/>
      <c r="D36" s="20">
        <f>SUMIF('ADV - GG'!A:A,A36,'ADV - GG'!C:C)+SUMIF('ADV - FB'!A:A,$A36,'ADV - FB'!E:E)</f>
        <v>58.38</v>
      </c>
      <c r="E36" s="21">
        <f>SUMIF('ADV - GG'!A:A,A36,'ADV - GG'!H:H)+SUMIF('ADV - FB'!A:A,$A36,'ADV - FB'!I:I)+SUMIF('ADV - FB'!A:A,$A36,'ADV - FB'!J:J)+SUMIF('ADV - FB'!A:A,$A36,'ADV - FB'!K:K)</f>
        <v>9</v>
      </c>
      <c r="F36" s="20">
        <f t="shared" si="2"/>
        <v>6.486666667</v>
      </c>
      <c r="G36" s="22"/>
      <c r="H36" s="22"/>
      <c r="I36" s="23"/>
      <c r="J36" s="22">
        <f>SUMIF('ADV - GA4'!A:A,A36,'ADV - GA4'!C:C)</f>
        <v>0</v>
      </c>
      <c r="K36" s="20" t="str">
        <f t="shared" si="10"/>
        <v/>
      </c>
      <c r="L36" s="24" t="str">
        <f t="shared" si="3"/>
        <v/>
      </c>
      <c r="M36" s="25">
        <f t="shared" si="11"/>
        <v>0</v>
      </c>
      <c r="N36" s="26">
        <f t="shared" si="12"/>
        <v>0</v>
      </c>
      <c r="O36" s="20" t="str">
        <f>iferror(Planejador!$I$36,"")</f>
        <v/>
      </c>
      <c r="P36" s="20" t="str">
        <f>Planejador!$I$28</f>
        <v/>
      </c>
      <c r="Q36" s="27">
        <f t="shared" si="13"/>
        <v>0</v>
      </c>
      <c r="R36" s="24" t="str">
        <f>Planejador!$I$30</f>
        <v/>
      </c>
      <c r="S36" s="16"/>
      <c r="T36" s="16"/>
      <c r="U36" s="16"/>
      <c r="V36" s="16"/>
      <c r="W36" s="16"/>
      <c r="X36" s="16"/>
      <c r="Y36" s="16"/>
      <c r="Z36" s="16"/>
    </row>
    <row r="37" ht="15.75" hidden="1" customHeight="1" outlineLevel="1">
      <c r="A37" s="17">
        <v>46056.0</v>
      </c>
      <c r="B37" s="18" t="str">
        <f t="shared" si="9"/>
        <v>terça-feira</v>
      </c>
      <c r="C37" s="19"/>
      <c r="D37" s="20">
        <f>SUMIF('ADV - GG'!A:A,A37,'ADV - GG'!C:C)+SUMIF('ADV - FB'!A:A,$A37,'ADV - FB'!E:E)</f>
        <v>59.4</v>
      </c>
      <c r="E37" s="21">
        <f>SUMIF('ADV - GG'!A:A,A37,'ADV - GG'!H:H)+SUMIF('ADV - FB'!A:A,$A37,'ADV - FB'!I:I)+SUMIF('ADV - FB'!A:A,$A37,'ADV - FB'!J:J)+SUMIF('ADV - FB'!A:A,$A37,'ADV - FB'!K:K)</f>
        <v>13</v>
      </c>
      <c r="F37" s="20">
        <f t="shared" si="2"/>
        <v>4.569230769</v>
      </c>
      <c r="G37" s="22"/>
      <c r="H37" s="22"/>
      <c r="I37" s="23"/>
      <c r="J37" s="22">
        <f>SUMIF('ADV - GA4'!A:A,A37,'ADV - GA4'!C:C)</f>
        <v>0</v>
      </c>
      <c r="K37" s="20" t="str">
        <f t="shared" si="10"/>
        <v/>
      </c>
      <c r="L37" s="24" t="str">
        <f t="shared" si="3"/>
        <v/>
      </c>
      <c r="M37" s="25">
        <f t="shared" si="11"/>
        <v>0</v>
      </c>
      <c r="N37" s="26">
        <f t="shared" si="12"/>
        <v>0</v>
      </c>
      <c r="O37" s="20" t="str">
        <f>iferror(Planejador!$I$36,"")</f>
        <v/>
      </c>
      <c r="P37" s="20" t="str">
        <f>Planejador!$I$28</f>
        <v/>
      </c>
      <c r="Q37" s="27">
        <f t="shared" si="13"/>
        <v>0</v>
      </c>
      <c r="R37" s="24" t="str">
        <f>Planejador!$I$30</f>
        <v/>
      </c>
      <c r="S37" s="16"/>
      <c r="T37" s="16"/>
      <c r="U37" s="16"/>
      <c r="V37" s="16"/>
      <c r="W37" s="16"/>
      <c r="X37" s="16"/>
      <c r="Y37" s="16"/>
      <c r="Z37" s="16"/>
    </row>
    <row r="38" ht="15.75" hidden="1" customHeight="1" outlineLevel="1">
      <c r="A38" s="17">
        <v>46057.0</v>
      </c>
      <c r="B38" s="18" t="str">
        <f t="shared" si="9"/>
        <v>quarta-feira</v>
      </c>
      <c r="C38" s="19"/>
      <c r="D38" s="20">
        <f>SUMIF('ADV - GG'!A:A,A38,'ADV - GG'!C:C)+SUMIF('ADV - FB'!A:A,$A38,'ADV - FB'!E:E)</f>
        <v>50.03</v>
      </c>
      <c r="E38" s="21">
        <f>SUMIF('ADV - GG'!A:A,A38,'ADV - GG'!H:H)+SUMIF('ADV - FB'!A:A,$A38,'ADV - FB'!I:I)+SUMIF('ADV - FB'!A:A,$A38,'ADV - FB'!J:J)+SUMIF('ADV - FB'!A:A,$A38,'ADV - FB'!K:K)</f>
        <v>6</v>
      </c>
      <c r="F38" s="20">
        <f t="shared" si="2"/>
        <v>8.338333333</v>
      </c>
      <c r="G38" s="22"/>
      <c r="H38" s="22"/>
      <c r="I38" s="23"/>
      <c r="J38" s="22">
        <f>SUMIF('ADV - GA4'!A:A,A38,'ADV - GA4'!C:C)</f>
        <v>0</v>
      </c>
      <c r="K38" s="20" t="str">
        <f t="shared" si="10"/>
        <v/>
      </c>
      <c r="L38" s="24" t="str">
        <f t="shared" si="3"/>
        <v/>
      </c>
      <c r="M38" s="25">
        <f t="shared" si="11"/>
        <v>0</v>
      </c>
      <c r="N38" s="26">
        <f t="shared" si="12"/>
        <v>0</v>
      </c>
      <c r="O38" s="20" t="str">
        <f>iferror(Planejador!$I$36,"")</f>
        <v/>
      </c>
      <c r="P38" s="20" t="str">
        <f>Planejador!$I$28</f>
        <v/>
      </c>
      <c r="Q38" s="27">
        <f t="shared" si="13"/>
        <v>0</v>
      </c>
      <c r="R38" s="24" t="str">
        <f>Planejador!$I$30</f>
        <v/>
      </c>
      <c r="S38" s="16"/>
      <c r="T38" s="16"/>
      <c r="U38" s="16"/>
      <c r="V38" s="16"/>
      <c r="W38" s="16"/>
      <c r="X38" s="16"/>
      <c r="Y38" s="16"/>
      <c r="Z38" s="16"/>
    </row>
    <row r="39" ht="15.75" hidden="1" customHeight="1" outlineLevel="1">
      <c r="A39" s="17">
        <v>46058.0</v>
      </c>
      <c r="B39" s="18" t="str">
        <f t="shared" si="9"/>
        <v>quinta-feira</v>
      </c>
      <c r="C39" s="19"/>
      <c r="D39" s="20">
        <f>SUMIF('ADV - GG'!A:A,A39,'ADV - GG'!C:C)+SUMIF('ADV - FB'!A:A,$A39,'ADV - FB'!E:E)</f>
        <v>49.87</v>
      </c>
      <c r="E39" s="21">
        <f>SUMIF('ADV - GG'!A:A,A39,'ADV - GG'!H:H)+SUMIF('ADV - FB'!A:A,$A39,'ADV - FB'!I:I)+SUMIF('ADV - FB'!A:A,$A39,'ADV - FB'!J:J)+SUMIF('ADV - FB'!A:A,$A39,'ADV - FB'!K:K)</f>
        <v>6</v>
      </c>
      <c r="F39" s="20">
        <f t="shared" si="2"/>
        <v>8.311666667</v>
      </c>
      <c r="G39" s="22"/>
      <c r="H39" s="22"/>
      <c r="I39" s="23"/>
      <c r="J39" s="22">
        <f>SUMIF('ADV - GA4'!A:A,A39,'ADV - GA4'!C:C)</f>
        <v>0</v>
      </c>
      <c r="K39" s="20" t="str">
        <f t="shared" si="10"/>
        <v/>
      </c>
      <c r="L39" s="24" t="str">
        <f t="shared" si="3"/>
        <v/>
      </c>
      <c r="M39" s="25">
        <f t="shared" si="11"/>
        <v>0</v>
      </c>
      <c r="N39" s="26">
        <f t="shared" si="12"/>
        <v>0</v>
      </c>
      <c r="O39" s="20" t="str">
        <f>iferror(Planejador!$I$36,"")</f>
        <v/>
      </c>
      <c r="P39" s="20" t="str">
        <f>Planejador!$I$28</f>
        <v/>
      </c>
      <c r="Q39" s="27">
        <f t="shared" si="13"/>
        <v>0</v>
      </c>
      <c r="R39" s="24" t="str">
        <f>Planejador!$I$30</f>
        <v/>
      </c>
      <c r="S39" s="16"/>
      <c r="T39" s="16"/>
      <c r="U39" s="16"/>
      <c r="V39" s="16"/>
      <c r="W39" s="16"/>
      <c r="X39" s="16"/>
      <c r="Y39" s="16"/>
      <c r="Z39" s="16"/>
    </row>
    <row r="40" ht="15.75" hidden="1" customHeight="1" outlineLevel="1">
      <c r="A40" s="17">
        <v>46059.0</v>
      </c>
      <c r="B40" s="18" t="str">
        <f t="shared" si="9"/>
        <v>sexta-feira</v>
      </c>
      <c r="C40" s="19"/>
      <c r="D40" s="20">
        <f>SUMIF('ADV - GG'!A:A,A40,'ADV - GG'!C:C)+SUMIF('ADV - FB'!A:A,$A40,'ADV - FB'!E:E)</f>
        <v>48.67</v>
      </c>
      <c r="E40" s="21">
        <f>SUMIF('ADV - GG'!A:A,A40,'ADV - GG'!H:H)+SUMIF('ADV - FB'!A:A,$A40,'ADV - FB'!I:I)+SUMIF('ADV - FB'!A:A,$A40,'ADV - FB'!J:J)+SUMIF('ADV - FB'!A:A,$A40,'ADV - FB'!K:K)</f>
        <v>5</v>
      </c>
      <c r="F40" s="20">
        <f t="shared" si="2"/>
        <v>9.734</v>
      </c>
      <c r="G40" s="22"/>
      <c r="H40" s="22"/>
      <c r="I40" s="23"/>
      <c r="J40" s="22">
        <f>SUMIF('ADV - GA4'!A:A,A40,'ADV - GA4'!C:C)</f>
        <v>0</v>
      </c>
      <c r="K40" s="20" t="str">
        <f t="shared" si="10"/>
        <v/>
      </c>
      <c r="L40" s="24" t="str">
        <f t="shared" si="3"/>
        <v/>
      </c>
      <c r="M40" s="25">
        <f t="shared" si="11"/>
        <v>0</v>
      </c>
      <c r="N40" s="26">
        <f t="shared" si="12"/>
        <v>0</v>
      </c>
      <c r="O40" s="20" t="str">
        <f>iferror(Planejador!$I$36,"")</f>
        <v/>
      </c>
      <c r="P40" s="20" t="str">
        <f>Planejador!$I$28</f>
        <v/>
      </c>
      <c r="Q40" s="27">
        <f t="shared" si="13"/>
        <v>0</v>
      </c>
      <c r="R40" s="24" t="str">
        <f>Planejador!$I$30</f>
        <v/>
      </c>
      <c r="S40" s="16"/>
      <c r="T40" s="16"/>
      <c r="U40" s="16"/>
      <c r="V40" s="16"/>
      <c r="W40" s="16"/>
      <c r="X40" s="16"/>
      <c r="Y40" s="16"/>
      <c r="Z40" s="16"/>
    </row>
    <row r="41" ht="15.75" hidden="1" customHeight="1" outlineLevel="1">
      <c r="A41" s="17">
        <v>46060.0</v>
      </c>
      <c r="B41" s="18" t="str">
        <f t="shared" si="9"/>
        <v>sábado</v>
      </c>
      <c r="C41" s="19"/>
      <c r="D41" s="20">
        <f>SUMIF('ADV - GG'!A:A,A41,'ADV - GG'!C:C)+SUMIF('ADV - FB'!A:A,$A41,'ADV - FB'!E:E)</f>
        <v>49.12</v>
      </c>
      <c r="E41" s="21">
        <f>SUMIF('ADV - GG'!A:A,A41,'ADV - GG'!H:H)+SUMIF('ADV - FB'!A:A,$A41,'ADV - FB'!I:I)+SUMIF('ADV - FB'!A:A,$A41,'ADV - FB'!J:J)+SUMIF('ADV - FB'!A:A,$A41,'ADV - FB'!K:K)</f>
        <v>6</v>
      </c>
      <c r="F41" s="20">
        <f t="shared" si="2"/>
        <v>8.186666667</v>
      </c>
      <c r="G41" s="22"/>
      <c r="H41" s="22"/>
      <c r="I41" s="23"/>
      <c r="J41" s="22">
        <f>SUMIF('ADV - GA4'!A:A,A41,'ADV - GA4'!C:C)</f>
        <v>0</v>
      </c>
      <c r="K41" s="20" t="str">
        <f t="shared" si="10"/>
        <v/>
      </c>
      <c r="L41" s="24" t="str">
        <f t="shared" si="3"/>
        <v/>
      </c>
      <c r="M41" s="25">
        <f t="shared" si="11"/>
        <v>0</v>
      </c>
      <c r="N41" s="26">
        <f t="shared" si="12"/>
        <v>0</v>
      </c>
      <c r="O41" s="20" t="str">
        <f>iferror(Planejador!$I$36,"")</f>
        <v/>
      </c>
      <c r="P41" s="20" t="str">
        <f>Planejador!$I$28</f>
        <v/>
      </c>
      <c r="Q41" s="27">
        <f t="shared" si="13"/>
        <v>0</v>
      </c>
      <c r="R41" s="24" t="str">
        <f>Planejador!$I$30</f>
        <v/>
      </c>
      <c r="S41" s="16"/>
      <c r="T41" s="16"/>
      <c r="U41" s="16"/>
      <c r="V41" s="16"/>
      <c r="W41" s="16"/>
      <c r="X41" s="16"/>
      <c r="Y41" s="16"/>
      <c r="Z41" s="16"/>
    </row>
    <row r="42" ht="15.75" hidden="1" customHeight="1" outlineLevel="1">
      <c r="A42" s="17">
        <v>46061.0</v>
      </c>
      <c r="B42" s="18" t="str">
        <f t="shared" si="9"/>
        <v>domingo</v>
      </c>
      <c r="C42" s="19"/>
      <c r="D42" s="20">
        <f>SUMIF('ADV - GG'!A:A,A42,'ADV - GG'!C:C)+SUMIF('ADV - FB'!A:A,$A42,'ADV - FB'!E:E)</f>
        <v>51.47</v>
      </c>
      <c r="E42" s="21">
        <f>SUMIF('ADV - GG'!A:A,A42,'ADV - GG'!H:H)+SUMIF('ADV - FB'!A:A,$A42,'ADV - FB'!I:I)+SUMIF('ADV - FB'!A:A,$A42,'ADV - FB'!J:J)+SUMIF('ADV - FB'!A:A,$A42,'ADV - FB'!K:K)</f>
        <v>7</v>
      </c>
      <c r="F42" s="20">
        <f t="shared" si="2"/>
        <v>7.352857143</v>
      </c>
      <c r="G42" s="22"/>
      <c r="H42" s="22"/>
      <c r="I42" s="23"/>
      <c r="J42" s="22">
        <f>SUMIF('ADV - GA4'!A:A,A42,'ADV - GA4'!C:C)</f>
        <v>0</v>
      </c>
      <c r="K42" s="20" t="str">
        <f t="shared" si="10"/>
        <v/>
      </c>
      <c r="L42" s="24" t="str">
        <f t="shared" si="3"/>
        <v/>
      </c>
      <c r="M42" s="25">
        <f t="shared" si="11"/>
        <v>0</v>
      </c>
      <c r="N42" s="26">
        <f t="shared" si="12"/>
        <v>0</v>
      </c>
      <c r="O42" s="20" t="str">
        <f>iferror(Planejador!$I$36,"")</f>
        <v/>
      </c>
      <c r="P42" s="20" t="str">
        <f>Planejador!$I$28</f>
        <v/>
      </c>
      <c r="Q42" s="27">
        <f t="shared" si="13"/>
        <v>0</v>
      </c>
      <c r="R42" s="24" t="str">
        <f>Planejador!$I$30</f>
        <v/>
      </c>
      <c r="S42" s="16"/>
      <c r="T42" s="16"/>
      <c r="U42" s="16"/>
      <c r="V42" s="16"/>
      <c r="W42" s="16"/>
      <c r="X42" s="16"/>
      <c r="Y42" s="16"/>
      <c r="Z42" s="16"/>
    </row>
    <row r="43" ht="15.75" hidden="1" customHeight="1" outlineLevel="1">
      <c r="A43" s="17">
        <v>46062.0</v>
      </c>
      <c r="B43" s="18" t="str">
        <f t="shared" si="9"/>
        <v>segunda-feira</v>
      </c>
      <c r="C43" s="19"/>
      <c r="D43" s="20">
        <f>SUMIF('ADV - GG'!A:A,A43,'ADV - GG'!C:C)+SUMIF('ADV - FB'!A:A,$A43,'ADV - FB'!E:E)</f>
        <v>60.67</v>
      </c>
      <c r="E43" s="21">
        <f>SUMIF('ADV - GG'!A:A,A43,'ADV - GG'!H:H)+SUMIF('ADV - FB'!A:A,$A43,'ADV - FB'!I:I)+SUMIF('ADV - FB'!A:A,$A43,'ADV - FB'!J:J)+SUMIF('ADV - FB'!A:A,$A43,'ADV - FB'!K:K)</f>
        <v>8</v>
      </c>
      <c r="F43" s="20">
        <f t="shared" si="2"/>
        <v>7.58375</v>
      </c>
      <c r="G43" s="22"/>
      <c r="H43" s="22"/>
      <c r="I43" s="23"/>
      <c r="J43" s="22">
        <f>SUMIF('ADV - GA4'!A:A,A43,'ADV - GA4'!C:C)</f>
        <v>0</v>
      </c>
      <c r="K43" s="20" t="str">
        <f t="shared" si="10"/>
        <v/>
      </c>
      <c r="L43" s="24" t="str">
        <f t="shared" si="3"/>
        <v/>
      </c>
      <c r="M43" s="25">
        <f t="shared" si="11"/>
        <v>0</v>
      </c>
      <c r="N43" s="26">
        <f t="shared" si="12"/>
        <v>0</v>
      </c>
      <c r="O43" s="20" t="str">
        <f>iferror(Planejador!$I$36,"")</f>
        <v/>
      </c>
      <c r="P43" s="20" t="str">
        <f>Planejador!$I$28</f>
        <v/>
      </c>
      <c r="Q43" s="27">
        <f t="shared" si="13"/>
        <v>0</v>
      </c>
      <c r="R43" s="24" t="str">
        <f>Planejador!$I$30</f>
        <v/>
      </c>
      <c r="S43" s="16"/>
      <c r="T43" s="16"/>
      <c r="U43" s="16"/>
      <c r="V43" s="16"/>
      <c r="W43" s="16"/>
      <c r="X43" s="16"/>
      <c r="Y43" s="16"/>
      <c r="Z43" s="16"/>
    </row>
    <row r="44" ht="15.75" hidden="1" customHeight="1" outlineLevel="1">
      <c r="A44" s="17">
        <v>46063.0</v>
      </c>
      <c r="B44" s="18" t="str">
        <f t="shared" si="9"/>
        <v>terça-feira</v>
      </c>
      <c r="C44" s="19"/>
      <c r="D44" s="20">
        <f>SUMIF('ADV - GG'!A:A,A44,'ADV - GG'!C:C)+SUMIF('ADV - FB'!A:A,$A44,'ADV - FB'!E:E)</f>
        <v>59.41</v>
      </c>
      <c r="E44" s="21">
        <f>SUMIF('ADV - GG'!A:A,A44,'ADV - GG'!H:H)+SUMIF('ADV - FB'!A:A,$A44,'ADV - FB'!I:I)+SUMIF('ADV - FB'!A:A,$A44,'ADV - FB'!J:J)+SUMIF('ADV - FB'!A:A,$A44,'ADV - FB'!K:K)</f>
        <v>7</v>
      </c>
      <c r="F44" s="20">
        <f t="shared" si="2"/>
        <v>8.487142857</v>
      </c>
      <c r="G44" s="22"/>
      <c r="H44" s="22"/>
      <c r="I44" s="23"/>
      <c r="J44" s="22">
        <f>SUMIF('ADV - GA4'!A:A,A44,'ADV - GA4'!C:C)</f>
        <v>0</v>
      </c>
      <c r="K44" s="20" t="str">
        <f t="shared" si="10"/>
        <v/>
      </c>
      <c r="L44" s="24" t="str">
        <f t="shared" si="3"/>
        <v/>
      </c>
      <c r="M44" s="25">
        <f t="shared" si="11"/>
        <v>0</v>
      </c>
      <c r="N44" s="26">
        <f t="shared" si="12"/>
        <v>0</v>
      </c>
      <c r="O44" s="20" t="str">
        <f>iferror(Planejador!$I$36,"")</f>
        <v/>
      </c>
      <c r="P44" s="20" t="str">
        <f>Planejador!$I$28</f>
        <v/>
      </c>
      <c r="Q44" s="27">
        <f t="shared" si="13"/>
        <v>0</v>
      </c>
      <c r="R44" s="24" t="str">
        <f>Planejador!$I$30</f>
        <v/>
      </c>
      <c r="S44" s="16"/>
      <c r="T44" s="16"/>
      <c r="U44" s="16"/>
      <c r="V44" s="16"/>
      <c r="W44" s="16"/>
      <c r="X44" s="16"/>
      <c r="Y44" s="16"/>
      <c r="Z44" s="16"/>
    </row>
    <row r="45" ht="15.75" hidden="1" customHeight="1" outlineLevel="1">
      <c r="A45" s="17">
        <v>46064.0</v>
      </c>
      <c r="B45" s="18" t="str">
        <f t="shared" si="9"/>
        <v>quarta-feira</v>
      </c>
      <c r="C45" s="19"/>
      <c r="D45" s="20">
        <f>SUMIF('ADV - GG'!A:A,A45,'ADV - GG'!C:C)+SUMIF('ADV - FB'!A:A,$A45,'ADV - FB'!E:E)</f>
        <v>56.86</v>
      </c>
      <c r="E45" s="21">
        <f>SUMIF('ADV - GG'!A:A,A45,'ADV - GG'!H:H)+SUMIF('ADV - FB'!A:A,$A45,'ADV - FB'!I:I)+SUMIF('ADV - FB'!A:A,$A45,'ADV - FB'!J:J)+SUMIF('ADV - FB'!A:A,$A45,'ADV - FB'!K:K)</f>
        <v>9</v>
      </c>
      <c r="F45" s="20">
        <f t="shared" si="2"/>
        <v>6.317777778</v>
      </c>
      <c r="G45" s="22"/>
      <c r="H45" s="22"/>
      <c r="I45" s="23"/>
      <c r="J45" s="22">
        <f>SUMIF('ADV - GA4'!A:A,A45,'ADV - GA4'!C:C)</f>
        <v>0</v>
      </c>
      <c r="K45" s="20" t="str">
        <f t="shared" si="10"/>
        <v/>
      </c>
      <c r="L45" s="24" t="str">
        <f t="shared" si="3"/>
        <v/>
      </c>
      <c r="M45" s="25">
        <f t="shared" si="11"/>
        <v>0</v>
      </c>
      <c r="N45" s="26">
        <f t="shared" si="12"/>
        <v>0</v>
      </c>
      <c r="O45" s="20" t="str">
        <f>iferror(Planejador!$I$36,"")</f>
        <v/>
      </c>
      <c r="P45" s="20" t="str">
        <f>Planejador!$I$28</f>
        <v/>
      </c>
      <c r="Q45" s="27">
        <f t="shared" si="13"/>
        <v>0</v>
      </c>
      <c r="R45" s="24" t="str">
        <f>Planejador!$I$30</f>
        <v/>
      </c>
      <c r="S45" s="16"/>
      <c r="T45" s="16"/>
      <c r="U45" s="16"/>
      <c r="V45" s="16"/>
      <c r="W45" s="16"/>
      <c r="X45" s="16"/>
      <c r="Y45" s="16"/>
      <c r="Z45" s="16"/>
    </row>
    <row r="46" ht="15.75" hidden="1" customHeight="1" outlineLevel="1">
      <c r="A46" s="17">
        <v>46065.0</v>
      </c>
      <c r="B46" s="18" t="str">
        <f t="shared" si="9"/>
        <v>quinta-feira</v>
      </c>
      <c r="C46" s="19"/>
      <c r="D46" s="20">
        <f>SUMIF('ADV - GG'!A:A,A46,'ADV - GG'!C:C)+SUMIF('ADV - FB'!A:A,$A46,'ADV - FB'!E:E)</f>
        <v>57.92</v>
      </c>
      <c r="E46" s="21">
        <f>SUMIF('ADV - GG'!A:A,A46,'ADV - GG'!H:H)+SUMIF('ADV - FB'!A:A,$A46,'ADV - FB'!I:I)+SUMIF('ADV - FB'!A:A,$A46,'ADV - FB'!J:J)+SUMIF('ADV - FB'!A:A,$A46,'ADV - FB'!K:K)</f>
        <v>7</v>
      </c>
      <c r="F46" s="20">
        <f t="shared" si="2"/>
        <v>8.274285714</v>
      </c>
      <c r="G46" s="22"/>
      <c r="H46" s="22"/>
      <c r="I46" s="23"/>
      <c r="J46" s="22">
        <f>SUMIF('ADV - GA4'!A:A,A46,'ADV - GA4'!C:C)</f>
        <v>0</v>
      </c>
      <c r="K46" s="20" t="str">
        <f t="shared" si="10"/>
        <v/>
      </c>
      <c r="L46" s="24" t="str">
        <f t="shared" si="3"/>
        <v/>
      </c>
      <c r="M46" s="25">
        <f t="shared" si="11"/>
        <v>0</v>
      </c>
      <c r="N46" s="26">
        <f t="shared" si="12"/>
        <v>0</v>
      </c>
      <c r="O46" s="20" t="str">
        <f>iferror(Planejador!$I$36,"")</f>
        <v/>
      </c>
      <c r="P46" s="20" t="str">
        <f>Planejador!$I$28</f>
        <v/>
      </c>
      <c r="Q46" s="27">
        <f t="shared" si="13"/>
        <v>0</v>
      </c>
      <c r="R46" s="24" t="str">
        <f>Planejador!$I$30</f>
        <v/>
      </c>
      <c r="S46" s="16"/>
      <c r="T46" s="16"/>
      <c r="U46" s="16"/>
      <c r="V46" s="16"/>
      <c r="W46" s="16"/>
      <c r="X46" s="16"/>
      <c r="Y46" s="16"/>
      <c r="Z46" s="16"/>
    </row>
    <row r="47" ht="15.75" hidden="1" customHeight="1" outlineLevel="1">
      <c r="A47" s="17">
        <v>46066.0</v>
      </c>
      <c r="B47" s="18" t="str">
        <f t="shared" si="9"/>
        <v>sexta-feira</v>
      </c>
      <c r="C47" s="19"/>
      <c r="D47" s="20">
        <f>SUMIF('ADV - GG'!A:A,A47,'ADV - GG'!C:C)+SUMIF('ADV - FB'!A:A,$A47,'ADV - FB'!E:E)</f>
        <v>76.16</v>
      </c>
      <c r="E47" s="21">
        <f>SUMIF('ADV - GG'!A:A,A47,'ADV - GG'!H:H)+SUMIF('ADV - FB'!A:A,$A47,'ADV - FB'!I:I)+SUMIF('ADV - FB'!A:A,$A47,'ADV - FB'!J:J)+SUMIF('ADV - FB'!A:A,$A47,'ADV - FB'!K:K)</f>
        <v>17</v>
      </c>
      <c r="F47" s="20">
        <f t="shared" si="2"/>
        <v>4.48</v>
      </c>
      <c r="G47" s="22"/>
      <c r="H47" s="22"/>
      <c r="I47" s="23"/>
      <c r="J47" s="22">
        <f>SUMIF('ADV - GA4'!A:A,A47,'ADV - GA4'!C:C)</f>
        <v>0</v>
      </c>
      <c r="K47" s="20" t="str">
        <f t="shared" si="10"/>
        <v/>
      </c>
      <c r="L47" s="24" t="str">
        <f t="shared" si="3"/>
        <v/>
      </c>
      <c r="M47" s="25">
        <f t="shared" si="11"/>
        <v>0</v>
      </c>
      <c r="N47" s="26">
        <f t="shared" si="12"/>
        <v>0</v>
      </c>
      <c r="O47" s="20" t="str">
        <f>iferror(Planejador!$I$36,"")</f>
        <v/>
      </c>
      <c r="P47" s="20" t="str">
        <f>Planejador!$I$28</f>
        <v/>
      </c>
      <c r="Q47" s="27">
        <f t="shared" si="13"/>
        <v>0</v>
      </c>
      <c r="R47" s="24" t="str">
        <f>Planejador!$I$30</f>
        <v/>
      </c>
      <c r="S47" s="16"/>
      <c r="T47" s="16"/>
      <c r="U47" s="16"/>
      <c r="V47" s="16"/>
      <c r="W47" s="16"/>
      <c r="X47" s="16"/>
      <c r="Y47" s="16"/>
      <c r="Z47" s="16"/>
    </row>
    <row r="48" ht="15.75" hidden="1" customHeight="1" outlineLevel="1">
      <c r="A48" s="17">
        <v>46067.0</v>
      </c>
      <c r="B48" s="18" t="str">
        <f t="shared" si="9"/>
        <v>sábado</v>
      </c>
      <c r="C48" s="19"/>
      <c r="D48" s="20">
        <f>SUMIF('ADV - GG'!A:A,A48,'ADV - GG'!C:C)+SUMIF('ADV - FB'!A:A,$A48,'ADV - FB'!E:E)</f>
        <v>58.93</v>
      </c>
      <c r="E48" s="21">
        <f>SUMIF('ADV - GG'!A:A,A48,'ADV - GG'!H:H)+SUMIF('ADV - FB'!A:A,$A48,'ADV - FB'!I:I)+SUMIF('ADV - FB'!A:A,$A48,'ADV - FB'!J:J)+SUMIF('ADV - FB'!A:A,$A48,'ADV - FB'!K:K)</f>
        <v>3</v>
      </c>
      <c r="F48" s="20">
        <f t="shared" si="2"/>
        <v>19.64333333</v>
      </c>
      <c r="G48" s="22"/>
      <c r="H48" s="22"/>
      <c r="I48" s="23"/>
      <c r="J48" s="22">
        <f>SUMIF('ADV - GA4'!A:A,A48,'ADV - GA4'!C:C)</f>
        <v>0</v>
      </c>
      <c r="K48" s="20" t="str">
        <f t="shared" si="10"/>
        <v/>
      </c>
      <c r="L48" s="24" t="str">
        <f t="shared" si="3"/>
        <v/>
      </c>
      <c r="M48" s="25">
        <f t="shared" si="11"/>
        <v>0</v>
      </c>
      <c r="N48" s="26">
        <f t="shared" si="12"/>
        <v>0</v>
      </c>
      <c r="O48" s="20" t="str">
        <f>iferror(Planejador!$I$36,"")</f>
        <v/>
      </c>
      <c r="P48" s="20" t="str">
        <f>Planejador!$I$28</f>
        <v/>
      </c>
      <c r="Q48" s="27">
        <f t="shared" si="13"/>
        <v>0</v>
      </c>
      <c r="R48" s="24" t="str">
        <f>Planejador!$I$30</f>
        <v/>
      </c>
      <c r="S48" s="16"/>
      <c r="T48" s="16"/>
      <c r="U48" s="16"/>
      <c r="V48" s="16"/>
      <c r="W48" s="16"/>
      <c r="X48" s="16"/>
      <c r="Y48" s="16"/>
      <c r="Z48" s="16"/>
    </row>
    <row r="49" ht="15.75" hidden="1" customHeight="1" outlineLevel="1">
      <c r="A49" s="17">
        <v>46068.0</v>
      </c>
      <c r="B49" s="18" t="str">
        <f t="shared" si="9"/>
        <v>domingo</v>
      </c>
      <c r="C49" s="19"/>
      <c r="D49" s="20">
        <f>SUMIF('ADV - GG'!A:A,A49,'ADV - GG'!C:C)+SUMIF('ADV - FB'!A:A,$A49,'ADV - FB'!E:E)</f>
        <v>70.31</v>
      </c>
      <c r="E49" s="21">
        <f>SUMIF('ADV - GG'!A:A,A49,'ADV - GG'!H:H)+SUMIF('ADV - FB'!A:A,$A49,'ADV - FB'!I:I)+SUMIF('ADV - FB'!A:A,$A49,'ADV - FB'!J:J)+SUMIF('ADV - FB'!A:A,$A49,'ADV - FB'!K:K)</f>
        <v>8</v>
      </c>
      <c r="F49" s="20">
        <f t="shared" si="2"/>
        <v>8.78875</v>
      </c>
      <c r="G49" s="22"/>
      <c r="H49" s="22"/>
      <c r="I49" s="23"/>
      <c r="J49" s="22">
        <f>SUMIF('ADV - GA4'!A:A,A49,'ADV - GA4'!C:C)</f>
        <v>0</v>
      </c>
      <c r="K49" s="20" t="str">
        <f t="shared" si="10"/>
        <v/>
      </c>
      <c r="L49" s="24" t="str">
        <f t="shared" si="3"/>
        <v/>
      </c>
      <c r="M49" s="25">
        <f t="shared" si="11"/>
        <v>0</v>
      </c>
      <c r="N49" s="26">
        <f t="shared" si="12"/>
        <v>0</v>
      </c>
      <c r="O49" s="20" t="str">
        <f>iferror(Planejador!$I$36,"")</f>
        <v/>
      </c>
      <c r="P49" s="20" t="str">
        <f>Planejador!$I$28</f>
        <v/>
      </c>
      <c r="Q49" s="27">
        <f t="shared" si="13"/>
        <v>0</v>
      </c>
      <c r="R49" s="24" t="str">
        <f>Planejador!$I$30</f>
        <v/>
      </c>
      <c r="S49" s="16"/>
      <c r="T49" s="16"/>
      <c r="U49" s="16"/>
      <c r="V49" s="16"/>
      <c r="W49" s="16"/>
      <c r="X49" s="16"/>
      <c r="Y49" s="16"/>
      <c r="Z49" s="16"/>
    </row>
    <row r="50" ht="15.75" hidden="1" customHeight="1" outlineLevel="1">
      <c r="A50" s="17">
        <v>46069.0</v>
      </c>
      <c r="B50" s="18" t="str">
        <f t="shared" si="9"/>
        <v>segunda-feira</v>
      </c>
      <c r="C50" s="19"/>
      <c r="D50" s="20">
        <f>SUMIF('ADV - GG'!A:A,A50,'ADV - GG'!C:C)+SUMIF('ADV - FB'!A:A,$A50,'ADV - FB'!E:E)</f>
        <v>77.4</v>
      </c>
      <c r="E50" s="21">
        <f>SUMIF('ADV - GG'!A:A,A50,'ADV - GG'!H:H)+SUMIF('ADV - FB'!A:A,$A50,'ADV - FB'!I:I)+SUMIF('ADV - FB'!A:A,$A50,'ADV - FB'!J:J)+SUMIF('ADV - FB'!A:A,$A50,'ADV - FB'!K:K)</f>
        <v>14</v>
      </c>
      <c r="F50" s="20">
        <f t="shared" si="2"/>
        <v>5.528571429</v>
      </c>
      <c r="G50" s="22"/>
      <c r="H50" s="22"/>
      <c r="I50" s="23"/>
      <c r="J50" s="22">
        <f>SUMIF('ADV - GA4'!A:A,A50,'ADV - GA4'!C:C)</f>
        <v>0</v>
      </c>
      <c r="K50" s="20" t="str">
        <f t="shared" si="10"/>
        <v/>
      </c>
      <c r="L50" s="24" t="str">
        <f t="shared" si="3"/>
        <v/>
      </c>
      <c r="M50" s="25">
        <f t="shared" si="11"/>
        <v>0</v>
      </c>
      <c r="N50" s="26">
        <f t="shared" si="12"/>
        <v>0</v>
      </c>
      <c r="O50" s="20" t="str">
        <f>iferror(Planejador!$I$36,"")</f>
        <v/>
      </c>
      <c r="P50" s="20" t="str">
        <f>Planejador!$I$28</f>
        <v/>
      </c>
      <c r="Q50" s="27">
        <f t="shared" si="13"/>
        <v>0</v>
      </c>
      <c r="R50" s="24" t="str">
        <f>Planejador!$I$30</f>
        <v/>
      </c>
      <c r="S50" s="16"/>
      <c r="T50" s="16"/>
      <c r="U50" s="16"/>
      <c r="V50" s="16"/>
      <c r="W50" s="16"/>
      <c r="X50" s="16"/>
      <c r="Y50" s="16"/>
      <c r="Z50" s="16"/>
    </row>
    <row r="51" ht="15.75" hidden="1" customHeight="1" outlineLevel="1">
      <c r="A51" s="17">
        <v>46070.0</v>
      </c>
      <c r="B51" s="18" t="str">
        <f t="shared" si="9"/>
        <v>terça-feira</v>
      </c>
      <c r="C51" s="19"/>
      <c r="D51" s="20">
        <f>SUMIF('ADV - GG'!A:A,A51,'ADV - GG'!C:C)+SUMIF('ADV - FB'!A:A,$A51,'ADV - FB'!E:E)</f>
        <v>72.67</v>
      </c>
      <c r="E51" s="21">
        <f>SUMIF('ADV - GG'!A:A,A51,'ADV - GG'!H:H)+SUMIF('ADV - FB'!A:A,$A51,'ADV - FB'!I:I)+SUMIF('ADV - FB'!A:A,$A51,'ADV - FB'!J:J)+SUMIF('ADV - FB'!A:A,$A51,'ADV - FB'!K:K)</f>
        <v>11</v>
      </c>
      <c r="F51" s="20">
        <f t="shared" si="2"/>
        <v>6.606363636</v>
      </c>
      <c r="G51" s="22"/>
      <c r="H51" s="22"/>
      <c r="I51" s="23"/>
      <c r="J51" s="22">
        <f>SUMIF('ADV - GA4'!A:A,A51,'ADV - GA4'!C:C)</f>
        <v>0</v>
      </c>
      <c r="K51" s="20" t="str">
        <f t="shared" si="10"/>
        <v/>
      </c>
      <c r="L51" s="24" t="str">
        <f t="shared" si="3"/>
        <v/>
      </c>
      <c r="M51" s="25">
        <f t="shared" si="11"/>
        <v>0</v>
      </c>
      <c r="N51" s="26">
        <f t="shared" si="12"/>
        <v>0</v>
      </c>
      <c r="O51" s="20" t="str">
        <f>iferror(Planejador!$I$36,"")</f>
        <v/>
      </c>
      <c r="P51" s="20" t="str">
        <f>Planejador!$I$28</f>
        <v/>
      </c>
      <c r="Q51" s="27">
        <f t="shared" si="13"/>
        <v>0</v>
      </c>
      <c r="R51" s="24" t="str">
        <f>Planejador!$I$30</f>
        <v/>
      </c>
      <c r="S51" s="16"/>
      <c r="T51" s="16"/>
      <c r="U51" s="16"/>
      <c r="V51" s="16"/>
      <c r="W51" s="16"/>
      <c r="X51" s="16"/>
      <c r="Y51" s="16"/>
      <c r="Z51" s="16"/>
    </row>
    <row r="52" ht="15.75" hidden="1" customHeight="1" outlineLevel="1">
      <c r="A52" s="17">
        <v>46071.0</v>
      </c>
      <c r="B52" s="18" t="str">
        <f t="shared" si="9"/>
        <v>quarta-feira</v>
      </c>
      <c r="C52" s="19"/>
      <c r="D52" s="20">
        <f>SUMIF('ADV - GG'!A:A,A52,'ADV - GG'!C:C)+SUMIF('ADV - FB'!A:A,$A52,'ADV - FB'!E:E)</f>
        <v>76.46</v>
      </c>
      <c r="E52" s="21">
        <f>SUMIF('ADV - GG'!A:A,A52,'ADV - GG'!H:H)+SUMIF('ADV - FB'!A:A,$A52,'ADV - FB'!I:I)+SUMIF('ADV - FB'!A:A,$A52,'ADV - FB'!J:J)+SUMIF('ADV - FB'!A:A,$A52,'ADV - FB'!K:K)</f>
        <v>8</v>
      </c>
      <c r="F52" s="20">
        <f t="shared" si="2"/>
        <v>9.5575</v>
      </c>
      <c r="G52" s="22"/>
      <c r="H52" s="22"/>
      <c r="I52" s="23"/>
      <c r="J52" s="22">
        <f>SUMIF('ADV - GA4'!A:A,A52,'ADV - GA4'!C:C)</f>
        <v>0</v>
      </c>
      <c r="K52" s="20" t="str">
        <f t="shared" si="10"/>
        <v/>
      </c>
      <c r="L52" s="24" t="str">
        <f t="shared" si="3"/>
        <v/>
      </c>
      <c r="M52" s="25">
        <f t="shared" si="11"/>
        <v>0</v>
      </c>
      <c r="N52" s="26">
        <f t="shared" si="12"/>
        <v>0</v>
      </c>
      <c r="O52" s="20" t="str">
        <f>iferror(Planejador!$I$36,"")</f>
        <v/>
      </c>
      <c r="P52" s="20" t="str">
        <f>Planejador!$I$28</f>
        <v/>
      </c>
      <c r="Q52" s="27">
        <f t="shared" si="13"/>
        <v>0</v>
      </c>
      <c r="R52" s="24" t="str">
        <f>Planejador!$I$30</f>
        <v/>
      </c>
      <c r="S52" s="16"/>
      <c r="T52" s="16"/>
      <c r="U52" s="16"/>
      <c r="V52" s="16"/>
      <c r="W52" s="16"/>
      <c r="X52" s="16"/>
      <c r="Y52" s="16"/>
      <c r="Z52" s="16"/>
    </row>
    <row r="53" ht="15.75" hidden="1" customHeight="1" outlineLevel="1">
      <c r="A53" s="17">
        <v>46072.0</v>
      </c>
      <c r="B53" s="18" t="str">
        <f t="shared" si="9"/>
        <v>quinta-feira</v>
      </c>
      <c r="C53" s="19"/>
      <c r="D53" s="20">
        <f>SUMIF('ADV - GG'!A:A,A53,'ADV - GG'!C:C)+SUMIF('ADV - FB'!A:A,$A53,'ADV - FB'!E:E)</f>
        <v>76.2</v>
      </c>
      <c r="E53" s="21">
        <f>SUMIF('ADV - GG'!A:A,A53,'ADV - GG'!H:H)+SUMIF('ADV - FB'!A:A,$A53,'ADV - FB'!I:I)+SUMIF('ADV - FB'!A:A,$A53,'ADV - FB'!J:J)+SUMIF('ADV - FB'!A:A,$A53,'ADV - FB'!K:K)</f>
        <v>15</v>
      </c>
      <c r="F53" s="20">
        <f t="shared" si="2"/>
        <v>5.08</v>
      </c>
      <c r="G53" s="22"/>
      <c r="H53" s="22"/>
      <c r="I53" s="23"/>
      <c r="J53" s="22">
        <f>SUMIF('ADV - GA4'!A:A,A53,'ADV - GA4'!C:C)</f>
        <v>0</v>
      </c>
      <c r="K53" s="20" t="str">
        <f t="shared" si="10"/>
        <v/>
      </c>
      <c r="L53" s="24" t="str">
        <f t="shared" si="3"/>
        <v/>
      </c>
      <c r="M53" s="25">
        <f t="shared" si="11"/>
        <v>0</v>
      </c>
      <c r="N53" s="26">
        <f t="shared" si="12"/>
        <v>0</v>
      </c>
      <c r="O53" s="20" t="str">
        <f>iferror(Planejador!$I$36,"")</f>
        <v/>
      </c>
      <c r="P53" s="20" t="str">
        <f>Planejador!$I$28</f>
        <v/>
      </c>
      <c r="Q53" s="27">
        <f t="shared" si="13"/>
        <v>0</v>
      </c>
      <c r="R53" s="24" t="str">
        <f>Planejador!$I$30</f>
        <v/>
      </c>
      <c r="S53" s="16"/>
      <c r="T53" s="16"/>
      <c r="U53" s="16"/>
      <c r="V53" s="16"/>
      <c r="W53" s="16"/>
      <c r="X53" s="16"/>
      <c r="Y53" s="16"/>
      <c r="Z53" s="16"/>
    </row>
    <row r="54" ht="15.75" hidden="1" customHeight="1" outlineLevel="1">
      <c r="A54" s="17">
        <v>46073.0</v>
      </c>
      <c r="B54" s="18" t="str">
        <f t="shared" si="9"/>
        <v>sexta-feira</v>
      </c>
      <c r="C54" s="19"/>
      <c r="D54" s="20">
        <f>SUMIF('ADV - GG'!A:A,A54,'ADV - GG'!C:C)+SUMIF('ADV - FB'!A:A,$A54,'ADV - FB'!E:E)</f>
        <v>79.74</v>
      </c>
      <c r="E54" s="21">
        <f>SUMIF('ADV - GG'!A:A,A54,'ADV - GG'!H:H)+SUMIF('ADV - FB'!A:A,$A54,'ADV - FB'!I:I)+SUMIF('ADV - FB'!A:A,$A54,'ADV - FB'!J:J)+SUMIF('ADV - FB'!A:A,$A54,'ADV - FB'!K:K)</f>
        <v>12</v>
      </c>
      <c r="F54" s="20">
        <f t="shared" si="2"/>
        <v>6.645</v>
      </c>
      <c r="G54" s="22"/>
      <c r="H54" s="22"/>
      <c r="I54" s="23"/>
      <c r="J54" s="22">
        <f>SUMIF('ADV - GA4'!A:A,A54,'ADV - GA4'!C:C)</f>
        <v>0</v>
      </c>
      <c r="K54" s="20" t="str">
        <f t="shared" si="10"/>
        <v/>
      </c>
      <c r="L54" s="24" t="str">
        <f t="shared" si="3"/>
        <v/>
      </c>
      <c r="M54" s="25">
        <f t="shared" si="11"/>
        <v>0</v>
      </c>
      <c r="N54" s="26">
        <f t="shared" si="12"/>
        <v>0</v>
      </c>
      <c r="O54" s="20" t="str">
        <f>iferror(Planejador!$I$36,"")</f>
        <v/>
      </c>
      <c r="P54" s="20" t="str">
        <f>Planejador!$I$28</f>
        <v/>
      </c>
      <c r="Q54" s="27">
        <f t="shared" si="13"/>
        <v>0</v>
      </c>
      <c r="R54" s="24" t="str">
        <f>Planejador!$I$30</f>
        <v/>
      </c>
      <c r="S54" s="16"/>
      <c r="T54" s="16"/>
      <c r="U54" s="16"/>
      <c r="V54" s="16"/>
      <c r="W54" s="16"/>
      <c r="X54" s="16"/>
      <c r="Y54" s="16"/>
      <c r="Z54" s="16"/>
    </row>
    <row r="55" ht="15.75" hidden="1" customHeight="1" outlineLevel="1">
      <c r="A55" s="17">
        <v>46074.0</v>
      </c>
      <c r="B55" s="18" t="str">
        <f t="shared" si="9"/>
        <v>sábado</v>
      </c>
      <c r="C55" s="19"/>
      <c r="D55" s="20">
        <f>SUMIF('ADV - GG'!A:A,A55,'ADV - GG'!C:C)+SUMIF('ADV - FB'!A:A,$A55,'ADV - FB'!E:E)</f>
        <v>66.17</v>
      </c>
      <c r="E55" s="21">
        <f>SUMIF('ADV - GG'!A:A,A55,'ADV - GG'!H:H)+SUMIF('ADV - FB'!A:A,$A55,'ADV - FB'!I:I)+SUMIF('ADV - FB'!A:A,$A55,'ADV - FB'!J:J)+SUMIF('ADV - FB'!A:A,$A55,'ADV - FB'!K:K)</f>
        <v>12</v>
      </c>
      <c r="F55" s="20">
        <f t="shared" si="2"/>
        <v>5.514166667</v>
      </c>
      <c r="G55" s="22"/>
      <c r="H55" s="22"/>
      <c r="I55" s="23"/>
      <c r="J55" s="22">
        <f>SUMIF('ADV - GA4'!A:A,A55,'ADV - GA4'!C:C)</f>
        <v>0</v>
      </c>
      <c r="K55" s="20" t="str">
        <f t="shared" si="10"/>
        <v/>
      </c>
      <c r="L55" s="24" t="str">
        <f t="shared" si="3"/>
        <v/>
      </c>
      <c r="M55" s="25">
        <f t="shared" si="11"/>
        <v>0</v>
      </c>
      <c r="N55" s="26">
        <f t="shared" si="12"/>
        <v>0</v>
      </c>
      <c r="O55" s="20" t="str">
        <f>iferror(Planejador!$I$36,"")</f>
        <v/>
      </c>
      <c r="P55" s="20" t="str">
        <f>Planejador!$I$28</f>
        <v/>
      </c>
      <c r="Q55" s="27">
        <f t="shared" si="13"/>
        <v>0</v>
      </c>
      <c r="R55" s="24" t="str">
        <f>Planejador!$I$30</f>
        <v/>
      </c>
      <c r="S55" s="16"/>
      <c r="T55" s="16"/>
      <c r="U55" s="16"/>
      <c r="V55" s="16"/>
      <c r="W55" s="16"/>
      <c r="X55" s="16"/>
      <c r="Y55" s="16"/>
      <c r="Z55" s="16"/>
    </row>
    <row r="56" ht="15.75" hidden="1" customHeight="1" outlineLevel="1">
      <c r="A56" s="17">
        <v>46075.0</v>
      </c>
      <c r="B56" s="18" t="str">
        <f t="shared" si="9"/>
        <v>domingo</v>
      </c>
      <c r="C56" s="19"/>
      <c r="D56" s="20">
        <f>SUMIF('ADV - GG'!A:A,A56,'ADV - GG'!C:C)+SUMIF('ADV - FB'!A:A,$A56,'ADV - FB'!E:E)</f>
        <v>69.4</v>
      </c>
      <c r="E56" s="21">
        <f>SUMIF('ADV - GG'!A:A,A56,'ADV - GG'!H:H)+SUMIF('ADV - FB'!A:A,$A56,'ADV - FB'!I:I)+SUMIF('ADV - FB'!A:A,$A56,'ADV - FB'!J:J)+SUMIF('ADV - FB'!A:A,$A56,'ADV - FB'!K:K)</f>
        <v>10</v>
      </c>
      <c r="F56" s="20">
        <f t="shared" si="2"/>
        <v>6.94</v>
      </c>
      <c r="G56" s="22"/>
      <c r="H56" s="22"/>
      <c r="I56" s="23"/>
      <c r="J56" s="22">
        <f>SUMIF('ADV - GA4'!A:A,A56,'ADV - GA4'!C:C)</f>
        <v>0</v>
      </c>
      <c r="K56" s="20" t="str">
        <f t="shared" si="10"/>
        <v/>
      </c>
      <c r="L56" s="24" t="str">
        <f t="shared" si="3"/>
        <v/>
      </c>
      <c r="M56" s="25">
        <f t="shared" si="11"/>
        <v>0</v>
      </c>
      <c r="N56" s="26">
        <f t="shared" si="12"/>
        <v>0</v>
      </c>
      <c r="O56" s="20" t="str">
        <f>iferror(Planejador!$I$36,"")</f>
        <v/>
      </c>
      <c r="P56" s="20" t="str">
        <f>Planejador!$I$28</f>
        <v/>
      </c>
      <c r="Q56" s="27">
        <f t="shared" si="13"/>
        <v>0</v>
      </c>
      <c r="R56" s="24" t="str">
        <f>Planejador!$I$30</f>
        <v/>
      </c>
      <c r="S56" s="16"/>
      <c r="T56" s="16"/>
      <c r="U56" s="16"/>
      <c r="V56" s="16"/>
      <c r="W56" s="16"/>
      <c r="X56" s="16"/>
      <c r="Y56" s="16"/>
      <c r="Z56" s="16"/>
    </row>
    <row r="57" ht="15.75" hidden="1" customHeight="1" outlineLevel="1">
      <c r="A57" s="17">
        <v>46076.0</v>
      </c>
      <c r="B57" s="18" t="str">
        <f t="shared" si="9"/>
        <v>segunda-feira</v>
      </c>
      <c r="C57" s="19"/>
      <c r="D57" s="20">
        <f>SUMIF('ADV - GG'!A:A,A57,'ADV - GG'!C:C)+SUMIF('ADV - FB'!A:A,$A57,'ADV - FB'!E:E)</f>
        <v>77.12</v>
      </c>
      <c r="E57" s="21">
        <f>SUMIF('ADV - GG'!A:A,A57,'ADV - GG'!H:H)+SUMIF('ADV - FB'!A:A,$A57,'ADV - FB'!I:I)+SUMIF('ADV - FB'!A:A,$A57,'ADV - FB'!J:J)+SUMIF('ADV - FB'!A:A,$A57,'ADV - FB'!K:K)</f>
        <v>9</v>
      </c>
      <c r="F57" s="20">
        <f t="shared" si="2"/>
        <v>8.568888889</v>
      </c>
      <c r="G57" s="22"/>
      <c r="H57" s="22"/>
      <c r="I57" s="23"/>
      <c r="J57" s="22">
        <f>SUMIF('ADV - GA4'!A:A,A57,'ADV - GA4'!C:C)</f>
        <v>0</v>
      </c>
      <c r="K57" s="20" t="str">
        <f t="shared" si="10"/>
        <v/>
      </c>
      <c r="L57" s="24" t="str">
        <f t="shared" si="3"/>
        <v/>
      </c>
      <c r="M57" s="25">
        <f t="shared" si="11"/>
        <v>0</v>
      </c>
      <c r="N57" s="26">
        <f t="shared" si="12"/>
        <v>0</v>
      </c>
      <c r="O57" s="20" t="str">
        <f>iferror(Planejador!$I$36,"")</f>
        <v/>
      </c>
      <c r="P57" s="20" t="str">
        <f>Planejador!$I$28</f>
        <v/>
      </c>
      <c r="Q57" s="27">
        <f t="shared" si="13"/>
        <v>0</v>
      </c>
      <c r="R57" s="24" t="str">
        <f>Planejador!$I$30</f>
        <v/>
      </c>
      <c r="S57" s="16"/>
      <c r="T57" s="16"/>
      <c r="U57" s="16"/>
      <c r="V57" s="16"/>
      <c r="W57" s="16"/>
      <c r="X57" s="16"/>
      <c r="Y57" s="16"/>
      <c r="Z57" s="16"/>
    </row>
    <row r="58" ht="15.75" hidden="1" customHeight="1" outlineLevel="1">
      <c r="A58" s="17">
        <v>46077.0</v>
      </c>
      <c r="B58" s="18" t="str">
        <f t="shared" si="9"/>
        <v>terça-feira</v>
      </c>
      <c r="C58" s="19"/>
      <c r="D58" s="20">
        <f>SUMIF('ADV - GG'!A:A,A58,'ADV - GG'!C:C)+SUMIF('ADV - FB'!A:A,$A58,'ADV - FB'!E:E)</f>
        <v>84.46</v>
      </c>
      <c r="E58" s="21">
        <f>SUMIF('ADV - GG'!A:A,A58,'ADV - GG'!H:H)+SUMIF('ADV - FB'!A:A,$A58,'ADV - FB'!I:I)+SUMIF('ADV - FB'!A:A,$A58,'ADV - FB'!J:J)+SUMIF('ADV - FB'!A:A,$A58,'ADV - FB'!K:K)</f>
        <v>13</v>
      </c>
      <c r="F58" s="20">
        <f t="shared" si="2"/>
        <v>6.496923077</v>
      </c>
      <c r="G58" s="22"/>
      <c r="H58" s="22"/>
      <c r="I58" s="23"/>
      <c r="J58" s="22">
        <f>SUMIF('ADV - GA4'!A:A,A58,'ADV - GA4'!C:C)</f>
        <v>0</v>
      </c>
      <c r="K58" s="20" t="str">
        <f t="shared" si="10"/>
        <v/>
      </c>
      <c r="L58" s="24" t="str">
        <f t="shared" si="3"/>
        <v/>
      </c>
      <c r="M58" s="25">
        <f t="shared" si="11"/>
        <v>0</v>
      </c>
      <c r="N58" s="26">
        <f t="shared" si="12"/>
        <v>0</v>
      </c>
      <c r="O58" s="20" t="str">
        <f>iferror(Planejador!$I$36,"")</f>
        <v/>
      </c>
      <c r="P58" s="20" t="str">
        <f>Planejador!$I$28</f>
        <v/>
      </c>
      <c r="Q58" s="27">
        <f t="shared" si="13"/>
        <v>0</v>
      </c>
      <c r="R58" s="24" t="str">
        <f>Planejador!$I$30</f>
        <v/>
      </c>
      <c r="S58" s="16"/>
      <c r="T58" s="16"/>
      <c r="U58" s="16"/>
      <c r="V58" s="16"/>
      <c r="W58" s="16"/>
      <c r="X58" s="16"/>
      <c r="Y58" s="16"/>
      <c r="Z58" s="16"/>
    </row>
    <row r="59" ht="15.75" hidden="1" customHeight="1" outlineLevel="1">
      <c r="A59" s="17">
        <v>46078.0</v>
      </c>
      <c r="B59" s="18" t="str">
        <f t="shared" si="9"/>
        <v>quarta-feira</v>
      </c>
      <c r="C59" s="19"/>
      <c r="D59" s="20">
        <f>SUMIF('ADV - GG'!A:A,A59,'ADV - GG'!C:C)+SUMIF('ADV - FB'!A:A,$A59,'ADV - FB'!E:E)</f>
        <v>80.77</v>
      </c>
      <c r="E59" s="21">
        <f>SUMIF('ADV - GG'!A:A,A59,'ADV - GG'!H:H)+SUMIF('ADV - FB'!A:A,$A59,'ADV - FB'!I:I)+SUMIF('ADV - FB'!A:A,$A59,'ADV - FB'!J:J)+SUMIF('ADV - FB'!A:A,$A59,'ADV - FB'!K:K)</f>
        <v>4</v>
      </c>
      <c r="F59" s="20">
        <f t="shared" si="2"/>
        <v>20.1925</v>
      </c>
      <c r="G59" s="22"/>
      <c r="H59" s="22"/>
      <c r="I59" s="23"/>
      <c r="J59" s="22">
        <f>SUMIF('ADV - GA4'!A:A,A59,'ADV - GA4'!C:C)</f>
        <v>0</v>
      </c>
      <c r="K59" s="20" t="str">
        <f t="shared" si="10"/>
        <v/>
      </c>
      <c r="L59" s="24" t="str">
        <f t="shared" si="3"/>
        <v/>
      </c>
      <c r="M59" s="25">
        <f t="shared" si="11"/>
        <v>0</v>
      </c>
      <c r="N59" s="26">
        <f t="shared" si="12"/>
        <v>0</v>
      </c>
      <c r="O59" s="20" t="str">
        <f>iferror(Planejador!$I$36,"")</f>
        <v/>
      </c>
      <c r="P59" s="20" t="str">
        <f>Planejador!$I$28</f>
        <v/>
      </c>
      <c r="Q59" s="27">
        <f t="shared" si="13"/>
        <v>0</v>
      </c>
      <c r="R59" s="24" t="str">
        <f>Planejador!$I$30</f>
        <v/>
      </c>
      <c r="S59" s="16"/>
      <c r="T59" s="16"/>
      <c r="U59" s="16"/>
      <c r="V59" s="16"/>
      <c r="W59" s="16"/>
      <c r="X59" s="16"/>
      <c r="Y59" s="16"/>
      <c r="Z59" s="16"/>
    </row>
    <row r="60" ht="15.75" hidden="1" customHeight="1" outlineLevel="1">
      <c r="A60" s="17">
        <v>46079.0</v>
      </c>
      <c r="B60" s="18" t="str">
        <f t="shared" si="9"/>
        <v>quinta-feira</v>
      </c>
      <c r="C60" s="19"/>
      <c r="D60" s="20">
        <f>SUMIF('ADV - GG'!A:A,A60,'ADV - GG'!C:C)+SUMIF('ADV - FB'!A:A,$A60,'ADV - FB'!E:E)</f>
        <v>73.76</v>
      </c>
      <c r="E60" s="21">
        <f>SUMIF('ADV - GG'!A:A,A60,'ADV - GG'!H:H)+SUMIF('ADV - FB'!A:A,$A60,'ADV - FB'!I:I)+SUMIF('ADV - FB'!A:A,$A60,'ADV - FB'!J:J)+SUMIF('ADV - FB'!A:A,$A60,'ADV - FB'!K:K)</f>
        <v>12</v>
      </c>
      <c r="F60" s="20">
        <f t="shared" si="2"/>
        <v>6.146666667</v>
      </c>
      <c r="G60" s="22"/>
      <c r="H60" s="22"/>
      <c r="I60" s="23"/>
      <c r="J60" s="22">
        <f>SUMIF('ADV - GA4'!A:A,A60,'ADV - GA4'!C:C)</f>
        <v>0</v>
      </c>
      <c r="K60" s="20" t="str">
        <f t="shared" si="10"/>
        <v/>
      </c>
      <c r="L60" s="24" t="str">
        <f t="shared" si="3"/>
        <v/>
      </c>
      <c r="M60" s="25">
        <f t="shared" si="11"/>
        <v>0</v>
      </c>
      <c r="N60" s="26">
        <f t="shared" si="12"/>
        <v>0</v>
      </c>
      <c r="O60" s="20" t="str">
        <f>iferror(Planejador!$I$36,"")</f>
        <v/>
      </c>
      <c r="P60" s="20" t="str">
        <f>Planejador!$I$28</f>
        <v/>
      </c>
      <c r="Q60" s="27">
        <f t="shared" si="13"/>
        <v>0</v>
      </c>
      <c r="R60" s="24" t="str">
        <f>Planejador!$I$30</f>
        <v/>
      </c>
      <c r="S60" s="16"/>
      <c r="T60" s="16"/>
      <c r="U60" s="16"/>
      <c r="V60" s="16"/>
      <c r="W60" s="16"/>
      <c r="X60" s="16"/>
      <c r="Y60" s="16"/>
      <c r="Z60" s="16"/>
    </row>
    <row r="61" ht="15.75" hidden="1" customHeight="1" outlineLevel="1">
      <c r="A61" s="17">
        <v>46080.0</v>
      </c>
      <c r="B61" s="18" t="str">
        <f t="shared" si="9"/>
        <v>sexta-feira</v>
      </c>
      <c r="C61" s="19"/>
      <c r="D61" s="20">
        <f>SUMIF('ADV - GG'!A:A,A61,'ADV - GG'!C:C)+SUMIF('ADV - FB'!A:A,$A61,'ADV - FB'!E:E)</f>
        <v>66.48</v>
      </c>
      <c r="E61" s="21">
        <f>SUMIF('ADV - GG'!A:A,A61,'ADV - GG'!H:H)+SUMIF('ADV - FB'!A:A,$A61,'ADV - FB'!I:I)+SUMIF('ADV - FB'!A:A,$A61,'ADV - FB'!J:J)+SUMIF('ADV - FB'!A:A,$A61,'ADV - FB'!K:K)</f>
        <v>3</v>
      </c>
      <c r="F61" s="20">
        <f t="shared" si="2"/>
        <v>22.16</v>
      </c>
      <c r="G61" s="22"/>
      <c r="H61" s="22"/>
      <c r="I61" s="23"/>
      <c r="J61" s="22">
        <f>SUMIF('ADV - GA4'!A:A,A61,'ADV - GA4'!C:C)</f>
        <v>0</v>
      </c>
      <c r="K61" s="20" t="str">
        <f t="shared" si="10"/>
        <v/>
      </c>
      <c r="L61" s="24" t="str">
        <f t="shared" si="3"/>
        <v/>
      </c>
      <c r="M61" s="25">
        <f t="shared" si="11"/>
        <v>0</v>
      </c>
      <c r="N61" s="26">
        <f t="shared" si="12"/>
        <v>0</v>
      </c>
      <c r="O61" s="20" t="str">
        <f>iferror(Planejador!$I$36,"")</f>
        <v/>
      </c>
      <c r="P61" s="20" t="str">
        <f>Planejador!$I$28</f>
        <v/>
      </c>
      <c r="Q61" s="27">
        <f t="shared" si="13"/>
        <v>0</v>
      </c>
      <c r="R61" s="24" t="str">
        <f>Planejador!$I$30</f>
        <v/>
      </c>
      <c r="S61" s="16"/>
      <c r="T61" s="16"/>
      <c r="U61" s="16"/>
      <c r="V61" s="16"/>
      <c r="W61" s="16"/>
      <c r="X61" s="16"/>
      <c r="Y61" s="16"/>
      <c r="Z61" s="16"/>
    </row>
    <row r="62" ht="15.75" hidden="1" customHeight="1" outlineLevel="1">
      <c r="A62" s="17">
        <v>46081.0</v>
      </c>
      <c r="B62" s="18" t="str">
        <f t="shared" si="9"/>
        <v>sábado</v>
      </c>
      <c r="C62" s="19"/>
      <c r="D62" s="20">
        <f>SUMIF('ADV - GG'!A:A,A62,'ADV - GG'!C:C)+SUMIF('ADV - FB'!A:A,$A62,'ADV - FB'!E:E)</f>
        <v>71.89</v>
      </c>
      <c r="E62" s="21">
        <f>SUMIF('ADV - GG'!A:A,A62,'ADV - GG'!H:H)+SUMIF('ADV - FB'!A:A,$A62,'ADV - FB'!I:I)+SUMIF('ADV - FB'!A:A,$A62,'ADV - FB'!J:J)+SUMIF('ADV - FB'!A:A,$A62,'ADV - FB'!K:K)</f>
        <v>10</v>
      </c>
      <c r="F62" s="20">
        <f t="shared" si="2"/>
        <v>7.189</v>
      </c>
      <c r="G62" s="22"/>
      <c r="H62" s="22"/>
      <c r="I62" s="23"/>
      <c r="J62" s="22">
        <f>SUMIF('ADV - GA4'!A:A,A62,'ADV - GA4'!C:C)</f>
        <v>0</v>
      </c>
      <c r="K62" s="20" t="str">
        <f t="shared" si="10"/>
        <v/>
      </c>
      <c r="L62" s="24" t="str">
        <f t="shared" si="3"/>
        <v/>
      </c>
      <c r="M62" s="25">
        <f t="shared" si="11"/>
        <v>0</v>
      </c>
      <c r="N62" s="26">
        <f t="shared" si="12"/>
        <v>0</v>
      </c>
      <c r="O62" s="20" t="str">
        <f>iferror(Planejador!$I$36,"")</f>
        <v/>
      </c>
      <c r="P62" s="20" t="str">
        <f>Planejador!$I$28</f>
        <v/>
      </c>
      <c r="Q62" s="27">
        <f t="shared" si="13"/>
        <v>0</v>
      </c>
      <c r="R62" s="24" t="str">
        <f>Planejador!$I$30</f>
        <v/>
      </c>
      <c r="S62" s="16"/>
      <c r="T62" s="16"/>
      <c r="U62" s="16"/>
      <c r="V62" s="16"/>
      <c r="W62" s="16"/>
      <c r="X62" s="16"/>
      <c r="Y62" s="16"/>
      <c r="Z62" s="16"/>
    </row>
    <row r="63" ht="22.5" customHeight="1">
      <c r="A63" s="7" t="s">
        <v>27</v>
      </c>
      <c r="B63" s="8">
        <v>31.0</v>
      </c>
      <c r="C63" s="9"/>
      <c r="D63" s="10">
        <f>IFERROR(SUM(D64:D94),"")</f>
        <v>2070.09</v>
      </c>
      <c r="E63" s="11">
        <f>iferror(SUM(E64:E94),"")</f>
        <v>214</v>
      </c>
      <c r="F63" s="14">
        <f t="shared" si="2"/>
        <v>9.673317757</v>
      </c>
      <c r="G63" s="13">
        <f t="shared" ref="G63:I63" si="14">iferror(SUM(G64:G94),"")</f>
        <v>0</v>
      </c>
      <c r="H63" s="13">
        <f t="shared" si="14"/>
        <v>0</v>
      </c>
      <c r="I63" s="10">
        <f t="shared" si="14"/>
        <v>0</v>
      </c>
      <c r="J63" s="13">
        <f>IFERROR(SUM(J64:J94),"")</f>
        <v>0</v>
      </c>
      <c r="K63" s="14" t="str">
        <f>iferror(D63/J63,"")</f>
        <v/>
      </c>
      <c r="L63" s="15" t="str">
        <f t="shared" si="3"/>
        <v/>
      </c>
      <c r="M63" s="10" t="str">
        <f>Planejador!$I$50</f>
        <v/>
      </c>
      <c r="N63" s="13" t="str">
        <f>iferror(Planejador!$I$57,"")</f>
        <v/>
      </c>
      <c r="O63" s="14" t="str">
        <f>iferror(Planejador!$I$59,"")</f>
        <v/>
      </c>
      <c r="P63" s="14" t="str">
        <f>iferror(Planejador!$I$51,"")</f>
        <v/>
      </c>
      <c r="Q63" s="13" t="str">
        <f>iferror(Planejador!$I$56,"")</f>
        <v/>
      </c>
      <c r="R63" s="15" t="str">
        <f>Iferror(Planejador!$I$53,"")</f>
        <v/>
      </c>
      <c r="S63" s="16"/>
      <c r="T63" s="16"/>
      <c r="U63" s="16"/>
      <c r="V63" s="16"/>
      <c r="W63" s="16"/>
      <c r="X63" s="16"/>
      <c r="Y63" s="16"/>
      <c r="Z63" s="16"/>
    </row>
    <row r="64" ht="15.75" customHeight="1" outlineLevel="1">
      <c r="A64" s="17">
        <v>46082.0</v>
      </c>
      <c r="B64" s="18" t="str">
        <f t="shared" ref="B64:B94" si="15">TEXT(A64,"dddd")</f>
        <v>domingo</v>
      </c>
      <c r="C64" s="19"/>
      <c r="D64" s="20">
        <f>SUMIF('ADV - GG'!A:A,A64,'ADV - GG'!C:C)+SUMIF('ADV - FB'!A:A,$A64,'ADV - FB'!E:E)</f>
        <v>81.72</v>
      </c>
      <c r="E64" s="21">
        <f>SUMIF('ADV - GG'!A:A,A64,'ADV - GG'!H:H)+SUMIF('ADV - FB'!A:A,$A64,'ADV - FB'!I:I)+SUMIF('ADV - FB'!A:A,$A64,'ADV - FB'!J:J)+SUMIF('ADV - FB'!A:A,$A64,'ADV - FB'!K:K)</f>
        <v>16</v>
      </c>
      <c r="F64" s="20">
        <f t="shared" si="2"/>
        <v>5.1075</v>
      </c>
      <c r="G64" s="22"/>
      <c r="H64" s="22"/>
      <c r="I64" s="23"/>
      <c r="J64" s="22">
        <f>SUMIF('ADV - GA4'!A:A,A64,'ADV - GA4'!C:C)</f>
        <v>0</v>
      </c>
      <c r="K64" s="20" t="str">
        <f t="shared" ref="K64:K94" si="16">IFERROR(D64/J64,"")</f>
        <v/>
      </c>
      <c r="L64" s="24" t="str">
        <f t="shared" si="3"/>
        <v/>
      </c>
      <c r="M64" s="25">
        <f t="shared" ref="M64:M94" si="17">$M$63/$B$63</f>
        <v>0</v>
      </c>
      <c r="N64" s="26">
        <f t="shared" ref="N64:N94" si="18">iferror($N$63/$B$63,"")</f>
        <v>0</v>
      </c>
      <c r="O64" s="20" t="str">
        <f>iferror(Planejador!$I$59,"")</f>
        <v/>
      </c>
      <c r="P64" s="20" t="str">
        <f>Planejador!$I$51</f>
        <v/>
      </c>
      <c r="Q64" s="27">
        <f t="shared" ref="Q64:Q94" si="19">$Q$63/$B$63</f>
        <v>0</v>
      </c>
      <c r="R64" s="24" t="str">
        <f>Planejador!$I$53</f>
        <v/>
      </c>
      <c r="S64" s="16"/>
      <c r="T64" s="16"/>
      <c r="U64" s="16"/>
      <c r="V64" s="16"/>
      <c r="W64" s="16"/>
      <c r="X64" s="16"/>
      <c r="Y64" s="16"/>
      <c r="Z64" s="16"/>
    </row>
    <row r="65" ht="15.75" customHeight="1" outlineLevel="1">
      <c r="A65" s="17">
        <v>46083.0</v>
      </c>
      <c r="B65" s="18" t="str">
        <f t="shared" si="15"/>
        <v>segunda-feira</v>
      </c>
      <c r="C65" s="19"/>
      <c r="D65" s="20">
        <f>SUMIF('ADV - GG'!A:A,A65,'ADV - GG'!C:C)+SUMIF('ADV - FB'!A:A,$A65,'ADV - FB'!E:E)</f>
        <v>78.19</v>
      </c>
      <c r="E65" s="21">
        <f>SUMIF('ADV - GG'!A:A,A65,'ADV - GG'!H:H)+SUMIF('ADV - FB'!A:A,$A65,'ADV - FB'!I:I)+SUMIF('ADV - FB'!A:A,$A65,'ADV - FB'!J:J)+SUMIF('ADV - FB'!A:A,$A65,'ADV - FB'!K:K)</f>
        <v>10</v>
      </c>
      <c r="F65" s="20">
        <f t="shared" si="2"/>
        <v>7.819</v>
      </c>
      <c r="G65" s="22"/>
      <c r="H65" s="22"/>
      <c r="I65" s="23"/>
      <c r="J65" s="22">
        <f>SUMIF('ADV - GA4'!A:A,A65,'ADV - GA4'!C:C)</f>
        <v>0</v>
      </c>
      <c r="K65" s="20" t="str">
        <f t="shared" si="16"/>
        <v/>
      </c>
      <c r="L65" s="24" t="str">
        <f t="shared" si="3"/>
        <v/>
      </c>
      <c r="M65" s="25">
        <f t="shared" si="17"/>
        <v>0</v>
      </c>
      <c r="N65" s="26">
        <f t="shared" si="18"/>
        <v>0</v>
      </c>
      <c r="O65" s="20" t="str">
        <f>iferror(Planejador!$I$59,"")</f>
        <v/>
      </c>
      <c r="P65" s="20" t="str">
        <f>Planejador!$I$51</f>
        <v/>
      </c>
      <c r="Q65" s="27">
        <f t="shared" si="19"/>
        <v>0</v>
      </c>
      <c r="R65" s="24" t="str">
        <f>Planejador!$I$53</f>
        <v/>
      </c>
      <c r="S65" s="16"/>
      <c r="T65" s="16"/>
      <c r="U65" s="16"/>
      <c r="V65" s="16"/>
      <c r="W65" s="16"/>
      <c r="X65" s="16"/>
      <c r="Y65" s="16"/>
      <c r="Z65" s="16"/>
    </row>
    <row r="66" ht="15.75" customHeight="1" outlineLevel="1">
      <c r="A66" s="17">
        <v>46084.0</v>
      </c>
      <c r="B66" s="18" t="str">
        <f t="shared" si="15"/>
        <v>terça-feira</v>
      </c>
      <c r="C66" s="19"/>
      <c r="D66" s="20">
        <f>SUMIF('ADV - GG'!A:A,A66,'ADV - GG'!C:C)+SUMIF('ADV - FB'!A:A,$A66,'ADV - FB'!E:E)</f>
        <v>81.84</v>
      </c>
      <c r="E66" s="21">
        <f>SUMIF('ADV - GG'!A:A,A66,'ADV - GG'!H:H)+SUMIF('ADV - FB'!A:A,$A66,'ADV - FB'!I:I)+SUMIF('ADV - FB'!A:A,$A66,'ADV - FB'!J:J)+SUMIF('ADV - FB'!A:A,$A66,'ADV - FB'!K:K)</f>
        <v>11</v>
      </c>
      <c r="F66" s="20">
        <f t="shared" si="2"/>
        <v>7.44</v>
      </c>
      <c r="G66" s="22"/>
      <c r="H66" s="22"/>
      <c r="I66" s="23"/>
      <c r="J66" s="22">
        <f>SUMIF('ADV - GA4'!A:A,A66,'ADV - GA4'!C:C)</f>
        <v>0</v>
      </c>
      <c r="K66" s="20" t="str">
        <f t="shared" si="16"/>
        <v/>
      </c>
      <c r="L66" s="24" t="str">
        <f t="shared" si="3"/>
        <v/>
      </c>
      <c r="M66" s="25">
        <f t="shared" si="17"/>
        <v>0</v>
      </c>
      <c r="N66" s="26">
        <f t="shared" si="18"/>
        <v>0</v>
      </c>
      <c r="O66" s="20" t="str">
        <f>iferror(Planejador!$I$59,"")</f>
        <v/>
      </c>
      <c r="P66" s="20" t="str">
        <f>Planejador!$I$51</f>
        <v/>
      </c>
      <c r="Q66" s="27">
        <f t="shared" si="19"/>
        <v>0</v>
      </c>
      <c r="R66" s="24" t="str">
        <f>Planejador!$I$53</f>
        <v/>
      </c>
      <c r="S66" s="16"/>
      <c r="T66" s="16"/>
      <c r="U66" s="16"/>
      <c r="V66" s="16"/>
      <c r="W66" s="16"/>
      <c r="X66" s="16"/>
      <c r="Y66" s="16"/>
      <c r="Z66" s="16"/>
    </row>
    <row r="67" ht="15.75" customHeight="1" outlineLevel="1">
      <c r="A67" s="17">
        <v>46085.0</v>
      </c>
      <c r="B67" s="18" t="str">
        <f t="shared" si="15"/>
        <v>quarta-feira</v>
      </c>
      <c r="C67" s="19"/>
      <c r="D67" s="20">
        <f>SUMIF('ADV - GG'!A:A,A67,'ADV - GG'!C:C)+SUMIF('ADV - FB'!A:A,$A67,'ADV - FB'!E:E)</f>
        <v>72.64</v>
      </c>
      <c r="E67" s="21">
        <f>SUMIF('ADV - GG'!A:A,A67,'ADV - GG'!H:H)+SUMIF('ADV - FB'!A:A,$A67,'ADV - FB'!I:I)+SUMIF('ADV - FB'!A:A,$A67,'ADV - FB'!J:J)+SUMIF('ADV - FB'!A:A,$A67,'ADV - FB'!K:K)</f>
        <v>5</v>
      </c>
      <c r="F67" s="20">
        <f t="shared" si="2"/>
        <v>14.528</v>
      </c>
      <c r="G67" s="22"/>
      <c r="H67" s="22"/>
      <c r="I67" s="23"/>
      <c r="J67" s="22">
        <f>SUMIF('ADV - GA4'!A:A,A67,'ADV - GA4'!C:C)</f>
        <v>0</v>
      </c>
      <c r="K67" s="20" t="str">
        <f t="shared" si="16"/>
        <v/>
      </c>
      <c r="L67" s="24" t="str">
        <f t="shared" si="3"/>
        <v/>
      </c>
      <c r="M67" s="25">
        <f t="shared" si="17"/>
        <v>0</v>
      </c>
      <c r="N67" s="26">
        <f t="shared" si="18"/>
        <v>0</v>
      </c>
      <c r="O67" s="20" t="str">
        <f>iferror(Planejador!$I$59,"")</f>
        <v/>
      </c>
      <c r="P67" s="20" t="str">
        <f>Planejador!$I$51</f>
        <v/>
      </c>
      <c r="Q67" s="27">
        <f t="shared" si="19"/>
        <v>0</v>
      </c>
      <c r="R67" s="24" t="str">
        <f>Planejador!$I$53</f>
        <v/>
      </c>
      <c r="S67" s="16"/>
      <c r="T67" s="16"/>
      <c r="U67" s="16"/>
      <c r="V67" s="16"/>
      <c r="W67" s="16"/>
      <c r="X67" s="16"/>
      <c r="Y67" s="16"/>
      <c r="Z67" s="16"/>
    </row>
    <row r="68" ht="15.75" customHeight="1" outlineLevel="1">
      <c r="A68" s="17">
        <v>46086.0</v>
      </c>
      <c r="B68" s="18" t="str">
        <f t="shared" si="15"/>
        <v>quinta-feira</v>
      </c>
      <c r="C68" s="19"/>
      <c r="D68" s="20">
        <f>SUMIF('ADV - GG'!A:A,A68,'ADV - GG'!C:C)+SUMIF('ADV - FB'!A:A,$A68,'ADV - FB'!E:E)</f>
        <v>64.31</v>
      </c>
      <c r="E68" s="21">
        <f>SUMIF('ADV - GG'!A:A,A68,'ADV - GG'!H:H)+SUMIF('ADV - FB'!A:A,$A68,'ADV - FB'!I:I)+SUMIF('ADV - FB'!A:A,$A68,'ADV - FB'!J:J)+SUMIF('ADV - FB'!A:A,$A68,'ADV - FB'!K:K)</f>
        <v>6</v>
      </c>
      <c r="F68" s="20">
        <f t="shared" si="2"/>
        <v>10.71833333</v>
      </c>
      <c r="G68" s="22"/>
      <c r="H68" s="22"/>
      <c r="I68" s="23"/>
      <c r="J68" s="22">
        <f>SUMIF('ADV - GA4'!A:A,A68,'ADV - GA4'!C:C)</f>
        <v>0</v>
      </c>
      <c r="K68" s="20" t="str">
        <f t="shared" si="16"/>
        <v/>
      </c>
      <c r="L68" s="24" t="str">
        <f t="shared" si="3"/>
        <v/>
      </c>
      <c r="M68" s="25">
        <f t="shared" si="17"/>
        <v>0</v>
      </c>
      <c r="N68" s="26">
        <f t="shared" si="18"/>
        <v>0</v>
      </c>
      <c r="O68" s="20" t="str">
        <f>iferror(Planejador!$I$59,"")</f>
        <v/>
      </c>
      <c r="P68" s="20" t="str">
        <f>Planejador!$I$51</f>
        <v/>
      </c>
      <c r="Q68" s="27">
        <f t="shared" si="19"/>
        <v>0</v>
      </c>
      <c r="R68" s="24" t="str">
        <f>Planejador!$I$53</f>
        <v/>
      </c>
      <c r="S68" s="16"/>
      <c r="T68" s="16"/>
      <c r="U68" s="16"/>
      <c r="V68" s="16"/>
      <c r="W68" s="16"/>
      <c r="X68" s="16"/>
      <c r="Y68" s="16"/>
      <c r="Z68" s="16"/>
    </row>
    <row r="69" ht="15.75" customHeight="1" outlineLevel="1">
      <c r="A69" s="17">
        <v>46087.0</v>
      </c>
      <c r="B69" s="18" t="str">
        <f t="shared" si="15"/>
        <v>sexta-feira</v>
      </c>
      <c r="C69" s="19"/>
      <c r="D69" s="20">
        <f>SUMIF('ADV - GG'!A:A,A69,'ADV - GG'!C:C)+SUMIF('ADV - FB'!A:A,$A69,'ADV - FB'!E:E)</f>
        <v>66.75</v>
      </c>
      <c r="E69" s="21">
        <f>SUMIF('ADV - GG'!A:A,A69,'ADV - GG'!H:H)+SUMIF('ADV - FB'!A:A,$A69,'ADV - FB'!I:I)+SUMIF('ADV - FB'!A:A,$A69,'ADV - FB'!J:J)+SUMIF('ADV - FB'!A:A,$A69,'ADV - FB'!K:K)</f>
        <v>5</v>
      </c>
      <c r="F69" s="20">
        <f t="shared" si="2"/>
        <v>13.35</v>
      </c>
      <c r="G69" s="22"/>
      <c r="H69" s="22"/>
      <c r="I69" s="23"/>
      <c r="J69" s="22">
        <f>SUMIF('ADV - GA4'!A:A,A69,'ADV - GA4'!C:C)</f>
        <v>0</v>
      </c>
      <c r="K69" s="20" t="str">
        <f t="shared" si="16"/>
        <v/>
      </c>
      <c r="L69" s="24" t="str">
        <f t="shared" si="3"/>
        <v/>
      </c>
      <c r="M69" s="25">
        <f t="shared" si="17"/>
        <v>0</v>
      </c>
      <c r="N69" s="26">
        <f t="shared" si="18"/>
        <v>0</v>
      </c>
      <c r="O69" s="20" t="str">
        <f>iferror(Planejador!$I$59,"")</f>
        <v/>
      </c>
      <c r="P69" s="20" t="str">
        <f>Planejador!$I$51</f>
        <v/>
      </c>
      <c r="Q69" s="27">
        <f t="shared" si="19"/>
        <v>0</v>
      </c>
      <c r="R69" s="24" t="str">
        <f>Planejador!$I$53</f>
        <v/>
      </c>
      <c r="S69" s="16"/>
      <c r="T69" s="16"/>
      <c r="U69" s="16"/>
      <c r="V69" s="16"/>
      <c r="W69" s="16"/>
      <c r="X69" s="16"/>
      <c r="Y69" s="16"/>
      <c r="Z69" s="16"/>
    </row>
    <row r="70" ht="15.75" customHeight="1" outlineLevel="1">
      <c r="A70" s="17">
        <v>46088.0</v>
      </c>
      <c r="B70" s="18" t="str">
        <f t="shared" si="15"/>
        <v>sábado</v>
      </c>
      <c r="C70" s="19"/>
      <c r="D70" s="20">
        <f>SUMIF('ADV - GG'!A:A,A70,'ADV - GG'!C:C)+SUMIF('ADV - FB'!A:A,$A70,'ADV - FB'!E:E)</f>
        <v>58.69</v>
      </c>
      <c r="E70" s="21">
        <f>SUMIF('ADV - GG'!A:A,A70,'ADV - GG'!H:H)+SUMIF('ADV - FB'!A:A,$A70,'ADV - FB'!I:I)+SUMIF('ADV - FB'!A:A,$A70,'ADV - FB'!J:J)+SUMIF('ADV - FB'!A:A,$A70,'ADV - FB'!K:K)</f>
        <v>10</v>
      </c>
      <c r="F70" s="20">
        <f t="shared" si="2"/>
        <v>5.869</v>
      </c>
      <c r="G70" s="22"/>
      <c r="H70" s="22"/>
      <c r="I70" s="23"/>
      <c r="J70" s="22">
        <f>SUMIF('ADV - GA4'!A:A,A70,'ADV - GA4'!C:C)</f>
        <v>0</v>
      </c>
      <c r="K70" s="20" t="str">
        <f t="shared" si="16"/>
        <v/>
      </c>
      <c r="L70" s="24" t="str">
        <f t="shared" si="3"/>
        <v/>
      </c>
      <c r="M70" s="25">
        <f t="shared" si="17"/>
        <v>0</v>
      </c>
      <c r="N70" s="26">
        <f t="shared" si="18"/>
        <v>0</v>
      </c>
      <c r="O70" s="20" t="str">
        <f>iferror(Planejador!$I$59,"")</f>
        <v/>
      </c>
      <c r="P70" s="20" t="str">
        <f>Planejador!$I$51</f>
        <v/>
      </c>
      <c r="Q70" s="27">
        <f t="shared" si="19"/>
        <v>0</v>
      </c>
      <c r="R70" s="24" t="str">
        <f>Planejador!$I$53</f>
        <v/>
      </c>
      <c r="S70" s="16"/>
      <c r="T70" s="16"/>
      <c r="U70" s="16"/>
      <c r="V70" s="16"/>
      <c r="W70" s="16"/>
      <c r="X70" s="16"/>
      <c r="Y70" s="16"/>
      <c r="Z70" s="16"/>
    </row>
    <row r="71" ht="15.75" customHeight="1" outlineLevel="1">
      <c r="A71" s="17">
        <v>46089.0</v>
      </c>
      <c r="B71" s="18" t="str">
        <f t="shared" si="15"/>
        <v>domingo</v>
      </c>
      <c r="C71" s="19"/>
      <c r="D71" s="20">
        <f>SUMIF('ADV - GG'!A:A,A71,'ADV - GG'!C:C)+SUMIF('ADV - FB'!A:A,$A71,'ADV - FB'!E:E)</f>
        <v>68.48</v>
      </c>
      <c r="E71" s="21">
        <f>SUMIF('ADV - GG'!A:A,A71,'ADV - GG'!H:H)+SUMIF('ADV - FB'!A:A,$A71,'ADV - FB'!I:I)+SUMIF('ADV - FB'!A:A,$A71,'ADV - FB'!J:J)+SUMIF('ADV - FB'!A:A,$A71,'ADV - FB'!K:K)</f>
        <v>8</v>
      </c>
      <c r="F71" s="20">
        <f t="shared" si="2"/>
        <v>8.56</v>
      </c>
      <c r="G71" s="22"/>
      <c r="H71" s="22"/>
      <c r="I71" s="23"/>
      <c r="J71" s="22">
        <f>SUMIF('ADV - GA4'!A:A,A71,'ADV - GA4'!C:C)</f>
        <v>0</v>
      </c>
      <c r="K71" s="20" t="str">
        <f t="shared" si="16"/>
        <v/>
      </c>
      <c r="L71" s="24" t="str">
        <f t="shared" si="3"/>
        <v/>
      </c>
      <c r="M71" s="25">
        <f t="shared" si="17"/>
        <v>0</v>
      </c>
      <c r="N71" s="26">
        <f t="shared" si="18"/>
        <v>0</v>
      </c>
      <c r="O71" s="20" t="str">
        <f>iferror(Planejador!$I$59,"")</f>
        <v/>
      </c>
      <c r="P71" s="20" t="str">
        <f>Planejador!$I$51</f>
        <v/>
      </c>
      <c r="Q71" s="27">
        <f t="shared" si="19"/>
        <v>0</v>
      </c>
      <c r="R71" s="24" t="str">
        <f>Planejador!$I$53</f>
        <v/>
      </c>
      <c r="S71" s="16"/>
      <c r="T71" s="16"/>
      <c r="U71" s="16"/>
      <c r="V71" s="16"/>
      <c r="W71" s="16"/>
      <c r="X71" s="16"/>
      <c r="Y71" s="16"/>
      <c r="Z71" s="16"/>
    </row>
    <row r="72" ht="15.75" customHeight="1" outlineLevel="1">
      <c r="A72" s="17">
        <v>46090.0</v>
      </c>
      <c r="B72" s="18" t="str">
        <f t="shared" si="15"/>
        <v>segunda-feira</v>
      </c>
      <c r="C72" s="19"/>
      <c r="D72" s="20">
        <f>SUMIF('ADV - GG'!A:A,A72,'ADV - GG'!C:C)+SUMIF('ADV - FB'!A:A,$A72,'ADV - FB'!E:E)</f>
        <v>69.44</v>
      </c>
      <c r="E72" s="21">
        <f>SUMIF('ADV - GG'!A:A,A72,'ADV - GG'!H:H)+SUMIF('ADV - FB'!A:A,$A72,'ADV - FB'!I:I)+SUMIF('ADV - FB'!A:A,$A72,'ADV - FB'!J:J)+SUMIF('ADV - FB'!A:A,$A72,'ADV - FB'!K:K)</f>
        <v>8</v>
      </c>
      <c r="F72" s="20">
        <f t="shared" si="2"/>
        <v>8.68</v>
      </c>
      <c r="G72" s="22"/>
      <c r="H72" s="22"/>
      <c r="I72" s="23"/>
      <c r="J72" s="22">
        <f>SUMIF('ADV - GA4'!A:A,A72,'ADV - GA4'!C:C)</f>
        <v>0</v>
      </c>
      <c r="K72" s="20" t="str">
        <f t="shared" si="16"/>
        <v/>
      </c>
      <c r="L72" s="24" t="str">
        <f t="shared" si="3"/>
        <v/>
      </c>
      <c r="M72" s="25">
        <f t="shared" si="17"/>
        <v>0</v>
      </c>
      <c r="N72" s="26">
        <f t="shared" si="18"/>
        <v>0</v>
      </c>
      <c r="O72" s="20" t="str">
        <f>iferror(Planejador!$I$59,"")</f>
        <v/>
      </c>
      <c r="P72" s="20" t="str">
        <f>Planejador!$I$51</f>
        <v/>
      </c>
      <c r="Q72" s="27">
        <f t="shared" si="19"/>
        <v>0</v>
      </c>
      <c r="R72" s="24" t="str">
        <f>Planejador!$I$53</f>
        <v/>
      </c>
      <c r="S72" s="16"/>
      <c r="T72" s="16"/>
      <c r="U72" s="16"/>
      <c r="V72" s="16"/>
      <c r="W72" s="16"/>
      <c r="X72" s="16"/>
      <c r="Y72" s="16"/>
      <c r="Z72" s="16"/>
    </row>
    <row r="73" ht="15.75" customHeight="1" outlineLevel="1">
      <c r="A73" s="17">
        <v>46091.0</v>
      </c>
      <c r="B73" s="18" t="str">
        <f t="shared" si="15"/>
        <v>terça-feira</v>
      </c>
      <c r="C73" s="19"/>
      <c r="D73" s="20">
        <f>SUMIF('ADV - GG'!A:A,A73,'ADV - GG'!C:C)+SUMIF('ADV - FB'!A:A,$A73,'ADV - FB'!E:E)</f>
        <v>68.2</v>
      </c>
      <c r="E73" s="21">
        <f>SUMIF('ADV - GG'!A:A,A73,'ADV - GG'!H:H)+SUMIF('ADV - FB'!A:A,$A73,'ADV - FB'!I:I)+SUMIF('ADV - FB'!A:A,$A73,'ADV - FB'!J:J)+SUMIF('ADV - FB'!A:A,$A73,'ADV - FB'!K:K)</f>
        <v>9</v>
      </c>
      <c r="F73" s="20">
        <f t="shared" si="2"/>
        <v>7.577777778</v>
      </c>
      <c r="G73" s="22"/>
      <c r="H73" s="22"/>
      <c r="I73" s="23"/>
      <c r="J73" s="22">
        <f>SUMIF('ADV - GA4'!A:A,A73,'ADV - GA4'!C:C)</f>
        <v>0</v>
      </c>
      <c r="K73" s="20" t="str">
        <f t="shared" si="16"/>
        <v/>
      </c>
      <c r="L73" s="24" t="str">
        <f t="shared" si="3"/>
        <v/>
      </c>
      <c r="M73" s="25">
        <f t="shared" si="17"/>
        <v>0</v>
      </c>
      <c r="N73" s="26">
        <f t="shared" si="18"/>
        <v>0</v>
      </c>
      <c r="O73" s="20" t="str">
        <f>iferror(Planejador!$I$59,"")</f>
        <v/>
      </c>
      <c r="P73" s="20" t="str">
        <f>Planejador!$I$51</f>
        <v/>
      </c>
      <c r="Q73" s="27">
        <f t="shared" si="19"/>
        <v>0</v>
      </c>
      <c r="R73" s="24" t="str">
        <f>Planejador!$I$53</f>
        <v/>
      </c>
      <c r="S73" s="16"/>
      <c r="T73" s="16"/>
      <c r="U73" s="16"/>
      <c r="V73" s="16"/>
      <c r="W73" s="16"/>
      <c r="X73" s="16"/>
      <c r="Y73" s="16"/>
      <c r="Z73" s="16"/>
    </row>
    <row r="74" ht="15.75" customHeight="1" outlineLevel="1">
      <c r="A74" s="17">
        <v>46092.0</v>
      </c>
      <c r="B74" s="18" t="str">
        <f t="shared" si="15"/>
        <v>quarta-feira</v>
      </c>
      <c r="C74" s="19"/>
      <c r="D74" s="20">
        <f>SUMIF('ADV - GG'!A:A,A74,'ADV - GG'!C:C)+SUMIF('ADV - FB'!A:A,$A74,'ADV - FB'!E:E)</f>
        <v>64.87</v>
      </c>
      <c r="E74" s="21">
        <f>SUMIF('ADV - GG'!A:A,A74,'ADV - GG'!H:H)+SUMIF('ADV - FB'!A:A,$A74,'ADV - FB'!I:I)+SUMIF('ADV - FB'!A:A,$A74,'ADV - FB'!J:J)+SUMIF('ADV - FB'!A:A,$A74,'ADV - FB'!K:K)</f>
        <v>4</v>
      </c>
      <c r="F74" s="20">
        <f t="shared" si="2"/>
        <v>16.2175</v>
      </c>
      <c r="G74" s="22"/>
      <c r="H74" s="22"/>
      <c r="I74" s="23"/>
      <c r="J74" s="22">
        <f>SUMIF('ADV - GA4'!A:A,A74,'ADV - GA4'!C:C)</f>
        <v>0</v>
      </c>
      <c r="K74" s="20" t="str">
        <f t="shared" si="16"/>
        <v/>
      </c>
      <c r="L74" s="24" t="str">
        <f t="shared" si="3"/>
        <v/>
      </c>
      <c r="M74" s="25">
        <f t="shared" si="17"/>
        <v>0</v>
      </c>
      <c r="N74" s="26">
        <f t="shared" si="18"/>
        <v>0</v>
      </c>
      <c r="O74" s="20" t="str">
        <f>iferror(Planejador!$I$59,"")</f>
        <v/>
      </c>
      <c r="P74" s="20" t="str">
        <f>Planejador!$I$51</f>
        <v/>
      </c>
      <c r="Q74" s="27">
        <f t="shared" si="19"/>
        <v>0</v>
      </c>
      <c r="R74" s="24" t="str">
        <f>Planejador!$I$53</f>
        <v/>
      </c>
      <c r="S74" s="16"/>
      <c r="T74" s="16"/>
      <c r="U74" s="16"/>
      <c r="V74" s="16"/>
      <c r="W74" s="16"/>
      <c r="X74" s="16"/>
      <c r="Y74" s="16"/>
      <c r="Z74" s="16"/>
    </row>
    <row r="75" ht="15.75" customHeight="1" outlineLevel="1">
      <c r="A75" s="17">
        <v>46093.0</v>
      </c>
      <c r="B75" s="18" t="str">
        <f t="shared" si="15"/>
        <v>quinta-feira</v>
      </c>
      <c r="C75" s="19"/>
      <c r="D75" s="20">
        <f>SUMIF('ADV - GG'!A:A,A75,'ADV - GG'!C:C)+SUMIF('ADV - FB'!A:A,$A75,'ADV - FB'!E:E)</f>
        <v>60.55</v>
      </c>
      <c r="E75" s="21">
        <f>SUMIF('ADV - GG'!A:A,A75,'ADV - GG'!H:H)+SUMIF('ADV - FB'!A:A,$A75,'ADV - FB'!I:I)+SUMIF('ADV - FB'!A:A,$A75,'ADV - FB'!J:J)+SUMIF('ADV - FB'!A:A,$A75,'ADV - FB'!K:K)</f>
        <v>5</v>
      </c>
      <c r="F75" s="20">
        <f t="shared" si="2"/>
        <v>12.11</v>
      </c>
      <c r="G75" s="22"/>
      <c r="H75" s="22"/>
      <c r="I75" s="23"/>
      <c r="J75" s="22">
        <f>SUMIF('ADV - GA4'!A:A,A75,'ADV - GA4'!C:C)</f>
        <v>0</v>
      </c>
      <c r="K75" s="20" t="str">
        <f t="shared" si="16"/>
        <v/>
      </c>
      <c r="L75" s="24" t="str">
        <f t="shared" si="3"/>
        <v/>
      </c>
      <c r="M75" s="25">
        <f t="shared" si="17"/>
        <v>0</v>
      </c>
      <c r="N75" s="26">
        <f t="shared" si="18"/>
        <v>0</v>
      </c>
      <c r="O75" s="20" t="str">
        <f>iferror(Planejador!$I$59,"")</f>
        <v/>
      </c>
      <c r="P75" s="20" t="str">
        <f>Planejador!$I$51</f>
        <v/>
      </c>
      <c r="Q75" s="27">
        <f t="shared" si="19"/>
        <v>0</v>
      </c>
      <c r="R75" s="24" t="str">
        <f>Planejador!$I$53</f>
        <v/>
      </c>
      <c r="S75" s="16"/>
      <c r="T75" s="16"/>
      <c r="U75" s="16"/>
      <c r="V75" s="16"/>
      <c r="W75" s="16"/>
      <c r="X75" s="16"/>
      <c r="Y75" s="16"/>
      <c r="Z75" s="16"/>
    </row>
    <row r="76" ht="15.75" customHeight="1" outlineLevel="1">
      <c r="A76" s="17">
        <v>46094.0</v>
      </c>
      <c r="B76" s="18" t="str">
        <f t="shared" si="15"/>
        <v>sexta-feira</v>
      </c>
      <c r="C76" s="19"/>
      <c r="D76" s="20">
        <f>SUMIF('ADV - GG'!A:A,A76,'ADV - GG'!C:C)+SUMIF('ADV - FB'!A:A,$A76,'ADV - FB'!E:E)</f>
        <v>63.03</v>
      </c>
      <c r="E76" s="21">
        <f>SUMIF('ADV - GG'!A:A,A76,'ADV - GG'!H:H)+SUMIF('ADV - FB'!A:A,$A76,'ADV - FB'!I:I)+SUMIF('ADV - FB'!A:A,$A76,'ADV - FB'!J:J)+SUMIF('ADV - FB'!A:A,$A76,'ADV - FB'!K:K)</f>
        <v>5</v>
      </c>
      <c r="F76" s="20">
        <f t="shared" si="2"/>
        <v>12.606</v>
      </c>
      <c r="G76" s="22"/>
      <c r="H76" s="22"/>
      <c r="I76" s="23"/>
      <c r="J76" s="22">
        <f>SUMIF('ADV - GA4'!A:A,A76,'ADV - GA4'!C:C)</f>
        <v>0</v>
      </c>
      <c r="K76" s="20" t="str">
        <f t="shared" si="16"/>
        <v/>
      </c>
      <c r="L76" s="24" t="str">
        <f t="shared" si="3"/>
        <v/>
      </c>
      <c r="M76" s="25">
        <f t="shared" si="17"/>
        <v>0</v>
      </c>
      <c r="N76" s="26">
        <f t="shared" si="18"/>
        <v>0</v>
      </c>
      <c r="O76" s="20" t="str">
        <f>iferror(Planejador!$I$59,"")</f>
        <v/>
      </c>
      <c r="P76" s="20" t="str">
        <f>Planejador!$I$51</f>
        <v/>
      </c>
      <c r="Q76" s="27">
        <f t="shared" si="19"/>
        <v>0</v>
      </c>
      <c r="R76" s="24" t="str">
        <f>Planejador!$I$53</f>
        <v/>
      </c>
      <c r="S76" s="16"/>
      <c r="T76" s="16"/>
      <c r="U76" s="16"/>
      <c r="V76" s="16"/>
      <c r="W76" s="16"/>
      <c r="X76" s="16"/>
      <c r="Y76" s="16"/>
      <c r="Z76" s="16"/>
    </row>
    <row r="77" ht="15.75" customHeight="1" outlineLevel="1">
      <c r="A77" s="17">
        <v>46095.0</v>
      </c>
      <c r="B77" s="18" t="str">
        <f t="shared" si="15"/>
        <v>sábado</v>
      </c>
      <c r="C77" s="19"/>
      <c r="D77" s="20">
        <f>SUMIF('ADV - GG'!A:A,A77,'ADV - GG'!C:C)+SUMIF('ADV - FB'!A:A,$A77,'ADV - FB'!E:E)</f>
        <v>58.33</v>
      </c>
      <c r="E77" s="21">
        <f>SUMIF('ADV - GG'!A:A,A77,'ADV - GG'!H:H)+SUMIF('ADV - FB'!A:A,$A77,'ADV - FB'!I:I)+SUMIF('ADV - FB'!A:A,$A77,'ADV - FB'!J:J)+SUMIF('ADV - FB'!A:A,$A77,'ADV - FB'!K:K)</f>
        <v>6</v>
      </c>
      <c r="F77" s="20">
        <f t="shared" si="2"/>
        <v>9.721666667</v>
      </c>
      <c r="G77" s="22"/>
      <c r="H77" s="22"/>
      <c r="I77" s="23"/>
      <c r="J77" s="22">
        <f>SUMIF('ADV - GA4'!A:A,A77,'ADV - GA4'!C:C)</f>
        <v>0</v>
      </c>
      <c r="K77" s="20" t="str">
        <f t="shared" si="16"/>
        <v/>
      </c>
      <c r="L77" s="24" t="str">
        <f t="shared" si="3"/>
        <v/>
      </c>
      <c r="M77" s="25">
        <f t="shared" si="17"/>
        <v>0</v>
      </c>
      <c r="N77" s="26">
        <f t="shared" si="18"/>
        <v>0</v>
      </c>
      <c r="O77" s="20" t="str">
        <f>iferror(Planejador!$I$59,"")</f>
        <v/>
      </c>
      <c r="P77" s="20" t="str">
        <f>Planejador!$I$51</f>
        <v/>
      </c>
      <c r="Q77" s="27">
        <f t="shared" si="19"/>
        <v>0</v>
      </c>
      <c r="R77" s="24" t="str">
        <f>Planejador!$I$53</f>
        <v/>
      </c>
      <c r="S77" s="16"/>
      <c r="T77" s="16"/>
      <c r="U77" s="16"/>
      <c r="V77" s="16"/>
      <c r="W77" s="16"/>
      <c r="X77" s="16"/>
      <c r="Y77" s="16"/>
      <c r="Z77" s="16"/>
    </row>
    <row r="78" ht="15.75" customHeight="1" outlineLevel="1">
      <c r="A78" s="17">
        <v>46096.0</v>
      </c>
      <c r="B78" s="18" t="str">
        <f t="shared" si="15"/>
        <v>domingo</v>
      </c>
      <c r="C78" s="19"/>
      <c r="D78" s="20">
        <f>SUMIF('ADV - GG'!A:A,A78,'ADV - GG'!C:C)+SUMIF('ADV - FB'!A:A,$A78,'ADV - FB'!E:E)</f>
        <v>71.43</v>
      </c>
      <c r="E78" s="21">
        <f>SUMIF('ADV - GG'!A:A,A78,'ADV - GG'!H:H)+SUMIF('ADV - FB'!A:A,$A78,'ADV - FB'!I:I)+SUMIF('ADV - FB'!A:A,$A78,'ADV - FB'!J:J)+SUMIF('ADV - FB'!A:A,$A78,'ADV - FB'!K:K)</f>
        <v>6</v>
      </c>
      <c r="F78" s="20">
        <f t="shared" si="2"/>
        <v>11.905</v>
      </c>
      <c r="G78" s="22"/>
      <c r="H78" s="22"/>
      <c r="I78" s="23"/>
      <c r="J78" s="22">
        <f>SUMIF('ADV - GA4'!A:A,A78,'ADV - GA4'!C:C)</f>
        <v>0</v>
      </c>
      <c r="K78" s="20" t="str">
        <f t="shared" si="16"/>
        <v/>
      </c>
      <c r="L78" s="24" t="str">
        <f t="shared" si="3"/>
        <v/>
      </c>
      <c r="M78" s="25">
        <f t="shared" si="17"/>
        <v>0</v>
      </c>
      <c r="N78" s="26">
        <f t="shared" si="18"/>
        <v>0</v>
      </c>
      <c r="O78" s="20" t="str">
        <f>iferror(Planejador!$I$59,"")</f>
        <v/>
      </c>
      <c r="P78" s="20" t="str">
        <f>Planejador!$I$51</f>
        <v/>
      </c>
      <c r="Q78" s="27">
        <f t="shared" si="19"/>
        <v>0</v>
      </c>
      <c r="R78" s="24" t="str">
        <f>Planejador!$I$53</f>
        <v/>
      </c>
      <c r="S78" s="16"/>
      <c r="T78" s="16"/>
      <c r="U78" s="16"/>
      <c r="V78" s="16"/>
      <c r="W78" s="16"/>
      <c r="X78" s="16"/>
      <c r="Y78" s="16"/>
      <c r="Z78" s="16"/>
    </row>
    <row r="79" ht="15.75" customHeight="1" outlineLevel="1">
      <c r="A79" s="17">
        <v>46097.0</v>
      </c>
      <c r="B79" s="18" t="str">
        <f t="shared" si="15"/>
        <v>segunda-feira</v>
      </c>
      <c r="C79" s="19"/>
      <c r="D79" s="20">
        <f>SUMIF('ADV - GG'!A:A,A79,'ADV - GG'!C:C)+SUMIF('ADV - FB'!A:A,$A79,'ADV - FB'!E:E)</f>
        <v>67.27</v>
      </c>
      <c r="E79" s="21">
        <f>SUMIF('ADV - GG'!A:A,A79,'ADV - GG'!H:H)+SUMIF('ADV - FB'!A:A,$A79,'ADV - FB'!I:I)+SUMIF('ADV - FB'!A:A,$A79,'ADV - FB'!J:J)+SUMIF('ADV - FB'!A:A,$A79,'ADV - FB'!K:K)</f>
        <v>5</v>
      </c>
      <c r="F79" s="20">
        <f t="shared" si="2"/>
        <v>13.454</v>
      </c>
      <c r="G79" s="22"/>
      <c r="H79" s="22"/>
      <c r="I79" s="23"/>
      <c r="J79" s="22">
        <f>SUMIF('ADV - GA4'!A:A,A79,'ADV - GA4'!C:C)</f>
        <v>0</v>
      </c>
      <c r="K79" s="20" t="str">
        <f t="shared" si="16"/>
        <v/>
      </c>
      <c r="L79" s="24" t="str">
        <f t="shared" si="3"/>
        <v/>
      </c>
      <c r="M79" s="25">
        <f t="shared" si="17"/>
        <v>0</v>
      </c>
      <c r="N79" s="26">
        <f t="shared" si="18"/>
        <v>0</v>
      </c>
      <c r="O79" s="20" t="str">
        <f>iferror(Planejador!$I$59,"")</f>
        <v/>
      </c>
      <c r="P79" s="20" t="str">
        <f>Planejador!$I$51</f>
        <v/>
      </c>
      <c r="Q79" s="27">
        <f t="shared" si="19"/>
        <v>0</v>
      </c>
      <c r="R79" s="24" t="str">
        <f>Planejador!$I$53</f>
        <v/>
      </c>
      <c r="S79" s="16"/>
      <c r="T79" s="16"/>
      <c r="U79" s="16"/>
      <c r="V79" s="16"/>
      <c r="W79" s="16"/>
      <c r="X79" s="16"/>
      <c r="Y79" s="16"/>
      <c r="Z79" s="16"/>
    </row>
    <row r="80" ht="15.75" customHeight="1" outlineLevel="1">
      <c r="A80" s="17">
        <v>46098.0</v>
      </c>
      <c r="B80" s="18" t="str">
        <f t="shared" si="15"/>
        <v>terça-feira</v>
      </c>
      <c r="C80" s="19"/>
      <c r="D80" s="20">
        <f>SUMIF('ADV - GG'!A:A,A80,'ADV - GG'!C:C)+SUMIF('ADV - FB'!A:A,$A80,'ADV - FB'!E:E)</f>
        <v>64.96</v>
      </c>
      <c r="E80" s="21">
        <f>SUMIF('ADV - GG'!A:A,A80,'ADV - GG'!H:H)+SUMIF('ADV - FB'!A:A,$A80,'ADV - FB'!I:I)+SUMIF('ADV - FB'!A:A,$A80,'ADV - FB'!J:J)+SUMIF('ADV - FB'!A:A,$A80,'ADV - FB'!K:K)</f>
        <v>8</v>
      </c>
      <c r="F80" s="20">
        <f t="shared" si="2"/>
        <v>8.12</v>
      </c>
      <c r="G80" s="22"/>
      <c r="H80" s="22"/>
      <c r="I80" s="23"/>
      <c r="J80" s="22">
        <f>SUMIF('ADV - GA4'!A:A,A80,'ADV - GA4'!C:C)</f>
        <v>0</v>
      </c>
      <c r="K80" s="20" t="str">
        <f t="shared" si="16"/>
        <v/>
      </c>
      <c r="L80" s="24" t="str">
        <f t="shared" si="3"/>
        <v/>
      </c>
      <c r="M80" s="25">
        <f t="shared" si="17"/>
        <v>0</v>
      </c>
      <c r="N80" s="26">
        <f t="shared" si="18"/>
        <v>0</v>
      </c>
      <c r="O80" s="20" t="str">
        <f>iferror(Planejador!$I$59,"")</f>
        <v/>
      </c>
      <c r="P80" s="20" t="str">
        <f>Planejador!$I$51</f>
        <v/>
      </c>
      <c r="Q80" s="27">
        <f t="shared" si="19"/>
        <v>0</v>
      </c>
      <c r="R80" s="24" t="str">
        <f>Planejador!$I$53</f>
        <v/>
      </c>
      <c r="S80" s="16"/>
      <c r="T80" s="16"/>
      <c r="U80" s="16"/>
      <c r="V80" s="16"/>
      <c r="W80" s="16"/>
      <c r="X80" s="16"/>
      <c r="Y80" s="16"/>
      <c r="Z80" s="16"/>
    </row>
    <row r="81" ht="15.75" customHeight="1" outlineLevel="1">
      <c r="A81" s="17">
        <v>46099.0</v>
      </c>
      <c r="B81" s="18" t="str">
        <f t="shared" si="15"/>
        <v>quarta-feira</v>
      </c>
      <c r="C81" s="19"/>
      <c r="D81" s="20">
        <f>SUMIF('ADV - GG'!A:A,A81,'ADV - GG'!C:C)+SUMIF('ADV - FB'!A:A,$A81,'ADV - FB'!E:E)</f>
        <v>65.13</v>
      </c>
      <c r="E81" s="21">
        <f>SUMIF('ADV - GG'!A:A,A81,'ADV - GG'!H:H)+SUMIF('ADV - FB'!A:A,$A81,'ADV - FB'!I:I)+SUMIF('ADV - FB'!A:A,$A81,'ADV - FB'!J:J)+SUMIF('ADV - FB'!A:A,$A81,'ADV - FB'!K:K)</f>
        <v>6</v>
      </c>
      <c r="F81" s="20">
        <f t="shared" si="2"/>
        <v>10.855</v>
      </c>
      <c r="G81" s="22"/>
      <c r="H81" s="22"/>
      <c r="I81" s="23"/>
      <c r="J81" s="22">
        <f>SUMIF('ADV - GA4'!A:A,A81,'ADV - GA4'!C:C)</f>
        <v>0</v>
      </c>
      <c r="K81" s="20" t="str">
        <f t="shared" si="16"/>
        <v/>
      </c>
      <c r="L81" s="24" t="str">
        <f t="shared" si="3"/>
        <v/>
      </c>
      <c r="M81" s="25">
        <f t="shared" si="17"/>
        <v>0</v>
      </c>
      <c r="N81" s="26">
        <f t="shared" si="18"/>
        <v>0</v>
      </c>
      <c r="O81" s="20" t="str">
        <f>iferror(Planejador!$I$59,"")</f>
        <v/>
      </c>
      <c r="P81" s="20" t="str">
        <f>Planejador!$I$51</f>
        <v/>
      </c>
      <c r="Q81" s="27">
        <f t="shared" si="19"/>
        <v>0</v>
      </c>
      <c r="R81" s="24" t="str">
        <f>Planejador!$I$53</f>
        <v/>
      </c>
      <c r="S81" s="16"/>
      <c r="T81" s="16"/>
      <c r="U81" s="16"/>
      <c r="V81" s="16"/>
      <c r="W81" s="16"/>
      <c r="X81" s="16"/>
      <c r="Y81" s="16"/>
      <c r="Z81" s="16"/>
    </row>
    <row r="82" ht="15.75" customHeight="1" outlineLevel="1">
      <c r="A82" s="17">
        <v>46100.0</v>
      </c>
      <c r="B82" s="18" t="str">
        <f t="shared" si="15"/>
        <v>quinta-feira</v>
      </c>
      <c r="C82" s="19"/>
      <c r="D82" s="20">
        <f>SUMIF('ADV - GG'!A:A,A82,'ADV - GG'!C:C)+SUMIF('ADV - FB'!A:A,$A82,'ADV - FB'!E:E)</f>
        <v>63.88</v>
      </c>
      <c r="E82" s="21">
        <f>SUMIF('ADV - GG'!A:A,A82,'ADV - GG'!H:H)+SUMIF('ADV - FB'!A:A,$A82,'ADV - FB'!I:I)+SUMIF('ADV - FB'!A:A,$A82,'ADV - FB'!J:J)+SUMIF('ADV - FB'!A:A,$A82,'ADV - FB'!K:K)</f>
        <v>6</v>
      </c>
      <c r="F82" s="20">
        <f t="shared" si="2"/>
        <v>10.64666667</v>
      </c>
      <c r="G82" s="22"/>
      <c r="H82" s="22"/>
      <c r="I82" s="23"/>
      <c r="J82" s="22">
        <f>SUMIF('ADV - GA4'!A:A,A82,'ADV - GA4'!C:C)</f>
        <v>0</v>
      </c>
      <c r="K82" s="20" t="str">
        <f t="shared" si="16"/>
        <v/>
      </c>
      <c r="L82" s="24" t="str">
        <f t="shared" si="3"/>
        <v/>
      </c>
      <c r="M82" s="25">
        <f t="shared" si="17"/>
        <v>0</v>
      </c>
      <c r="N82" s="26">
        <f t="shared" si="18"/>
        <v>0</v>
      </c>
      <c r="O82" s="20" t="str">
        <f>iferror(Planejador!$I$59,"")</f>
        <v/>
      </c>
      <c r="P82" s="20" t="str">
        <f>Planejador!$I$51</f>
        <v/>
      </c>
      <c r="Q82" s="27">
        <f t="shared" si="19"/>
        <v>0</v>
      </c>
      <c r="R82" s="24" t="str">
        <f>Planejador!$I$53</f>
        <v/>
      </c>
      <c r="S82" s="16"/>
      <c r="T82" s="16"/>
      <c r="U82" s="16"/>
      <c r="V82" s="16"/>
      <c r="W82" s="16"/>
      <c r="X82" s="16"/>
      <c r="Y82" s="16"/>
      <c r="Z82" s="16"/>
    </row>
    <row r="83" ht="15.75" customHeight="1" outlineLevel="1">
      <c r="A83" s="17">
        <v>46101.0</v>
      </c>
      <c r="B83" s="18" t="str">
        <f t="shared" si="15"/>
        <v>sexta-feira</v>
      </c>
      <c r="C83" s="19"/>
      <c r="D83" s="20">
        <f>SUMIF('ADV - GG'!A:A,A83,'ADV - GG'!C:C)+SUMIF('ADV - FB'!A:A,$A83,'ADV - FB'!E:E)</f>
        <v>62.75</v>
      </c>
      <c r="E83" s="21">
        <f>SUMIF('ADV - GG'!A:A,A83,'ADV - GG'!H:H)+SUMIF('ADV - FB'!A:A,$A83,'ADV - FB'!I:I)+SUMIF('ADV - FB'!A:A,$A83,'ADV - FB'!J:J)+SUMIF('ADV - FB'!A:A,$A83,'ADV - FB'!K:K)</f>
        <v>6</v>
      </c>
      <c r="F83" s="20">
        <f t="shared" si="2"/>
        <v>10.45833333</v>
      </c>
      <c r="G83" s="22"/>
      <c r="H83" s="22"/>
      <c r="I83" s="23"/>
      <c r="J83" s="22">
        <f>SUMIF('ADV - GA4'!A:A,A83,'ADV - GA4'!C:C)</f>
        <v>0</v>
      </c>
      <c r="K83" s="20" t="str">
        <f t="shared" si="16"/>
        <v/>
      </c>
      <c r="L83" s="24" t="str">
        <f t="shared" si="3"/>
        <v/>
      </c>
      <c r="M83" s="25">
        <f t="shared" si="17"/>
        <v>0</v>
      </c>
      <c r="N83" s="26">
        <f t="shared" si="18"/>
        <v>0</v>
      </c>
      <c r="O83" s="20" t="str">
        <f>iferror(Planejador!$I$59,"")</f>
        <v/>
      </c>
      <c r="P83" s="20" t="str">
        <f>Planejador!$I$51</f>
        <v/>
      </c>
      <c r="Q83" s="27">
        <f t="shared" si="19"/>
        <v>0</v>
      </c>
      <c r="R83" s="24" t="str">
        <f>Planejador!$I$53</f>
        <v/>
      </c>
      <c r="S83" s="16"/>
      <c r="T83" s="16"/>
      <c r="U83" s="16"/>
      <c r="V83" s="16"/>
      <c r="W83" s="16"/>
      <c r="X83" s="16"/>
      <c r="Y83" s="16"/>
      <c r="Z83" s="16"/>
    </row>
    <row r="84" ht="15.75" customHeight="1" outlineLevel="1">
      <c r="A84" s="17">
        <v>46102.0</v>
      </c>
      <c r="B84" s="18" t="str">
        <f t="shared" si="15"/>
        <v>sábado</v>
      </c>
      <c r="C84" s="19"/>
      <c r="D84" s="20">
        <f>SUMIF('ADV - GG'!A:A,A84,'ADV - GG'!C:C)+SUMIF('ADV - FB'!A:A,$A84,'ADV - FB'!E:E)</f>
        <v>58.43</v>
      </c>
      <c r="E84" s="21">
        <f>SUMIF('ADV - GG'!A:A,A84,'ADV - GG'!H:H)+SUMIF('ADV - FB'!A:A,$A84,'ADV - FB'!I:I)+SUMIF('ADV - FB'!A:A,$A84,'ADV - FB'!J:J)+SUMIF('ADV - FB'!A:A,$A84,'ADV - FB'!K:K)</f>
        <v>7</v>
      </c>
      <c r="F84" s="20">
        <f t="shared" si="2"/>
        <v>8.347142857</v>
      </c>
      <c r="G84" s="22"/>
      <c r="H84" s="22"/>
      <c r="I84" s="23"/>
      <c r="J84" s="22">
        <f>SUMIF('ADV - GA4'!A:A,A84,'ADV - GA4'!C:C)</f>
        <v>0</v>
      </c>
      <c r="K84" s="20" t="str">
        <f t="shared" si="16"/>
        <v/>
      </c>
      <c r="L84" s="24" t="str">
        <f t="shared" si="3"/>
        <v/>
      </c>
      <c r="M84" s="25">
        <f t="shared" si="17"/>
        <v>0</v>
      </c>
      <c r="N84" s="26">
        <f t="shared" si="18"/>
        <v>0</v>
      </c>
      <c r="O84" s="20" t="str">
        <f>iferror(Planejador!$I$59,"")</f>
        <v/>
      </c>
      <c r="P84" s="20" t="str">
        <f>Planejador!$I$51</f>
        <v/>
      </c>
      <c r="Q84" s="27">
        <f t="shared" si="19"/>
        <v>0</v>
      </c>
      <c r="R84" s="24" t="str">
        <f>Planejador!$I$53</f>
        <v/>
      </c>
      <c r="S84" s="16"/>
      <c r="T84" s="16"/>
      <c r="U84" s="16"/>
      <c r="V84" s="16"/>
      <c r="W84" s="16"/>
      <c r="X84" s="16"/>
      <c r="Y84" s="16"/>
      <c r="Z84" s="16"/>
    </row>
    <row r="85" ht="15.75" customHeight="1" outlineLevel="1">
      <c r="A85" s="17">
        <v>46103.0</v>
      </c>
      <c r="B85" s="18" t="str">
        <f t="shared" si="15"/>
        <v>domingo</v>
      </c>
      <c r="C85" s="19"/>
      <c r="D85" s="20">
        <f>SUMIF('ADV - GG'!A:A,A85,'ADV - GG'!C:C)+SUMIF('ADV - FB'!A:A,$A85,'ADV - FB'!E:E)</f>
        <v>64.56</v>
      </c>
      <c r="E85" s="21">
        <f>SUMIF('ADV - GG'!A:A,A85,'ADV - GG'!H:H)+SUMIF('ADV - FB'!A:A,$A85,'ADV - FB'!I:I)+SUMIF('ADV - FB'!A:A,$A85,'ADV - FB'!J:J)+SUMIF('ADV - FB'!A:A,$A85,'ADV - FB'!K:K)</f>
        <v>6</v>
      </c>
      <c r="F85" s="20">
        <f t="shared" si="2"/>
        <v>10.76</v>
      </c>
      <c r="G85" s="22"/>
      <c r="H85" s="22"/>
      <c r="I85" s="23"/>
      <c r="J85" s="22">
        <f>SUMIF('ADV - GA4'!A:A,A85,'ADV - GA4'!C:C)</f>
        <v>0</v>
      </c>
      <c r="K85" s="20" t="str">
        <f t="shared" si="16"/>
        <v/>
      </c>
      <c r="L85" s="24" t="str">
        <f t="shared" si="3"/>
        <v/>
      </c>
      <c r="M85" s="25">
        <f t="shared" si="17"/>
        <v>0</v>
      </c>
      <c r="N85" s="26">
        <f t="shared" si="18"/>
        <v>0</v>
      </c>
      <c r="O85" s="20" t="str">
        <f>iferror(Planejador!$I$59,"")</f>
        <v/>
      </c>
      <c r="P85" s="20" t="str">
        <f>Planejador!$I$51</f>
        <v/>
      </c>
      <c r="Q85" s="27">
        <f t="shared" si="19"/>
        <v>0</v>
      </c>
      <c r="R85" s="24" t="str">
        <f>Planejador!$I$53</f>
        <v/>
      </c>
      <c r="S85" s="16"/>
      <c r="T85" s="16"/>
      <c r="U85" s="16"/>
      <c r="V85" s="16"/>
      <c r="W85" s="16"/>
      <c r="X85" s="16"/>
      <c r="Y85" s="16"/>
      <c r="Z85" s="16"/>
    </row>
    <row r="86" ht="15.75" customHeight="1" outlineLevel="1">
      <c r="A86" s="17">
        <v>46104.0</v>
      </c>
      <c r="B86" s="18" t="str">
        <f t="shared" si="15"/>
        <v>segunda-feira</v>
      </c>
      <c r="C86" s="19"/>
      <c r="D86" s="20">
        <f>SUMIF('ADV - GG'!A:A,A86,'ADV - GG'!C:C)+SUMIF('ADV - FB'!A:A,$A86,'ADV - FB'!E:E)</f>
        <v>71.75</v>
      </c>
      <c r="E86" s="21">
        <f>SUMIF('ADV - GG'!A:A,A86,'ADV - GG'!H:H)+SUMIF('ADV - FB'!A:A,$A86,'ADV - FB'!I:I)+SUMIF('ADV - FB'!A:A,$A86,'ADV - FB'!J:J)+SUMIF('ADV - FB'!A:A,$A86,'ADV - FB'!K:K)</f>
        <v>11</v>
      </c>
      <c r="F86" s="20">
        <f t="shared" si="2"/>
        <v>6.522727273</v>
      </c>
      <c r="G86" s="22"/>
      <c r="H86" s="22"/>
      <c r="I86" s="23"/>
      <c r="J86" s="22">
        <f>SUMIF('ADV - GA4'!A:A,A86,'ADV - GA4'!C:C)</f>
        <v>0</v>
      </c>
      <c r="K86" s="20" t="str">
        <f t="shared" si="16"/>
        <v/>
      </c>
      <c r="L86" s="24" t="str">
        <f t="shared" si="3"/>
        <v/>
      </c>
      <c r="M86" s="25">
        <f t="shared" si="17"/>
        <v>0</v>
      </c>
      <c r="N86" s="26">
        <f t="shared" si="18"/>
        <v>0</v>
      </c>
      <c r="O86" s="20" t="str">
        <f>iferror(Planejador!$I$59,"")</f>
        <v/>
      </c>
      <c r="P86" s="20" t="str">
        <f>Planejador!$I$51</f>
        <v/>
      </c>
      <c r="Q86" s="27">
        <f t="shared" si="19"/>
        <v>0</v>
      </c>
      <c r="R86" s="24" t="str">
        <f>Planejador!$I$53</f>
        <v/>
      </c>
      <c r="S86" s="16"/>
      <c r="T86" s="16"/>
      <c r="U86" s="16"/>
      <c r="V86" s="16"/>
      <c r="W86" s="16"/>
      <c r="X86" s="16"/>
      <c r="Y86" s="16"/>
      <c r="Z86" s="16"/>
    </row>
    <row r="87" ht="15.75" customHeight="1" outlineLevel="1">
      <c r="A87" s="17">
        <v>46105.0</v>
      </c>
      <c r="B87" s="18" t="str">
        <f t="shared" si="15"/>
        <v>terça-feira</v>
      </c>
      <c r="C87" s="19"/>
      <c r="D87" s="20">
        <f>SUMIF('ADV - GG'!A:A,A87,'ADV - GG'!C:C)+SUMIF('ADV - FB'!A:A,$A87,'ADV - FB'!E:E)</f>
        <v>64.46</v>
      </c>
      <c r="E87" s="21">
        <f>SUMIF('ADV - GG'!A:A,A87,'ADV - GG'!H:H)+SUMIF('ADV - FB'!A:A,$A87,'ADV - FB'!I:I)+SUMIF('ADV - FB'!A:A,$A87,'ADV - FB'!J:J)+SUMIF('ADV - FB'!A:A,$A87,'ADV - FB'!K:K)</f>
        <v>10</v>
      </c>
      <c r="F87" s="20">
        <f t="shared" si="2"/>
        <v>6.446</v>
      </c>
      <c r="G87" s="22"/>
      <c r="H87" s="22"/>
      <c r="I87" s="23"/>
      <c r="J87" s="22">
        <f>SUMIF('ADV - GA4'!A:A,A87,'ADV - GA4'!C:C)</f>
        <v>0</v>
      </c>
      <c r="K87" s="20" t="str">
        <f t="shared" si="16"/>
        <v/>
      </c>
      <c r="L87" s="24" t="str">
        <f t="shared" si="3"/>
        <v/>
      </c>
      <c r="M87" s="25">
        <f t="shared" si="17"/>
        <v>0</v>
      </c>
      <c r="N87" s="26">
        <f t="shared" si="18"/>
        <v>0</v>
      </c>
      <c r="O87" s="20" t="str">
        <f>iferror(Planejador!$I$59,"")</f>
        <v/>
      </c>
      <c r="P87" s="20" t="str">
        <f>Planejador!$I$51</f>
        <v/>
      </c>
      <c r="Q87" s="27">
        <f t="shared" si="19"/>
        <v>0</v>
      </c>
      <c r="R87" s="24" t="str">
        <f>Planejador!$I$53</f>
        <v/>
      </c>
      <c r="S87" s="16"/>
      <c r="T87" s="16"/>
      <c r="U87" s="16"/>
      <c r="V87" s="16"/>
      <c r="W87" s="16"/>
      <c r="X87" s="16"/>
      <c r="Y87" s="16"/>
      <c r="Z87" s="16"/>
    </row>
    <row r="88" ht="15.75" customHeight="1" outlineLevel="1">
      <c r="A88" s="17">
        <v>46106.0</v>
      </c>
      <c r="B88" s="18" t="str">
        <f t="shared" si="15"/>
        <v>quarta-feira</v>
      </c>
      <c r="C88" s="19"/>
      <c r="D88" s="20">
        <f>SUMIF('ADV - GG'!A:A,A88,'ADV - GG'!C:C)+SUMIF('ADV - FB'!A:A,$A88,'ADV - FB'!E:E)</f>
        <v>65.44</v>
      </c>
      <c r="E88" s="21">
        <f>SUMIF('ADV - GG'!A:A,A88,'ADV - GG'!H:H)+SUMIF('ADV - FB'!A:A,$A88,'ADV - FB'!I:I)+SUMIF('ADV - FB'!A:A,$A88,'ADV - FB'!J:J)+SUMIF('ADV - FB'!A:A,$A88,'ADV - FB'!K:K)</f>
        <v>6</v>
      </c>
      <c r="F88" s="20">
        <f t="shared" si="2"/>
        <v>10.90666667</v>
      </c>
      <c r="G88" s="22"/>
      <c r="H88" s="22"/>
      <c r="I88" s="23"/>
      <c r="J88" s="22">
        <f>SUMIF('ADV - GA4'!A:A,A88,'ADV - GA4'!C:C)</f>
        <v>0</v>
      </c>
      <c r="K88" s="20" t="str">
        <f t="shared" si="16"/>
        <v/>
      </c>
      <c r="L88" s="24" t="str">
        <f t="shared" si="3"/>
        <v/>
      </c>
      <c r="M88" s="25">
        <f t="shared" si="17"/>
        <v>0</v>
      </c>
      <c r="N88" s="26">
        <f t="shared" si="18"/>
        <v>0</v>
      </c>
      <c r="O88" s="20" t="str">
        <f>iferror(Planejador!$I$59,"")</f>
        <v/>
      </c>
      <c r="P88" s="20" t="str">
        <f>Planejador!$I$51</f>
        <v/>
      </c>
      <c r="Q88" s="27">
        <f t="shared" si="19"/>
        <v>0</v>
      </c>
      <c r="R88" s="24" t="str">
        <f>Planejador!$I$53</f>
        <v/>
      </c>
      <c r="S88" s="16"/>
      <c r="T88" s="16"/>
      <c r="U88" s="16"/>
      <c r="V88" s="16"/>
      <c r="W88" s="16"/>
      <c r="X88" s="16"/>
      <c r="Y88" s="16"/>
      <c r="Z88" s="16"/>
    </row>
    <row r="89" ht="15.75" customHeight="1" outlineLevel="1">
      <c r="A89" s="17">
        <v>46107.0</v>
      </c>
      <c r="B89" s="18" t="str">
        <f t="shared" si="15"/>
        <v>quinta-feira</v>
      </c>
      <c r="C89" s="19"/>
      <c r="D89" s="20">
        <f>SUMIF('ADV - GG'!A:A,A89,'ADV - GG'!C:C)+SUMIF('ADV - FB'!A:A,$A89,'ADV - FB'!E:E)</f>
        <v>63.22</v>
      </c>
      <c r="E89" s="21">
        <f>SUMIF('ADV - GG'!A:A,A89,'ADV - GG'!H:H)+SUMIF('ADV - FB'!A:A,$A89,'ADV - FB'!I:I)+SUMIF('ADV - FB'!A:A,$A89,'ADV - FB'!J:J)+SUMIF('ADV - FB'!A:A,$A89,'ADV - FB'!K:K)</f>
        <v>8</v>
      </c>
      <c r="F89" s="20">
        <f t="shared" si="2"/>
        <v>7.9025</v>
      </c>
      <c r="G89" s="22"/>
      <c r="H89" s="22"/>
      <c r="I89" s="23"/>
      <c r="J89" s="22">
        <f>SUMIF('ADV - GA4'!A:A,A89,'ADV - GA4'!C:C)</f>
        <v>0</v>
      </c>
      <c r="K89" s="20" t="str">
        <f t="shared" si="16"/>
        <v/>
      </c>
      <c r="L89" s="24" t="str">
        <f t="shared" si="3"/>
        <v/>
      </c>
      <c r="M89" s="25">
        <f t="shared" si="17"/>
        <v>0</v>
      </c>
      <c r="N89" s="26">
        <f t="shared" si="18"/>
        <v>0</v>
      </c>
      <c r="O89" s="20" t="str">
        <f>iferror(Planejador!$I$59,"")</f>
        <v/>
      </c>
      <c r="P89" s="20" t="str">
        <f>Planejador!$I$51</f>
        <v/>
      </c>
      <c r="Q89" s="27">
        <f t="shared" si="19"/>
        <v>0</v>
      </c>
      <c r="R89" s="24" t="str">
        <f>Planejador!$I$53</f>
        <v/>
      </c>
      <c r="S89" s="16"/>
      <c r="T89" s="16"/>
      <c r="U89" s="16"/>
      <c r="V89" s="16"/>
      <c r="W89" s="16"/>
      <c r="X89" s="16"/>
      <c r="Y89" s="16"/>
      <c r="Z89" s="16"/>
    </row>
    <row r="90" ht="15.75" customHeight="1" outlineLevel="1">
      <c r="A90" s="17">
        <v>46108.0</v>
      </c>
      <c r="B90" s="18" t="str">
        <f t="shared" si="15"/>
        <v>sexta-feira</v>
      </c>
      <c r="C90" s="19"/>
      <c r="D90" s="20">
        <f>SUMIF('ADV - GG'!A:A,A90,'ADV - GG'!C:C)+SUMIF('ADV - FB'!A:A,$A90,'ADV - FB'!E:E)</f>
        <v>68.15</v>
      </c>
      <c r="E90" s="21">
        <f>SUMIF('ADV - GG'!A:A,A90,'ADV - GG'!H:H)+SUMIF('ADV - FB'!A:A,$A90,'ADV - FB'!I:I)+SUMIF('ADV - FB'!A:A,$A90,'ADV - FB'!J:J)+SUMIF('ADV - FB'!A:A,$A90,'ADV - FB'!K:K)</f>
        <v>6</v>
      </c>
      <c r="F90" s="20">
        <f t="shared" si="2"/>
        <v>11.35833333</v>
      </c>
      <c r="G90" s="22"/>
      <c r="H90" s="22"/>
      <c r="I90" s="23"/>
      <c r="J90" s="22">
        <f>SUMIF('ADV - GA4'!A:A,A90,'ADV - GA4'!C:C)</f>
        <v>0</v>
      </c>
      <c r="K90" s="20" t="str">
        <f t="shared" si="16"/>
        <v/>
      </c>
      <c r="L90" s="24" t="str">
        <f t="shared" si="3"/>
        <v/>
      </c>
      <c r="M90" s="25">
        <f t="shared" si="17"/>
        <v>0</v>
      </c>
      <c r="N90" s="26">
        <f t="shared" si="18"/>
        <v>0</v>
      </c>
      <c r="O90" s="20" t="str">
        <f>iferror(Planejador!$I$59,"")</f>
        <v/>
      </c>
      <c r="P90" s="20" t="str">
        <f>Planejador!$I$51</f>
        <v/>
      </c>
      <c r="Q90" s="27">
        <f t="shared" si="19"/>
        <v>0</v>
      </c>
      <c r="R90" s="24" t="str">
        <f>Planejador!$I$53</f>
        <v/>
      </c>
      <c r="S90" s="16"/>
      <c r="T90" s="16"/>
      <c r="U90" s="16"/>
      <c r="V90" s="16"/>
      <c r="W90" s="16"/>
      <c r="X90" s="16"/>
      <c r="Y90" s="16"/>
      <c r="Z90" s="16"/>
    </row>
    <row r="91" ht="15.75" customHeight="1" outlineLevel="1">
      <c r="A91" s="17">
        <v>46109.0</v>
      </c>
      <c r="B91" s="18" t="str">
        <f t="shared" si="15"/>
        <v>sábado</v>
      </c>
      <c r="C91" s="19"/>
      <c r="D91" s="20">
        <f>SUMIF('ADV - GG'!A:A,A91,'ADV - GG'!C:C)+SUMIF('ADV - FB'!A:A,$A91,'ADV - FB'!E:E)</f>
        <v>55.21</v>
      </c>
      <c r="E91" s="21">
        <f>SUMIF('ADV - GG'!A:A,A91,'ADV - GG'!H:H)+SUMIF('ADV - FB'!A:A,$A91,'ADV - FB'!I:I)+SUMIF('ADV - FB'!A:A,$A91,'ADV - FB'!J:J)+SUMIF('ADV - FB'!A:A,$A91,'ADV - FB'!K:K)</f>
        <v>4</v>
      </c>
      <c r="F91" s="20">
        <f t="shared" si="2"/>
        <v>13.8025</v>
      </c>
      <c r="G91" s="22"/>
      <c r="H91" s="22"/>
      <c r="I91" s="23"/>
      <c r="J91" s="22">
        <f>SUMIF('ADV - GA4'!A:A,A91,'ADV - GA4'!C:C)</f>
        <v>0</v>
      </c>
      <c r="K91" s="20" t="str">
        <f t="shared" si="16"/>
        <v/>
      </c>
      <c r="L91" s="24" t="str">
        <f t="shared" si="3"/>
        <v/>
      </c>
      <c r="M91" s="25">
        <f t="shared" si="17"/>
        <v>0</v>
      </c>
      <c r="N91" s="26">
        <f t="shared" si="18"/>
        <v>0</v>
      </c>
      <c r="O91" s="20" t="str">
        <f>iferror(Planejador!$I$59,"")</f>
        <v/>
      </c>
      <c r="P91" s="20" t="str">
        <f>Planejador!$I$51</f>
        <v/>
      </c>
      <c r="Q91" s="27">
        <f t="shared" si="19"/>
        <v>0</v>
      </c>
      <c r="R91" s="24" t="str">
        <f>Planejador!$I$53</f>
        <v/>
      </c>
      <c r="S91" s="16"/>
      <c r="T91" s="16"/>
      <c r="U91" s="16"/>
      <c r="V91" s="16"/>
      <c r="W91" s="16"/>
      <c r="X91" s="16"/>
      <c r="Y91" s="16"/>
      <c r="Z91" s="16"/>
    </row>
    <row r="92" ht="15.75" customHeight="1" outlineLevel="1">
      <c r="A92" s="17">
        <v>46110.0</v>
      </c>
      <c r="B92" s="18" t="str">
        <f t="shared" si="15"/>
        <v>domingo</v>
      </c>
      <c r="C92" s="19"/>
      <c r="D92" s="20">
        <f>SUMIF('ADV - GG'!A:A,A92,'ADV - GG'!C:C)+SUMIF('ADV - FB'!A:A,$A92,'ADV - FB'!E:E)</f>
        <v>68.78</v>
      </c>
      <c r="E92" s="21">
        <f>SUMIF('ADV - GG'!A:A,A92,'ADV - GG'!H:H)+SUMIF('ADV - FB'!A:A,$A92,'ADV - FB'!I:I)+SUMIF('ADV - FB'!A:A,$A92,'ADV - FB'!J:J)+SUMIF('ADV - FB'!A:A,$A92,'ADV - FB'!K:K)</f>
        <v>5</v>
      </c>
      <c r="F92" s="20">
        <f t="shared" si="2"/>
        <v>13.756</v>
      </c>
      <c r="G92" s="22"/>
      <c r="H92" s="22"/>
      <c r="I92" s="23"/>
      <c r="J92" s="22">
        <f>SUMIF('ADV - GA4'!A:A,A92,'ADV - GA4'!C:C)</f>
        <v>0</v>
      </c>
      <c r="K92" s="20" t="str">
        <f t="shared" si="16"/>
        <v/>
      </c>
      <c r="L92" s="24" t="str">
        <f t="shared" si="3"/>
        <v/>
      </c>
      <c r="M92" s="25">
        <f t="shared" si="17"/>
        <v>0</v>
      </c>
      <c r="N92" s="26">
        <f t="shared" si="18"/>
        <v>0</v>
      </c>
      <c r="O92" s="20" t="str">
        <f>iferror(Planejador!$I$59,"")</f>
        <v/>
      </c>
      <c r="P92" s="20" t="str">
        <f>Planejador!$I$51</f>
        <v/>
      </c>
      <c r="Q92" s="27">
        <f t="shared" si="19"/>
        <v>0</v>
      </c>
      <c r="R92" s="24" t="str">
        <f>Planejador!$I$53</f>
        <v/>
      </c>
      <c r="S92" s="16"/>
      <c r="T92" s="16"/>
      <c r="U92" s="16"/>
      <c r="V92" s="16"/>
      <c r="W92" s="16"/>
      <c r="X92" s="16"/>
      <c r="Y92" s="16"/>
      <c r="Z92" s="16"/>
    </row>
    <row r="93" ht="15.75" customHeight="1" outlineLevel="1">
      <c r="A93" s="17">
        <v>46111.0</v>
      </c>
      <c r="B93" s="18" t="str">
        <f t="shared" si="15"/>
        <v>segunda-feira</v>
      </c>
      <c r="C93" s="19"/>
      <c r="D93" s="20">
        <f>SUMIF('ADV - GG'!A:A,A93,'ADV - GG'!C:C)+SUMIF('ADV - FB'!A:A,$A93,'ADV - FB'!E:E)</f>
        <v>70.93</v>
      </c>
      <c r="E93" s="21">
        <f>SUMIF('ADV - GG'!A:A,A93,'ADV - GG'!H:H)+SUMIF('ADV - FB'!A:A,$A93,'ADV - FB'!I:I)+SUMIF('ADV - FB'!A:A,$A93,'ADV - FB'!J:J)+SUMIF('ADV - FB'!A:A,$A93,'ADV - FB'!K:K)</f>
        <v>3</v>
      </c>
      <c r="F93" s="20">
        <f t="shared" si="2"/>
        <v>23.64333333</v>
      </c>
      <c r="G93" s="22"/>
      <c r="H93" s="22"/>
      <c r="I93" s="23"/>
      <c r="J93" s="22">
        <f>SUMIF('ADV - GA4'!A:A,A93,'ADV - GA4'!C:C)</f>
        <v>0</v>
      </c>
      <c r="K93" s="20" t="str">
        <f t="shared" si="16"/>
        <v/>
      </c>
      <c r="L93" s="24" t="str">
        <f t="shared" si="3"/>
        <v/>
      </c>
      <c r="M93" s="25">
        <f t="shared" si="17"/>
        <v>0</v>
      </c>
      <c r="N93" s="26">
        <f t="shared" si="18"/>
        <v>0</v>
      </c>
      <c r="O93" s="20" t="str">
        <f>iferror(Planejador!$I$59,"")</f>
        <v/>
      </c>
      <c r="P93" s="20" t="str">
        <f>Planejador!$I$51</f>
        <v/>
      </c>
      <c r="Q93" s="27">
        <f t="shared" si="19"/>
        <v>0</v>
      </c>
      <c r="R93" s="24" t="str">
        <f>Planejador!$I$53</f>
        <v/>
      </c>
      <c r="S93" s="16"/>
      <c r="T93" s="16"/>
      <c r="U93" s="16"/>
      <c r="V93" s="16"/>
      <c r="W93" s="16"/>
      <c r="X93" s="16"/>
      <c r="Y93" s="16"/>
      <c r="Z93" s="16"/>
    </row>
    <row r="94" ht="15.75" customHeight="1" outlineLevel="1">
      <c r="A94" s="17">
        <v>46112.0</v>
      </c>
      <c r="B94" s="18" t="str">
        <f t="shared" si="15"/>
        <v>terça-feira</v>
      </c>
      <c r="C94" s="19"/>
      <c r="D94" s="20">
        <f>SUMIF('ADV - GG'!A:A,A94,'ADV - GG'!C:C)+SUMIF('ADV - FB'!A:A,$A94,'ADV - FB'!E:E)</f>
        <v>66.7</v>
      </c>
      <c r="E94" s="21">
        <f>SUMIF('ADV - GG'!A:A,A94,'ADV - GG'!H:H)+SUMIF('ADV - FB'!A:A,$A94,'ADV - FB'!I:I)+SUMIF('ADV - FB'!A:A,$A94,'ADV - FB'!J:J)+SUMIF('ADV - FB'!A:A,$A94,'ADV - FB'!K:K)</f>
        <v>3</v>
      </c>
      <c r="F94" s="20">
        <f t="shared" si="2"/>
        <v>22.23333333</v>
      </c>
      <c r="G94" s="22"/>
      <c r="H94" s="22"/>
      <c r="I94" s="23"/>
      <c r="J94" s="22">
        <f>SUMIF('ADV - GA4'!A:A,A94,'ADV - GA4'!C:C)</f>
        <v>0</v>
      </c>
      <c r="K94" s="20" t="str">
        <f t="shared" si="16"/>
        <v/>
      </c>
      <c r="L94" s="24" t="str">
        <f t="shared" si="3"/>
        <v/>
      </c>
      <c r="M94" s="25">
        <f t="shared" si="17"/>
        <v>0</v>
      </c>
      <c r="N94" s="26">
        <f t="shared" si="18"/>
        <v>0</v>
      </c>
      <c r="O94" s="20" t="str">
        <f>iferror(Planejador!$I$59,"")</f>
        <v/>
      </c>
      <c r="P94" s="20" t="str">
        <f>Planejador!$I$51</f>
        <v/>
      </c>
      <c r="Q94" s="27">
        <f t="shared" si="19"/>
        <v>0</v>
      </c>
      <c r="R94" s="24" t="str">
        <f>Planejador!$I$53</f>
        <v/>
      </c>
      <c r="S94" s="16"/>
      <c r="T94" s="16"/>
      <c r="U94" s="16"/>
      <c r="V94" s="16"/>
      <c r="W94" s="16"/>
      <c r="X94" s="16"/>
      <c r="Y94" s="16"/>
      <c r="Z94" s="16"/>
    </row>
    <row r="95" ht="22.5" customHeight="1" collapsed="1">
      <c r="A95" s="7" t="s">
        <v>28</v>
      </c>
      <c r="B95" s="8">
        <v>30.0</v>
      </c>
      <c r="C95" s="9"/>
      <c r="D95" s="10">
        <f>IFERROR(SUM(D96:D125),"")</f>
        <v>1288.4</v>
      </c>
      <c r="E95" s="11">
        <f>iferror(SUM(E96:E125),"")</f>
        <v>89</v>
      </c>
      <c r="F95" s="14">
        <f t="shared" si="2"/>
        <v>14.47640449</v>
      </c>
      <c r="G95" s="13">
        <f t="shared" ref="G95:I95" si="20">iferror(SUM(G96:G125),"")</f>
        <v>0</v>
      </c>
      <c r="H95" s="13">
        <f t="shared" si="20"/>
        <v>0</v>
      </c>
      <c r="I95" s="10">
        <f t="shared" si="20"/>
        <v>0</v>
      </c>
      <c r="J95" s="13">
        <f>IFERROR(SUM(J96:J125),"")</f>
        <v>0</v>
      </c>
      <c r="K95" s="14" t="str">
        <f>iferror(D95/J95,"")</f>
        <v/>
      </c>
      <c r="L95" s="15" t="str">
        <f t="shared" si="3"/>
        <v/>
      </c>
      <c r="M95" s="10" t="str">
        <f>Planejador!$I$73</f>
        <v/>
      </c>
      <c r="N95" s="13" t="str">
        <f>iferror(Planejador!$I$80,"")</f>
        <v/>
      </c>
      <c r="O95" s="14" t="str">
        <f>iferror(Planejador!$I$82,"")</f>
        <v/>
      </c>
      <c r="P95" s="14" t="str">
        <f>iferror(Planejador!$I$74,"")</f>
        <v/>
      </c>
      <c r="Q95" s="13" t="str">
        <f>iferror(Planejador!$I$79,"")</f>
        <v/>
      </c>
      <c r="R95" s="15" t="str">
        <f>Iferror(Planejador!$I$76,"")</f>
        <v/>
      </c>
      <c r="S95" s="16"/>
      <c r="T95" s="16"/>
      <c r="U95" s="16"/>
      <c r="V95" s="16"/>
      <c r="W95" s="16"/>
      <c r="X95" s="16"/>
      <c r="Y95" s="16"/>
      <c r="Z95" s="16"/>
    </row>
    <row r="96" ht="15.75" hidden="1" customHeight="1" outlineLevel="1">
      <c r="A96" s="17">
        <v>46113.0</v>
      </c>
      <c r="B96" s="18" t="str">
        <f t="shared" ref="B96:B125" si="21">TEXT(A96,"dddd")</f>
        <v>quarta-feira</v>
      </c>
      <c r="C96" s="19"/>
      <c r="D96" s="20">
        <f>SUMIF('ADV - GG'!A:A,A96,'ADV - GG'!C:C)+SUMIF('ADV - FB'!A:A,$A96,'ADV - FB'!E:E)</f>
        <v>67.19</v>
      </c>
      <c r="E96" s="21">
        <f>SUMIF('ADV - GG'!A:A,A96,'ADV - GG'!H:H)+SUMIF('ADV - FB'!A:A,$A96,'ADV - FB'!I:I)+SUMIF('ADV - FB'!A:A,$A96,'ADV - FB'!J:J)+SUMIF('ADV - FB'!A:A,$A96,'ADV - FB'!K:K)</f>
        <v>7</v>
      </c>
      <c r="F96" s="20">
        <f t="shared" si="2"/>
        <v>9.598571429</v>
      </c>
      <c r="G96" s="22"/>
      <c r="H96" s="22"/>
      <c r="I96" s="23"/>
      <c r="J96" s="22">
        <f>SUMIF('ADV - GA4'!A:A,A96,'ADV - GA4'!C:C)</f>
        <v>0</v>
      </c>
      <c r="K96" s="20" t="str">
        <f t="shared" ref="K96:K125" si="22">IFERROR(D96/J96,"")</f>
        <v/>
      </c>
      <c r="L96" s="24" t="str">
        <f t="shared" si="3"/>
        <v/>
      </c>
      <c r="M96" s="25">
        <f t="shared" ref="M96:M125" si="23">$M$95/$B$95</f>
        <v>0</v>
      </c>
      <c r="N96" s="26">
        <f t="shared" ref="N96:N125" si="24">iferror($N$95/$B$95,"")</f>
        <v>0</v>
      </c>
      <c r="O96" s="20" t="str">
        <f>iferror(Planejador!$I$82,"")</f>
        <v/>
      </c>
      <c r="P96" s="20" t="str">
        <f>Planejador!$I$74</f>
        <v/>
      </c>
      <c r="Q96" s="27">
        <f t="shared" ref="Q96:Q125" si="25">$Q$95/$B$95</f>
        <v>0</v>
      </c>
      <c r="R96" s="24" t="str">
        <f>Planejador!$I$76</f>
        <v/>
      </c>
      <c r="S96" s="16"/>
      <c r="T96" s="16"/>
      <c r="U96" s="16"/>
      <c r="V96" s="16"/>
      <c r="W96" s="16"/>
      <c r="X96" s="16"/>
      <c r="Y96" s="16"/>
      <c r="Z96" s="16"/>
    </row>
    <row r="97" ht="15.75" hidden="1" customHeight="1" outlineLevel="1">
      <c r="A97" s="17">
        <v>46114.0</v>
      </c>
      <c r="B97" s="18" t="str">
        <f t="shared" si="21"/>
        <v>quinta-feira</v>
      </c>
      <c r="C97" s="19"/>
      <c r="D97" s="20">
        <f>SUMIF('ADV - GG'!A:A,A97,'ADV - GG'!C:C)+SUMIF('ADV - FB'!A:A,$A97,'ADV - FB'!E:E)</f>
        <v>62.51</v>
      </c>
      <c r="E97" s="21">
        <f>SUMIF('ADV - GG'!A:A,A97,'ADV - GG'!H:H)+SUMIF('ADV - FB'!A:A,$A97,'ADV - FB'!I:I)+SUMIF('ADV - FB'!A:A,$A97,'ADV - FB'!J:J)+SUMIF('ADV - FB'!A:A,$A97,'ADV - FB'!K:K)</f>
        <v>4</v>
      </c>
      <c r="F97" s="20">
        <f t="shared" si="2"/>
        <v>15.6275</v>
      </c>
      <c r="G97" s="22"/>
      <c r="H97" s="22"/>
      <c r="I97" s="23"/>
      <c r="J97" s="22">
        <f>SUMIF('ADV - GA4'!A:A,A97,'ADV - GA4'!C:C)</f>
        <v>0</v>
      </c>
      <c r="K97" s="20" t="str">
        <f t="shared" si="22"/>
        <v/>
      </c>
      <c r="L97" s="24" t="str">
        <f t="shared" si="3"/>
        <v/>
      </c>
      <c r="M97" s="25">
        <f t="shared" si="23"/>
        <v>0</v>
      </c>
      <c r="N97" s="26">
        <f t="shared" si="24"/>
        <v>0</v>
      </c>
      <c r="O97" s="20" t="str">
        <f>iferror(Planejador!$I$82,"")</f>
        <v/>
      </c>
      <c r="P97" s="20" t="str">
        <f>Planejador!$I$74</f>
        <v/>
      </c>
      <c r="Q97" s="27">
        <f t="shared" si="25"/>
        <v>0</v>
      </c>
      <c r="R97" s="24" t="str">
        <f>Planejador!$I$76</f>
        <v/>
      </c>
      <c r="S97" s="16"/>
      <c r="T97" s="16"/>
      <c r="U97" s="16"/>
      <c r="V97" s="16"/>
      <c r="W97" s="16"/>
      <c r="X97" s="16"/>
      <c r="Y97" s="16"/>
      <c r="Z97" s="16"/>
    </row>
    <row r="98" ht="15.75" hidden="1" customHeight="1" outlineLevel="1">
      <c r="A98" s="17">
        <v>46115.0</v>
      </c>
      <c r="B98" s="18" t="str">
        <f t="shared" si="21"/>
        <v>sexta-feira</v>
      </c>
      <c r="C98" s="19"/>
      <c r="D98" s="20">
        <f>SUMIF('ADV - GG'!A:A,A98,'ADV - GG'!C:C)+SUMIF('ADV - FB'!A:A,$A98,'ADV - FB'!E:E)</f>
        <v>61.76</v>
      </c>
      <c r="E98" s="21">
        <f>SUMIF('ADV - GG'!A:A,A98,'ADV - GG'!H:H)+SUMIF('ADV - FB'!A:A,$A98,'ADV - FB'!I:I)+SUMIF('ADV - FB'!A:A,$A98,'ADV - FB'!J:J)+SUMIF('ADV - FB'!A:A,$A98,'ADV - FB'!K:K)</f>
        <v>6</v>
      </c>
      <c r="F98" s="20">
        <f t="shared" si="2"/>
        <v>10.29333333</v>
      </c>
      <c r="G98" s="22"/>
      <c r="H98" s="22"/>
      <c r="I98" s="23"/>
      <c r="J98" s="22">
        <f>SUMIF('ADV - GA4'!A:A,A98,'ADV - GA4'!C:C)</f>
        <v>0</v>
      </c>
      <c r="K98" s="20" t="str">
        <f t="shared" si="22"/>
        <v/>
      </c>
      <c r="L98" s="24" t="str">
        <f t="shared" si="3"/>
        <v/>
      </c>
      <c r="M98" s="25">
        <f t="shared" si="23"/>
        <v>0</v>
      </c>
      <c r="N98" s="26">
        <f t="shared" si="24"/>
        <v>0</v>
      </c>
      <c r="O98" s="20" t="str">
        <f>iferror(Planejador!$I$82,"")</f>
        <v/>
      </c>
      <c r="P98" s="20" t="str">
        <f>Planejador!$I$74</f>
        <v/>
      </c>
      <c r="Q98" s="27">
        <f t="shared" si="25"/>
        <v>0</v>
      </c>
      <c r="R98" s="24" t="str">
        <f>Planejador!$I$76</f>
        <v/>
      </c>
      <c r="S98" s="16"/>
      <c r="T98" s="16"/>
      <c r="U98" s="16"/>
      <c r="V98" s="16"/>
      <c r="W98" s="16"/>
      <c r="X98" s="16"/>
      <c r="Y98" s="16"/>
      <c r="Z98" s="16"/>
    </row>
    <row r="99" ht="15.75" hidden="1" customHeight="1" outlineLevel="1">
      <c r="A99" s="17">
        <v>46116.0</v>
      </c>
      <c r="B99" s="18" t="str">
        <f t="shared" si="21"/>
        <v>sábado</v>
      </c>
      <c r="C99" s="19"/>
      <c r="D99" s="20">
        <f>SUMIF('ADV - GG'!A:A,A99,'ADV - GG'!C:C)+SUMIF('ADV - FB'!A:A,$A99,'ADV - FB'!E:E)</f>
        <v>56</v>
      </c>
      <c r="E99" s="21">
        <f>SUMIF('ADV - GG'!A:A,A99,'ADV - GG'!H:H)+SUMIF('ADV - FB'!A:A,$A99,'ADV - FB'!I:I)+SUMIF('ADV - FB'!A:A,$A99,'ADV - FB'!J:J)+SUMIF('ADV - FB'!A:A,$A99,'ADV - FB'!K:K)</f>
        <v>5</v>
      </c>
      <c r="F99" s="20">
        <f t="shared" si="2"/>
        <v>11.2</v>
      </c>
      <c r="G99" s="22"/>
      <c r="H99" s="22"/>
      <c r="I99" s="23"/>
      <c r="J99" s="22">
        <f>SUMIF('ADV - GA4'!A:A,A99,'ADV - GA4'!C:C)</f>
        <v>0</v>
      </c>
      <c r="K99" s="20" t="str">
        <f t="shared" si="22"/>
        <v/>
      </c>
      <c r="L99" s="24" t="str">
        <f t="shared" si="3"/>
        <v/>
      </c>
      <c r="M99" s="25">
        <f t="shared" si="23"/>
        <v>0</v>
      </c>
      <c r="N99" s="26">
        <f t="shared" si="24"/>
        <v>0</v>
      </c>
      <c r="O99" s="20" t="str">
        <f>iferror(Planejador!$I$82,"")</f>
        <v/>
      </c>
      <c r="P99" s="20" t="str">
        <f>Planejador!$I$74</f>
        <v/>
      </c>
      <c r="Q99" s="27">
        <f t="shared" si="25"/>
        <v>0</v>
      </c>
      <c r="R99" s="24" t="str">
        <f>Planejador!$I$76</f>
        <v/>
      </c>
      <c r="S99" s="16"/>
      <c r="T99" s="16"/>
      <c r="U99" s="16"/>
      <c r="V99" s="16"/>
      <c r="W99" s="16"/>
      <c r="X99" s="16"/>
      <c r="Y99" s="16"/>
      <c r="Z99" s="16"/>
    </row>
    <row r="100" ht="15.75" hidden="1" customHeight="1" outlineLevel="1">
      <c r="A100" s="17">
        <v>46117.0</v>
      </c>
      <c r="B100" s="18" t="str">
        <f t="shared" si="21"/>
        <v>domingo</v>
      </c>
      <c r="C100" s="19"/>
      <c r="D100" s="20">
        <f>SUMIF('ADV - GG'!A:A,A100,'ADV - GG'!C:C)+SUMIF('ADV - FB'!A:A,$A100,'ADV - FB'!E:E)</f>
        <v>66.97</v>
      </c>
      <c r="E100" s="21">
        <f>SUMIF('ADV - GG'!A:A,A100,'ADV - GG'!H:H)+SUMIF('ADV - FB'!A:A,$A100,'ADV - FB'!I:I)+SUMIF('ADV - FB'!A:A,$A100,'ADV - FB'!J:J)+SUMIF('ADV - FB'!A:A,$A100,'ADV - FB'!K:K)</f>
        <v>9</v>
      </c>
      <c r="F100" s="20">
        <f t="shared" si="2"/>
        <v>7.441111111</v>
      </c>
      <c r="G100" s="22"/>
      <c r="H100" s="22"/>
      <c r="I100" s="23"/>
      <c r="J100" s="22">
        <f>SUMIF('ADV - GA4'!A:A,A100,'ADV - GA4'!C:C)</f>
        <v>0</v>
      </c>
      <c r="K100" s="20" t="str">
        <f t="shared" si="22"/>
        <v/>
      </c>
      <c r="L100" s="24" t="str">
        <f t="shared" si="3"/>
        <v/>
      </c>
      <c r="M100" s="25">
        <f t="shared" si="23"/>
        <v>0</v>
      </c>
      <c r="N100" s="26">
        <f t="shared" si="24"/>
        <v>0</v>
      </c>
      <c r="O100" s="20" t="str">
        <f>iferror(Planejador!$I$82,"")</f>
        <v/>
      </c>
      <c r="P100" s="20" t="str">
        <f>Planejador!$I$74</f>
        <v/>
      </c>
      <c r="Q100" s="27">
        <f t="shared" si="25"/>
        <v>0</v>
      </c>
      <c r="R100" s="24" t="str">
        <f>Planejador!$I$76</f>
        <v/>
      </c>
      <c r="S100" s="16"/>
      <c r="T100" s="16"/>
      <c r="U100" s="16"/>
      <c r="V100" s="16"/>
      <c r="W100" s="16"/>
      <c r="X100" s="16"/>
      <c r="Y100" s="16"/>
      <c r="Z100" s="16"/>
    </row>
    <row r="101" ht="15.75" hidden="1" customHeight="1" outlineLevel="1">
      <c r="A101" s="17">
        <v>46118.0</v>
      </c>
      <c r="B101" s="18" t="str">
        <f t="shared" si="21"/>
        <v>segunda-feira</v>
      </c>
      <c r="C101" s="19"/>
      <c r="D101" s="20">
        <f>SUMIF('ADV - GG'!A:A,A101,'ADV - GG'!C:C)+SUMIF('ADV - FB'!A:A,$A101,'ADV - FB'!E:E)</f>
        <v>66.63</v>
      </c>
      <c r="E101" s="21">
        <f>SUMIF('ADV - GG'!A:A,A101,'ADV - GG'!H:H)+SUMIF('ADV - FB'!A:A,$A101,'ADV - FB'!I:I)+SUMIF('ADV - FB'!A:A,$A101,'ADV - FB'!J:J)+SUMIF('ADV - FB'!A:A,$A101,'ADV - FB'!K:K)</f>
        <v>12</v>
      </c>
      <c r="F101" s="20">
        <f t="shared" si="2"/>
        <v>5.5525</v>
      </c>
      <c r="G101" s="22"/>
      <c r="H101" s="22"/>
      <c r="I101" s="23"/>
      <c r="J101" s="22">
        <f>SUMIF('ADV - GA4'!A:A,A101,'ADV - GA4'!C:C)</f>
        <v>0</v>
      </c>
      <c r="K101" s="20" t="str">
        <f t="shared" si="22"/>
        <v/>
      </c>
      <c r="L101" s="24" t="str">
        <f t="shared" si="3"/>
        <v/>
      </c>
      <c r="M101" s="25">
        <f t="shared" si="23"/>
        <v>0</v>
      </c>
      <c r="N101" s="26">
        <f t="shared" si="24"/>
        <v>0</v>
      </c>
      <c r="O101" s="20" t="str">
        <f>iferror(Planejador!$I$82,"")</f>
        <v/>
      </c>
      <c r="P101" s="20" t="str">
        <f>Planejador!$I$74</f>
        <v/>
      </c>
      <c r="Q101" s="27">
        <f t="shared" si="25"/>
        <v>0</v>
      </c>
      <c r="R101" s="24" t="str">
        <f>Planejador!$I$76</f>
        <v/>
      </c>
      <c r="S101" s="16"/>
      <c r="T101" s="16"/>
      <c r="U101" s="16"/>
      <c r="V101" s="16"/>
      <c r="W101" s="16"/>
      <c r="X101" s="16"/>
      <c r="Y101" s="16"/>
      <c r="Z101" s="16"/>
    </row>
    <row r="102" ht="15.75" hidden="1" customHeight="1" outlineLevel="1">
      <c r="A102" s="17">
        <v>46119.0</v>
      </c>
      <c r="B102" s="18" t="str">
        <f t="shared" si="21"/>
        <v>terça-feira</v>
      </c>
      <c r="C102" s="19"/>
      <c r="D102" s="20">
        <f>SUMIF('ADV - GG'!A:A,A102,'ADV - GG'!C:C)+SUMIF('ADV - FB'!A:A,$A102,'ADV - FB'!E:E)</f>
        <v>62.74</v>
      </c>
      <c r="E102" s="21">
        <f>SUMIF('ADV - GG'!A:A,A102,'ADV - GG'!H:H)+SUMIF('ADV - FB'!A:A,$A102,'ADV - FB'!I:I)+SUMIF('ADV - FB'!A:A,$A102,'ADV - FB'!J:J)+SUMIF('ADV - FB'!A:A,$A102,'ADV - FB'!K:K)</f>
        <v>5</v>
      </c>
      <c r="F102" s="20">
        <f t="shared" si="2"/>
        <v>12.548</v>
      </c>
      <c r="G102" s="22"/>
      <c r="H102" s="22"/>
      <c r="I102" s="23"/>
      <c r="J102" s="22">
        <f>SUMIF('ADV - GA4'!A:A,A102,'ADV - GA4'!C:C)</f>
        <v>0</v>
      </c>
      <c r="K102" s="20" t="str">
        <f t="shared" si="22"/>
        <v/>
      </c>
      <c r="L102" s="24" t="str">
        <f t="shared" si="3"/>
        <v/>
      </c>
      <c r="M102" s="25">
        <f t="shared" si="23"/>
        <v>0</v>
      </c>
      <c r="N102" s="26">
        <f t="shared" si="24"/>
        <v>0</v>
      </c>
      <c r="O102" s="20" t="str">
        <f>iferror(Planejador!$I$82,"")</f>
        <v/>
      </c>
      <c r="P102" s="20" t="str">
        <f>Planejador!$I$74</f>
        <v/>
      </c>
      <c r="Q102" s="27">
        <f t="shared" si="25"/>
        <v>0</v>
      </c>
      <c r="R102" s="24" t="str">
        <f>Planejador!$I$76</f>
        <v/>
      </c>
      <c r="S102" s="16"/>
      <c r="T102" s="16"/>
      <c r="U102" s="16"/>
      <c r="V102" s="16"/>
      <c r="W102" s="16"/>
      <c r="X102" s="16"/>
      <c r="Y102" s="16"/>
      <c r="Z102" s="16"/>
    </row>
    <row r="103" ht="15.75" hidden="1" customHeight="1" outlineLevel="1">
      <c r="A103" s="17">
        <v>46120.0</v>
      </c>
      <c r="B103" s="18" t="str">
        <f t="shared" si="21"/>
        <v>quarta-feira</v>
      </c>
      <c r="C103" s="19"/>
      <c r="D103" s="20">
        <f>SUMIF('ADV - GG'!A:A,A103,'ADV - GG'!C:C)+SUMIF('ADV - FB'!A:A,$A103,'ADV - FB'!E:E)</f>
        <v>64.34</v>
      </c>
      <c r="E103" s="21">
        <f>SUMIF('ADV - GG'!A:A,A103,'ADV - GG'!H:H)+SUMIF('ADV - FB'!A:A,$A103,'ADV - FB'!I:I)+SUMIF('ADV - FB'!A:A,$A103,'ADV - FB'!J:J)+SUMIF('ADV - FB'!A:A,$A103,'ADV - FB'!K:K)</f>
        <v>6</v>
      </c>
      <c r="F103" s="20">
        <f t="shared" si="2"/>
        <v>10.72333333</v>
      </c>
      <c r="G103" s="22"/>
      <c r="H103" s="22"/>
      <c r="I103" s="23"/>
      <c r="J103" s="22">
        <f>SUMIF('ADV - GA4'!A:A,A103,'ADV - GA4'!C:C)</f>
        <v>0</v>
      </c>
      <c r="K103" s="20" t="str">
        <f t="shared" si="22"/>
        <v/>
      </c>
      <c r="L103" s="24" t="str">
        <f t="shared" si="3"/>
        <v/>
      </c>
      <c r="M103" s="25">
        <f t="shared" si="23"/>
        <v>0</v>
      </c>
      <c r="N103" s="26">
        <f t="shared" si="24"/>
        <v>0</v>
      </c>
      <c r="O103" s="20" t="str">
        <f>iferror(Planejador!$I$82,"")</f>
        <v/>
      </c>
      <c r="P103" s="20" t="str">
        <f>Planejador!$I$74</f>
        <v/>
      </c>
      <c r="Q103" s="27">
        <f t="shared" si="25"/>
        <v>0</v>
      </c>
      <c r="R103" s="24" t="str">
        <f>Planejador!$I$76</f>
        <v/>
      </c>
      <c r="S103" s="16"/>
      <c r="T103" s="16"/>
      <c r="U103" s="16"/>
      <c r="V103" s="16"/>
      <c r="W103" s="16"/>
      <c r="X103" s="16"/>
      <c r="Y103" s="16"/>
      <c r="Z103" s="16"/>
    </row>
    <row r="104" ht="15.75" hidden="1" customHeight="1" outlineLevel="1">
      <c r="A104" s="17">
        <v>46121.0</v>
      </c>
      <c r="B104" s="18" t="str">
        <f t="shared" si="21"/>
        <v>quinta-feira</v>
      </c>
      <c r="C104" s="19"/>
      <c r="D104" s="20">
        <f>SUMIF('ADV - GG'!A:A,A104,'ADV - GG'!C:C)+SUMIF('ADV - FB'!A:A,$A104,'ADV - FB'!E:E)</f>
        <v>64.84</v>
      </c>
      <c r="E104" s="21">
        <f>SUMIF('ADV - GG'!A:A,A104,'ADV - GG'!H:H)+SUMIF('ADV - FB'!A:A,$A104,'ADV - FB'!I:I)+SUMIF('ADV - FB'!A:A,$A104,'ADV - FB'!J:J)+SUMIF('ADV - FB'!A:A,$A104,'ADV - FB'!K:K)</f>
        <v>9</v>
      </c>
      <c r="F104" s="20">
        <f t="shared" si="2"/>
        <v>7.204444444</v>
      </c>
      <c r="G104" s="22"/>
      <c r="H104" s="22"/>
      <c r="I104" s="23"/>
      <c r="J104" s="22">
        <f>SUMIF('ADV - GA4'!A:A,A104,'ADV - GA4'!C:C)</f>
        <v>0</v>
      </c>
      <c r="K104" s="20" t="str">
        <f t="shared" si="22"/>
        <v/>
      </c>
      <c r="L104" s="24" t="str">
        <f t="shared" si="3"/>
        <v/>
      </c>
      <c r="M104" s="25">
        <f t="shared" si="23"/>
        <v>0</v>
      </c>
      <c r="N104" s="26">
        <f t="shared" si="24"/>
        <v>0</v>
      </c>
      <c r="O104" s="20" t="str">
        <f>iferror(Planejador!$I$82,"")</f>
        <v/>
      </c>
      <c r="P104" s="20" t="str">
        <f>Planejador!$I$74</f>
        <v/>
      </c>
      <c r="Q104" s="27">
        <f t="shared" si="25"/>
        <v>0</v>
      </c>
      <c r="R104" s="24" t="str">
        <f>Planejador!$I$76</f>
        <v/>
      </c>
      <c r="S104" s="16"/>
      <c r="T104" s="16"/>
      <c r="U104" s="16"/>
      <c r="V104" s="16"/>
      <c r="W104" s="16"/>
      <c r="X104" s="16"/>
      <c r="Y104" s="16"/>
      <c r="Z104" s="16"/>
    </row>
    <row r="105" ht="15.75" hidden="1" customHeight="1" outlineLevel="1">
      <c r="A105" s="17">
        <v>46122.0</v>
      </c>
      <c r="B105" s="18" t="str">
        <f t="shared" si="21"/>
        <v>sexta-feira</v>
      </c>
      <c r="C105" s="19"/>
      <c r="D105" s="20">
        <f>SUMIF('ADV - GG'!A:A,A105,'ADV - GG'!C:C)+SUMIF('ADV - FB'!A:A,$A105,'ADV - FB'!E:E)</f>
        <v>63</v>
      </c>
      <c r="E105" s="21">
        <f>SUMIF('ADV - GG'!A:A,A105,'ADV - GG'!H:H)+SUMIF('ADV - FB'!A:A,$A105,'ADV - FB'!I:I)+SUMIF('ADV - FB'!A:A,$A105,'ADV - FB'!J:J)+SUMIF('ADV - FB'!A:A,$A105,'ADV - FB'!K:K)</f>
        <v>4</v>
      </c>
      <c r="F105" s="20">
        <f t="shared" si="2"/>
        <v>15.75</v>
      </c>
      <c r="G105" s="22"/>
      <c r="H105" s="22"/>
      <c r="I105" s="23"/>
      <c r="J105" s="22">
        <f>SUMIF('ADV - GA4'!A:A,A105,'ADV - GA4'!C:C)</f>
        <v>0</v>
      </c>
      <c r="K105" s="20" t="str">
        <f t="shared" si="22"/>
        <v/>
      </c>
      <c r="L105" s="24" t="str">
        <f t="shared" si="3"/>
        <v/>
      </c>
      <c r="M105" s="25">
        <f t="shared" si="23"/>
        <v>0</v>
      </c>
      <c r="N105" s="26">
        <f t="shared" si="24"/>
        <v>0</v>
      </c>
      <c r="O105" s="20" t="str">
        <f>iferror(Planejador!$I$82,"")</f>
        <v/>
      </c>
      <c r="P105" s="20" t="str">
        <f>Planejador!$I$74</f>
        <v/>
      </c>
      <c r="Q105" s="27">
        <f t="shared" si="25"/>
        <v>0</v>
      </c>
      <c r="R105" s="24" t="str">
        <f>Planejador!$I$76</f>
        <v/>
      </c>
      <c r="S105" s="16"/>
      <c r="T105" s="16"/>
      <c r="U105" s="16"/>
      <c r="V105" s="16"/>
      <c r="W105" s="16"/>
      <c r="X105" s="16"/>
      <c r="Y105" s="16"/>
      <c r="Z105" s="16"/>
    </row>
    <row r="106" ht="15.75" hidden="1" customHeight="1" outlineLevel="1">
      <c r="A106" s="17">
        <v>46123.0</v>
      </c>
      <c r="B106" s="18" t="str">
        <f t="shared" si="21"/>
        <v>sábado</v>
      </c>
      <c r="C106" s="19"/>
      <c r="D106" s="20">
        <f>SUMIF('ADV - GG'!A:A,A106,'ADV - GG'!C:C)+SUMIF('ADV - FB'!A:A,$A106,'ADV - FB'!E:E)</f>
        <v>60.86</v>
      </c>
      <c r="E106" s="21">
        <f>SUMIF('ADV - GG'!A:A,A106,'ADV - GG'!H:H)+SUMIF('ADV - FB'!A:A,$A106,'ADV - FB'!I:I)+SUMIF('ADV - FB'!A:A,$A106,'ADV - FB'!J:J)+SUMIF('ADV - FB'!A:A,$A106,'ADV - FB'!K:K)</f>
        <v>2</v>
      </c>
      <c r="F106" s="20">
        <f t="shared" si="2"/>
        <v>30.43</v>
      </c>
      <c r="G106" s="22"/>
      <c r="H106" s="22"/>
      <c r="I106" s="23"/>
      <c r="J106" s="22">
        <f>SUMIF('ADV - GA4'!A:A,A106,'ADV - GA4'!C:C)</f>
        <v>0</v>
      </c>
      <c r="K106" s="20" t="str">
        <f t="shared" si="22"/>
        <v/>
      </c>
      <c r="L106" s="24" t="str">
        <f t="shared" si="3"/>
        <v/>
      </c>
      <c r="M106" s="25">
        <f t="shared" si="23"/>
        <v>0</v>
      </c>
      <c r="N106" s="26">
        <f t="shared" si="24"/>
        <v>0</v>
      </c>
      <c r="O106" s="20" t="str">
        <f>iferror(Planejador!$I$82,"")</f>
        <v/>
      </c>
      <c r="P106" s="20" t="str">
        <f>Planejador!$I$74</f>
        <v/>
      </c>
      <c r="Q106" s="27">
        <f t="shared" si="25"/>
        <v>0</v>
      </c>
      <c r="R106" s="24" t="str">
        <f>Planejador!$I$76</f>
        <v/>
      </c>
      <c r="S106" s="16"/>
      <c r="T106" s="16"/>
      <c r="U106" s="16"/>
      <c r="V106" s="16"/>
      <c r="W106" s="16"/>
      <c r="X106" s="16"/>
      <c r="Y106" s="16"/>
      <c r="Z106" s="16"/>
    </row>
    <row r="107" ht="15.75" hidden="1" customHeight="1" outlineLevel="1">
      <c r="A107" s="17">
        <v>46124.0</v>
      </c>
      <c r="B107" s="18" t="str">
        <f t="shared" si="21"/>
        <v>domingo</v>
      </c>
      <c r="C107" s="19"/>
      <c r="D107" s="20">
        <f>SUMIF('ADV - GG'!A:A,A107,'ADV - GG'!C:C)+SUMIF('ADV - FB'!A:A,$A107,'ADV - FB'!E:E)</f>
        <v>60.56</v>
      </c>
      <c r="E107" s="21">
        <f>SUMIF('ADV - GG'!A:A,A107,'ADV - GG'!H:H)+SUMIF('ADV - FB'!A:A,$A107,'ADV - FB'!I:I)+SUMIF('ADV - FB'!A:A,$A107,'ADV - FB'!J:J)+SUMIF('ADV - FB'!A:A,$A107,'ADV - FB'!K:K)</f>
        <v>1</v>
      </c>
      <c r="F107" s="20">
        <f t="shared" si="2"/>
        <v>60.56</v>
      </c>
      <c r="G107" s="22"/>
      <c r="H107" s="22"/>
      <c r="I107" s="23"/>
      <c r="J107" s="22">
        <f>SUMIF('ADV - GA4'!A:A,A107,'ADV - GA4'!C:C)</f>
        <v>0</v>
      </c>
      <c r="K107" s="20" t="str">
        <f t="shared" si="22"/>
        <v/>
      </c>
      <c r="L107" s="24" t="str">
        <f t="shared" si="3"/>
        <v/>
      </c>
      <c r="M107" s="25">
        <f t="shared" si="23"/>
        <v>0</v>
      </c>
      <c r="N107" s="26">
        <f t="shared" si="24"/>
        <v>0</v>
      </c>
      <c r="O107" s="20" t="str">
        <f>iferror(Planejador!$I$82,"")</f>
        <v/>
      </c>
      <c r="P107" s="20" t="str">
        <f>Planejador!$I$74</f>
        <v/>
      </c>
      <c r="Q107" s="27">
        <f t="shared" si="25"/>
        <v>0</v>
      </c>
      <c r="R107" s="24" t="str">
        <f>Planejador!$I$76</f>
        <v/>
      </c>
      <c r="S107" s="16"/>
      <c r="T107" s="16"/>
      <c r="U107" s="16"/>
      <c r="V107" s="16"/>
      <c r="W107" s="16"/>
      <c r="X107" s="16"/>
      <c r="Y107" s="16"/>
      <c r="Z107" s="16"/>
    </row>
    <row r="108" ht="15.75" hidden="1" customHeight="1" outlineLevel="1">
      <c r="A108" s="17">
        <v>46125.0</v>
      </c>
      <c r="B108" s="18" t="str">
        <f t="shared" si="21"/>
        <v>segunda-feira</v>
      </c>
      <c r="C108" s="19"/>
      <c r="D108" s="20">
        <f>SUMIF('ADV - GG'!A:A,A108,'ADV - GG'!C:C)+SUMIF('ADV - FB'!A:A,$A108,'ADV - FB'!E:E)</f>
        <v>80.26</v>
      </c>
      <c r="E108" s="21">
        <f>SUMIF('ADV - GG'!A:A,A108,'ADV - GG'!H:H)+SUMIF('ADV - FB'!A:A,$A108,'ADV - FB'!I:I)+SUMIF('ADV - FB'!A:A,$A108,'ADV - FB'!J:J)+SUMIF('ADV - FB'!A:A,$A108,'ADV - FB'!K:K)</f>
        <v>2</v>
      </c>
      <c r="F108" s="20">
        <f t="shared" si="2"/>
        <v>40.13</v>
      </c>
      <c r="G108" s="22"/>
      <c r="H108" s="22"/>
      <c r="I108" s="23"/>
      <c r="J108" s="22">
        <f>SUMIF('ADV - GA4'!A:A,A108,'ADV - GA4'!C:C)</f>
        <v>0</v>
      </c>
      <c r="K108" s="20" t="str">
        <f t="shared" si="22"/>
        <v/>
      </c>
      <c r="L108" s="24" t="str">
        <f t="shared" si="3"/>
        <v/>
      </c>
      <c r="M108" s="25">
        <f t="shared" si="23"/>
        <v>0</v>
      </c>
      <c r="N108" s="26">
        <f t="shared" si="24"/>
        <v>0</v>
      </c>
      <c r="O108" s="20" t="str">
        <f>iferror(Planejador!$I$82,"")</f>
        <v/>
      </c>
      <c r="P108" s="20" t="str">
        <f>Planejador!$I$74</f>
        <v/>
      </c>
      <c r="Q108" s="27">
        <f t="shared" si="25"/>
        <v>0</v>
      </c>
      <c r="R108" s="24" t="str">
        <f>Planejador!$I$76</f>
        <v/>
      </c>
      <c r="S108" s="16"/>
      <c r="T108" s="16"/>
      <c r="U108" s="16"/>
      <c r="V108" s="16"/>
      <c r="W108" s="16"/>
      <c r="X108" s="16"/>
      <c r="Y108" s="16"/>
      <c r="Z108" s="16"/>
    </row>
    <row r="109" ht="15.75" hidden="1" customHeight="1" outlineLevel="1">
      <c r="A109" s="17">
        <v>46126.0</v>
      </c>
      <c r="B109" s="18" t="str">
        <f t="shared" si="21"/>
        <v>terça-feira</v>
      </c>
      <c r="C109" s="19"/>
      <c r="D109" s="20">
        <f>SUMIF('ADV - GG'!A:A,A109,'ADV - GG'!C:C)+SUMIF('ADV - FB'!A:A,$A109,'ADV - FB'!E:E)</f>
        <v>78.32</v>
      </c>
      <c r="E109" s="21">
        <f>SUMIF('ADV - GG'!A:A,A109,'ADV - GG'!H:H)+SUMIF('ADV - FB'!A:A,$A109,'ADV - FB'!I:I)+SUMIF('ADV - FB'!A:A,$A109,'ADV - FB'!J:J)+SUMIF('ADV - FB'!A:A,$A109,'ADV - FB'!K:K)</f>
        <v>3</v>
      </c>
      <c r="F109" s="20">
        <f t="shared" si="2"/>
        <v>26.10666667</v>
      </c>
      <c r="G109" s="22"/>
      <c r="H109" s="22"/>
      <c r="I109" s="23"/>
      <c r="J109" s="22">
        <f>SUMIF('ADV - GA4'!A:A,A109,'ADV - GA4'!C:C)</f>
        <v>0</v>
      </c>
      <c r="K109" s="20" t="str">
        <f t="shared" si="22"/>
        <v/>
      </c>
      <c r="L109" s="24" t="str">
        <f t="shared" si="3"/>
        <v/>
      </c>
      <c r="M109" s="25">
        <f t="shared" si="23"/>
        <v>0</v>
      </c>
      <c r="N109" s="26">
        <f t="shared" si="24"/>
        <v>0</v>
      </c>
      <c r="O109" s="20" t="str">
        <f>iferror(Planejador!$I$82,"")</f>
        <v/>
      </c>
      <c r="P109" s="20" t="str">
        <f>Planejador!$I$74</f>
        <v/>
      </c>
      <c r="Q109" s="27">
        <f t="shared" si="25"/>
        <v>0</v>
      </c>
      <c r="R109" s="24" t="str">
        <f>Planejador!$I$76</f>
        <v/>
      </c>
      <c r="S109" s="16"/>
      <c r="T109" s="16"/>
      <c r="U109" s="16"/>
      <c r="V109" s="16"/>
      <c r="W109" s="16"/>
      <c r="X109" s="16"/>
      <c r="Y109" s="16"/>
      <c r="Z109" s="16"/>
    </row>
    <row r="110" ht="15.75" hidden="1" customHeight="1" outlineLevel="1">
      <c r="A110" s="17">
        <v>46127.0</v>
      </c>
      <c r="B110" s="18" t="str">
        <f t="shared" si="21"/>
        <v>quarta-feira</v>
      </c>
      <c r="C110" s="19"/>
      <c r="D110" s="20">
        <f>SUMIF('ADV - GG'!A:A,A110,'ADV - GG'!C:C)+SUMIF('ADV - FB'!A:A,$A110,'ADV - FB'!E:E)</f>
        <v>64.97</v>
      </c>
      <c r="E110" s="21">
        <f>SUMIF('ADV - GG'!A:A,A110,'ADV - GG'!H:H)+SUMIF('ADV - FB'!A:A,$A110,'ADV - FB'!I:I)+SUMIF('ADV - FB'!A:A,$A110,'ADV - FB'!J:J)+SUMIF('ADV - FB'!A:A,$A110,'ADV - FB'!K:K)</f>
        <v>1</v>
      </c>
      <c r="F110" s="20">
        <f t="shared" si="2"/>
        <v>64.97</v>
      </c>
      <c r="G110" s="22"/>
      <c r="H110" s="22"/>
      <c r="I110" s="23"/>
      <c r="J110" s="22">
        <f>SUMIF('ADV - GA4'!A:A,A110,'ADV - GA4'!C:C)</f>
        <v>0</v>
      </c>
      <c r="K110" s="20" t="str">
        <f t="shared" si="22"/>
        <v/>
      </c>
      <c r="L110" s="24" t="str">
        <f t="shared" si="3"/>
        <v/>
      </c>
      <c r="M110" s="25">
        <f t="shared" si="23"/>
        <v>0</v>
      </c>
      <c r="N110" s="26">
        <f t="shared" si="24"/>
        <v>0</v>
      </c>
      <c r="O110" s="20" t="str">
        <f>iferror(Planejador!$I$82,"")</f>
        <v/>
      </c>
      <c r="P110" s="20" t="str">
        <f>Planejador!$I$74</f>
        <v/>
      </c>
      <c r="Q110" s="27">
        <f t="shared" si="25"/>
        <v>0</v>
      </c>
      <c r="R110" s="24" t="str">
        <f>Planejador!$I$76</f>
        <v/>
      </c>
      <c r="S110" s="16"/>
      <c r="T110" s="16"/>
      <c r="U110" s="16"/>
      <c r="V110" s="16"/>
      <c r="W110" s="16"/>
      <c r="X110" s="16"/>
      <c r="Y110" s="16"/>
      <c r="Z110" s="16"/>
    </row>
    <row r="111" ht="15.75" hidden="1" customHeight="1" outlineLevel="1">
      <c r="A111" s="17">
        <v>46128.0</v>
      </c>
      <c r="B111" s="18" t="str">
        <f t="shared" si="21"/>
        <v>quinta-feira</v>
      </c>
      <c r="C111" s="19"/>
      <c r="D111" s="20">
        <f>SUMIF('ADV - GG'!A:A,A111,'ADV - GG'!C:C)+SUMIF('ADV - FB'!A:A,$A111,'ADV - FB'!E:E)</f>
        <v>56.56</v>
      </c>
      <c r="E111" s="21">
        <f>SUMIF('ADV - GG'!A:A,A111,'ADV - GG'!H:H)+SUMIF('ADV - FB'!A:A,$A111,'ADV - FB'!I:I)+SUMIF('ADV - FB'!A:A,$A111,'ADV - FB'!J:J)+SUMIF('ADV - FB'!A:A,$A111,'ADV - FB'!K:K)</f>
        <v>2</v>
      </c>
      <c r="F111" s="20">
        <f t="shared" si="2"/>
        <v>28.28</v>
      </c>
      <c r="G111" s="22"/>
      <c r="H111" s="22"/>
      <c r="I111" s="23"/>
      <c r="J111" s="22">
        <f>SUMIF('ADV - GA4'!A:A,A111,'ADV - GA4'!C:C)</f>
        <v>0</v>
      </c>
      <c r="K111" s="20" t="str">
        <f t="shared" si="22"/>
        <v/>
      </c>
      <c r="L111" s="24" t="str">
        <f t="shared" si="3"/>
        <v/>
      </c>
      <c r="M111" s="25">
        <f t="shared" si="23"/>
        <v>0</v>
      </c>
      <c r="N111" s="26">
        <f t="shared" si="24"/>
        <v>0</v>
      </c>
      <c r="O111" s="20" t="str">
        <f>iferror(Planejador!$I$82,"")</f>
        <v/>
      </c>
      <c r="P111" s="20" t="str">
        <f>Planejador!$I$74</f>
        <v/>
      </c>
      <c r="Q111" s="27">
        <f t="shared" si="25"/>
        <v>0</v>
      </c>
      <c r="R111" s="24" t="str">
        <f>Planejador!$I$76</f>
        <v/>
      </c>
      <c r="S111" s="16"/>
      <c r="T111" s="16"/>
      <c r="U111" s="16"/>
      <c r="V111" s="16"/>
      <c r="W111" s="16"/>
      <c r="X111" s="16"/>
      <c r="Y111" s="16"/>
      <c r="Z111" s="16"/>
    </row>
    <row r="112" ht="15.75" hidden="1" customHeight="1" outlineLevel="1">
      <c r="A112" s="17">
        <v>46129.0</v>
      </c>
      <c r="B112" s="18" t="str">
        <f t="shared" si="21"/>
        <v>sexta-feira</v>
      </c>
      <c r="C112" s="19"/>
      <c r="D112" s="20">
        <f>SUMIF('ADV - GG'!A:A,A112,'ADV - GG'!C:C)+SUMIF('ADV - FB'!A:A,$A112,'ADV - FB'!E:E)</f>
        <v>58.17</v>
      </c>
      <c r="E112" s="21">
        <f>SUMIF('ADV - GG'!A:A,A112,'ADV - GG'!H:H)+SUMIF('ADV - FB'!A:A,$A112,'ADV - FB'!I:I)+SUMIF('ADV - FB'!A:A,$A112,'ADV - FB'!J:J)+SUMIF('ADV - FB'!A:A,$A112,'ADV - FB'!K:K)</f>
        <v>4</v>
      </c>
      <c r="F112" s="20">
        <f t="shared" si="2"/>
        <v>14.5425</v>
      </c>
      <c r="G112" s="22"/>
      <c r="H112" s="22"/>
      <c r="I112" s="23"/>
      <c r="J112" s="22">
        <f>SUMIF('ADV - GA4'!A:A,A112,'ADV - GA4'!C:C)</f>
        <v>0</v>
      </c>
      <c r="K112" s="20" t="str">
        <f t="shared" si="22"/>
        <v/>
      </c>
      <c r="L112" s="24" t="str">
        <f t="shared" si="3"/>
        <v/>
      </c>
      <c r="M112" s="25">
        <f t="shared" si="23"/>
        <v>0</v>
      </c>
      <c r="N112" s="26">
        <f t="shared" si="24"/>
        <v>0</v>
      </c>
      <c r="O112" s="20" t="str">
        <f>iferror(Planejador!$I$82,"")</f>
        <v/>
      </c>
      <c r="P112" s="20" t="str">
        <f>Planejador!$I$74</f>
        <v/>
      </c>
      <c r="Q112" s="27">
        <f t="shared" si="25"/>
        <v>0</v>
      </c>
      <c r="R112" s="24" t="str">
        <f>Planejador!$I$76</f>
        <v/>
      </c>
      <c r="S112" s="16"/>
      <c r="T112" s="16"/>
      <c r="U112" s="16"/>
      <c r="V112" s="16"/>
      <c r="W112" s="16"/>
      <c r="X112" s="16"/>
      <c r="Y112" s="16"/>
      <c r="Z112" s="16"/>
    </row>
    <row r="113" ht="15.75" hidden="1" customHeight="1" outlineLevel="1">
      <c r="A113" s="17">
        <v>46130.0</v>
      </c>
      <c r="B113" s="18" t="str">
        <f t="shared" si="21"/>
        <v>sábado</v>
      </c>
      <c r="C113" s="19"/>
      <c r="D113" s="20">
        <f>SUMIF('ADV - GG'!A:A,A113,'ADV - GG'!C:C)+SUMIF('ADV - FB'!A:A,$A113,'ADV - FB'!E:E)</f>
        <v>55.75</v>
      </c>
      <c r="E113" s="21">
        <f>SUMIF('ADV - GG'!A:A,A113,'ADV - GG'!H:H)+SUMIF('ADV - FB'!A:A,$A113,'ADV - FB'!I:I)+SUMIF('ADV - FB'!A:A,$A113,'ADV - FB'!J:J)+SUMIF('ADV - FB'!A:A,$A113,'ADV - FB'!K:K)</f>
        <v>4</v>
      </c>
      <c r="F113" s="20">
        <f t="shared" si="2"/>
        <v>13.9375</v>
      </c>
      <c r="G113" s="22"/>
      <c r="H113" s="22"/>
      <c r="I113" s="23"/>
      <c r="J113" s="22">
        <f>SUMIF('ADV - GA4'!A:A,A113,'ADV - GA4'!C:C)</f>
        <v>0</v>
      </c>
      <c r="K113" s="20" t="str">
        <f t="shared" si="22"/>
        <v/>
      </c>
      <c r="L113" s="24" t="str">
        <f t="shared" si="3"/>
        <v/>
      </c>
      <c r="M113" s="25">
        <f t="shared" si="23"/>
        <v>0</v>
      </c>
      <c r="N113" s="26">
        <f t="shared" si="24"/>
        <v>0</v>
      </c>
      <c r="O113" s="20" t="str">
        <f>iferror(Planejador!$I$82,"")</f>
        <v/>
      </c>
      <c r="P113" s="20" t="str">
        <f>Planejador!$I$74</f>
        <v/>
      </c>
      <c r="Q113" s="27">
        <f t="shared" si="25"/>
        <v>0</v>
      </c>
      <c r="R113" s="24" t="str">
        <f>Planejador!$I$76</f>
        <v/>
      </c>
      <c r="S113" s="16"/>
      <c r="T113" s="16"/>
      <c r="U113" s="16"/>
      <c r="V113" s="16"/>
      <c r="W113" s="16"/>
      <c r="X113" s="16"/>
      <c r="Y113" s="16"/>
      <c r="Z113" s="16"/>
    </row>
    <row r="114" ht="15.75" hidden="1" customHeight="1" outlineLevel="1">
      <c r="A114" s="17">
        <v>46131.0</v>
      </c>
      <c r="B114" s="18" t="str">
        <f t="shared" si="21"/>
        <v>domingo</v>
      </c>
      <c r="C114" s="19"/>
      <c r="D114" s="20">
        <f>SUMIF('ADV - GG'!A:A,A114,'ADV - GG'!C:C)+SUMIF('ADV - FB'!A:A,$A114,'ADV - FB'!E:E)</f>
        <v>66.53</v>
      </c>
      <c r="E114" s="21">
        <f>SUMIF('ADV - GG'!A:A,A114,'ADV - GG'!H:H)+SUMIF('ADV - FB'!A:A,$A114,'ADV - FB'!I:I)+SUMIF('ADV - FB'!A:A,$A114,'ADV - FB'!J:J)+SUMIF('ADV - FB'!A:A,$A114,'ADV - FB'!K:K)</f>
        <v>2</v>
      </c>
      <c r="F114" s="20">
        <f t="shared" si="2"/>
        <v>33.265</v>
      </c>
      <c r="G114" s="22"/>
      <c r="H114" s="22"/>
      <c r="I114" s="23"/>
      <c r="J114" s="22">
        <f>SUMIF('ADV - GA4'!A:A,A114,'ADV - GA4'!C:C)</f>
        <v>0</v>
      </c>
      <c r="K114" s="20" t="str">
        <f t="shared" si="22"/>
        <v/>
      </c>
      <c r="L114" s="24" t="str">
        <f t="shared" si="3"/>
        <v/>
      </c>
      <c r="M114" s="25">
        <f t="shared" si="23"/>
        <v>0</v>
      </c>
      <c r="N114" s="26">
        <f t="shared" si="24"/>
        <v>0</v>
      </c>
      <c r="O114" s="20" t="str">
        <f>iferror(Planejador!$I$82,"")</f>
        <v/>
      </c>
      <c r="P114" s="20" t="str">
        <f>Planejador!$I$74</f>
        <v/>
      </c>
      <c r="Q114" s="27">
        <f t="shared" si="25"/>
        <v>0</v>
      </c>
      <c r="R114" s="24" t="str">
        <f>Planejador!$I$76</f>
        <v/>
      </c>
      <c r="S114" s="16"/>
      <c r="T114" s="16"/>
      <c r="U114" s="16"/>
      <c r="V114" s="16"/>
      <c r="W114" s="16"/>
      <c r="X114" s="16"/>
      <c r="Y114" s="16"/>
      <c r="Z114" s="16"/>
    </row>
    <row r="115" ht="15.75" hidden="1" customHeight="1" outlineLevel="1">
      <c r="A115" s="17">
        <v>46132.0</v>
      </c>
      <c r="B115" s="18" t="str">
        <f t="shared" si="21"/>
        <v>segunda-feira</v>
      </c>
      <c r="C115" s="19"/>
      <c r="D115" s="20">
        <f>SUMIF('ADV - GG'!A:A,A115,'ADV - GG'!C:C)+SUMIF('ADV - FB'!A:A,$A115,'ADV - FB'!E:E)</f>
        <v>65.07</v>
      </c>
      <c r="E115" s="21">
        <f>SUMIF('ADV - GG'!A:A,A115,'ADV - GG'!H:H)+SUMIF('ADV - FB'!A:A,$A115,'ADV - FB'!I:I)+SUMIF('ADV - FB'!A:A,$A115,'ADV - FB'!J:J)+SUMIF('ADV - FB'!A:A,$A115,'ADV - FB'!K:K)</f>
        <v>1</v>
      </c>
      <c r="F115" s="20">
        <f t="shared" si="2"/>
        <v>65.07</v>
      </c>
      <c r="G115" s="22"/>
      <c r="H115" s="22"/>
      <c r="I115" s="23"/>
      <c r="J115" s="22">
        <f>SUMIF('ADV - GA4'!A:A,A115,'ADV - GA4'!C:C)</f>
        <v>0</v>
      </c>
      <c r="K115" s="20" t="str">
        <f t="shared" si="22"/>
        <v/>
      </c>
      <c r="L115" s="24" t="str">
        <f t="shared" si="3"/>
        <v/>
      </c>
      <c r="M115" s="25">
        <f t="shared" si="23"/>
        <v>0</v>
      </c>
      <c r="N115" s="26">
        <f t="shared" si="24"/>
        <v>0</v>
      </c>
      <c r="O115" s="20" t="str">
        <f>iferror(Planejador!$I$82,"")</f>
        <v/>
      </c>
      <c r="P115" s="20" t="str">
        <f>Planejador!$I$74</f>
        <v/>
      </c>
      <c r="Q115" s="27">
        <f t="shared" si="25"/>
        <v>0</v>
      </c>
      <c r="R115" s="24" t="str">
        <f>Planejador!$I$76</f>
        <v/>
      </c>
      <c r="S115" s="16"/>
      <c r="T115" s="16"/>
      <c r="U115" s="16"/>
      <c r="V115" s="16"/>
      <c r="W115" s="16"/>
      <c r="X115" s="16"/>
      <c r="Y115" s="16"/>
      <c r="Z115" s="16"/>
    </row>
    <row r="116" ht="15.75" hidden="1" customHeight="1" outlineLevel="1">
      <c r="A116" s="17">
        <v>46133.0</v>
      </c>
      <c r="B116" s="18" t="str">
        <f t="shared" si="21"/>
        <v>terça-feira</v>
      </c>
      <c r="C116" s="19"/>
      <c r="D116" s="20">
        <f>SUMIF('ADV - GG'!A:A,A116,'ADV - GG'!C:C)+SUMIF('ADV - FB'!A:A,$A116,'ADV - FB'!E:E)</f>
        <v>5.37</v>
      </c>
      <c r="E116" s="21">
        <f>SUMIF('ADV - GG'!A:A,A116,'ADV - GG'!H:H)+SUMIF('ADV - FB'!A:A,$A116,'ADV - FB'!I:I)+SUMIF('ADV - FB'!A:A,$A116,'ADV - FB'!J:J)+SUMIF('ADV - FB'!A:A,$A116,'ADV - FB'!K:K)</f>
        <v>0</v>
      </c>
      <c r="F116" s="20" t="str">
        <f t="shared" si="2"/>
        <v/>
      </c>
      <c r="G116" s="22"/>
      <c r="H116" s="22"/>
      <c r="I116" s="23"/>
      <c r="J116" s="22">
        <f>SUMIF('ADV - GA4'!A:A,A116,'ADV - GA4'!C:C)</f>
        <v>0</v>
      </c>
      <c r="K116" s="20" t="str">
        <f t="shared" si="22"/>
        <v/>
      </c>
      <c r="L116" s="24" t="str">
        <f t="shared" si="3"/>
        <v/>
      </c>
      <c r="M116" s="25">
        <f t="shared" si="23"/>
        <v>0</v>
      </c>
      <c r="N116" s="26">
        <f t="shared" si="24"/>
        <v>0</v>
      </c>
      <c r="O116" s="20" t="str">
        <f>iferror(Planejador!$I$82,"")</f>
        <v/>
      </c>
      <c r="P116" s="20" t="str">
        <f>Planejador!$I$74</f>
        <v/>
      </c>
      <c r="Q116" s="27">
        <f t="shared" si="25"/>
        <v>0</v>
      </c>
      <c r="R116" s="24" t="str">
        <f>Planejador!$I$76</f>
        <v/>
      </c>
      <c r="S116" s="16"/>
      <c r="T116" s="16"/>
      <c r="U116" s="16"/>
      <c r="V116" s="16"/>
      <c r="W116" s="16"/>
      <c r="X116" s="16"/>
      <c r="Y116" s="16"/>
      <c r="Z116" s="16"/>
    </row>
    <row r="117" ht="15.75" hidden="1" customHeight="1" outlineLevel="1">
      <c r="A117" s="17">
        <v>46134.0</v>
      </c>
      <c r="B117" s="18" t="str">
        <f t="shared" si="21"/>
        <v>quarta-feira</v>
      </c>
      <c r="C117" s="19"/>
      <c r="D117" s="20">
        <f>SUMIF('ADV - GG'!A:A,A117,'ADV - GG'!C:C)+SUMIF('ADV - FB'!A:A,$A117,'ADV - FB'!E:E)</f>
        <v>0</v>
      </c>
      <c r="E117" s="21">
        <f>SUMIF('ADV - GG'!A:A,A117,'ADV - GG'!H:H)+SUMIF('ADV - FB'!A:A,$A117,'ADV - FB'!I:I)+SUMIF('ADV - FB'!A:A,$A117,'ADV - FB'!J:J)+SUMIF('ADV - FB'!A:A,$A117,'ADV - FB'!K:K)</f>
        <v>0</v>
      </c>
      <c r="F117" s="20" t="str">
        <f t="shared" si="2"/>
        <v/>
      </c>
      <c r="G117" s="22"/>
      <c r="H117" s="22"/>
      <c r="I117" s="23"/>
      <c r="J117" s="22">
        <f>SUMIF('ADV - GA4'!A:A,A117,'ADV - GA4'!C:C)</f>
        <v>0</v>
      </c>
      <c r="K117" s="20" t="str">
        <f t="shared" si="22"/>
        <v/>
      </c>
      <c r="L117" s="24" t="str">
        <f t="shared" si="3"/>
        <v/>
      </c>
      <c r="M117" s="25">
        <f t="shared" si="23"/>
        <v>0</v>
      </c>
      <c r="N117" s="26">
        <f t="shared" si="24"/>
        <v>0</v>
      </c>
      <c r="O117" s="20" t="str">
        <f>iferror(Planejador!$I$82,"")</f>
        <v/>
      </c>
      <c r="P117" s="20" t="str">
        <f>Planejador!$I$74</f>
        <v/>
      </c>
      <c r="Q117" s="27">
        <f t="shared" si="25"/>
        <v>0</v>
      </c>
      <c r="R117" s="24" t="str">
        <f>Planejador!$I$76</f>
        <v/>
      </c>
      <c r="S117" s="16"/>
      <c r="T117" s="16"/>
      <c r="U117" s="16"/>
      <c r="V117" s="16"/>
      <c r="W117" s="16"/>
      <c r="X117" s="16"/>
      <c r="Y117" s="16"/>
      <c r="Z117" s="16"/>
    </row>
    <row r="118" ht="15.75" hidden="1" customHeight="1" outlineLevel="1">
      <c r="A118" s="17">
        <v>46135.0</v>
      </c>
      <c r="B118" s="18" t="str">
        <f t="shared" si="21"/>
        <v>quinta-feira</v>
      </c>
      <c r="C118" s="19"/>
      <c r="D118" s="20">
        <f>SUMIF('ADV - GG'!A:A,A118,'ADV - GG'!C:C)+SUMIF('ADV - FB'!A:A,$A118,'ADV - FB'!E:E)</f>
        <v>0</v>
      </c>
      <c r="E118" s="21">
        <f>SUMIF('ADV - GG'!A:A,A118,'ADV - GG'!H:H)+SUMIF('ADV - FB'!A:A,$A118,'ADV - FB'!I:I)+SUMIF('ADV - FB'!A:A,$A118,'ADV - FB'!J:J)+SUMIF('ADV - FB'!A:A,$A118,'ADV - FB'!K:K)</f>
        <v>0</v>
      </c>
      <c r="F118" s="20" t="str">
        <f t="shared" si="2"/>
        <v/>
      </c>
      <c r="G118" s="22"/>
      <c r="H118" s="22"/>
      <c r="I118" s="23"/>
      <c r="J118" s="22">
        <f>SUMIF('ADV - GA4'!A:A,A118,'ADV - GA4'!C:C)</f>
        <v>0</v>
      </c>
      <c r="K118" s="20" t="str">
        <f t="shared" si="22"/>
        <v/>
      </c>
      <c r="L118" s="24" t="str">
        <f t="shared" si="3"/>
        <v/>
      </c>
      <c r="M118" s="25">
        <f t="shared" si="23"/>
        <v>0</v>
      </c>
      <c r="N118" s="26">
        <f t="shared" si="24"/>
        <v>0</v>
      </c>
      <c r="O118" s="20" t="str">
        <f>iferror(Planejador!$I$82,"")</f>
        <v/>
      </c>
      <c r="P118" s="20" t="str">
        <f>Planejador!$I$74</f>
        <v/>
      </c>
      <c r="Q118" s="27">
        <f t="shared" si="25"/>
        <v>0</v>
      </c>
      <c r="R118" s="24" t="str">
        <f>Planejador!$I$76</f>
        <v/>
      </c>
      <c r="S118" s="16"/>
      <c r="T118" s="16"/>
      <c r="U118" s="16"/>
      <c r="V118" s="16"/>
      <c r="W118" s="16"/>
      <c r="X118" s="16"/>
      <c r="Y118" s="16"/>
      <c r="Z118" s="16"/>
    </row>
    <row r="119" ht="15.75" hidden="1" customHeight="1" outlineLevel="1">
      <c r="A119" s="17">
        <v>46136.0</v>
      </c>
      <c r="B119" s="18" t="str">
        <f t="shared" si="21"/>
        <v>sexta-feira</v>
      </c>
      <c r="C119" s="19"/>
      <c r="D119" s="20">
        <f>SUMIF('ADV - GG'!A:A,A119,'ADV - GG'!C:C)+SUMIF('ADV - FB'!A:A,$A119,'ADV - FB'!E:E)</f>
        <v>0</v>
      </c>
      <c r="E119" s="21">
        <f>SUMIF('ADV - GG'!A:A,A119,'ADV - GG'!H:H)+SUMIF('ADV - FB'!A:A,$A119,'ADV - FB'!I:I)+SUMIF('ADV - FB'!A:A,$A119,'ADV - FB'!J:J)+SUMIF('ADV - FB'!A:A,$A119,'ADV - FB'!K:K)</f>
        <v>0</v>
      </c>
      <c r="F119" s="20" t="str">
        <f t="shared" si="2"/>
        <v/>
      </c>
      <c r="G119" s="22"/>
      <c r="H119" s="22"/>
      <c r="I119" s="23"/>
      <c r="J119" s="22">
        <f>SUMIF('ADV - GA4'!A:A,A119,'ADV - GA4'!C:C)</f>
        <v>0</v>
      </c>
      <c r="K119" s="20" t="str">
        <f t="shared" si="22"/>
        <v/>
      </c>
      <c r="L119" s="24" t="str">
        <f t="shared" si="3"/>
        <v/>
      </c>
      <c r="M119" s="25">
        <f t="shared" si="23"/>
        <v>0</v>
      </c>
      <c r="N119" s="26">
        <f t="shared" si="24"/>
        <v>0</v>
      </c>
      <c r="O119" s="20" t="str">
        <f>iferror(Planejador!$I$82,"")</f>
        <v/>
      </c>
      <c r="P119" s="20" t="str">
        <f>Planejador!$I$74</f>
        <v/>
      </c>
      <c r="Q119" s="27">
        <f t="shared" si="25"/>
        <v>0</v>
      </c>
      <c r="R119" s="24" t="str">
        <f>Planejador!$I$76</f>
        <v/>
      </c>
      <c r="S119" s="16"/>
      <c r="T119" s="16"/>
      <c r="U119" s="16"/>
      <c r="V119" s="16"/>
      <c r="W119" s="16"/>
      <c r="X119" s="16"/>
      <c r="Y119" s="16"/>
      <c r="Z119" s="16"/>
    </row>
    <row r="120" ht="15.75" hidden="1" customHeight="1" outlineLevel="1">
      <c r="A120" s="17">
        <v>46137.0</v>
      </c>
      <c r="B120" s="18" t="str">
        <f t="shared" si="21"/>
        <v>sábado</v>
      </c>
      <c r="C120" s="19"/>
      <c r="D120" s="20">
        <f>SUMIF('ADV - GG'!A:A,A120,'ADV - GG'!C:C)+SUMIF('ADV - FB'!A:A,$A120,'ADV - FB'!E:E)</f>
        <v>0</v>
      </c>
      <c r="E120" s="21">
        <f>SUMIF('ADV - GG'!A:A,A120,'ADV - GG'!H:H)+SUMIF('ADV - FB'!A:A,$A120,'ADV - FB'!I:I)+SUMIF('ADV - FB'!A:A,$A120,'ADV - FB'!J:J)+SUMIF('ADV - FB'!A:A,$A120,'ADV - FB'!K:K)</f>
        <v>0</v>
      </c>
      <c r="F120" s="20" t="str">
        <f t="shared" si="2"/>
        <v/>
      </c>
      <c r="G120" s="22"/>
      <c r="H120" s="22"/>
      <c r="I120" s="23"/>
      <c r="J120" s="22">
        <f>SUMIF('ADV - GA4'!A:A,A120,'ADV - GA4'!C:C)</f>
        <v>0</v>
      </c>
      <c r="K120" s="20" t="str">
        <f t="shared" si="22"/>
        <v/>
      </c>
      <c r="L120" s="24" t="str">
        <f t="shared" si="3"/>
        <v/>
      </c>
      <c r="M120" s="25">
        <f t="shared" si="23"/>
        <v>0</v>
      </c>
      <c r="N120" s="26">
        <f t="shared" si="24"/>
        <v>0</v>
      </c>
      <c r="O120" s="20" t="str">
        <f>iferror(Planejador!$I$82,"")</f>
        <v/>
      </c>
      <c r="P120" s="20" t="str">
        <f>Planejador!$I$74</f>
        <v/>
      </c>
      <c r="Q120" s="27">
        <f t="shared" si="25"/>
        <v>0</v>
      </c>
      <c r="R120" s="24" t="str">
        <f>Planejador!$I$76</f>
        <v/>
      </c>
      <c r="S120" s="16"/>
      <c r="T120" s="16"/>
      <c r="U120" s="16"/>
      <c r="V120" s="16"/>
      <c r="W120" s="16"/>
      <c r="X120" s="16"/>
      <c r="Y120" s="16"/>
      <c r="Z120" s="16"/>
    </row>
    <row r="121" ht="15.75" hidden="1" customHeight="1" outlineLevel="1">
      <c r="A121" s="17">
        <v>46138.0</v>
      </c>
      <c r="B121" s="18" t="str">
        <f t="shared" si="21"/>
        <v>domingo</v>
      </c>
      <c r="C121" s="19"/>
      <c r="D121" s="20">
        <f>SUMIF('ADV - GG'!A:A,A121,'ADV - GG'!C:C)+SUMIF('ADV - FB'!A:A,$A121,'ADV - FB'!E:E)</f>
        <v>0</v>
      </c>
      <c r="E121" s="21">
        <f>SUMIF('ADV - GG'!A:A,A121,'ADV - GG'!H:H)+SUMIF('ADV - FB'!A:A,$A121,'ADV - FB'!I:I)+SUMIF('ADV - FB'!A:A,$A121,'ADV - FB'!J:J)+SUMIF('ADV - FB'!A:A,$A121,'ADV - FB'!K:K)</f>
        <v>0</v>
      </c>
      <c r="F121" s="20" t="str">
        <f t="shared" si="2"/>
        <v/>
      </c>
      <c r="G121" s="22"/>
      <c r="H121" s="22"/>
      <c r="I121" s="23"/>
      <c r="J121" s="22">
        <f>SUMIF('ADV - GA4'!A:A,A121,'ADV - GA4'!C:C)</f>
        <v>0</v>
      </c>
      <c r="K121" s="20" t="str">
        <f t="shared" si="22"/>
        <v/>
      </c>
      <c r="L121" s="24" t="str">
        <f t="shared" si="3"/>
        <v/>
      </c>
      <c r="M121" s="25">
        <f t="shared" si="23"/>
        <v>0</v>
      </c>
      <c r="N121" s="26">
        <f t="shared" si="24"/>
        <v>0</v>
      </c>
      <c r="O121" s="20" t="str">
        <f>iferror(Planejador!$I$82,"")</f>
        <v/>
      </c>
      <c r="P121" s="20" t="str">
        <f>Planejador!$I$74</f>
        <v/>
      </c>
      <c r="Q121" s="27">
        <f t="shared" si="25"/>
        <v>0</v>
      </c>
      <c r="R121" s="24" t="str">
        <f>Planejador!$I$76</f>
        <v/>
      </c>
      <c r="S121" s="16"/>
      <c r="T121" s="16"/>
      <c r="U121" s="16"/>
      <c r="V121" s="16"/>
      <c r="W121" s="16"/>
      <c r="X121" s="16"/>
      <c r="Y121" s="16"/>
      <c r="Z121" s="16"/>
    </row>
    <row r="122" ht="15.75" hidden="1" customHeight="1" outlineLevel="1">
      <c r="A122" s="17">
        <v>46139.0</v>
      </c>
      <c r="B122" s="18" t="str">
        <f t="shared" si="21"/>
        <v>segunda-feira</v>
      </c>
      <c r="C122" s="19"/>
      <c r="D122" s="20">
        <f>SUMIF('ADV - GG'!A:A,A122,'ADV - GG'!C:C)+SUMIF('ADV - FB'!A:A,$A122,'ADV - FB'!E:E)</f>
        <v>0</v>
      </c>
      <c r="E122" s="21">
        <f>SUMIF('ADV - GG'!A:A,A122,'ADV - GG'!H:H)+SUMIF('ADV - FB'!A:A,$A122,'ADV - FB'!I:I)+SUMIF('ADV - FB'!A:A,$A122,'ADV - FB'!J:J)+SUMIF('ADV - FB'!A:A,$A122,'ADV - FB'!K:K)</f>
        <v>0</v>
      </c>
      <c r="F122" s="20" t="str">
        <f t="shared" si="2"/>
        <v/>
      </c>
      <c r="G122" s="22"/>
      <c r="H122" s="22"/>
      <c r="I122" s="23"/>
      <c r="J122" s="22">
        <f>SUMIF('ADV - GA4'!A:A,A122,'ADV - GA4'!C:C)</f>
        <v>0</v>
      </c>
      <c r="K122" s="20" t="str">
        <f t="shared" si="22"/>
        <v/>
      </c>
      <c r="L122" s="24" t="str">
        <f t="shared" si="3"/>
        <v/>
      </c>
      <c r="M122" s="25">
        <f t="shared" si="23"/>
        <v>0</v>
      </c>
      <c r="N122" s="26">
        <f t="shared" si="24"/>
        <v>0</v>
      </c>
      <c r="O122" s="20" t="str">
        <f>iferror(Planejador!$I$82,"")</f>
        <v/>
      </c>
      <c r="P122" s="20" t="str">
        <f>Planejador!$I$74</f>
        <v/>
      </c>
      <c r="Q122" s="27">
        <f t="shared" si="25"/>
        <v>0</v>
      </c>
      <c r="R122" s="24" t="str">
        <f>Planejador!$I$76</f>
        <v/>
      </c>
      <c r="S122" s="16"/>
      <c r="T122" s="16"/>
      <c r="U122" s="16"/>
      <c r="V122" s="16"/>
      <c r="W122" s="16"/>
      <c r="X122" s="16"/>
      <c r="Y122" s="16"/>
      <c r="Z122" s="16"/>
    </row>
    <row r="123" ht="15.75" hidden="1" customHeight="1" outlineLevel="1">
      <c r="A123" s="17">
        <v>46140.0</v>
      </c>
      <c r="B123" s="18" t="str">
        <f t="shared" si="21"/>
        <v>terça-feira</v>
      </c>
      <c r="C123" s="19"/>
      <c r="D123" s="20">
        <f>SUMIF('ADV - GG'!A:A,A123,'ADV - GG'!C:C)+SUMIF('ADV - FB'!A:A,$A123,'ADV - FB'!E:E)</f>
        <v>0</v>
      </c>
      <c r="E123" s="21">
        <f>SUMIF('ADV - GG'!A:A,A123,'ADV - GG'!H:H)+SUMIF('ADV - FB'!A:A,$A123,'ADV - FB'!I:I)+SUMIF('ADV - FB'!A:A,$A123,'ADV - FB'!J:J)+SUMIF('ADV - FB'!A:A,$A123,'ADV - FB'!K:K)</f>
        <v>0</v>
      </c>
      <c r="F123" s="20" t="str">
        <f t="shared" si="2"/>
        <v/>
      </c>
      <c r="G123" s="22"/>
      <c r="H123" s="22"/>
      <c r="I123" s="23"/>
      <c r="J123" s="22">
        <f>SUMIF('ADV - GA4'!A:A,A123,'ADV - GA4'!C:C)</f>
        <v>0</v>
      </c>
      <c r="K123" s="20" t="str">
        <f t="shared" si="22"/>
        <v/>
      </c>
      <c r="L123" s="24" t="str">
        <f t="shared" si="3"/>
        <v/>
      </c>
      <c r="M123" s="25">
        <f t="shared" si="23"/>
        <v>0</v>
      </c>
      <c r="N123" s="26">
        <f t="shared" si="24"/>
        <v>0</v>
      </c>
      <c r="O123" s="20" t="str">
        <f>iferror(Planejador!$I$82,"")</f>
        <v/>
      </c>
      <c r="P123" s="20" t="str">
        <f>Planejador!$I$74</f>
        <v/>
      </c>
      <c r="Q123" s="27">
        <f t="shared" si="25"/>
        <v>0</v>
      </c>
      <c r="R123" s="24" t="str">
        <f>Planejador!$I$76</f>
        <v/>
      </c>
      <c r="S123" s="16"/>
      <c r="T123" s="16"/>
      <c r="U123" s="16"/>
      <c r="V123" s="16"/>
      <c r="W123" s="16"/>
      <c r="X123" s="16"/>
      <c r="Y123" s="16"/>
      <c r="Z123" s="16"/>
    </row>
    <row r="124" ht="15.75" hidden="1" customHeight="1" outlineLevel="1">
      <c r="A124" s="17">
        <v>46141.0</v>
      </c>
      <c r="B124" s="18" t="str">
        <f t="shared" si="21"/>
        <v>quarta-feira</v>
      </c>
      <c r="C124" s="19"/>
      <c r="D124" s="20">
        <f>SUMIF('ADV - GG'!A:A,A124,'ADV - GG'!C:C)+SUMIF('ADV - FB'!A:A,$A124,'ADV - FB'!E:E)</f>
        <v>0</v>
      </c>
      <c r="E124" s="21">
        <f>SUMIF('ADV - GG'!A:A,A124,'ADV - GG'!H:H)+SUMIF('ADV - FB'!A:A,$A124,'ADV - FB'!I:I)+SUMIF('ADV - FB'!A:A,$A124,'ADV - FB'!J:J)+SUMIF('ADV - FB'!A:A,$A124,'ADV - FB'!K:K)</f>
        <v>0</v>
      </c>
      <c r="F124" s="20" t="str">
        <f t="shared" si="2"/>
        <v/>
      </c>
      <c r="G124" s="22"/>
      <c r="H124" s="22"/>
      <c r="I124" s="23"/>
      <c r="J124" s="22">
        <f>SUMIF('ADV - GA4'!A:A,A124,'ADV - GA4'!C:C)</f>
        <v>0</v>
      </c>
      <c r="K124" s="20" t="str">
        <f t="shared" si="22"/>
        <v/>
      </c>
      <c r="L124" s="24" t="str">
        <f t="shared" si="3"/>
        <v/>
      </c>
      <c r="M124" s="25">
        <f t="shared" si="23"/>
        <v>0</v>
      </c>
      <c r="N124" s="26">
        <f t="shared" si="24"/>
        <v>0</v>
      </c>
      <c r="O124" s="20" t="str">
        <f>iferror(Planejador!$I$82,"")</f>
        <v/>
      </c>
      <c r="P124" s="20" t="str">
        <f>Planejador!$I$74</f>
        <v/>
      </c>
      <c r="Q124" s="27">
        <f t="shared" si="25"/>
        <v>0</v>
      </c>
      <c r="R124" s="24" t="str">
        <f>Planejador!$I$76</f>
        <v/>
      </c>
      <c r="S124" s="16"/>
      <c r="T124" s="16"/>
      <c r="U124" s="16"/>
      <c r="V124" s="16"/>
      <c r="W124" s="16"/>
      <c r="X124" s="16"/>
      <c r="Y124" s="16"/>
      <c r="Z124" s="16"/>
    </row>
    <row r="125" ht="15.75" hidden="1" customHeight="1" outlineLevel="1">
      <c r="A125" s="17">
        <v>46142.0</v>
      </c>
      <c r="B125" s="18" t="str">
        <f t="shared" si="21"/>
        <v>quinta-feira</v>
      </c>
      <c r="C125" s="19"/>
      <c r="D125" s="20">
        <f>SUMIF('ADV - GG'!A:A,A125,'ADV - GG'!C:C)+SUMIF('ADV - FB'!A:A,$A125,'ADV - FB'!E:E)</f>
        <v>0</v>
      </c>
      <c r="E125" s="21">
        <f>SUMIF('ADV - GG'!A:A,A125,'ADV - GG'!H:H)+SUMIF('ADV - FB'!A:A,$A125,'ADV - FB'!I:I)+SUMIF('ADV - FB'!A:A,$A125,'ADV - FB'!J:J)+SUMIF('ADV - FB'!A:A,$A125,'ADV - FB'!K:K)</f>
        <v>0</v>
      </c>
      <c r="F125" s="20" t="str">
        <f t="shared" si="2"/>
        <v/>
      </c>
      <c r="G125" s="22"/>
      <c r="H125" s="22"/>
      <c r="I125" s="23"/>
      <c r="J125" s="22">
        <f>SUMIF('ADV - GA4'!A:A,A125,'ADV - GA4'!C:C)</f>
        <v>0</v>
      </c>
      <c r="K125" s="20" t="str">
        <f t="shared" si="22"/>
        <v/>
      </c>
      <c r="L125" s="24" t="str">
        <f t="shared" si="3"/>
        <v/>
      </c>
      <c r="M125" s="25">
        <f t="shared" si="23"/>
        <v>0</v>
      </c>
      <c r="N125" s="26">
        <f t="shared" si="24"/>
        <v>0</v>
      </c>
      <c r="O125" s="20" t="str">
        <f>iferror(Planejador!$I$82,"")</f>
        <v/>
      </c>
      <c r="P125" s="20" t="str">
        <f>Planejador!$I$74</f>
        <v/>
      </c>
      <c r="Q125" s="27">
        <f t="shared" si="25"/>
        <v>0</v>
      </c>
      <c r="R125" s="24" t="str">
        <f>Planejador!$I$76</f>
        <v/>
      </c>
      <c r="S125" s="16"/>
      <c r="T125" s="16"/>
      <c r="U125" s="16"/>
      <c r="V125" s="16"/>
      <c r="W125" s="16"/>
      <c r="X125" s="16"/>
      <c r="Y125" s="16"/>
      <c r="Z125" s="16"/>
    </row>
    <row r="126" ht="22.5" customHeight="1" collapsed="1">
      <c r="A126" s="7" t="s">
        <v>29</v>
      </c>
      <c r="B126" s="8">
        <v>31.0</v>
      </c>
      <c r="C126" s="9"/>
      <c r="D126" s="10">
        <f>IFERROR(SUM(D127:D157),"")</f>
        <v>0</v>
      </c>
      <c r="E126" s="11">
        <f>iferror(SUM(E127:E157),"")</f>
        <v>0</v>
      </c>
      <c r="F126" s="14" t="str">
        <f t="shared" si="2"/>
        <v/>
      </c>
      <c r="G126" s="13">
        <f t="shared" ref="G126:I126" si="26">iferror(SUM(G127:G157),"")</f>
        <v>0</v>
      </c>
      <c r="H126" s="13">
        <f t="shared" si="26"/>
        <v>0</v>
      </c>
      <c r="I126" s="10">
        <f t="shared" si="26"/>
        <v>0</v>
      </c>
      <c r="J126" s="13">
        <f>IFERROR(SUM(J127:J157),"")</f>
        <v>0</v>
      </c>
      <c r="K126" s="14" t="str">
        <f>iferror(D126/J126,"")</f>
        <v/>
      </c>
      <c r="L126" s="15" t="str">
        <f t="shared" si="3"/>
        <v/>
      </c>
      <c r="M126" s="10" t="str">
        <f>Planejador!$I$96</f>
        <v/>
      </c>
      <c r="N126" s="13" t="str">
        <f>iferror(Planejador!$I$103,"")</f>
        <v/>
      </c>
      <c r="O126" s="14" t="str">
        <f>iferror(Planejador!$I$105,"")</f>
        <v/>
      </c>
      <c r="P126" s="14" t="str">
        <f>iferror(Planejador!$I$97,"")</f>
        <v/>
      </c>
      <c r="Q126" s="13" t="str">
        <f>iferror(Planejador!$I$102,"")</f>
        <v/>
      </c>
      <c r="R126" s="15" t="str">
        <f>Iferror(Planejador!$I$99,"")</f>
        <v/>
      </c>
      <c r="S126" s="16"/>
      <c r="T126" s="16"/>
      <c r="U126" s="16"/>
      <c r="V126" s="16"/>
      <c r="W126" s="16"/>
      <c r="X126" s="16"/>
      <c r="Y126" s="16"/>
      <c r="Z126" s="16"/>
    </row>
    <row r="127" ht="15.75" hidden="1" customHeight="1" outlineLevel="1">
      <c r="A127" s="17">
        <v>46143.0</v>
      </c>
      <c r="B127" s="18" t="str">
        <f t="shared" ref="B127:B157" si="27">TEXT(A127,"dddd")</f>
        <v>sexta-feira</v>
      </c>
      <c r="C127" s="19"/>
      <c r="D127" s="20">
        <f>SUMIF('ADV - GG'!A:A,A127,'ADV - GG'!C:C)+SUMIF('ADV - FB'!A:A,$A127,'ADV - FB'!E:E)</f>
        <v>0</v>
      </c>
      <c r="E127" s="21">
        <f>SUMIF('ADV - GG'!A:A,A127,'ADV - GG'!H:H)+SUMIF('ADV - FB'!A:A,$A127,'ADV - FB'!I:I)+SUMIF('ADV - FB'!A:A,$A127,'ADV - FB'!J:J)+SUMIF('ADV - FB'!A:A,$A127,'ADV - FB'!K:K)</f>
        <v>0</v>
      </c>
      <c r="F127" s="20" t="str">
        <f t="shared" si="2"/>
        <v/>
      </c>
      <c r="G127" s="22"/>
      <c r="H127" s="22"/>
      <c r="I127" s="23"/>
      <c r="J127" s="22">
        <f>SUMIF('ADV - GA4'!A:A,A127,'ADV - GA4'!C:C)</f>
        <v>0</v>
      </c>
      <c r="K127" s="20" t="str">
        <f t="shared" ref="K127:K157" si="28">IFERROR(D127/J127,"")</f>
        <v/>
      </c>
      <c r="L127" s="24" t="str">
        <f t="shared" si="3"/>
        <v/>
      </c>
      <c r="M127" s="25">
        <f t="shared" ref="M127:M157" si="29">$M$126/$B$126</f>
        <v>0</v>
      </c>
      <c r="N127" s="26">
        <f t="shared" ref="N127:N157" si="30">iferror($N$126/$B$126,"")</f>
        <v>0</v>
      </c>
      <c r="O127" s="20" t="str">
        <f>iferror(Planejador!$I$105,"")</f>
        <v/>
      </c>
      <c r="P127" s="20" t="str">
        <f>Planejador!$I$97</f>
        <v/>
      </c>
      <c r="Q127" s="27">
        <f t="shared" ref="Q127:Q157" si="31">$Q$126/$B$126</f>
        <v>0</v>
      </c>
      <c r="R127" s="24" t="str">
        <f>Planejador!$I$99</f>
        <v/>
      </c>
      <c r="S127" s="16"/>
      <c r="T127" s="16"/>
      <c r="U127" s="16"/>
      <c r="V127" s="16"/>
      <c r="W127" s="16"/>
      <c r="X127" s="16"/>
      <c r="Y127" s="16"/>
      <c r="Z127" s="16"/>
    </row>
    <row r="128" ht="15.75" hidden="1" customHeight="1" outlineLevel="1">
      <c r="A128" s="17">
        <v>46144.0</v>
      </c>
      <c r="B128" s="18" t="str">
        <f t="shared" si="27"/>
        <v>sábado</v>
      </c>
      <c r="C128" s="19"/>
      <c r="D128" s="20">
        <f>SUMIF('ADV - GG'!A:A,A128,'ADV - GG'!C:C)+SUMIF('ADV - FB'!A:A,$A128,'ADV - FB'!E:E)</f>
        <v>0</v>
      </c>
      <c r="E128" s="21">
        <f>SUMIF('ADV - GG'!A:A,A128,'ADV - GG'!H:H)+SUMIF('ADV - FB'!A:A,$A128,'ADV - FB'!I:I)+SUMIF('ADV - FB'!A:A,$A128,'ADV - FB'!J:J)+SUMIF('ADV - FB'!A:A,$A128,'ADV - FB'!K:K)</f>
        <v>0</v>
      </c>
      <c r="F128" s="20" t="str">
        <f t="shared" si="2"/>
        <v/>
      </c>
      <c r="G128" s="22"/>
      <c r="H128" s="22"/>
      <c r="I128" s="23"/>
      <c r="J128" s="22">
        <f>SUMIF('ADV - GA4'!A:A,A128,'ADV - GA4'!C:C)</f>
        <v>0</v>
      </c>
      <c r="K128" s="20" t="str">
        <f t="shared" si="28"/>
        <v/>
      </c>
      <c r="L128" s="24" t="str">
        <f t="shared" si="3"/>
        <v/>
      </c>
      <c r="M128" s="25">
        <f t="shared" si="29"/>
        <v>0</v>
      </c>
      <c r="N128" s="26">
        <f t="shared" si="30"/>
        <v>0</v>
      </c>
      <c r="O128" s="20" t="str">
        <f>iferror(Planejador!$I$105,"")</f>
        <v/>
      </c>
      <c r="P128" s="20" t="str">
        <f>Planejador!$I$97</f>
        <v/>
      </c>
      <c r="Q128" s="27">
        <f t="shared" si="31"/>
        <v>0</v>
      </c>
      <c r="R128" s="24" t="str">
        <f>Planejador!$I$99</f>
        <v/>
      </c>
      <c r="S128" s="16"/>
      <c r="T128" s="16"/>
      <c r="U128" s="16"/>
      <c r="V128" s="16"/>
      <c r="W128" s="16"/>
      <c r="X128" s="16"/>
      <c r="Y128" s="16"/>
      <c r="Z128" s="16"/>
    </row>
    <row r="129" ht="15.75" hidden="1" customHeight="1" outlineLevel="1">
      <c r="A129" s="17">
        <v>46145.0</v>
      </c>
      <c r="B129" s="18" t="str">
        <f t="shared" si="27"/>
        <v>domingo</v>
      </c>
      <c r="C129" s="19"/>
      <c r="D129" s="20">
        <f>SUMIF('ADV - GG'!A:A,A129,'ADV - GG'!C:C)+SUMIF('ADV - FB'!A:A,$A129,'ADV - FB'!E:E)</f>
        <v>0</v>
      </c>
      <c r="E129" s="21">
        <f>SUMIF('ADV - GG'!A:A,A129,'ADV - GG'!H:H)+SUMIF('ADV - FB'!A:A,$A129,'ADV - FB'!I:I)+SUMIF('ADV - FB'!A:A,$A129,'ADV - FB'!J:J)+SUMIF('ADV - FB'!A:A,$A129,'ADV - FB'!K:K)</f>
        <v>0</v>
      </c>
      <c r="F129" s="20" t="str">
        <f t="shared" si="2"/>
        <v/>
      </c>
      <c r="G129" s="22"/>
      <c r="H129" s="22"/>
      <c r="I129" s="23"/>
      <c r="J129" s="22">
        <f>SUMIF('ADV - GA4'!A:A,A129,'ADV - GA4'!C:C)</f>
        <v>0</v>
      </c>
      <c r="K129" s="20" t="str">
        <f t="shared" si="28"/>
        <v/>
      </c>
      <c r="L129" s="24" t="str">
        <f t="shared" si="3"/>
        <v/>
      </c>
      <c r="M129" s="25">
        <f t="shared" si="29"/>
        <v>0</v>
      </c>
      <c r="N129" s="26">
        <f t="shared" si="30"/>
        <v>0</v>
      </c>
      <c r="O129" s="20" t="str">
        <f>iferror(Planejador!$I$105,"")</f>
        <v/>
      </c>
      <c r="P129" s="20" t="str">
        <f>Planejador!$I$97</f>
        <v/>
      </c>
      <c r="Q129" s="27">
        <f t="shared" si="31"/>
        <v>0</v>
      </c>
      <c r="R129" s="24" t="str">
        <f>Planejador!$I$99</f>
        <v/>
      </c>
      <c r="S129" s="16"/>
      <c r="T129" s="16"/>
      <c r="U129" s="16"/>
      <c r="V129" s="16"/>
      <c r="W129" s="16"/>
      <c r="X129" s="16"/>
      <c r="Y129" s="16"/>
      <c r="Z129" s="16"/>
    </row>
    <row r="130" ht="15.75" hidden="1" customHeight="1" outlineLevel="1">
      <c r="A130" s="17">
        <v>46146.0</v>
      </c>
      <c r="B130" s="18" t="str">
        <f t="shared" si="27"/>
        <v>segunda-feira</v>
      </c>
      <c r="C130" s="19"/>
      <c r="D130" s="20">
        <f>SUMIF('ADV - GG'!A:A,A130,'ADV - GG'!C:C)+SUMIF('ADV - FB'!A:A,$A130,'ADV - FB'!E:E)</f>
        <v>0</v>
      </c>
      <c r="E130" s="21">
        <f>SUMIF('ADV - GG'!A:A,A130,'ADV - GG'!H:H)+SUMIF('ADV - FB'!A:A,$A130,'ADV - FB'!I:I)+SUMIF('ADV - FB'!A:A,$A130,'ADV - FB'!J:J)+SUMIF('ADV - FB'!A:A,$A130,'ADV - FB'!K:K)</f>
        <v>0</v>
      </c>
      <c r="F130" s="20" t="str">
        <f t="shared" si="2"/>
        <v/>
      </c>
      <c r="G130" s="22"/>
      <c r="H130" s="22"/>
      <c r="I130" s="23"/>
      <c r="J130" s="22">
        <f>SUMIF('ADV - GA4'!A:A,A130,'ADV - GA4'!C:C)</f>
        <v>0</v>
      </c>
      <c r="K130" s="20" t="str">
        <f t="shared" si="28"/>
        <v/>
      </c>
      <c r="L130" s="24" t="str">
        <f t="shared" si="3"/>
        <v/>
      </c>
      <c r="M130" s="25">
        <f t="shared" si="29"/>
        <v>0</v>
      </c>
      <c r="N130" s="26">
        <f t="shared" si="30"/>
        <v>0</v>
      </c>
      <c r="O130" s="20" t="str">
        <f>iferror(Planejador!$I$105,"")</f>
        <v/>
      </c>
      <c r="P130" s="20" t="str">
        <f>Planejador!$I$97</f>
        <v/>
      </c>
      <c r="Q130" s="27">
        <f t="shared" si="31"/>
        <v>0</v>
      </c>
      <c r="R130" s="24" t="str">
        <f>Planejador!$I$99</f>
        <v/>
      </c>
      <c r="S130" s="16"/>
      <c r="T130" s="16"/>
      <c r="U130" s="16"/>
      <c r="V130" s="16"/>
      <c r="W130" s="16"/>
      <c r="X130" s="16"/>
      <c r="Y130" s="16"/>
      <c r="Z130" s="16"/>
    </row>
    <row r="131" ht="15.75" hidden="1" customHeight="1" outlineLevel="1">
      <c r="A131" s="17">
        <v>46147.0</v>
      </c>
      <c r="B131" s="18" t="str">
        <f t="shared" si="27"/>
        <v>terça-feira</v>
      </c>
      <c r="C131" s="19"/>
      <c r="D131" s="20">
        <f>SUMIF('ADV - GG'!A:A,A131,'ADV - GG'!C:C)+SUMIF('ADV - FB'!A:A,$A131,'ADV - FB'!E:E)</f>
        <v>0</v>
      </c>
      <c r="E131" s="21">
        <f>SUMIF('ADV - GG'!A:A,A131,'ADV - GG'!H:H)+SUMIF('ADV - FB'!A:A,$A131,'ADV - FB'!I:I)+SUMIF('ADV - FB'!A:A,$A131,'ADV - FB'!J:J)+SUMIF('ADV - FB'!A:A,$A131,'ADV - FB'!K:K)</f>
        <v>0</v>
      </c>
      <c r="F131" s="20" t="str">
        <f t="shared" si="2"/>
        <v/>
      </c>
      <c r="G131" s="22"/>
      <c r="H131" s="22"/>
      <c r="I131" s="23"/>
      <c r="J131" s="22">
        <f>SUMIF('ADV - GA4'!A:A,A131,'ADV - GA4'!C:C)</f>
        <v>0</v>
      </c>
      <c r="K131" s="20" t="str">
        <f t="shared" si="28"/>
        <v/>
      </c>
      <c r="L131" s="24" t="str">
        <f t="shared" si="3"/>
        <v/>
      </c>
      <c r="M131" s="25">
        <f t="shared" si="29"/>
        <v>0</v>
      </c>
      <c r="N131" s="26">
        <f t="shared" si="30"/>
        <v>0</v>
      </c>
      <c r="O131" s="20" t="str">
        <f>iferror(Planejador!$I$105,"")</f>
        <v/>
      </c>
      <c r="P131" s="20" t="str">
        <f>Planejador!$I$97</f>
        <v/>
      </c>
      <c r="Q131" s="27">
        <f t="shared" si="31"/>
        <v>0</v>
      </c>
      <c r="R131" s="24" t="str">
        <f>Planejador!$I$99</f>
        <v/>
      </c>
      <c r="S131" s="16"/>
      <c r="T131" s="16"/>
      <c r="U131" s="16"/>
      <c r="V131" s="16"/>
      <c r="W131" s="16"/>
      <c r="X131" s="16"/>
      <c r="Y131" s="16"/>
      <c r="Z131" s="16"/>
    </row>
    <row r="132" ht="15.75" hidden="1" customHeight="1" outlineLevel="1">
      <c r="A132" s="17">
        <v>46148.0</v>
      </c>
      <c r="B132" s="18" t="str">
        <f t="shared" si="27"/>
        <v>quarta-feira</v>
      </c>
      <c r="C132" s="19"/>
      <c r="D132" s="20">
        <f>SUMIF('ADV - GG'!A:A,A132,'ADV - GG'!C:C)+SUMIF('ADV - FB'!A:A,$A132,'ADV - FB'!E:E)</f>
        <v>0</v>
      </c>
      <c r="E132" s="21">
        <f>SUMIF('ADV - GG'!A:A,A132,'ADV - GG'!H:H)+SUMIF('ADV - FB'!A:A,$A132,'ADV - FB'!I:I)+SUMIF('ADV - FB'!A:A,$A132,'ADV - FB'!J:J)+SUMIF('ADV - FB'!A:A,$A132,'ADV - FB'!K:K)</f>
        <v>0</v>
      </c>
      <c r="F132" s="20" t="str">
        <f t="shared" si="2"/>
        <v/>
      </c>
      <c r="G132" s="22"/>
      <c r="H132" s="22"/>
      <c r="I132" s="23"/>
      <c r="J132" s="22">
        <f>SUMIF('ADV - GA4'!A:A,A132,'ADV - GA4'!C:C)</f>
        <v>0</v>
      </c>
      <c r="K132" s="20" t="str">
        <f t="shared" si="28"/>
        <v/>
      </c>
      <c r="L132" s="24" t="str">
        <f t="shared" si="3"/>
        <v/>
      </c>
      <c r="M132" s="25">
        <f t="shared" si="29"/>
        <v>0</v>
      </c>
      <c r="N132" s="26">
        <f t="shared" si="30"/>
        <v>0</v>
      </c>
      <c r="O132" s="20" t="str">
        <f>iferror(Planejador!$I$105,"")</f>
        <v/>
      </c>
      <c r="P132" s="20" t="str">
        <f>Planejador!$I$97</f>
        <v/>
      </c>
      <c r="Q132" s="27">
        <f t="shared" si="31"/>
        <v>0</v>
      </c>
      <c r="R132" s="24" t="str">
        <f>Planejador!$I$99</f>
        <v/>
      </c>
      <c r="S132" s="16"/>
      <c r="T132" s="16"/>
      <c r="U132" s="16"/>
      <c r="V132" s="16"/>
      <c r="W132" s="16"/>
      <c r="X132" s="16"/>
      <c r="Y132" s="16"/>
      <c r="Z132" s="16"/>
    </row>
    <row r="133" ht="15.75" hidden="1" customHeight="1" outlineLevel="1">
      <c r="A133" s="17">
        <v>46149.0</v>
      </c>
      <c r="B133" s="18" t="str">
        <f t="shared" si="27"/>
        <v>quinta-feira</v>
      </c>
      <c r="C133" s="19"/>
      <c r="D133" s="20">
        <f>SUMIF('ADV - GG'!A:A,A133,'ADV - GG'!C:C)+SUMIF('ADV - FB'!A:A,$A133,'ADV - FB'!E:E)</f>
        <v>0</v>
      </c>
      <c r="E133" s="21">
        <f>SUMIF('ADV - GG'!A:A,A133,'ADV - GG'!H:H)+SUMIF('ADV - FB'!A:A,$A133,'ADV - FB'!I:I)+SUMIF('ADV - FB'!A:A,$A133,'ADV - FB'!J:J)+SUMIF('ADV - FB'!A:A,$A133,'ADV - FB'!K:K)</f>
        <v>0</v>
      </c>
      <c r="F133" s="20" t="str">
        <f t="shared" si="2"/>
        <v/>
      </c>
      <c r="G133" s="22"/>
      <c r="H133" s="22"/>
      <c r="I133" s="23"/>
      <c r="J133" s="22">
        <f>SUMIF('ADV - GA4'!A:A,A133,'ADV - GA4'!C:C)</f>
        <v>0</v>
      </c>
      <c r="K133" s="20" t="str">
        <f t="shared" si="28"/>
        <v/>
      </c>
      <c r="L133" s="24" t="str">
        <f t="shared" si="3"/>
        <v/>
      </c>
      <c r="M133" s="25">
        <f t="shared" si="29"/>
        <v>0</v>
      </c>
      <c r="N133" s="26">
        <f t="shared" si="30"/>
        <v>0</v>
      </c>
      <c r="O133" s="20" t="str">
        <f>iferror(Planejador!$I$105,"")</f>
        <v/>
      </c>
      <c r="P133" s="20" t="str">
        <f>Planejador!$I$97</f>
        <v/>
      </c>
      <c r="Q133" s="27">
        <f t="shared" si="31"/>
        <v>0</v>
      </c>
      <c r="R133" s="24" t="str">
        <f>Planejador!$I$99</f>
        <v/>
      </c>
      <c r="S133" s="16"/>
      <c r="T133" s="16"/>
      <c r="U133" s="16"/>
      <c r="V133" s="16"/>
      <c r="W133" s="16"/>
      <c r="X133" s="16"/>
      <c r="Y133" s="16"/>
      <c r="Z133" s="16"/>
    </row>
    <row r="134" ht="15.75" hidden="1" customHeight="1" outlineLevel="1">
      <c r="A134" s="17">
        <v>46150.0</v>
      </c>
      <c r="B134" s="18" t="str">
        <f t="shared" si="27"/>
        <v>sexta-feira</v>
      </c>
      <c r="C134" s="19"/>
      <c r="D134" s="20">
        <f>SUMIF('ADV - GG'!A:A,A134,'ADV - GG'!C:C)+SUMIF('ADV - FB'!A:A,$A134,'ADV - FB'!E:E)</f>
        <v>0</v>
      </c>
      <c r="E134" s="21">
        <f>SUMIF('ADV - GG'!A:A,A134,'ADV - GG'!H:H)+SUMIF('ADV - FB'!A:A,$A134,'ADV - FB'!I:I)+SUMIF('ADV - FB'!A:A,$A134,'ADV - FB'!J:J)+SUMIF('ADV - FB'!A:A,$A134,'ADV - FB'!K:K)</f>
        <v>0</v>
      </c>
      <c r="F134" s="20" t="str">
        <f t="shared" si="2"/>
        <v/>
      </c>
      <c r="G134" s="22"/>
      <c r="H134" s="22"/>
      <c r="I134" s="23"/>
      <c r="J134" s="22">
        <f>SUMIF('ADV - GA4'!A:A,A134,'ADV - GA4'!C:C)</f>
        <v>0</v>
      </c>
      <c r="K134" s="20" t="str">
        <f t="shared" si="28"/>
        <v/>
      </c>
      <c r="L134" s="24" t="str">
        <f t="shared" si="3"/>
        <v/>
      </c>
      <c r="M134" s="25">
        <f t="shared" si="29"/>
        <v>0</v>
      </c>
      <c r="N134" s="26">
        <f t="shared" si="30"/>
        <v>0</v>
      </c>
      <c r="O134" s="20" t="str">
        <f>iferror(Planejador!$I$105,"")</f>
        <v/>
      </c>
      <c r="P134" s="20" t="str">
        <f>Planejador!$I$97</f>
        <v/>
      </c>
      <c r="Q134" s="27">
        <f t="shared" si="31"/>
        <v>0</v>
      </c>
      <c r="R134" s="24" t="str">
        <f>Planejador!$I$99</f>
        <v/>
      </c>
      <c r="S134" s="16"/>
      <c r="T134" s="16"/>
      <c r="U134" s="16"/>
      <c r="V134" s="16"/>
      <c r="W134" s="16"/>
      <c r="X134" s="16"/>
      <c r="Y134" s="16"/>
      <c r="Z134" s="16"/>
    </row>
    <row r="135" ht="15.75" hidden="1" customHeight="1" outlineLevel="1">
      <c r="A135" s="17">
        <v>46151.0</v>
      </c>
      <c r="B135" s="18" t="str">
        <f t="shared" si="27"/>
        <v>sábado</v>
      </c>
      <c r="C135" s="19"/>
      <c r="D135" s="20">
        <f>SUMIF('ADV - GG'!A:A,A135,'ADV - GG'!C:C)+SUMIF('ADV - FB'!A:A,$A135,'ADV - FB'!E:E)</f>
        <v>0</v>
      </c>
      <c r="E135" s="21">
        <f>SUMIF('ADV - GG'!A:A,A135,'ADV - GG'!H:H)+SUMIF('ADV - FB'!A:A,$A135,'ADV - FB'!I:I)+SUMIF('ADV - FB'!A:A,$A135,'ADV - FB'!J:J)+SUMIF('ADV - FB'!A:A,$A135,'ADV - FB'!K:K)</f>
        <v>0</v>
      </c>
      <c r="F135" s="20" t="str">
        <f t="shared" si="2"/>
        <v/>
      </c>
      <c r="G135" s="22"/>
      <c r="H135" s="22"/>
      <c r="I135" s="23"/>
      <c r="J135" s="22">
        <f>SUMIF('ADV - GA4'!A:A,A135,'ADV - GA4'!C:C)</f>
        <v>0</v>
      </c>
      <c r="K135" s="20" t="str">
        <f t="shared" si="28"/>
        <v/>
      </c>
      <c r="L135" s="24" t="str">
        <f t="shared" si="3"/>
        <v/>
      </c>
      <c r="M135" s="25">
        <f t="shared" si="29"/>
        <v>0</v>
      </c>
      <c r="N135" s="26">
        <f t="shared" si="30"/>
        <v>0</v>
      </c>
      <c r="O135" s="20" t="str">
        <f>iferror(Planejador!$I$105,"")</f>
        <v/>
      </c>
      <c r="P135" s="20" t="str">
        <f>Planejador!$I$97</f>
        <v/>
      </c>
      <c r="Q135" s="27">
        <f t="shared" si="31"/>
        <v>0</v>
      </c>
      <c r="R135" s="24" t="str">
        <f>Planejador!$I$99</f>
        <v/>
      </c>
      <c r="S135" s="16"/>
      <c r="T135" s="16"/>
      <c r="U135" s="16"/>
      <c r="V135" s="16"/>
      <c r="W135" s="16"/>
      <c r="X135" s="16"/>
      <c r="Y135" s="16"/>
      <c r="Z135" s="16"/>
    </row>
    <row r="136" ht="15.75" hidden="1" customHeight="1" outlineLevel="1">
      <c r="A136" s="17">
        <v>46152.0</v>
      </c>
      <c r="B136" s="18" t="str">
        <f t="shared" si="27"/>
        <v>domingo</v>
      </c>
      <c r="C136" s="19"/>
      <c r="D136" s="20">
        <f>SUMIF('ADV - GG'!A:A,A136,'ADV - GG'!C:C)+SUMIF('ADV - FB'!A:A,$A136,'ADV - FB'!E:E)</f>
        <v>0</v>
      </c>
      <c r="E136" s="21">
        <f>SUMIF('ADV - GG'!A:A,A136,'ADV - GG'!H:H)+SUMIF('ADV - FB'!A:A,$A136,'ADV - FB'!I:I)+SUMIF('ADV - FB'!A:A,$A136,'ADV - FB'!J:J)+SUMIF('ADV - FB'!A:A,$A136,'ADV - FB'!K:K)</f>
        <v>0</v>
      </c>
      <c r="F136" s="20" t="str">
        <f t="shared" si="2"/>
        <v/>
      </c>
      <c r="G136" s="22"/>
      <c r="H136" s="22"/>
      <c r="I136" s="23"/>
      <c r="J136" s="22">
        <f>SUMIF('ADV - GA4'!A:A,A136,'ADV - GA4'!C:C)</f>
        <v>0</v>
      </c>
      <c r="K136" s="20" t="str">
        <f t="shared" si="28"/>
        <v/>
      </c>
      <c r="L136" s="24" t="str">
        <f t="shared" si="3"/>
        <v/>
      </c>
      <c r="M136" s="25">
        <f t="shared" si="29"/>
        <v>0</v>
      </c>
      <c r="N136" s="26">
        <f t="shared" si="30"/>
        <v>0</v>
      </c>
      <c r="O136" s="20" t="str">
        <f>iferror(Planejador!$I$105,"")</f>
        <v/>
      </c>
      <c r="P136" s="20" t="str">
        <f>Planejador!$I$97</f>
        <v/>
      </c>
      <c r="Q136" s="27">
        <f t="shared" si="31"/>
        <v>0</v>
      </c>
      <c r="R136" s="24" t="str">
        <f>Planejador!$I$99</f>
        <v/>
      </c>
      <c r="S136" s="16"/>
      <c r="T136" s="16"/>
      <c r="U136" s="16"/>
      <c r="V136" s="16"/>
      <c r="W136" s="16"/>
      <c r="X136" s="16"/>
      <c r="Y136" s="16"/>
      <c r="Z136" s="16"/>
    </row>
    <row r="137" ht="15.75" hidden="1" customHeight="1" outlineLevel="1">
      <c r="A137" s="17">
        <v>46153.0</v>
      </c>
      <c r="B137" s="18" t="str">
        <f t="shared" si="27"/>
        <v>segunda-feira</v>
      </c>
      <c r="C137" s="19"/>
      <c r="D137" s="20">
        <f>SUMIF('ADV - GG'!A:A,A137,'ADV - GG'!C:C)+SUMIF('ADV - FB'!A:A,$A137,'ADV - FB'!E:E)</f>
        <v>0</v>
      </c>
      <c r="E137" s="21">
        <f>SUMIF('ADV - GG'!A:A,A137,'ADV - GG'!H:H)+SUMIF('ADV - FB'!A:A,$A137,'ADV - FB'!I:I)+SUMIF('ADV - FB'!A:A,$A137,'ADV - FB'!J:J)+SUMIF('ADV - FB'!A:A,$A137,'ADV - FB'!K:K)</f>
        <v>0</v>
      </c>
      <c r="F137" s="20" t="str">
        <f t="shared" si="2"/>
        <v/>
      </c>
      <c r="G137" s="22"/>
      <c r="H137" s="22"/>
      <c r="I137" s="23"/>
      <c r="J137" s="22">
        <f>SUMIF('ADV - GA4'!A:A,A137,'ADV - GA4'!C:C)</f>
        <v>0</v>
      </c>
      <c r="K137" s="20" t="str">
        <f t="shared" si="28"/>
        <v/>
      </c>
      <c r="L137" s="24" t="str">
        <f t="shared" si="3"/>
        <v/>
      </c>
      <c r="M137" s="25">
        <f t="shared" si="29"/>
        <v>0</v>
      </c>
      <c r="N137" s="26">
        <f t="shared" si="30"/>
        <v>0</v>
      </c>
      <c r="O137" s="20" t="str">
        <f>iferror(Planejador!$I$105,"")</f>
        <v/>
      </c>
      <c r="P137" s="20" t="str">
        <f>Planejador!$I$97</f>
        <v/>
      </c>
      <c r="Q137" s="27">
        <f t="shared" si="31"/>
        <v>0</v>
      </c>
      <c r="R137" s="24" t="str">
        <f>Planejador!$I$99</f>
        <v/>
      </c>
      <c r="S137" s="16"/>
      <c r="T137" s="16"/>
      <c r="U137" s="16"/>
      <c r="V137" s="16"/>
      <c r="W137" s="16"/>
      <c r="X137" s="16"/>
      <c r="Y137" s="16"/>
      <c r="Z137" s="16"/>
    </row>
    <row r="138" ht="15.75" hidden="1" customHeight="1" outlineLevel="1">
      <c r="A138" s="17">
        <v>46154.0</v>
      </c>
      <c r="B138" s="18" t="str">
        <f t="shared" si="27"/>
        <v>terça-feira</v>
      </c>
      <c r="C138" s="19"/>
      <c r="D138" s="20">
        <f>SUMIF('ADV - GG'!A:A,A138,'ADV - GG'!C:C)+SUMIF('ADV - FB'!A:A,$A138,'ADV - FB'!E:E)</f>
        <v>0</v>
      </c>
      <c r="E138" s="21">
        <f>SUMIF('ADV - GG'!A:A,A138,'ADV - GG'!H:H)+SUMIF('ADV - FB'!A:A,$A138,'ADV - FB'!I:I)+SUMIF('ADV - FB'!A:A,$A138,'ADV - FB'!J:J)+SUMIF('ADV - FB'!A:A,$A138,'ADV - FB'!K:K)</f>
        <v>0</v>
      </c>
      <c r="F138" s="20" t="str">
        <f t="shared" si="2"/>
        <v/>
      </c>
      <c r="G138" s="22"/>
      <c r="H138" s="22"/>
      <c r="I138" s="23"/>
      <c r="J138" s="22">
        <f>SUMIF('ADV - GA4'!A:A,A138,'ADV - GA4'!C:C)</f>
        <v>0</v>
      </c>
      <c r="K138" s="20" t="str">
        <f t="shared" si="28"/>
        <v/>
      </c>
      <c r="L138" s="24" t="str">
        <f t="shared" si="3"/>
        <v/>
      </c>
      <c r="M138" s="25">
        <f t="shared" si="29"/>
        <v>0</v>
      </c>
      <c r="N138" s="26">
        <f t="shared" si="30"/>
        <v>0</v>
      </c>
      <c r="O138" s="20" t="str">
        <f>iferror(Planejador!$I$105,"")</f>
        <v/>
      </c>
      <c r="P138" s="20" t="str">
        <f>Planejador!$I$97</f>
        <v/>
      </c>
      <c r="Q138" s="27">
        <f t="shared" si="31"/>
        <v>0</v>
      </c>
      <c r="R138" s="24" t="str">
        <f>Planejador!$I$99</f>
        <v/>
      </c>
      <c r="S138" s="16"/>
      <c r="T138" s="16"/>
      <c r="U138" s="16"/>
      <c r="V138" s="16"/>
      <c r="W138" s="16"/>
      <c r="X138" s="16"/>
      <c r="Y138" s="16"/>
      <c r="Z138" s="16"/>
    </row>
    <row r="139" ht="15.75" hidden="1" customHeight="1" outlineLevel="1">
      <c r="A139" s="17">
        <v>46155.0</v>
      </c>
      <c r="B139" s="18" t="str">
        <f t="shared" si="27"/>
        <v>quarta-feira</v>
      </c>
      <c r="C139" s="19"/>
      <c r="D139" s="20">
        <f>SUMIF('ADV - GG'!A:A,A139,'ADV - GG'!C:C)+SUMIF('ADV - FB'!A:A,$A139,'ADV - FB'!E:E)</f>
        <v>0</v>
      </c>
      <c r="E139" s="21">
        <f>SUMIF('ADV - GG'!A:A,A139,'ADV - GG'!H:H)+SUMIF('ADV - FB'!A:A,$A139,'ADV - FB'!I:I)+SUMIF('ADV - FB'!A:A,$A139,'ADV - FB'!J:J)+SUMIF('ADV - FB'!A:A,$A139,'ADV - FB'!K:K)</f>
        <v>0</v>
      </c>
      <c r="F139" s="20" t="str">
        <f t="shared" si="2"/>
        <v/>
      </c>
      <c r="G139" s="22"/>
      <c r="H139" s="22"/>
      <c r="I139" s="23"/>
      <c r="J139" s="22">
        <f>SUMIF('ADV - GA4'!A:A,A139,'ADV - GA4'!C:C)</f>
        <v>0</v>
      </c>
      <c r="K139" s="20" t="str">
        <f t="shared" si="28"/>
        <v/>
      </c>
      <c r="L139" s="24" t="str">
        <f t="shared" si="3"/>
        <v/>
      </c>
      <c r="M139" s="25">
        <f t="shared" si="29"/>
        <v>0</v>
      </c>
      <c r="N139" s="26">
        <f t="shared" si="30"/>
        <v>0</v>
      </c>
      <c r="O139" s="20" t="str">
        <f>iferror(Planejador!$I$105,"")</f>
        <v/>
      </c>
      <c r="P139" s="20" t="str">
        <f>Planejador!$I$97</f>
        <v/>
      </c>
      <c r="Q139" s="27">
        <f t="shared" si="31"/>
        <v>0</v>
      </c>
      <c r="R139" s="24" t="str">
        <f>Planejador!$I$99</f>
        <v/>
      </c>
      <c r="S139" s="16"/>
      <c r="T139" s="16"/>
      <c r="U139" s="16"/>
      <c r="V139" s="16"/>
      <c r="W139" s="16"/>
      <c r="X139" s="16"/>
      <c r="Y139" s="16"/>
      <c r="Z139" s="16"/>
    </row>
    <row r="140" ht="15.75" hidden="1" customHeight="1" outlineLevel="1">
      <c r="A140" s="17">
        <v>46156.0</v>
      </c>
      <c r="B140" s="18" t="str">
        <f t="shared" si="27"/>
        <v>quinta-feira</v>
      </c>
      <c r="C140" s="19"/>
      <c r="D140" s="20">
        <f>SUMIF('ADV - GG'!A:A,A140,'ADV - GG'!C:C)+SUMIF('ADV - FB'!A:A,$A140,'ADV - FB'!E:E)</f>
        <v>0</v>
      </c>
      <c r="E140" s="21">
        <f>SUMIF('ADV - GG'!A:A,A140,'ADV - GG'!H:H)+SUMIF('ADV - FB'!A:A,$A140,'ADV - FB'!I:I)+SUMIF('ADV - FB'!A:A,$A140,'ADV - FB'!J:J)+SUMIF('ADV - FB'!A:A,$A140,'ADV - FB'!K:K)</f>
        <v>0</v>
      </c>
      <c r="F140" s="20" t="str">
        <f t="shared" si="2"/>
        <v/>
      </c>
      <c r="G140" s="22"/>
      <c r="H140" s="22"/>
      <c r="I140" s="23"/>
      <c r="J140" s="22">
        <f>SUMIF('ADV - GA4'!A:A,A140,'ADV - GA4'!C:C)</f>
        <v>0</v>
      </c>
      <c r="K140" s="20" t="str">
        <f t="shared" si="28"/>
        <v/>
      </c>
      <c r="L140" s="24" t="str">
        <f t="shared" si="3"/>
        <v/>
      </c>
      <c r="M140" s="25">
        <f t="shared" si="29"/>
        <v>0</v>
      </c>
      <c r="N140" s="26">
        <f t="shared" si="30"/>
        <v>0</v>
      </c>
      <c r="O140" s="20" t="str">
        <f>iferror(Planejador!$I$105,"")</f>
        <v/>
      </c>
      <c r="P140" s="20" t="str">
        <f>Planejador!$I$97</f>
        <v/>
      </c>
      <c r="Q140" s="27">
        <f t="shared" si="31"/>
        <v>0</v>
      </c>
      <c r="R140" s="24" t="str">
        <f>Planejador!$I$99</f>
        <v/>
      </c>
      <c r="S140" s="16"/>
      <c r="T140" s="16"/>
      <c r="U140" s="16"/>
      <c r="V140" s="16"/>
      <c r="W140" s="16"/>
      <c r="X140" s="16"/>
      <c r="Y140" s="16"/>
      <c r="Z140" s="16"/>
    </row>
    <row r="141" ht="15.75" hidden="1" customHeight="1" outlineLevel="1">
      <c r="A141" s="17">
        <v>46157.0</v>
      </c>
      <c r="B141" s="18" t="str">
        <f t="shared" si="27"/>
        <v>sexta-feira</v>
      </c>
      <c r="C141" s="19"/>
      <c r="D141" s="20">
        <f>SUMIF('ADV - GG'!A:A,A141,'ADV - GG'!C:C)+SUMIF('ADV - FB'!A:A,$A141,'ADV - FB'!E:E)</f>
        <v>0</v>
      </c>
      <c r="E141" s="21">
        <f>SUMIF('ADV - GG'!A:A,A141,'ADV - GG'!H:H)+SUMIF('ADV - FB'!A:A,$A141,'ADV - FB'!I:I)+SUMIF('ADV - FB'!A:A,$A141,'ADV - FB'!J:J)+SUMIF('ADV - FB'!A:A,$A141,'ADV - FB'!K:K)</f>
        <v>0</v>
      </c>
      <c r="F141" s="20" t="str">
        <f t="shared" si="2"/>
        <v/>
      </c>
      <c r="G141" s="22"/>
      <c r="H141" s="22"/>
      <c r="I141" s="23"/>
      <c r="J141" s="22">
        <f>SUMIF('ADV - GA4'!A:A,A141,'ADV - GA4'!C:C)</f>
        <v>0</v>
      </c>
      <c r="K141" s="20" t="str">
        <f t="shared" si="28"/>
        <v/>
      </c>
      <c r="L141" s="24" t="str">
        <f t="shared" si="3"/>
        <v/>
      </c>
      <c r="M141" s="25">
        <f t="shared" si="29"/>
        <v>0</v>
      </c>
      <c r="N141" s="26">
        <f t="shared" si="30"/>
        <v>0</v>
      </c>
      <c r="O141" s="20" t="str">
        <f>iferror(Planejador!$I$105,"")</f>
        <v/>
      </c>
      <c r="P141" s="20" t="str">
        <f>Planejador!$I$97</f>
        <v/>
      </c>
      <c r="Q141" s="27">
        <f t="shared" si="31"/>
        <v>0</v>
      </c>
      <c r="R141" s="24" t="str">
        <f>Planejador!$I$99</f>
        <v/>
      </c>
      <c r="S141" s="16"/>
      <c r="T141" s="16"/>
      <c r="U141" s="16"/>
      <c r="V141" s="16"/>
      <c r="W141" s="16"/>
      <c r="X141" s="16"/>
      <c r="Y141" s="16"/>
      <c r="Z141" s="16"/>
    </row>
    <row r="142" ht="15.75" hidden="1" customHeight="1" outlineLevel="1">
      <c r="A142" s="17">
        <v>46158.0</v>
      </c>
      <c r="B142" s="18" t="str">
        <f t="shared" si="27"/>
        <v>sábado</v>
      </c>
      <c r="C142" s="19"/>
      <c r="D142" s="20">
        <f>SUMIF('ADV - GG'!A:A,A142,'ADV - GG'!C:C)+SUMIF('ADV - FB'!A:A,$A142,'ADV - FB'!E:E)</f>
        <v>0</v>
      </c>
      <c r="E142" s="21">
        <f>SUMIF('ADV - GG'!A:A,A142,'ADV - GG'!H:H)+SUMIF('ADV - FB'!A:A,$A142,'ADV - FB'!I:I)+SUMIF('ADV - FB'!A:A,$A142,'ADV - FB'!J:J)+SUMIF('ADV - FB'!A:A,$A142,'ADV - FB'!K:K)</f>
        <v>0</v>
      </c>
      <c r="F142" s="20" t="str">
        <f t="shared" si="2"/>
        <v/>
      </c>
      <c r="G142" s="22"/>
      <c r="H142" s="22"/>
      <c r="I142" s="23"/>
      <c r="J142" s="22">
        <f>SUMIF('ADV - GA4'!A:A,A142,'ADV - GA4'!C:C)</f>
        <v>0</v>
      </c>
      <c r="K142" s="20" t="str">
        <f t="shared" si="28"/>
        <v/>
      </c>
      <c r="L142" s="24" t="str">
        <f t="shared" si="3"/>
        <v/>
      </c>
      <c r="M142" s="25">
        <f t="shared" si="29"/>
        <v>0</v>
      </c>
      <c r="N142" s="26">
        <f t="shared" si="30"/>
        <v>0</v>
      </c>
      <c r="O142" s="20" t="str">
        <f>iferror(Planejador!$I$105,"")</f>
        <v/>
      </c>
      <c r="P142" s="20" t="str">
        <f>Planejador!$I$97</f>
        <v/>
      </c>
      <c r="Q142" s="27">
        <f t="shared" si="31"/>
        <v>0</v>
      </c>
      <c r="R142" s="24" t="str">
        <f>Planejador!$I$99</f>
        <v/>
      </c>
      <c r="S142" s="16"/>
      <c r="T142" s="16"/>
      <c r="U142" s="16"/>
      <c r="V142" s="16"/>
      <c r="W142" s="16"/>
      <c r="X142" s="16"/>
      <c r="Y142" s="16"/>
      <c r="Z142" s="16"/>
    </row>
    <row r="143" ht="15.75" hidden="1" customHeight="1" outlineLevel="1">
      <c r="A143" s="17">
        <v>46159.0</v>
      </c>
      <c r="B143" s="18" t="str">
        <f t="shared" si="27"/>
        <v>domingo</v>
      </c>
      <c r="C143" s="19"/>
      <c r="D143" s="20">
        <f>SUMIF('ADV - GG'!A:A,A143,'ADV - GG'!C:C)+SUMIF('ADV - FB'!A:A,$A143,'ADV - FB'!E:E)</f>
        <v>0</v>
      </c>
      <c r="E143" s="21">
        <f>SUMIF('ADV - GG'!A:A,A143,'ADV - GG'!H:H)+SUMIF('ADV - FB'!A:A,$A143,'ADV - FB'!I:I)+SUMIF('ADV - FB'!A:A,$A143,'ADV - FB'!J:J)+SUMIF('ADV - FB'!A:A,$A143,'ADV - FB'!K:K)</f>
        <v>0</v>
      </c>
      <c r="F143" s="20" t="str">
        <f t="shared" si="2"/>
        <v/>
      </c>
      <c r="G143" s="22"/>
      <c r="H143" s="22"/>
      <c r="I143" s="23"/>
      <c r="J143" s="22">
        <f>SUMIF('ADV - GA4'!A:A,A143,'ADV - GA4'!C:C)</f>
        <v>0</v>
      </c>
      <c r="K143" s="20" t="str">
        <f t="shared" si="28"/>
        <v/>
      </c>
      <c r="L143" s="24" t="str">
        <f t="shared" si="3"/>
        <v/>
      </c>
      <c r="M143" s="25">
        <f t="shared" si="29"/>
        <v>0</v>
      </c>
      <c r="N143" s="26">
        <f t="shared" si="30"/>
        <v>0</v>
      </c>
      <c r="O143" s="20" t="str">
        <f>iferror(Planejador!$I$105,"")</f>
        <v/>
      </c>
      <c r="P143" s="20" t="str">
        <f>Planejador!$I$97</f>
        <v/>
      </c>
      <c r="Q143" s="27">
        <f t="shared" si="31"/>
        <v>0</v>
      </c>
      <c r="R143" s="24" t="str">
        <f>Planejador!$I$99</f>
        <v/>
      </c>
      <c r="S143" s="16"/>
      <c r="T143" s="16"/>
      <c r="U143" s="16"/>
      <c r="V143" s="16"/>
      <c r="W143" s="16"/>
      <c r="X143" s="16"/>
      <c r="Y143" s="16"/>
      <c r="Z143" s="16"/>
    </row>
    <row r="144" ht="15.75" hidden="1" customHeight="1" outlineLevel="1">
      <c r="A144" s="17">
        <v>46160.0</v>
      </c>
      <c r="B144" s="18" t="str">
        <f t="shared" si="27"/>
        <v>segunda-feira</v>
      </c>
      <c r="C144" s="19"/>
      <c r="D144" s="20">
        <f>SUMIF('ADV - GG'!A:A,A144,'ADV - GG'!C:C)+SUMIF('ADV - FB'!A:A,$A144,'ADV - FB'!E:E)</f>
        <v>0</v>
      </c>
      <c r="E144" s="21">
        <f>SUMIF('ADV - GG'!A:A,A144,'ADV - GG'!H:H)+SUMIF('ADV - FB'!A:A,$A144,'ADV - FB'!I:I)+SUMIF('ADV - FB'!A:A,$A144,'ADV - FB'!J:J)+SUMIF('ADV - FB'!A:A,$A144,'ADV - FB'!K:K)</f>
        <v>0</v>
      </c>
      <c r="F144" s="20" t="str">
        <f t="shared" si="2"/>
        <v/>
      </c>
      <c r="G144" s="22"/>
      <c r="H144" s="22"/>
      <c r="I144" s="23"/>
      <c r="J144" s="22">
        <f>SUMIF('ADV - GA4'!A:A,A144,'ADV - GA4'!C:C)</f>
        <v>0</v>
      </c>
      <c r="K144" s="20" t="str">
        <f t="shared" si="28"/>
        <v/>
      </c>
      <c r="L144" s="24" t="str">
        <f t="shared" si="3"/>
        <v/>
      </c>
      <c r="M144" s="25">
        <f t="shared" si="29"/>
        <v>0</v>
      </c>
      <c r="N144" s="26">
        <f t="shared" si="30"/>
        <v>0</v>
      </c>
      <c r="O144" s="20" t="str">
        <f>iferror(Planejador!$I$105,"")</f>
        <v/>
      </c>
      <c r="P144" s="20" t="str">
        <f>Planejador!$I$97</f>
        <v/>
      </c>
      <c r="Q144" s="27">
        <f t="shared" si="31"/>
        <v>0</v>
      </c>
      <c r="R144" s="24" t="str">
        <f>Planejador!$I$99</f>
        <v/>
      </c>
      <c r="S144" s="16"/>
      <c r="T144" s="16"/>
      <c r="U144" s="16"/>
      <c r="V144" s="16"/>
      <c r="W144" s="16"/>
      <c r="X144" s="16"/>
      <c r="Y144" s="16"/>
      <c r="Z144" s="16"/>
    </row>
    <row r="145" ht="15.75" hidden="1" customHeight="1" outlineLevel="1">
      <c r="A145" s="17">
        <v>46161.0</v>
      </c>
      <c r="B145" s="18" t="str">
        <f t="shared" si="27"/>
        <v>terça-feira</v>
      </c>
      <c r="C145" s="19"/>
      <c r="D145" s="20">
        <f>SUMIF('ADV - GG'!A:A,A145,'ADV - GG'!C:C)+SUMIF('ADV - FB'!A:A,$A145,'ADV - FB'!E:E)</f>
        <v>0</v>
      </c>
      <c r="E145" s="21">
        <f>SUMIF('ADV - GG'!A:A,A145,'ADV - GG'!H:H)+SUMIF('ADV - FB'!A:A,$A145,'ADV - FB'!I:I)+SUMIF('ADV - FB'!A:A,$A145,'ADV - FB'!J:J)+SUMIF('ADV - FB'!A:A,$A145,'ADV - FB'!K:K)</f>
        <v>0</v>
      </c>
      <c r="F145" s="20" t="str">
        <f t="shared" si="2"/>
        <v/>
      </c>
      <c r="G145" s="22"/>
      <c r="H145" s="22"/>
      <c r="I145" s="23"/>
      <c r="J145" s="22">
        <f>SUMIF('ADV - GA4'!A:A,A145,'ADV - GA4'!C:C)</f>
        <v>0</v>
      </c>
      <c r="K145" s="20" t="str">
        <f t="shared" si="28"/>
        <v/>
      </c>
      <c r="L145" s="24" t="str">
        <f t="shared" si="3"/>
        <v/>
      </c>
      <c r="M145" s="25">
        <f t="shared" si="29"/>
        <v>0</v>
      </c>
      <c r="N145" s="26">
        <f t="shared" si="30"/>
        <v>0</v>
      </c>
      <c r="O145" s="20" t="str">
        <f>iferror(Planejador!$I$105,"")</f>
        <v/>
      </c>
      <c r="P145" s="20" t="str">
        <f>Planejador!$I$97</f>
        <v/>
      </c>
      <c r="Q145" s="27">
        <f t="shared" si="31"/>
        <v>0</v>
      </c>
      <c r="R145" s="24" t="str">
        <f>Planejador!$I$99</f>
        <v/>
      </c>
      <c r="S145" s="16"/>
      <c r="T145" s="16"/>
      <c r="U145" s="16"/>
      <c r="V145" s="16"/>
      <c r="W145" s="16"/>
      <c r="X145" s="16"/>
      <c r="Y145" s="16"/>
      <c r="Z145" s="16"/>
    </row>
    <row r="146" ht="15.75" hidden="1" customHeight="1" outlineLevel="1">
      <c r="A146" s="17">
        <v>46162.0</v>
      </c>
      <c r="B146" s="18" t="str">
        <f t="shared" si="27"/>
        <v>quarta-feira</v>
      </c>
      <c r="C146" s="19"/>
      <c r="D146" s="20">
        <f>SUMIF('ADV - GG'!A:A,A146,'ADV - GG'!C:C)+SUMIF('ADV - FB'!A:A,$A146,'ADV - FB'!E:E)</f>
        <v>0</v>
      </c>
      <c r="E146" s="21">
        <f>SUMIF('ADV - GG'!A:A,A146,'ADV - GG'!H:H)+SUMIF('ADV - FB'!A:A,$A146,'ADV - FB'!I:I)+SUMIF('ADV - FB'!A:A,$A146,'ADV - FB'!J:J)+SUMIF('ADV - FB'!A:A,$A146,'ADV - FB'!K:K)</f>
        <v>0</v>
      </c>
      <c r="F146" s="20" t="str">
        <f t="shared" si="2"/>
        <v/>
      </c>
      <c r="G146" s="22"/>
      <c r="H146" s="22"/>
      <c r="I146" s="23"/>
      <c r="J146" s="22">
        <f>SUMIF('ADV - GA4'!A:A,A146,'ADV - GA4'!C:C)</f>
        <v>0</v>
      </c>
      <c r="K146" s="20" t="str">
        <f t="shared" si="28"/>
        <v/>
      </c>
      <c r="L146" s="24" t="str">
        <f t="shared" si="3"/>
        <v/>
      </c>
      <c r="M146" s="25">
        <f t="shared" si="29"/>
        <v>0</v>
      </c>
      <c r="N146" s="26">
        <f t="shared" si="30"/>
        <v>0</v>
      </c>
      <c r="O146" s="20" t="str">
        <f>iferror(Planejador!$I$105,"")</f>
        <v/>
      </c>
      <c r="P146" s="20" t="str">
        <f>Planejador!$I$97</f>
        <v/>
      </c>
      <c r="Q146" s="27">
        <f t="shared" si="31"/>
        <v>0</v>
      </c>
      <c r="R146" s="24" t="str">
        <f>Planejador!$I$99</f>
        <v/>
      </c>
      <c r="S146" s="16"/>
      <c r="T146" s="16"/>
      <c r="U146" s="16"/>
      <c r="V146" s="16"/>
      <c r="W146" s="16"/>
      <c r="X146" s="16"/>
      <c r="Y146" s="16"/>
      <c r="Z146" s="16"/>
    </row>
    <row r="147" ht="15.75" hidden="1" customHeight="1" outlineLevel="1">
      <c r="A147" s="17">
        <v>46163.0</v>
      </c>
      <c r="B147" s="18" t="str">
        <f t="shared" si="27"/>
        <v>quinta-feira</v>
      </c>
      <c r="C147" s="19"/>
      <c r="D147" s="20">
        <f>SUMIF('ADV - GG'!A:A,A147,'ADV - GG'!C:C)+SUMIF('ADV - FB'!A:A,$A147,'ADV - FB'!E:E)</f>
        <v>0</v>
      </c>
      <c r="E147" s="21">
        <f>SUMIF('ADV - GG'!A:A,A147,'ADV - GG'!H:H)+SUMIF('ADV - FB'!A:A,$A147,'ADV - FB'!I:I)+SUMIF('ADV - FB'!A:A,$A147,'ADV - FB'!J:J)+SUMIF('ADV - FB'!A:A,$A147,'ADV - FB'!K:K)</f>
        <v>0</v>
      </c>
      <c r="F147" s="20" t="str">
        <f t="shared" si="2"/>
        <v/>
      </c>
      <c r="G147" s="22"/>
      <c r="H147" s="22"/>
      <c r="I147" s="23"/>
      <c r="J147" s="22">
        <f>SUMIF('ADV - GA4'!A:A,A147,'ADV - GA4'!C:C)</f>
        <v>0</v>
      </c>
      <c r="K147" s="20" t="str">
        <f t="shared" si="28"/>
        <v/>
      </c>
      <c r="L147" s="24" t="str">
        <f t="shared" si="3"/>
        <v/>
      </c>
      <c r="M147" s="25">
        <f t="shared" si="29"/>
        <v>0</v>
      </c>
      <c r="N147" s="26">
        <f t="shared" si="30"/>
        <v>0</v>
      </c>
      <c r="O147" s="20" t="str">
        <f>iferror(Planejador!$I$105,"")</f>
        <v/>
      </c>
      <c r="P147" s="20" t="str">
        <f>Planejador!$I$97</f>
        <v/>
      </c>
      <c r="Q147" s="27">
        <f t="shared" si="31"/>
        <v>0</v>
      </c>
      <c r="R147" s="24" t="str">
        <f>Planejador!$I$99</f>
        <v/>
      </c>
      <c r="S147" s="16"/>
      <c r="T147" s="16"/>
      <c r="U147" s="16"/>
      <c r="V147" s="16"/>
      <c r="W147" s="16"/>
      <c r="X147" s="16"/>
      <c r="Y147" s="16"/>
      <c r="Z147" s="16"/>
    </row>
    <row r="148" ht="15.75" hidden="1" customHeight="1" outlineLevel="1">
      <c r="A148" s="17">
        <v>46164.0</v>
      </c>
      <c r="B148" s="18" t="str">
        <f t="shared" si="27"/>
        <v>sexta-feira</v>
      </c>
      <c r="C148" s="19"/>
      <c r="D148" s="20">
        <f>SUMIF('ADV - GG'!A:A,A148,'ADV - GG'!C:C)+SUMIF('ADV - FB'!A:A,$A148,'ADV - FB'!E:E)</f>
        <v>0</v>
      </c>
      <c r="E148" s="21">
        <f>SUMIF('ADV - GG'!A:A,A148,'ADV - GG'!H:H)+SUMIF('ADV - FB'!A:A,$A148,'ADV - FB'!I:I)+SUMIF('ADV - FB'!A:A,$A148,'ADV - FB'!J:J)+SUMIF('ADV - FB'!A:A,$A148,'ADV - FB'!K:K)</f>
        <v>0</v>
      </c>
      <c r="F148" s="20" t="str">
        <f t="shared" si="2"/>
        <v/>
      </c>
      <c r="G148" s="22"/>
      <c r="H148" s="22"/>
      <c r="I148" s="23"/>
      <c r="J148" s="22">
        <f>SUMIF('ADV - GA4'!A:A,A148,'ADV - GA4'!C:C)</f>
        <v>0</v>
      </c>
      <c r="K148" s="20" t="str">
        <f t="shared" si="28"/>
        <v/>
      </c>
      <c r="L148" s="24" t="str">
        <f t="shared" si="3"/>
        <v/>
      </c>
      <c r="M148" s="25">
        <f t="shared" si="29"/>
        <v>0</v>
      </c>
      <c r="N148" s="26">
        <f t="shared" si="30"/>
        <v>0</v>
      </c>
      <c r="O148" s="20" t="str">
        <f>iferror(Planejador!$I$105,"")</f>
        <v/>
      </c>
      <c r="P148" s="20" t="str">
        <f>Planejador!$I$97</f>
        <v/>
      </c>
      <c r="Q148" s="27">
        <f t="shared" si="31"/>
        <v>0</v>
      </c>
      <c r="R148" s="24" t="str">
        <f>Planejador!$I$99</f>
        <v/>
      </c>
      <c r="S148" s="16"/>
      <c r="T148" s="16"/>
      <c r="U148" s="16"/>
      <c r="V148" s="16"/>
      <c r="W148" s="16"/>
      <c r="X148" s="16"/>
      <c r="Y148" s="16"/>
      <c r="Z148" s="16"/>
    </row>
    <row r="149" ht="15.75" hidden="1" customHeight="1" outlineLevel="1">
      <c r="A149" s="17">
        <v>46165.0</v>
      </c>
      <c r="B149" s="18" t="str">
        <f t="shared" si="27"/>
        <v>sábado</v>
      </c>
      <c r="C149" s="19"/>
      <c r="D149" s="20">
        <f>SUMIF('ADV - GG'!A:A,A149,'ADV - GG'!C:C)+SUMIF('ADV - FB'!A:A,$A149,'ADV - FB'!E:E)</f>
        <v>0</v>
      </c>
      <c r="E149" s="21">
        <f>SUMIF('ADV - GG'!A:A,A149,'ADV - GG'!H:H)+SUMIF('ADV - FB'!A:A,$A149,'ADV - FB'!I:I)+SUMIF('ADV - FB'!A:A,$A149,'ADV - FB'!J:J)+SUMIF('ADV - FB'!A:A,$A149,'ADV - FB'!K:K)</f>
        <v>0</v>
      </c>
      <c r="F149" s="20" t="str">
        <f t="shared" si="2"/>
        <v/>
      </c>
      <c r="G149" s="22"/>
      <c r="H149" s="22"/>
      <c r="I149" s="23"/>
      <c r="J149" s="22">
        <f>SUMIF('ADV - GA4'!A:A,A149,'ADV - GA4'!C:C)</f>
        <v>0</v>
      </c>
      <c r="K149" s="20" t="str">
        <f t="shared" si="28"/>
        <v/>
      </c>
      <c r="L149" s="24" t="str">
        <f t="shared" si="3"/>
        <v/>
      </c>
      <c r="M149" s="25">
        <f t="shared" si="29"/>
        <v>0</v>
      </c>
      <c r="N149" s="26">
        <f t="shared" si="30"/>
        <v>0</v>
      </c>
      <c r="O149" s="20" t="str">
        <f>iferror(Planejador!$I$105,"")</f>
        <v/>
      </c>
      <c r="P149" s="20" t="str">
        <f>Planejador!$I$97</f>
        <v/>
      </c>
      <c r="Q149" s="27">
        <f t="shared" si="31"/>
        <v>0</v>
      </c>
      <c r="R149" s="24" t="str">
        <f>Planejador!$I$99</f>
        <v/>
      </c>
      <c r="S149" s="16"/>
      <c r="T149" s="16"/>
      <c r="U149" s="16"/>
      <c r="V149" s="16"/>
      <c r="W149" s="16"/>
      <c r="X149" s="16"/>
      <c r="Y149" s="16"/>
      <c r="Z149" s="16"/>
    </row>
    <row r="150" ht="15.75" hidden="1" customHeight="1" outlineLevel="1">
      <c r="A150" s="17">
        <v>46166.0</v>
      </c>
      <c r="B150" s="18" t="str">
        <f t="shared" si="27"/>
        <v>domingo</v>
      </c>
      <c r="C150" s="19"/>
      <c r="D150" s="20">
        <f>SUMIF('ADV - GG'!A:A,A150,'ADV - GG'!C:C)+SUMIF('ADV - FB'!A:A,$A150,'ADV - FB'!E:E)</f>
        <v>0</v>
      </c>
      <c r="E150" s="21">
        <f>SUMIF('ADV - GG'!A:A,A150,'ADV - GG'!H:H)+SUMIF('ADV - FB'!A:A,$A150,'ADV - FB'!I:I)+SUMIF('ADV - FB'!A:A,$A150,'ADV - FB'!J:J)+SUMIF('ADV - FB'!A:A,$A150,'ADV - FB'!K:K)</f>
        <v>0</v>
      </c>
      <c r="F150" s="20" t="str">
        <f t="shared" si="2"/>
        <v/>
      </c>
      <c r="G150" s="22"/>
      <c r="H150" s="22"/>
      <c r="I150" s="23"/>
      <c r="J150" s="22">
        <f>SUMIF('ADV - GA4'!A:A,A150,'ADV - GA4'!C:C)</f>
        <v>0</v>
      </c>
      <c r="K150" s="20" t="str">
        <f t="shared" si="28"/>
        <v/>
      </c>
      <c r="L150" s="24" t="str">
        <f t="shared" si="3"/>
        <v/>
      </c>
      <c r="M150" s="25">
        <f t="shared" si="29"/>
        <v>0</v>
      </c>
      <c r="N150" s="26">
        <f t="shared" si="30"/>
        <v>0</v>
      </c>
      <c r="O150" s="20" t="str">
        <f>iferror(Planejador!$I$105,"")</f>
        <v/>
      </c>
      <c r="P150" s="20" t="str">
        <f>Planejador!$I$97</f>
        <v/>
      </c>
      <c r="Q150" s="27">
        <f t="shared" si="31"/>
        <v>0</v>
      </c>
      <c r="R150" s="24" t="str">
        <f>Planejador!$I$99</f>
        <v/>
      </c>
      <c r="S150" s="16"/>
      <c r="T150" s="16"/>
      <c r="U150" s="16"/>
      <c r="V150" s="16"/>
      <c r="W150" s="16"/>
      <c r="X150" s="16"/>
      <c r="Y150" s="16"/>
      <c r="Z150" s="16"/>
    </row>
    <row r="151" ht="15.75" hidden="1" customHeight="1" outlineLevel="1">
      <c r="A151" s="17">
        <v>46167.0</v>
      </c>
      <c r="B151" s="18" t="str">
        <f t="shared" si="27"/>
        <v>segunda-feira</v>
      </c>
      <c r="C151" s="19"/>
      <c r="D151" s="20">
        <f>SUMIF('ADV - GG'!A:A,A151,'ADV - GG'!C:C)+SUMIF('ADV - FB'!A:A,$A151,'ADV - FB'!E:E)</f>
        <v>0</v>
      </c>
      <c r="E151" s="21">
        <f>SUMIF('ADV - GG'!A:A,A151,'ADV - GG'!H:H)+SUMIF('ADV - FB'!A:A,$A151,'ADV - FB'!I:I)+SUMIF('ADV - FB'!A:A,$A151,'ADV - FB'!J:J)+SUMIF('ADV - FB'!A:A,$A151,'ADV - FB'!K:K)</f>
        <v>0</v>
      </c>
      <c r="F151" s="20" t="str">
        <f t="shared" si="2"/>
        <v/>
      </c>
      <c r="G151" s="22"/>
      <c r="H151" s="22"/>
      <c r="I151" s="23"/>
      <c r="J151" s="22">
        <f>SUMIF('ADV - GA4'!A:A,A151,'ADV - GA4'!C:C)</f>
        <v>0</v>
      </c>
      <c r="K151" s="20" t="str">
        <f t="shared" si="28"/>
        <v/>
      </c>
      <c r="L151" s="24" t="str">
        <f t="shared" si="3"/>
        <v/>
      </c>
      <c r="M151" s="25">
        <f t="shared" si="29"/>
        <v>0</v>
      </c>
      <c r="N151" s="26">
        <f t="shared" si="30"/>
        <v>0</v>
      </c>
      <c r="O151" s="20" t="str">
        <f>iferror(Planejador!$I$105,"")</f>
        <v/>
      </c>
      <c r="P151" s="20" t="str">
        <f>Planejador!$I$97</f>
        <v/>
      </c>
      <c r="Q151" s="27">
        <f t="shared" si="31"/>
        <v>0</v>
      </c>
      <c r="R151" s="24" t="str">
        <f>Planejador!$I$99</f>
        <v/>
      </c>
      <c r="S151" s="16"/>
      <c r="T151" s="16"/>
      <c r="U151" s="16"/>
      <c r="V151" s="16"/>
      <c r="W151" s="16"/>
      <c r="X151" s="16"/>
      <c r="Y151" s="16"/>
      <c r="Z151" s="16"/>
    </row>
    <row r="152" ht="15.75" hidden="1" customHeight="1" outlineLevel="1">
      <c r="A152" s="17">
        <v>46168.0</v>
      </c>
      <c r="B152" s="18" t="str">
        <f t="shared" si="27"/>
        <v>terça-feira</v>
      </c>
      <c r="C152" s="19"/>
      <c r="D152" s="20">
        <f>SUMIF('ADV - GG'!A:A,A152,'ADV - GG'!C:C)+SUMIF('ADV - FB'!A:A,$A152,'ADV - FB'!E:E)</f>
        <v>0</v>
      </c>
      <c r="E152" s="21">
        <f>SUMIF('ADV - GG'!A:A,A152,'ADV - GG'!H:H)+SUMIF('ADV - FB'!A:A,$A152,'ADV - FB'!I:I)+SUMIF('ADV - FB'!A:A,$A152,'ADV - FB'!J:J)+SUMIF('ADV - FB'!A:A,$A152,'ADV - FB'!K:K)</f>
        <v>0</v>
      </c>
      <c r="F152" s="20" t="str">
        <f t="shared" si="2"/>
        <v/>
      </c>
      <c r="G152" s="22"/>
      <c r="H152" s="22"/>
      <c r="I152" s="23"/>
      <c r="J152" s="22">
        <f>SUMIF('ADV - GA4'!A:A,A152,'ADV - GA4'!C:C)</f>
        <v>0</v>
      </c>
      <c r="K152" s="20" t="str">
        <f t="shared" si="28"/>
        <v/>
      </c>
      <c r="L152" s="24" t="str">
        <f t="shared" si="3"/>
        <v/>
      </c>
      <c r="M152" s="25">
        <f t="shared" si="29"/>
        <v>0</v>
      </c>
      <c r="N152" s="26">
        <f t="shared" si="30"/>
        <v>0</v>
      </c>
      <c r="O152" s="20" t="str">
        <f>iferror(Planejador!$I$105,"")</f>
        <v/>
      </c>
      <c r="P152" s="20" t="str">
        <f>Planejador!$I$97</f>
        <v/>
      </c>
      <c r="Q152" s="27">
        <f t="shared" si="31"/>
        <v>0</v>
      </c>
      <c r="R152" s="24" t="str">
        <f>Planejador!$I$99</f>
        <v/>
      </c>
      <c r="S152" s="16"/>
      <c r="T152" s="16"/>
      <c r="U152" s="16"/>
      <c r="V152" s="16"/>
      <c r="W152" s="16"/>
      <c r="X152" s="16"/>
      <c r="Y152" s="16"/>
      <c r="Z152" s="16"/>
    </row>
    <row r="153" ht="15.75" hidden="1" customHeight="1" outlineLevel="1">
      <c r="A153" s="17">
        <v>46169.0</v>
      </c>
      <c r="B153" s="18" t="str">
        <f t="shared" si="27"/>
        <v>quarta-feira</v>
      </c>
      <c r="C153" s="19"/>
      <c r="D153" s="20">
        <f>SUMIF('ADV - GG'!A:A,A153,'ADV - GG'!C:C)+SUMIF('ADV - FB'!A:A,$A153,'ADV - FB'!E:E)</f>
        <v>0</v>
      </c>
      <c r="E153" s="21">
        <f>SUMIF('ADV - GG'!A:A,A153,'ADV - GG'!H:H)+SUMIF('ADV - FB'!A:A,$A153,'ADV - FB'!I:I)+SUMIF('ADV - FB'!A:A,$A153,'ADV - FB'!J:J)+SUMIF('ADV - FB'!A:A,$A153,'ADV - FB'!K:K)</f>
        <v>0</v>
      </c>
      <c r="F153" s="20" t="str">
        <f t="shared" si="2"/>
        <v/>
      </c>
      <c r="G153" s="22"/>
      <c r="H153" s="22"/>
      <c r="I153" s="23"/>
      <c r="J153" s="22">
        <f>SUMIF('ADV - GA4'!A:A,A153,'ADV - GA4'!C:C)</f>
        <v>0</v>
      </c>
      <c r="K153" s="20" t="str">
        <f t="shared" si="28"/>
        <v/>
      </c>
      <c r="L153" s="24" t="str">
        <f t="shared" si="3"/>
        <v/>
      </c>
      <c r="M153" s="25">
        <f t="shared" si="29"/>
        <v>0</v>
      </c>
      <c r="N153" s="26">
        <f t="shared" si="30"/>
        <v>0</v>
      </c>
      <c r="O153" s="20" t="str">
        <f>iferror(Planejador!$I$105,"")</f>
        <v/>
      </c>
      <c r="P153" s="20" t="str">
        <f>Planejador!$I$97</f>
        <v/>
      </c>
      <c r="Q153" s="27">
        <f t="shared" si="31"/>
        <v>0</v>
      </c>
      <c r="R153" s="24" t="str">
        <f>Planejador!$I$99</f>
        <v/>
      </c>
      <c r="S153" s="16"/>
      <c r="T153" s="16"/>
      <c r="U153" s="16"/>
      <c r="V153" s="16"/>
      <c r="W153" s="16"/>
      <c r="X153" s="16"/>
      <c r="Y153" s="16"/>
      <c r="Z153" s="16"/>
    </row>
    <row r="154" ht="15.75" hidden="1" customHeight="1" outlineLevel="1">
      <c r="A154" s="17">
        <v>46170.0</v>
      </c>
      <c r="B154" s="18" t="str">
        <f t="shared" si="27"/>
        <v>quinta-feira</v>
      </c>
      <c r="C154" s="19"/>
      <c r="D154" s="20">
        <f>SUMIF('ADV - GG'!A:A,A154,'ADV - GG'!C:C)+SUMIF('ADV - FB'!A:A,$A154,'ADV - FB'!E:E)</f>
        <v>0</v>
      </c>
      <c r="E154" s="21">
        <f>SUMIF('ADV - GG'!A:A,A154,'ADV - GG'!H:H)+SUMIF('ADV - FB'!A:A,$A154,'ADV - FB'!I:I)+SUMIF('ADV - FB'!A:A,$A154,'ADV - FB'!J:J)+SUMIF('ADV - FB'!A:A,$A154,'ADV - FB'!K:K)</f>
        <v>0</v>
      </c>
      <c r="F154" s="20" t="str">
        <f t="shared" si="2"/>
        <v/>
      </c>
      <c r="G154" s="22"/>
      <c r="H154" s="22"/>
      <c r="I154" s="23"/>
      <c r="J154" s="22">
        <f>SUMIF('ADV - GA4'!A:A,A154,'ADV - GA4'!C:C)</f>
        <v>0</v>
      </c>
      <c r="K154" s="20" t="str">
        <f t="shared" si="28"/>
        <v/>
      </c>
      <c r="L154" s="24" t="str">
        <f t="shared" si="3"/>
        <v/>
      </c>
      <c r="M154" s="25">
        <f t="shared" si="29"/>
        <v>0</v>
      </c>
      <c r="N154" s="26">
        <f t="shared" si="30"/>
        <v>0</v>
      </c>
      <c r="O154" s="20" t="str">
        <f>iferror(Planejador!$I$105,"")</f>
        <v/>
      </c>
      <c r="P154" s="20" t="str">
        <f>Planejador!$I$97</f>
        <v/>
      </c>
      <c r="Q154" s="27">
        <f t="shared" si="31"/>
        <v>0</v>
      </c>
      <c r="R154" s="24" t="str">
        <f>Planejador!$I$99</f>
        <v/>
      </c>
      <c r="S154" s="16"/>
      <c r="T154" s="16"/>
      <c r="U154" s="16"/>
      <c r="V154" s="16"/>
      <c r="W154" s="16"/>
      <c r="X154" s="16"/>
      <c r="Y154" s="16"/>
      <c r="Z154" s="16"/>
    </row>
    <row r="155" ht="15.75" hidden="1" customHeight="1" outlineLevel="1">
      <c r="A155" s="17">
        <v>46171.0</v>
      </c>
      <c r="B155" s="18" t="str">
        <f t="shared" si="27"/>
        <v>sexta-feira</v>
      </c>
      <c r="C155" s="19"/>
      <c r="D155" s="20">
        <f>SUMIF('ADV - GG'!A:A,A155,'ADV - GG'!C:C)+SUMIF('ADV - FB'!A:A,$A155,'ADV - FB'!E:E)</f>
        <v>0</v>
      </c>
      <c r="E155" s="21">
        <f>SUMIF('ADV - GG'!A:A,A155,'ADV - GG'!H:H)+SUMIF('ADV - FB'!A:A,$A155,'ADV - FB'!I:I)+SUMIF('ADV - FB'!A:A,$A155,'ADV - FB'!J:J)+SUMIF('ADV - FB'!A:A,$A155,'ADV - FB'!K:K)</f>
        <v>0</v>
      </c>
      <c r="F155" s="20" t="str">
        <f t="shared" si="2"/>
        <v/>
      </c>
      <c r="G155" s="22"/>
      <c r="H155" s="22"/>
      <c r="I155" s="23"/>
      <c r="J155" s="22">
        <f>SUMIF('ADV - GA4'!A:A,A155,'ADV - GA4'!C:C)</f>
        <v>0</v>
      </c>
      <c r="K155" s="20" t="str">
        <f t="shared" si="28"/>
        <v/>
      </c>
      <c r="L155" s="24" t="str">
        <f t="shared" si="3"/>
        <v/>
      </c>
      <c r="M155" s="25">
        <f t="shared" si="29"/>
        <v>0</v>
      </c>
      <c r="N155" s="26">
        <f t="shared" si="30"/>
        <v>0</v>
      </c>
      <c r="O155" s="20" t="str">
        <f>iferror(Planejador!$I$105,"")</f>
        <v/>
      </c>
      <c r="P155" s="20" t="str">
        <f>Planejador!$I$97</f>
        <v/>
      </c>
      <c r="Q155" s="27">
        <f t="shared" si="31"/>
        <v>0</v>
      </c>
      <c r="R155" s="24" t="str">
        <f>Planejador!$I$99</f>
        <v/>
      </c>
      <c r="S155" s="16"/>
      <c r="T155" s="16"/>
      <c r="U155" s="16"/>
      <c r="V155" s="16"/>
      <c r="W155" s="16"/>
      <c r="X155" s="16"/>
      <c r="Y155" s="16"/>
      <c r="Z155" s="16"/>
    </row>
    <row r="156" ht="15.75" hidden="1" customHeight="1" outlineLevel="1">
      <c r="A156" s="17">
        <v>46172.0</v>
      </c>
      <c r="B156" s="18" t="str">
        <f t="shared" si="27"/>
        <v>sábado</v>
      </c>
      <c r="C156" s="19"/>
      <c r="D156" s="20">
        <f>SUMIF('ADV - GG'!A:A,A156,'ADV - GG'!C:C)+SUMIF('ADV - FB'!A:A,$A156,'ADV - FB'!E:E)</f>
        <v>0</v>
      </c>
      <c r="E156" s="21">
        <f>SUMIF('ADV - GG'!A:A,A156,'ADV - GG'!H:H)+SUMIF('ADV - FB'!A:A,$A156,'ADV - FB'!I:I)+SUMIF('ADV - FB'!A:A,$A156,'ADV - FB'!J:J)+SUMIF('ADV - FB'!A:A,$A156,'ADV - FB'!K:K)</f>
        <v>0</v>
      </c>
      <c r="F156" s="20" t="str">
        <f t="shared" si="2"/>
        <v/>
      </c>
      <c r="G156" s="22"/>
      <c r="H156" s="22"/>
      <c r="I156" s="23"/>
      <c r="J156" s="22">
        <f>SUMIF('ADV - GA4'!A:A,A156,'ADV - GA4'!C:C)</f>
        <v>0</v>
      </c>
      <c r="K156" s="20" t="str">
        <f t="shared" si="28"/>
        <v/>
      </c>
      <c r="L156" s="24" t="str">
        <f t="shared" si="3"/>
        <v/>
      </c>
      <c r="M156" s="25">
        <f t="shared" si="29"/>
        <v>0</v>
      </c>
      <c r="N156" s="26">
        <f t="shared" si="30"/>
        <v>0</v>
      </c>
      <c r="O156" s="20" t="str">
        <f>iferror(Planejador!$I$105,"")</f>
        <v/>
      </c>
      <c r="P156" s="20" t="str">
        <f>Planejador!$I$97</f>
        <v/>
      </c>
      <c r="Q156" s="27">
        <f t="shared" si="31"/>
        <v>0</v>
      </c>
      <c r="R156" s="24" t="str">
        <f>Planejador!$I$99</f>
        <v/>
      </c>
      <c r="S156" s="16"/>
      <c r="T156" s="16"/>
      <c r="U156" s="16"/>
      <c r="V156" s="16"/>
      <c r="W156" s="16"/>
      <c r="X156" s="16"/>
      <c r="Y156" s="16"/>
      <c r="Z156" s="16"/>
    </row>
    <row r="157" ht="15.75" hidden="1" customHeight="1" outlineLevel="1">
      <c r="A157" s="17">
        <v>46173.0</v>
      </c>
      <c r="B157" s="18" t="str">
        <f t="shared" si="27"/>
        <v>domingo</v>
      </c>
      <c r="C157" s="19"/>
      <c r="D157" s="20">
        <f>SUMIF('ADV - GG'!A:A,A157,'ADV - GG'!C:C)+SUMIF('ADV - FB'!A:A,$A157,'ADV - FB'!E:E)</f>
        <v>0</v>
      </c>
      <c r="E157" s="21">
        <f>SUMIF('ADV - GG'!A:A,A157,'ADV - GG'!H:H)+SUMIF('ADV - FB'!A:A,$A157,'ADV - FB'!I:I)+SUMIF('ADV - FB'!A:A,$A157,'ADV - FB'!J:J)+SUMIF('ADV - FB'!A:A,$A157,'ADV - FB'!K:K)</f>
        <v>0</v>
      </c>
      <c r="F157" s="20" t="str">
        <f t="shared" si="2"/>
        <v/>
      </c>
      <c r="G157" s="22"/>
      <c r="H157" s="22"/>
      <c r="I157" s="23"/>
      <c r="J157" s="22">
        <f>SUMIF('ADV - GA4'!A:A,A157,'ADV - GA4'!C:C)</f>
        <v>0</v>
      </c>
      <c r="K157" s="20" t="str">
        <f t="shared" si="28"/>
        <v/>
      </c>
      <c r="L157" s="24" t="str">
        <f t="shared" si="3"/>
        <v/>
      </c>
      <c r="M157" s="25">
        <f t="shared" si="29"/>
        <v>0</v>
      </c>
      <c r="N157" s="26">
        <f t="shared" si="30"/>
        <v>0</v>
      </c>
      <c r="O157" s="20" t="str">
        <f>iferror(Planejador!$I$105,"")</f>
        <v/>
      </c>
      <c r="P157" s="20" t="str">
        <f>Planejador!$I$97</f>
        <v/>
      </c>
      <c r="Q157" s="27">
        <f t="shared" si="31"/>
        <v>0</v>
      </c>
      <c r="R157" s="24" t="str">
        <f>Planejador!$I$99</f>
        <v/>
      </c>
      <c r="S157" s="16"/>
      <c r="T157" s="16"/>
      <c r="U157" s="16"/>
      <c r="V157" s="16"/>
      <c r="W157" s="16"/>
      <c r="X157" s="16"/>
      <c r="Y157" s="16"/>
      <c r="Z157" s="16"/>
    </row>
    <row r="158" ht="22.5" customHeight="1" collapsed="1">
      <c r="A158" s="28" t="s">
        <v>30</v>
      </c>
      <c r="B158" s="29">
        <v>30.0</v>
      </c>
      <c r="C158" s="30"/>
      <c r="D158" s="10">
        <f>IFERROR(SUM(D159:D188),"")</f>
        <v>0</v>
      </c>
      <c r="E158" s="11">
        <f>iferror(SUM(E159:E188),"")</f>
        <v>0</v>
      </c>
      <c r="F158" s="14" t="str">
        <f t="shared" si="2"/>
        <v/>
      </c>
      <c r="G158" s="13">
        <f t="shared" ref="G158:I158" si="32">iferror(SUM(G159:G188),"")</f>
        <v>0</v>
      </c>
      <c r="H158" s="13">
        <f t="shared" si="32"/>
        <v>0</v>
      </c>
      <c r="I158" s="10">
        <f t="shared" si="32"/>
        <v>0</v>
      </c>
      <c r="J158" s="13">
        <f>IFERROR(SUM(J159:J188),"")</f>
        <v>0</v>
      </c>
      <c r="K158" s="14" t="str">
        <f>iferror(D158/J158,"")</f>
        <v/>
      </c>
      <c r="L158" s="15" t="str">
        <f t="shared" si="3"/>
        <v/>
      </c>
      <c r="M158" s="10" t="str">
        <f>Planejador!$I$119</f>
        <v/>
      </c>
      <c r="N158" s="13" t="str">
        <f>iferror(Planejador!$I$126,"")</f>
        <v/>
      </c>
      <c r="O158" s="14" t="str">
        <f>iferror(Planejador!$I$128,"")</f>
        <v/>
      </c>
      <c r="P158" s="14" t="str">
        <f>iferror(Planejador!$I$120,"")</f>
        <v/>
      </c>
      <c r="Q158" s="13" t="str">
        <f>iferror(Planejador!$I$125,"")</f>
        <v/>
      </c>
      <c r="R158" s="15" t="str">
        <f>Iferror(Planejador!$I$122,"")</f>
        <v/>
      </c>
      <c r="S158" s="31"/>
      <c r="T158" s="31"/>
      <c r="U158" s="31"/>
      <c r="V158" s="31"/>
      <c r="W158" s="31"/>
      <c r="X158" s="31"/>
      <c r="Y158" s="31"/>
      <c r="Z158" s="31"/>
    </row>
    <row r="159" ht="15.75" hidden="1" customHeight="1" outlineLevel="1">
      <c r="A159" s="17">
        <v>46174.0</v>
      </c>
      <c r="B159" s="18" t="str">
        <f t="shared" ref="B159:B188" si="33">TEXT(A159,"dddd")</f>
        <v>segunda-feira</v>
      </c>
      <c r="C159" s="19"/>
      <c r="D159" s="20">
        <f>SUMIF('ADV - GG'!A:A,A159,'ADV - GG'!C:C)+SUMIF('ADV - FB'!A:A,$A159,'ADV - FB'!E:E)</f>
        <v>0</v>
      </c>
      <c r="E159" s="21">
        <f>SUMIF('ADV - GG'!A:A,A159,'ADV - GG'!H:H)+SUMIF('ADV - FB'!A:A,$A159,'ADV - FB'!I:I)+SUMIF('ADV - FB'!A:A,$A159,'ADV - FB'!J:J)+SUMIF('ADV - FB'!A:A,$A159,'ADV - FB'!K:K)</f>
        <v>0</v>
      </c>
      <c r="F159" s="20" t="str">
        <f t="shared" si="2"/>
        <v/>
      </c>
      <c r="G159" s="22"/>
      <c r="H159" s="22"/>
      <c r="I159" s="23"/>
      <c r="J159" s="22">
        <f>SUMIF('ADV - GA4'!A:A,A159,'ADV - GA4'!C:C)</f>
        <v>0</v>
      </c>
      <c r="K159" s="20" t="str">
        <f t="shared" ref="K159:K188" si="34">IFERROR(D159/J159,"")</f>
        <v/>
      </c>
      <c r="L159" s="24" t="str">
        <f t="shared" si="3"/>
        <v/>
      </c>
      <c r="M159" s="25">
        <f t="shared" ref="M159:M188" si="35">$M$158/$B$158</f>
        <v>0</v>
      </c>
      <c r="N159" s="26">
        <f t="shared" ref="N159:N188" si="36">iferror($N$158/$B$158,"")</f>
        <v>0</v>
      </c>
      <c r="O159" s="20" t="str">
        <f>iferror(Planejador!$I$128,"")</f>
        <v/>
      </c>
      <c r="P159" s="20" t="str">
        <f>Planejador!$I$120</f>
        <v/>
      </c>
      <c r="Q159" s="27">
        <f t="shared" ref="Q159:Q188" si="37">$Q$158/$B$158</f>
        <v>0</v>
      </c>
      <c r="R159" s="24" t="str">
        <f>Planejador!$I$122</f>
        <v/>
      </c>
      <c r="S159" s="16"/>
      <c r="T159" s="16"/>
      <c r="U159" s="16"/>
      <c r="V159" s="16"/>
      <c r="W159" s="16"/>
      <c r="X159" s="16"/>
      <c r="Y159" s="16"/>
      <c r="Z159" s="16"/>
    </row>
    <row r="160" ht="15.75" hidden="1" customHeight="1" outlineLevel="1">
      <c r="A160" s="17">
        <v>46175.0</v>
      </c>
      <c r="B160" s="18" t="str">
        <f t="shared" si="33"/>
        <v>terça-feira</v>
      </c>
      <c r="C160" s="19"/>
      <c r="D160" s="20">
        <f>SUMIF('ADV - GG'!A:A,A160,'ADV - GG'!C:C)+SUMIF('ADV - FB'!A:A,$A160,'ADV - FB'!E:E)</f>
        <v>0</v>
      </c>
      <c r="E160" s="21">
        <f>SUMIF('ADV - GG'!A:A,A160,'ADV - GG'!H:H)+SUMIF('ADV - FB'!A:A,$A160,'ADV - FB'!I:I)+SUMIF('ADV - FB'!A:A,$A160,'ADV - FB'!J:J)+SUMIF('ADV - FB'!A:A,$A160,'ADV - FB'!K:K)</f>
        <v>0</v>
      </c>
      <c r="F160" s="20" t="str">
        <f t="shared" si="2"/>
        <v/>
      </c>
      <c r="G160" s="22"/>
      <c r="H160" s="22"/>
      <c r="I160" s="23"/>
      <c r="J160" s="22">
        <f>SUMIF('ADV - GA4'!A:A,A160,'ADV - GA4'!C:C)</f>
        <v>0</v>
      </c>
      <c r="K160" s="20" t="str">
        <f t="shared" si="34"/>
        <v/>
      </c>
      <c r="L160" s="24" t="str">
        <f t="shared" si="3"/>
        <v/>
      </c>
      <c r="M160" s="25">
        <f t="shared" si="35"/>
        <v>0</v>
      </c>
      <c r="N160" s="26">
        <f t="shared" si="36"/>
        <v>0</v>
      </c>
      <c r="O160" s="20" t="str">
        <f>iferror(Planejador!$I$128,"")</f>
        <v/>
      </c>
      <c r="P160" s="20" t="str">
        <f>Planejador!$I$120</f>
        <v/>
      </c>
      <c r="Q160" s="27">
        <f t="shared" si="37"/>
        <v>0</v>
      </c>
      <c r="R160" s="24" t="str">
        <f>Planejador!$I$122</f>
        <v/>
      </c>
      <c r="S160" s="16"/>
      <c r="T160" s="16"/>
      <c r="U160" s="16"/>
      <c r="V160" s="16"/>
      <c r="W160" s="16"/>
      <c r="X160" s="16"/>
      <c r="Y160" s="16"/>
      <c r="Z160" s="16"/>
    </row>
    <row r="161" ht="15.75" hidden="1" customHeight="1" outlineLevel="1">
      <c r="A161" s="17">
        <v>46176.0</v>
      </c>
      <c r="B161" s="18" t="str">
        <f t="shared" si="33"/>
        <v>quarta-feira</v>
      </c>
      <c r="C161" s="19"/>
      <c r="D161" s="20">
        <f>SUMIF('ADV - GG'!A:A,A161,'ADV - GG'!C:C)+SUMIF('ADV - FB'!A:A,$A161,'ADV - FB'!E:E)</f>
        <v>0</v>
      </c>
      <c r="E161" s="21">
        <f>SUMIF('ADV - GG'!A:A,A161,'ADV - GG'!H:H)+SUMIF('ADV - FB'!A:A,$A161,'ADV - FB'!I:I)+SUMIF('ADV - FB'!A:A,$A161,'ADV - FB'!J:J)+SUMIF('ADV - FB'!A:A,$A161,'ADV - FB'!K:K)</f>
        <v>0</v>
      </c>
      <c r="F161" s="20" t="str">
        <f t="shared" si="2"/>
        <v/>
      </c>
      <c r="G161" s="22"/>
      <c r="H161" s="22"/>
      <c r="I161" s="23"/>
      <c r="J161" s="22">
        <f>SUMIF('ADV - GA4'!A:A,A161,'ADV - GA4'!C:C)</f>
        <v>0</v>
      </c>
      <c r="K161" s="20" t="str">
        <f t="shared" si="34"/>
        <v/>
      </c>
      <c r="L161" s="24" t="str">
        <f t="shared" si="3"/>
        <v/>
      </c>
      <c r="M161" s="25">
        <f t="shared" si="35"/>
        <v>0</v>
      </c>
      <c r="N161" s="26">
        <f t="shared" si="36"/>
        <v>0</v>
      </c>
      <c r="O161" s="20" t="str">
        <f>iferror(Planejador!$I$128,"")</f>
        <v/>
      </c>
      <c r="P161" s="20" t="str">
        <f>Planejador!$I$120</f>
        <v/>
      </c>
      <c r="Q161" s="27">
        <f t="shared" si="37"/>
        <v>0</v>
      </c>
      <c r="R161" s="24" t="str">
        <f>Planejador!$I$122</f>
        <v/>
      </c>
      <c r="S161" s="16"/>
      <c r="T161" s="16"/>
      <c r="U161" s="16"/>
      <c r="V161" s="16"/>
      <c r="W161" s="16"/>
      <c r="X161" s="16"/>
      <c r="Y161" s="16"/>
      <c r="Z161" s="16"/>
    </row>
    <row r="162" ht="15.75" hidden="1" customHeight="1" outlineLevel="1">
      <c r="A162" s="17">
        <v>46177.0</v>
      </c>
      <c r="B162" s="18" t="str">
        <f t="shared" si="33"/>
        <v>quinta-feira</v>
      </c>
      <c r="C162" s="19"/>
      <c r="D162" s="20">
        <f>SUMIF('ADV - GG'!A:A,A162,'ADV - GG'!C:C)+SUMIF('ADV - FB'!A:A,$A162,'ADV - FB'!E:E)</f>
        <v>0</v>
      </c>
      <c r="E162" s="21">
        <f>SUMIF('ADV - GG'!A:A,A162,'ADV - GG'!H:H)+SUMIF('ADV - FB'!A:A,$A162,'ADV - FB'!I:I)+SUMIF('ADV - FB'!A:A,$A162,'ADV - FB'!J:J)+SUMIF('ADV - FB'!A:A,$A162,'ADV - FB'!K:K)</f>
        <v>0</v>
      </c>
      <c r="F162" s="20" t="str">
        <f t="shared" si="2"/>
        <v/>
      </c>
      <c r="G162" s="22"/>
      <c r="H162" s="22"/>
      <c r="I162" s="23"/>
      <c r="J162" s="22">
        <f>SUMIF('ADV - GA4'!A:A,A162,'ADV - GA4'!C:C)</f>
        <v>0</v>
      </c>
      <c r="K162" s="20" t="str">
        <f t="shared" si="34"/>
        <v/>
      </c>
      <c r="L162" s="24" t="str">
        <f t="shared" si="3"/>
        <v/>
      </c>
      <c r="M162" s="25">
        <f t="shared" si="35"/>
        <v>0</v>
      </c>
      <c r="N162" s="26">
        <f t="shared" si="36"/>
        <v>0</v>
      </c>
      <c r="O162" s="20" t="str">
        <f>iferror(Planejador!$I$128,"")</f>
        <v/>
      </c>
      <c r="P162" s="20" t="str">
        <f>Planejador!$I$120</f>
        <v/>
      </c>
      <c r="Q162" s="27">
        <f t="shared" si="37"/>
        <v>0</v>
      </c>
      <c r="R162" s="24" t="str">
        <f>Planejador!$I$122</f>
        <v/>
      </c>
      <c r="S162" s="16"/>
      <c r="T162" s="16"/>
      <c r="U162" s="16"/>
      <c r="V162" s="16"/>
      <c r="W162" s="16"/>
      <c r="X162" s="16"/>
      <c r="Y162" s="16"/>
      <c r="Z162" s="16"/>
    </row>
    <row r="163" ht="15.75" hidden="1" customHeight="1" outlineLevel="1">
      <c r="A163" s="17">
        <v>46178.0</v>
      </c>
      <c r="B163" s="18" t="str">
        <f t="shared" si="33"/>
        <v>sexta-feira</v>
      </c>
      <c r="C163" s="19"/>
      <c r="D163" s="20">
        <f>SUMIF('ADV - GG'!A:A,A163,'ADV - GG'!C:C)+SUMIF('ADV - FB'!A:A,$A163,'ADV - FB'!E:E)</f>
        <v>0</v>
      </c>
      <c r="E163" s="21">
        <f>SUMIF('ADV - GG'!A:A,A163,'ADV - GG'!H:H)+SUMIF('ADV - FB'!A:A,$A163,'ADV - FB'!I:I)+SUMIF('ADV - FB'!A:A,$A163,'ADV - FB'!J:J)+SUMIF('ADV - FB'!A:A,$A163,'ADV - FB'!K:K)</f>
        <v>0</v>
      </c>
      <c r="F163" s="20" t="str">
        <f t="shared" si="2"/>
        <v/>
      </c>
      <c r="G163" s="22"/>
      <c r="H163" s="22"/>
      <c r="I163" s="23"/>
      <c r="J163" s="22">
        <f>SUMIF('ADV - GA4'!A:A,A163,'ADV - GA4'!C:C)</f>
        <v>0</v>
      </c>
      <c r="K163" s="20" t="str">
        <f t="shared" si="34"/>
        <v/>
      </c>
      <c r="L163" s="24" t="str">
        <f t="shared" si="3"/>
        <v/>
      </c>
      <c r="M163" s="25">
        <f t="shared" si="35"/>
        <v>0</v>
      </c>
      <c r="N163" s="26">
        <f t="shared" si="36"/>
        <v>0</v>
      </c>
      <c r="O163" s="20" t="str">
        <f>iferror(Planejador!$I$128,"")</f>
        <v/>
      </c>
      <c r="P163" s="20" t="str">
        <f>Planejador!$I$120</f>
        <v/>
      </c>
      <c r="Q163" s="27">
        <f t="shared" si="37"/>
        <v>0</v>
      </c>
      <c r="R163" s="24" t="str">
        <f>Planejador!$I$122</f>
        <v/>
      </c>
      <c r="S163" s="16"/>
      <c r="T163" s="16"/>
      <c r="U163" s="16"/>
      <c r="V163" s="16"/>
      <c r="W163" s="16"/>
      <c r="X163" s="16"/>
      <c r="Y163" s="16"/>
      <c r="Z163" s="16"/>
    </row>
    <row r="164" ht="15.75" hidden="1" customHeight="1" outlineLevel="1">
      <c r="A164" s="17">
        <v>46179.0</v>
      </c>
      <c r="B164" s="18" t="str">
        <f t="shared" si="33"/>
        <v>sábado</v>
      </c>
      <c r="C164" s="19"/>
      <c r="D164" s="20">
        <f>SUMIF('ADV - GG'!A:A,A164,'ADV - GG'!C:C)+SUMIF('ADV - FB'!A:A,$A164,'ADV - FB'!E:E)</f>
        <v>0</v>
      </c>
      <c r="E164" s="21">
        <f>SUMIF('ADV - GG'!A:A,A164,'ADV - GG'!H:H)+SUMIF('ADV - FB'!A:A,$A164,'ADV - FB'!I:I)+SUMIF('ADV - FB'!A:A,$A164,'ADV - FB'!J:J)+SUMIF('ADV - FB'!A:A,$A164,'ADV - FB'!K:K)</f>
        <v>0</v>
      </c>
      <c r="F164" s="20" t="str">
        <f t="shared" si="2"/>
        <v/>
      </c>
      <c r="G164" s="22"/>
      <c r="H164" s="22"/>
      <c r="I164" s="23"/>
      <c r="J164" s="22">
        <f>SUMIF('ADV - GA4'!A:A,A164,'ADV - GA4'!C:C)</f>
        <v>0</v>
      </c>
      <c r="K164" s="20" t="str">
        <f t="shared" si="34"/>
        <v/>
      </c>
      <c r="L164" s="24" t="str">
        <f t="shared" si="3"/>
        <v/>
      </c>
      <c r="M164" s="25">
        <f t="shared" si="35"/>
        <v>0</v>
      </c>
      <c r="N164" s="26">
        <f t="shared" si="36"/>
        <v>0</v>
      </c>
      <c r="O164" s="20" t="str">
        <f>iferror(Planejador!$I$128,"")</f>
        <v/>
      </c>
      <c r="P164" s="20" t="str">
        <f>Planejador!$I$120</f>
        <v/>
      </c>
      <c r="Q164" s="27">
        <f t="shared" si="37"/>
        <v>0</v>
      </c>
      <c r="R164" s="24" t="str">
        <f>Planejador!$I$122</f>
        <v/>
      </c>
      <c r="S164" s="16"/>
      <c r="T164" s="16"/>
      <c r="U164" s="16"/>
      <c r="V164" s="16"/>
      <c r="W164" s="16"/>
      <c r="X164" s="16"/>
      <c r="Y164" s="16"/>
      <c r="Z164" s="16"/>
    </row>
    <row r="165" ht="15.75" hidden="1" customHeight="1" outlineLevel="1">
      <c r="A165" s="17">
        <v>46180.0</v>
      </c>
      <c r="B165" s="18" t="str">
        <f t="shared" si="33"/>
        <v>domingo</v>
      </c>
      <c r="C165" s="19"/>
      <c r="D165" s="20">
        <f>SUMIF('ADV - GG'!A:A,A165,'ADV - GG'!C:C)+SUMIF('ADV - FB'!A:A,$A165,'ADV - FB'!E:E)</f>
        <v>0</v>
      </c>
      <c r="E165" s="21">
        <f>SUMIF('ADV - GG'!A:A,A165,'ADV - GG'!H:H)+SUMIF('ADV - FB'!A:A,$A165,'ADV - FB'!I:I)+SUMIF('ADV - FB'!A:A,$A165,'ADV - FB'!J:J)+SUMIF('ADV - FB'!A:A,$A165,'ADV - FB'!K:K)</f>
        <v>0</v>
      </c>
      <c r="F165" s="20" t="str">
        <f t="shared" si="2"/>
        <v/>
      </c>
      <c r="G165" s="22"/>
      <c r="H165" s="22"/>
      <c r="I165" s="23"/>
      <c r="J165" s="22">
        <f>SUMIF('ADV - GA4'!A:A,A165,'ADV - GA4'!C:C)</f>
        <v>0</v>
      </c>
      <c r="K165" s="20" t="str">
        <f t="shared" si="34"/>
        <v/>
      </c>
      <c r="L165" s="24" t="str">
        <f t="shared" si="3"/>
        <v/>
      </c>
      <c r="M165" s="25">
        <f t="shared" si="35"/>
        <v>0</v>
      </c>
      <c r="N165" s="26">
        <f t="shared" si="36"/>
        <v>0</v>
      </c>
      <c r="O165" s="20" t="str">
        <f>iferror(Planejador!$I$128,"")</f>
        <v/>
      </c>
      <c r="P165" s="20" t="str">
        <f>Planejador!$I$120</f>
        <v/>
      </c>
      <c r="Q165" s="27">
        <f t="shared" si="37"/>
        <v>0</v>
      </c>
      <c r="R165" s="24" t="str">
        <f>Planejador!$I$122</f>
        <v/>
      </c>
      <c r="S165" s="16"/>
      <c r="T165" s="16"/>
      <c r="U165" s="16"/>
      <c r="V165" s="16"/>
      <c r="W165" s="16"/>
      <c r="X165" s="16"/>
      <c r="Y165" s="16"/>
      <c r="Z165" s="16"/>
    </row>
    <row r="166" ht="15.75" hidden="1" customHeight="1" outlineLevel="1">
      <c r="A166" s="17">
        <v>46181.0</v>
      </c>
      <c r="B166" s="18" t="str">
        <f t="shared" si="33"/>
        <v>segunda-feira</v>
      </c>
      <c r="C166" s="19"/>
      <c r="D166" s="20">
        <f>SUMIF('ADV - GG'!A:A,A166,'ADV - GG'!C:C)+SUMIF('ADV - FB'!A:A,$A166,'ADV - FB'!E:E)</f>
        <v>0</v>
      </c>
      <c r="E166" s="21">
        <f>SUMIF('ADV - GG'!A:A,A166,'ADV - GG'!H:H)+SUMIF('ADV - FB'!A:A,$A166,'ADV - FB'!I:I)+SUMIF('ADV - FB'!A:A,$A166,'ADV - FB'!J:J)+SUMIF('ADV - FB'!A:A,$A166,'ADV - FB'!K:K)</f>
        <v>0</v>
      </c>
      <c r="F166" s="20" t="str">
        <f t="shared" si="2"/>
        <v/>
      </c>
      <c r="G166" s="22"/>
      <c r="H166" s="22"/>
      <c r="I166" s="23"/>
      <c r="J166" s="22">
        <f>SUMIF('ADV - GA4'!A:A,A166,'ADV - GA4'!C:C)</f>
        <v>0</v>
      </c>
      <c r="K166" s="20" t="str">
        <f t="shared" si="34"/>
        <v/>
      </c>
      <c r="L166" s="24" t="str">
        <f t="shared" si="3"/>
        <v/>
      </c>
      <c r="M166" s="25">
        <f t="shared" si="35"/>
        <v>0</v>
      </c>
      <c r="N166" s="26">
        <f t="shared" si="36"/>
        <v>0</v>
      </c>
      <c r="O166" s="20" t="str">
        <f>iferror(Planejador!$I$128,"")</f>
        <v/>
      </c>
      <c r="P166" s="20" t="str">
        <f>Planejador!$I$120</f>
        <v/>
      </c>
      <c r="Q166" s="27">
        <f t="shared" si="37"/>
        <v>0</v>
      </c>
      <c r="R166" s="24" t="str">
        <f>Planejador!$I$122</f>
        <v/>
      </c>
      <c r="S166" s="16"/>
      <c r="T166" s="16"/>
      <c r="U166" s="16"/>
      <c r="V166" s="16"/>
      <c r="W166" s="16"/>
      <c r="X166" s="16"/>
      <c r="Y166" s="16"/>
      <c r="Z166" s="16"/>
    </row>
    <row r="167" ht="15.75" hidden="1" customHeight="1" outlineLevel="1">
      <c r="A167" s="17">
        <v>46182.0</v>
      </c>
      <c r="B167" s="18" t="str">
        <f t="shared" si="33"/>
        <v>terça-feira</v>
      </c>
      <c r="C167" s="19"/>
      <c r="D167" s="20">
        <f>SUMIF('ADV - GG'!A:A,A167,'ADV - GG'!C:C)+SUMIF('ADV - FB'!A:A,$A167,'ADV - FB'!E:E)</f>
        <v>0</v>
      </c>
      <c r="E167" s="21">
        <f>SUMIF('ADV - GG'!A:A,A167,'ADV - GG'!H:H)+SUMIF('ADV - FB'!A:A,$A167,'ADV - FB'!I:I)+SUMIF('ADV - FB'!A:A,$A167,'ADV - FB'!J:J)+SUMIF('ADV - FB'!A:A,$A167,'ADV - FB'!K:K)</f>
        <v>0</v>
      </c>
      <c r="F167" s="20" t="str">
        <f t="shared" si="2"/>
        <v/>
      </c>
      <c r="G167" s="22"/>
      <c r="H167" s="22"/>
      <c r="I167" s="23"/>
      <c r="J167" s="22">
        <f>SUMIF('ADV - GA4'!A:A,A167,'ADV - GA4'!C:C)</f>
        <v>0</v>
      </c>
      <c r="K167" s="20" t="str">
        <f t="shared" si="34"/>
        <v/>
      </c>
      <c r="L167" s="24" t="str">
        <f t="shared" si="3"/>
        <v/>
      </c>
      <c r="M167" s="25">
        <f t="shared" si="35"/>
        <v>0</v>
      </c>
      <c r="N167" s="26">
        <f t="shared" si="36"/>
        <v>0</v>
      </c>
      <c r="O167" s="20" t="str">
        <f>iferror(Planejador!$I$128,"")</f>
        <v/>
      </c>
      <c r="P167" s="20" t="str">
        <f>Planejador!$I$120</f>
        <v/>
      </c>
      <c r="Q167" s="27">
        <f t="shared" si="37"/>
        <v>0</v>
      </c>
      <c r="R167" s="24" t="str">
        <f>Planejador!$I$122</f>
        <v/>
      </c>
      <c r="S167" s="16"/>
      <c r="T167" s="16"/>
      <c r="U167" s="16"/>
      <c r="V167" s="16"/>
      <c r="W167" s="16"/>
      <c r="X167" s="16"/>
      <c r="Y167" s="16"/>
      <c r="Z167" s="16"/>
    </row>
    <row r="168" ht="15.75" hidden="1" customHeight="1" outlineLevel="1">
      <c r="A168" s="17">
        <v>46183.0</v>
      </c>
      <c r="B168" s="18" t="str">
        <f t="shared" si="33"/>
        <v>quarta-feira</v>
      </c>
      <c r="C168" s="19"/>
      <c r="D168" s="20">
        <f>SUMIF('ADV - GG'!A:A,A168,'ADV - GG'!C:C)+SUMIF('ADV - FB'!A:A,$A168,'ADV - FB'!E:E)</f>
        <v>0</v>
      </c>
      <c r="E168" s="21">
        <f>SUMIF('ADV - GG'!A:A,A168,'ADV - GG'!H:H)+SUMIF('ADV - FB'!A:A,$A168,'ADV - FB'!I:I)+SUMIF('ADV - FB'!A:A,$A168,'ADV - FB'!J:J)+SUMIF('ADV - FB'!A:A,$A168,'ADV - FB'!K:K)</f>
        <v>0</v>
      </c>
      <c r="F168" s="20" t="str">
        <f t="shared" si="2"/>
        <v/>
      </c>
      <c r="G168" s="22"/>
      <c r="H168" s="22"/>
      <c r="I168" s="23"/>
      <c r="J168" s="22">
        <f>SUMIF('ADV - GA4'!A:A,A168,'ADV - GA4'!C:C)</f>
        <v>0</v>
      </c>
      <c r="K168" s="20" t="str">
        <f t="shared" si="34"/>
        <v/>
      </c>
      <c r="L168" s="24" t="str">
        <f t="shared" si="3"/>
        <v/>
      </c>
      <c r="M168" s="25">
        <f t="shared" si="35"/>
        <v>0</v>
      </c>
      <c r="N168" s="26">
        <f t="shared" si="36"/>
        <v>0</v>
      </c>
      <c r="O168" s="20" t="str">
        <f>iferror(Planejador!$I$128,"")</f>
        <v/>
      </c>
      <c r="P168" s="20" t="str">
        <f>Planejador!$I$120</f>
        <v/>
      </c>
      <c r="Q168" s="27">
        <f t="shared" si="37"/>
        <v>0</v>
      </c>
      <c r="R168" s="24" t="str">
        <f>Planejador!$I$122</f>
        <v/>
      </c>
      <c r="S168" s="16"/>
      <c r="T168" s="16"/>
      <c r="U168" s="16"/>
      <c r="V168" s="16"/>
      <c r="W168" s="16"/>
      <c r="X168" s="16"/>
      <c r="Y168" s="16"/>
      <c r="Z168" s="16"/>
    </row>
    <row r="169" ht="15.75" hidden="1" customHeight="1" outlineLevel="1">
      <c r="A169" s="17">
        <v>46184.0</v>
      </c>
      <c r="B169" s="18" t="str">
        <f t="shared" si="33"/>
        <v>quinta-feira</v>
      </c>
      <c r="C169" s="19"/>
      <c r="D169" s="20">
        <f>SUMIF('ADV - GG'!A:A,A169,'ADV - GG'!C:C)+SUMIF('ADV - FB'!A:A,$A169,'ADV - FB'!E:E)</f>
        <v>0</v>
      </c>
      <c r="E169" s="21">
        <f>SUMIF('ADV - GG'!A:A,A169,'ADV - GG'!H:H)+SUMIF('ADV - FB'!A:A,$A169,'ADV - FB'!I:I)+SUMIF('ADV - FB'!A:A,$A169,'ADV - FB'!J:J)+SUMIF('ADV - FB'!A:A,$A169,'ADV - FB'!K:K)</f>
        <v>0</v>
      </c>
      <c r="F169" s="20" t="str">
        <f t="shared" si="2"/>
        <v/>
      </c>
      <c r="G169" s="22"/>
      <c r="H169" s="22"/>
      <c r="I169" s="23"/>
      <c r="J169" s="22">
        <f>SUMIF('ADV - GA4'!A:A,A169,'ADV - GA4'!C:C)</f>
        <v>0</v>
      </c>
      <c r="K169" s="20" t="str">
        <f t="shared" si="34"/>
        <v/>
      </c>
      <c r="L169" s="24" t="str">
        <f t="shared" si="3"/>
        <v/>
      </c>
      <c r="M169" s="25">
        <f t="shared" si="35"/>
        <v>0</v>
      </c>
      <c r="N169" s="26">
        <f t="shared" si="36"/>
        <v>0</v>
      </c>
      <c r="O169" s="20" t="str">
        <f>iferror(Planejador!$I$128,"")</f>
        <v/>
      </c>
      <c r="P169" s="20" t="str">
        <f>Planejador!$I$120</f>
        <v/>
      </c>
      <c r="Q169" s="27">
        <f t="shared" si="37"/>
        <v>0</v>
      </c>
      <c r="R169" s="24" t="str">
        <f>Planejador!$I$122</f>
        <v/>
      </c>
      <c r="S169" s="16"/>
      <c r="T169" s="16"/>
      <c r="U169" s="16"/>
      <c r="V169" s="16"/>
      <c r="W169" s="16"/>
      <c r="X169" s="16"/>
      <c r="Y169" s="16"/>
      <c r="Z169" s="16"/>
    </row>
    <row r="170" ht="15.75" hidden="1" customHeight="1" outlineLevel="1">
      <c r="A170" s="17">
        <v>46185.0</v>
      </c>
      <c r="B170" s="18" t="str">
        <f t="shared" si="33"/>
        <v>sexta-feira</v>
      </c>
      <c r="C170" s="19"/>
      <c r="D170" s="20">
        <f>SUMIF('ADV - GG'!A:A,A170,'ADV - GG'!C:C)+SUMIF('ADV - FB'!A:A,$A170,'ADV - FB'!E:E)</f>
        <v>0</v>
      </c>
      <c r="E170" s="21">
        <f>SUMIF('ADV - GG'!A:A,A170,'ADV - GG'!H:H)+SUMIF('ADV - FB'!A:A,$A170,'ADV - FB'!I:I)+SUMIF('ADV - FB'!A:A,$A170,'ADV - FB'!J:J)+SUMIF('ADV - FB'!A:A,$A170,'ADV - FB'!K:K)</f>
        <v>0</v>
      </c>
      <c r="F170" s="20" t="str">
        <f t="shared" si="2"/>
        <v/>
      </c>
      <c r="G170" s="22"/>
      <c r="H170" s="22"/>
      <c r="I170" s="23"/>
      <c r="J170" s="22">
        <f>SUMIF('ADV - GA4'!A:A,A170,'ADV - GA4'!C:C)</f>
        <v>0</v>
      </c>
      <c r="K170" s="20" t="str">
        <f t="shared" si="34"/>
        <v/>
      </c>
      <c r="L170" s="24" t="str">
        <f t="shared" si="3"/>
        <v/>
      </c>
      <c r="M170" s="25">
        <f t="shared" si="35"/>
        <v>0</v>
      </c>
      <c r="N170" s="26">
        <f t="shared" si="36"/>
        <v>0</v>
      </c>
      <c r="O170" s="20" t="str">
        <f>iferror(Planejador!$I$128,"")</f>
        <v/>
      </c>
      <c r="P170" s="20" t="str">
        <f>Planejador!$I$120</f>
        <v/>
      </c>
      <c r="Q170" s="27">
        <f t="shared" si="37"/>
        <v>0</v>
      </c>
      <c r="R170" s="24" t="str">
        <f>Planejador!$I$122</f>
        <v/>
      </c>
      <c r="S170" s="16"/>
      <c r="T170" s="16"/>
      <c r="U170" s="16"/>
      <c r="V170" s="16"/>
      <c r="W170" s="16"/>
      <c r="X170" s="16"/>
      <c r="Y170" s="16"/>
      <c r="Z170" s="16"/>
    </row>
    <row r="171" ht="15.75" hidden="1" customHeight="1" outlineLevel="1">
      <c r="A171" s="17">
        <v>46186.0</v>
      </c>
      <c r="B171" s="18" t="str">
        <f t="shared" si="33"/>
        <v>sábado</v>
      </c>
      <c r="C171" s="19"/>
      <c r="D171" s="20">
        <f>SUMIF('ADV - GG'!A:A,A171,'ADV - GG'!C:C)+SUMIF('ADV - FB'!A:A,$A171,'ADV - FB'!E:E)</f>
        <v>0</v>
      </c>
      <c r="E171" s="21">
        <f>SUMIF('ADV - GG'!A:A,A171,'ADV - GG'!H:H)+SUMIF('ADV - FB'!A:A,$A171,'ADV - FB'!I:I)+SUMIF('ADV - FB'!A:A,$A171,'ADV - FB'!J:J)+SUMIF('ADV - FB'!A:A,$A171,'ADV - FB'!K:K)</f>
        <v>0</v>
      </c>
      <c r="F171" s="20" t="str">
        <f t="shared" si="2"/>
        <v/>
      </c>
      <c r="G171" s="22"/>
      <c r="H171" s="22"/>
      <c r="I171" s="23"/>
      <c r="J171" s="22">
        <f>SUMIF('ADV - GA4'!A:A,A171,'ADV - GA4'!C:C)</f>
        <v>0</v>
      </c>
      <c r="K171" s="20" t="str">
        <f t="shared" si="34"/>
        <v/>
      </c>
      <c r="L171" s="24" t="str">
        <f t="shared" si="3"/>
        <v/>
      </c>
      <c r="M171" s="25">
        <f t="shared" si="35"/>
        <v>0</v>
      </c>
      <c r="N171" s="26">
        <f t="shared" si="36"/>
        <v>0</v>
      </c>
      <c r="O171" s="20" t="str">
        <f>iferror(Planejador!$I$128,"")</f>
        <v/>
      </c>
      <c r="P171" s="20" t="str">
        <f>Planejador!$I$120</f>
        <v/>
      </c>
      <c r="Q171" s="27">
        <f t="shared" si="37"/>
        <v>0</v>
      </c>
      <c r="R171" s="24" t="str">
        <f>Planejador!$I$122</f>
        <v/>
      </c>
      <c r="S171" s="16"/>
      <c r="T171" s="16"/>
      <c r="U171" s="16"/>
      <c r="V171" s="16"/>
      <c r="W171" s="16"/>
      <c r="X171" s="16"/>
      <c r="Y171" s="16"/>
      <c r="Z171" s="16"/>
    </row>
    <row r="172" ht="15.75" hidden="1" customHeight="1" outlineLevel="1">
      <c r="A172" s="17">
        <v>46187.0</v>
      </c>
      <c r="B172" s="18" t="str">
        <f t="shared" si="33"/>
        <v>domingo</v>
      </c>
      <c r="C172" s="19"/>
      <c r="D172" s="20">
        <f>SUMIF('ADV - GG'!A:A,A172,'ADV - GG'!C:C)+SUMIF('ADV - FB'!A:A,$A172,'ADV - FB'!E:E)</f>
        <v>0</v>
      </c>
      <c r="E172" s="21">
        <f>SUMIF('ADV - GG'!A:A,A172,'ADV - GG'!H:H)+SUMIF('ADV - FB'!A:A,$A172,'ADV - FB'!I:I)+SUMIF('ADV - FB'!A:A,$A172,'ADV - FB'!J:J)+SUMIF('ADV - FB'!A:A,$A172,'ADV - FB'!K:K)</f>
        <v>0</v>
      </c>
      <c r="F172" s="20" t="str">
        <f t="shared" si="2"/>
        <v/>
      </c>
      <c r="G172" s="22"/>
      <c r="H172" s="22"/>
      <c r="I172" s="23"/>
      <c r="J172" s="22">
        <f>SUMIF('ADV - GA4'!A:A,A172,'ADV - GA4'!C:C)</f>
        <v>0</v>
      </c>
      <c r="K172" s="20" t="str">
        <f t="shared" si="34"/>
        <v/>
      </c>
      <c r="L172" s="24" t="str">
        <f t="shared" si="3"/>
        <v/>
      </c>
      <c r="M172" s="25">
        <f t="shared" si="35"/>
        <v>0</v>
      </c>
      <c r="N172" s="26">
        <f t="shared" si="36"/>
        <v>0</v>
      </c>
      <c r="O172" s="20" t="str">
        <f>iferror(Planejador!$I$128,"")</f>
        <v/>
      </c>
      <c r="P172" s="20" t="str">
        <f>Planejador!$I$120</f>
        <v/>
      </c>
      <c r="Q172" s="27">
        <f t="shared" si="37"/>
        <v>0</v>
      </c>
      <c r="R172" s="24" t="str">
        <f>Planejador!$I$122</f>
        <v/>
      </c>
      <c r="S172" s="16"/>
      <c r="T172" s="16"/>
      <c r="U172" s="16"/>
      <c r="V172" s="16"/>
      <c r="W172" s="16"/>
      <c r="X172" s="16"/>
      <c r="Y172" s="16"/>
      <c r="Z172" s="16"/>
    </row>
    <row r="173" ht="15.75" hidden="1" customHeight="1" outlineLevel="1">
      <c r="A173" s="17">
        <v>46188.0</v>
      </c>
      <c r="B173" s="18" t="str">
        <f t="shared" si="33"/>
        <v>segunda-feira</v>
      </c>
      <c r="C173" s="19"/>
      <c r="D173" s="20">
        <f>SUMIF('ADV - GG'!A:A,A173,'ADV - GG'!C:C)+SUMIF('ADV - FB'!A:A,$A173,'ADV - FB'!E:E)</f>
        <v>0</v>
      </c>
      <c r="E173" s="21">
        <f>SUMIF('ADV - GG'!A:A,A173,'ADV - GG'!H:H)+SUMIF('ADV - FB'!A:A,$A173,'ADV - FB'!I:I)+SUMIF('ADV - FB'!A:A,$A173,'ADV - FB'!J:J)+SUMIF('ADV - FB'!A:A,$A173,'ADV - FB'!K:K)</f>
        <v>0</v>
      </c>
      <c r="F173" s="20" t="str">
        <f t="shared" si="2"/>
        <v/>
      </c>
      <c r="G173" s="22"/>
      <c r="H173" s="22"/>
      <c r="I173" s="23"/>
      <c r="J173" s="22">
        <f>SUMIF('ADV - GA4'!A:A,A173,'ADV - GA4'!C:C)</f>
        <v>0</v>
      </c>
      <c r="K173" s="20" t="str">
        <f t="shared" si="34"/>
        <v/>
      </c>
      <c r="L173" s="24" t="str">
        <f t="shared" si="3"/>
        <v/>
      </c>
      <c r="M173" s="25">
        <f t="shared" si="35"/>
        <v>0</v>
      </c>
      <c r="N173" s="26">
        <f t="shared" si="36"/>
        <v>0</v>
      </c>
      <c r="O173" s="20" t="str">
        <f>iferror(Planejador!$I$128,"")</f>
        <v/>
      </c>
      <c r="P173" s="20" t="str">
        <f>Planejador!$I$120</f>
        <v/>
      </c>
      <c r="Q173" s="27">
        <f t="shared" si="37"/>
        <v>0</v>
      </c>
      <c r="R173" s="24" t="str">
        <f>Planejador!$I$122</f>
        <v/>
      </c>
      <c r="S173" s="16"/>
      <c r="T173" s="16"/>
      <c r="U173" s="16"/>
      <c r="V173" s="16"/>
      <c r="W173" s="16"/>
      <c r="X173" s="16"/>
      <c r="Y173" s="16"/>
      <c r="Z173" s="16"/>
    </row>
    <row r="174" ht="15.75" hidden="1" customHeight="1" outlineLevel="1">
      <c r="A174" s="17">
        <v>46189.0</v>
      </c>
      <c r="B174" s="18" t="str">
        <f t="shared" si="33"/>
        <v>terça-feira</v>
      </c>
      <c r="C174" s="19"/>
      <c r="D174" s="20">
        <f>SUMIF('ADV - GG'!A:A,A174,'ADV - GG'!C:C)+SUMIF('ADV - FB'!A:A,$A174,'ADV - FB'!E:E)</f>
        <v>0</v>
      </c>
      <c r="E174" s="21">
        <f>SUMIF('ADV - GG'!A:A,A174,'ADV - GG'!H:H)+SUMIF('ADV - FB'!A:A,$A174,'ADV - FB'!I:I)+SUMIF('ADV - FB'!A:A,$A174,'ADV - FB'!J:J)+SUMIF('ADV - FB'!A:A,$A174,'ADV - FB'!K:K)</f>
        <v>0</v>
      </c>
      <c r="F174" s="20" t="str">
        <f t="shared" si="2"/>
        <v/>
      </c>
      <c r="G174" s="22"/>
      <c r="H174" s="22"/>
      <c r="I174" s="23"/>
      <c r="J174" s="22">
        <f>SUMIF('ADV - GA4'!A:A,A174,'ADV - GA4'!C:C)</f>
        <v>0</v>
      </c>
      <c r="K174" s="20" t="str">
        <f t="shared" si="34"/>
        <v/>
      </c>
      <c r="L174" s="24" t="str">
        <f t="shared" si="3"/>
        <v/>
      </c>
      <c r="M174" s="25">
        <f t="shared" si="35"/>
        <v>0</v>
      </c>
      <c r="N174" s="26">
        <f t="shared" si="36"/>
        <v>0</v>
      </c>
      <c r="O174" s="20" t="str">
        <f>iferror(Planejador!$I$128,"")</f>
        <v/>
      </c>
      <c r="P174" s="20" t="str">
        <f>Planejador!$I$120</f>
        <v/>
      </c>
      <c r="Q174" s="27">
        <f t="shared" si="37"/>
        <v>0</v>
      </c>
      <c r="R174" s="24" t="str">
        <f>Planejador!$I$122</f>
        <v/>
      </c>
      <c r="S174" s="16"/>
      <c r="T174" s="16"/>
      <c r="U174" s="16"/>
      <c r="V174" s="16"/>
      <c r="W174" s="16"/>
      <c r="X174" s="16"/>
      <c r="Y174" s="16"/>
      <c r="Z174" s="16"/>
    </row>
    <row r="175" ht="15.75" hidden="1" customHeight="1" outlineLevel="1">
      <c r="A175" s="17">
        <v>46190.0</v>
      </c>
      <c r="B175" s="18" t="str">
        <f t="shared" si="33"/>
        <v>quarta-feira</v>
      </c>
      <c r="C175" s="19"/>
      <c r="D175" s="20">
        <f>SUMIF('ADV - GG'!A:A,A175,'ADV - GG'!C:C)+SUMIF('ADV - FB'!A:A,$A175,'ADV - FB'!E:E)</f>
        <v>0</v>
      </c>
      <c r="E175" s="21">
        <f>SUMIF('ADV - GG'!A:A,A175,'ADV - GG'!H:H)+SUMIF('ADV - FB'!A:A,$A175,'ADV - FB'!I:I)+SUMIF('ADV - FB'!A:A,$A175,'ADV - FB'!J:J)+SUMIF('ADV - FB'!A:A,$A175,'ADV - FB'!K:K)</f>
        <v>0</v>
      </c>
      <c r="F175" s="20" t="str">
        <f t="shared" si="2"/>
        <v/>
      </c>
      <c r="G175" s="22"/>
      <c r="H175" s="22"/>
      <c r="I175" s="23"/>
      <c r="J175" s="22">
        <f>SUMIF('ADV - GA4'!A:A,A175,'ADV - GA4'!C:C)</f>
        <v>0</v>
      </c>
      <c r="K175" s="20" t="str">
        <f t="shared" si="34"/>
        <v/>
      </c>
      <c r="L175" s="24" t="str">
        <f t="shared" si="3"/>
        <v/>
      </c>
      <c r="M175" s="25">
        <f t="shared" si="35"/>
        <v>0</v>
      </c>
      <c r="N175" s="26">
        <f t="shared" si="36"/>
        <v>0</v>
      </c>
      <c r="O175" s="20" t="str">
        <f>iferror(Planejador!$I$128,"")</f>
        <v/>
      </c>
      <c r="P175" s="20" t="str">
        <f>Planejador!$I$120</f>
        <v/>
      </c>
      <c r="Q175" s="27">
        <f t="shared" si="37"/>
        <v>0</v>
      </c>
      <c r="R175" s="24" t="str">
        <f>Planejador!$I$122</f>
        <v/>
      </c>
      <c r="S175" s="16"/>
      <c r="T175" s="16"/>
      <c r="U175" s="16"/>
      <c r="V175" s="16"/>
      <c r="W175" s="16"/>
      <c r="X175" s="16"/>
      <c r="Y175" s="16"/>
      <c r="Z175" s="16"/>
    </row>
    <row r="176" ht="15.75" hidden="1" customHeight="1" outlineLevel="1">
      <c r="A176" s="17">
        <v>46191.0</v>
      </c>
      <c r="B176" s="18" t="str">
        <f t="shared" si="33"/>
        <v>quinta-feira</v>
      </c>
      <c r="C176" s="19"/>
      <c r="D176" s="20">
        <f>SUMIF('ADV - GG'!A:A,A176,'ADV - GG'!C:C)+SUMIF('ADV - FB'!A:A,$A176,'ADV - FB'!E:E)</f>
        <v>0</v>
      </c>
      <c r="E176" s="21">
        <f>SUMIF('ADV - GG'!A:A,A176,'ADV - GG'!H:H)+SUMIF('ADV - FB'!A:A,$A176,'ADV - FB'!I:I)+SUMIF('ADV - FB'!A:A,$A176,'ADV - FB'!J:J)+SUMIF('ADV - FB'!A:A,$A176,'ADV - FB'!K:K)</f>
        <v>0</v>
      </c>
      <c r="F176" s="20" t="str">
        <f t="shared" si="2"/>
        <v/>
      </c>
      <c r="G176" s="22"/>
      <c r="H176" s="22"/>
      <c r="I176" s="23"/>
      <c r="J176" s="22">
        <f>SUMIF('ADV - GA4'!A:A,A176,'ADV - GA4'!C:C)</f>
        <v>0</v>
      </c>
      <c r="K176" s="20" t="str">
        <f t="shared" si="34"/>
        <v/>
      </c>
      <c r="L176" s="24" t="str">
        <f t="shared" si="3"/>
        <v/>
      </c>
      <c r="M176" s="25">
        <f t="shared" si="35"/>
        <v>0</v>
      </c>
      <c r="N176" s="26">
        <f t="shared" si="36"/>
        <v>0</v>
      </c>
      <c r="O176" s="20" t="str">
        <f>iferror(Planejador!$I$128,"")</f>
        <v/>
      </c>
      <c r="P176" s="20" t="str">
        <f>Planejador!$I$120</f>
        <v/>
      </c>
      <c r="Q176" s="27">
        <f t="shared" si="37"/>
        <v>0</v>
      </c>
      <c r="R176" s="24" t="str">
        <f>Planejador!$I$122</f>
        <v/>
      </c>
      <c r="S176" s="16"/>
      <c r="T176" s="16"/>
      <c r="U176" s="16"/>
      <c r="V176" s="16"/>
      <c r="W176" s="16"/>
      <c r="X176" s="16"/>
      <c r="Y176" s="16"/>
      <c r="Z176" s="16"/>
    </row>
    <row r="177" ht="15.75" hidden="1" customHeight="1" outlineLevel="1">
      <c r="A177" s="17">
        <v>46192.0</v>
      </c>
      <c r="B177" s="18" t="str">
        <f t="shared" si="33"/>
        <v>sexta-feira</v>
      </c>
      <c r="C177" s="19"/>
      <c r="D177" s="20">
        <f>SUMIF('ADV - GG'!A:A,A177,'ADV - GG'!C:C)+SUMIF('ADV - FB'!A:A,$A177,'ADV - FB'!E:E)</f>
        <v>0</v>
      </c>
      <c r="E177" s="21">
        <f>SUMIF('ADV - GG'!A:A,A177,'ADV - GG'!H:H)+SUMIF('ADV - FB'!A:A,$A177,'ADV - FB'!I:I)+SUMIF('ADV - FB'!A:A,$A177,'ADV - FB'!J:J)+SUMIF('ADV - FB'!A:A,$A177,'ADV - FB'!K:K)</f>
        <v>0</v>
      </c>
      <c r="F177" s="20" t="str">
        <f t="shared" si="2"/>
        <v/>
      </c>
      <c r="G177" s="22"/>
      <c r="H177" s="22"/>
      <c r="I177" s="23"/>
      <c r="J177" s="22">
        <f>SUMIF('ADV - GA4'!A:A,A177,'ADV - GA4'!C:C)</f>
        <v>0</v>
      </c>
      <c r="K177" s="20" t="str">
        <f t="shared" si="34"/>
        <v/>
      </c>
      <c r="L177" s="24" t="str">
        <f t="shared" si="3"/>
        <v/>
      </c>
      <c r="M177" s="25">
        <f t="shared" si="35"/>
        <v>0</v>
      </c>
      <c r="N177" s="26">
        <f t="shared" si="36"/>
        <v>0</v>
      </c>
      <c r="O177" s="20" t="str">
        <f>iferror(Planejador!$I$128,"")</f>
        <v/>
      </c>
      <c r="P177" s="20" t="str">
        <f>Planejador!$I$120</f>
        <v/>
      </c>
      <c r="Q177" s="27">
        <f t="shared" si="37"/>
        <v>0</v>
      </c>
      <c r="R177" s="24" t="str">
        <f>Planejador!$I$122</f>
        <v/>
      </c>
      <c r="S177" s="16"/>
      <c r="T177" s="16"/>
      <c r="U177" s="16"/>
      <c r="V177" s="16"/>
      <c r="W177" s="16"/>
      <c r="X177" s="16"/>
      <c r="Y177" s="16"/>
      <c r="Z177" s="16"/>
    </row>
    <row r="178" ht="15.75" hidden="1" customHeight="1" outlineLevel="1">
      <c r="A178" s="17">
        <v>46193.0</v>
      </c>
      <c r="B178" s="18" t="str">
        <f t="shared" si="33"/>
        <v>sábado</v>
      </c>
      <c r="C178" s="19"/>
      <c r="D178" s="20">
        <f>SUMIF('ADV - GG'!A:A,A178,'ADV - GG'!C:C)+SUMIF('ADV - FB'!A:A,$A178,'ADV - FB'!E:E)</f>
        <v>0</v>
      </c>
      <c r="E178" s="21">
        <f>SUMIF('ADV - GG'!A:A,A178,'ADV - GG'!H:H)+SUMIF('ADV - FB'!A:A,$A178,'ADV - FB'!I:I)+SUMIF('ADV - FB'!A:A,$A178,'ADV - FB'!J:J)+SUMIF('ADV - FB'!A:A,$A178,'ADV - FB'!K:K)</f>
        <v>0</v>
      </c>
      <c r="F178" s="20" t="str">
        <f t="shared" si="2"/>
        <v/>
      </c>
      <c r="G178" s="22"/>
      <c r="H178" s="22"/>
      <c r="I178" s="23"/>
      <c r="J178" s="22">
        <f>SUMIF('ADV - GA4'!A:A,A178,'ADV - GA4'!C:C)</f>
        <v>0</v>
      </c>
      <c r="K178" s="20" t="str">
        <f t="shared" si="34"/>
        <v/>
      </c>
      <c r="L178" s="24" t="str">
        <f t="shared" si="3"/>
        <v/>
      </c>
      <c r="M178" s="25">
        <f t="shared" si="35"/>
        <v>0</v>
      </c>
      <c r="N178" s="26">
        <f t="shared" si="36"/>
        <v>0</v>
      </c>
      <c r="O178" s="20" t="str">
        <f>iferror(Planejador!$I$128,"")</f>
        <v/>
      </c>
      <c r="P178" s="20" t="str">
        <f>Planejador!$I$120</f>
        <v/>
      </c>
      <c r="Q178" s="27">
        <f t="shared" si="37"/>
        <v>0</v>
      </c>
      <c r="R178" s="24" t="str">
        <f>Planejador!$I$122</f>
        <v/>
      </c>
      <c r="S178" s="16"/>
      <c r="T178" s="16"/>
      <c r="U178" s="16"/>
      <c r="V178" s="16"/>
      <c r="W178" s="16"/>
      <c r="X178" s="16"/>
      <c r="Y178" s="16"/>
      <c r="Z178" s="16"/>
    </row>
    <row r="179" ht="15.75" hidden="1" customHeight="1" outlineLevel="1">
      <c r="A179" s="17">
        <v>46194.0</v>
      </c>
      <c r="B179" s="18" t="str">
        <f t="shared" si="33"/>
        <v>domingo</v>
      </c>
      <c r="C179" s="19"/>
      <c r="D179" s="20">
        <f>SUMIF('ADV - GG'!A:A,A179,'ADV - GG'!C:C)+SUMIF('ADV - FB'!A:A,$A179,'ADV - FB'!E:E)</f>
        <v>0</v>
      </c>
      <c r="E179" s="21">
        <f>SUMIF('ADV - GG'!A:A,A179,'ADV - GG'!H:H)+SUMIF('ADV - FB'!A:A,$A179,'ADV - FB'!I:I)+SUMIF('ADV - FB'!A:A,$A179,'ADV - FB'!J:J)+SUMIF('ADV - FB'!A:A,$A179,'ADV - FB'!K:K)</f>
        <v>0</v>
      </c>
      <c r="F179" s="20" t="str">
        <f t="shared" si="2"/>
        <v/>
      </c>
      <c r="G179" s="22"/>
      <c r="H179" s="22"/>
      <c r="I179" s="23"/>
      <c r="J179" s="22">
        <f>SUMIF('ADV - GA4'!A:A,A179,'ADV - GA4'!C:C)</f>
        <v>0</v>
      </c>
      <c r="K179" s="20" t="str">
        <f t="shared" si="34"/>
        <v/>
      </c>
      <c r="L179" s="24" t="str">
        <f t="shared" si="3"/>
        <v/>
      </c>
      <c r="M179" s="25">
        <f t="shared" si="35"/>
        <v>0</v>
      </c>
      <c r="N179" s="26">
        <f t="shared" si="36"/>
        <v>0</v>
      </c>
      <c r="O179" s="20" t="str">
        <f>iferror(Planejador!$I$128,"")</f>
        <v/>
      </c>
      <c r="P179" s="20" t="str">
        <f>Planejador!$I$120</f>
        <v/>
      </c>
      <c r="Q179" s="27">
        <f t="shared" si="37"/>
        <v>0</v>
      </c>
      <c r="R179" s="24" t="str">
        <f>Planejador!$I$122</f>
        <v/>
      </c>
      <c r="S179" s="16"/>
      <c r="T179" s="16"/>
      <c r="U179" s="16"/>
      <c r="V179" s="16"/>
      <c r="W179" s="16"/>
      <c r="X179" s="16"/>
      <c r="Y179" s="16"/>
      <c r="Z179" s="16"/>
    </row>
    <row r="180" ht="15.75" hidden="1" customHeight="1" outlineLevel="1">
      <c r="A180" s="17">
        <v>46195.0</v>
      </c>
      <c r="B180" s="18" t="str">
        <f t="shared" si="33"/>
        <v>segunda-feira</v>
      </c>
      <c r="C180" s="19"/>
      <c r="D180" s="20">
        <f>SUMIF('ADV - GG'!A:A,A180,'ADV - GG'!C:C)+SUMIF('ADV - FB'!A:A,$A180,'ADV - FB'!E:E)</f>
        <v>0</v>
      </c>
      <c r="E180" s="21">
        <f>SUMIF('ADV - GG'!A:A,A180,'ADV - GG'!H:H)+SUMIF('ADV - FB'!A:A,$A180,'ADV - FB'!I:I)+SUMIF('ADV - FB'!A:A,$A180,'ADV - FB'!J:J)+SUMIF('ADV - FB'!A:A,$A180,'ADV - FB'!K:K)</f>
        <v>0</v>
      </c>
      <c r="F180" s="20" t="str">
        <f t="shared" si="2"/>
        <v/>
      </c>
      <c r="G180" s="22"/>
      <c r="H180" s="22"/>
      <c r="I180" s="23"/>
      <c r="J180" s="22">
        <f>SUMIF('ADV - GA4'!A:A,A180,'ADV - GA4'!C:C)</f>
        <v>0</v>
      </c>
      <c r="K180" s="20" t="str">
        <f t="shared" si="34"/>
        <v/>
      </c>
      <c r="L180" s="24" t="str">
        <f t="shared" si="3"/>
        <v/>
      </c>
      <c r="M180" s="25">
        <f t="shared" si="35"/>
        <v>0</v>
      </c>
      <c r="N180" s="26">
        <f t="shared" si="36"/>
        <v>0</v>
      </c>
      <c r="O180" s="20" t="str">
        <f>iferror(Planejador!$I$128,"")</f>
        <v/>
      </c>
      <c r="P180" s="20" t="str">
        <f>Planejador!$I$120</f>
        <v/>
      </c>
      <c r="Q180" s="27">
        <f t="shared" si="37"/>
        <v>0</v>
      </c>
      <c r="R180" s="24" t="str">
        <f>Planejador!$I$122</f>
        <v/>
      </c>
      <c r="S180" s="16"/>
      <c r="T180" s="16"/>
      <c r="U180" s="16"/>
      <c r="V180" s="16"/>
      <c r="W180" s="16"/>
      <c r="X180" s="16"/>
      <c r="Y180" s="16"/>
      <c r="Z180" s="16"/>
    </row>
    <row r="181" ht="15.75" hidden="1" customHeight="1" outlineLevel="1">
      <c r="A181" s="17">
        <v>46196.0</v>
      </c>
      <c r="B181" s="18" t="str">
        <f t="shared" si="33"/>
        <v>terça-feira</v>
      </c>
      <c r="C181" s="19"/>
      <c r="D181" s="20">
        <f>SUMIF('ADV - GG'!A:A,A181,'ADV - GG'!C:C)+SUMIF('ADV - FB'!A:A,$A181,'ADV - FB'!E:E)</f>
        <v>0</v>
      </c>
      <c r="E181" s="21">
        <f>SUMIF('ADV - GG'!A:A,A181,'ADV - GG'!H:H)+SUMIF('ADV - FB'!A:A,$A181,'ADV - FB'!I:I)+SUMIF('ADV - FB'!A:A,$A181,'ADV - FB'!J:J)+SUMIF('ADV - FB'!A:A,$A181,'ADV - FB'!K:K)</f>
        <v>0</v>
      </c>
      <c r="F181" s="20" t="str">
        <f t="shared" si="2"/>
        <v/>
      </c>
      <c r="G181" s="22"/>
      <c r="H181" s="22"/>
      <c r="I181" s="23"/>
      <c r="J181" s="22">
        <f>SUMIF('ADV - GA4'!A:A,A181,'ADV - GA4'!C:C)</f>
        <v>0</v>
      </c>
      <c r="K181" s="20" t="str">
        <f t="shared" si="34"/>
        <v/>
      </c>
      <c r="L181" s="24" t="str">
        <f t="shared" si="3"/>
        <v/>
      </c>
      <c r="M181" s="25">
        <f t="shared" si="35"/>
        <v>0</v>
      </c>
      <c r="N181" s="26">
        <f t="shared" si="36"/>
        <v>0</v>
      </c>
      <c r="O181" s="20" t="str">
        <f>iferror(Planejador!$I$128,"")</f>
        <v/>
      </c>
      <c r="P181" s="20" t="str">
        <f>Planejador!$I$120</f>
        <v/>
      </c>
      <c r="Q181" s="27">
        <f t="shared" si="37"/>
        <v>0</v>
      </c>
      <c r="R181" s="24" t="str">
        <f>Planejador!$I$122</f>
        <v/>
      </c>
      <c r="S181" s="16"/>
      <c r="T181" s="16"/>
      <c r="U181" s="16"/>
      <c r="V181" s="16"/>
      <c r="W181" s="16"/>
      <c r="X181" s="16"/>
      <c r="Y181" s="16"/>
      <c r="Z181" s="16"/>
    </row>
    <row r="182" ht="15.75" hidden="1" customHeight="1" outlineLevel="1">
      <c r="A182" s="17">
        <v>46197.0</v>
      </c>
      <c r="B182" s="18" t="str">
        <f t="shared" si="33"/>
        <v>quarta-feira</v>
      </c>
      <c r="C182" s="19"/>
      <c r="D182" s="20">
        <f>SUMIF('ADV - GG'!A:A,A182,'ADV - GG'!C:C)+SUMIF('ADV - FB'!A:A,$A182,'ADV - FB'!E:E)</f>
        <v>0</v>
      </c>
      <c r="E182" s="21">
        <f>SUMIF('ADV - GG'!A:A,A182,'ADV - GG'!H:H)+SUMIF('ADV - FB'!A:A,$A182,'ADV - FB'!I:I)+SUMIF('ADV - FB'!A:A,$A182,'ADV - FB'!J:J)+SUMIF('ADV - FB'!A:A,$A182,'ADV - FB'!K:K)</f>
        <v>0</v>
      </c>
      <c r="F182" s="20" t="str">
        <f t="shared" si="2"/>
        <v/>
      </c>
      <c r="G182" s="22"/>
      <c r="H182" s="22"/>
      <c r="I182" s="23"/>
      <c r="J182" s="22">
        <f>SUMIF('ADV - GA4'!A:A,A182,'ADV - GA4'!C:C)</f>
        <v>0</v>
      </c>
      <c r="K182" s="20" t="str">
        <f t="shared" si="34"/>
        <v/>
      </c>
      <c r="L182" s="24" t="str">
        <f t="shared" si="3"/>
        <v/>
      </c>
      <c r="M182" s="25">
        <f t="shared" si="35"/>
        <v>0</v>
      </c>
      <c r="N182" s="26">
        <f t="shared" si="36"/>
        <v>0</v>
      </c>
      <c r="O182" s="20" t="str">
        <f>iferror(Planejador!$I$128,"")</f>
        <v/>
      </c>
      <c r="P182" s="20" t="str">
        <f>Planejador!$I$120</f>
        <v/>
      </c>
      <c r="Q182" s="27">
        <f t="shared" si="37"/>
        <v>0</v>
      </c>
      <c r="R182" s="24" t="str">
        <f>Planejador!$I$122</f>
        <v/>
      </c>
      <c r="S182" s="16"/>
      <c r="T182" s="16"/>
      <c r="U182" s="16"/>
      <c r="V182" s="16"/>
      <c r="W182" s="16"/>
      <c r="X182" s="16"/>
      <c r="Y182" s="16"/>
      <c r="Z182" s="16"/>
    </row>
    <row r="183" ht="15.75" hidden="1" customHeight="1" outlineLevel="1">
      <c r="A183" s="17">
        <v>46198.0</v>
      </c>
      <c r="B183" s="18" t="str">
        <f t="shared" si="33"/>
        <v>quinta-feira</v>
      </c>
      <c r="C183" s="19"/>
      <c r="D183" s="20">
        <f>SUMIF('ADV - GG'!A:A,A183,'ADV - GG'!C:C)+SUMIF('ADV - FB'!A:A,$A183,'ADV - FB'!E:E)</f>
        <v>0</v>
      </c>
      <c r="E183" s="21">
        <f>SUMIF('ADV - GG'!A:A,A183,'ADV - GG'!H:H)+SUMIF('ADV - FB'!A:A,$A183,'ADV - FB'!I:I)+SUMIF('ADV - FB'!A:A,$A183,'ADV - FB'!J:J)+SUMIF('ADV - FB'!A:A,$A183,'ADV - FB'!K:K)</f>
        <v>0</v>
      </c>
      <c r="F183" s="20" t="str">
        <f t="shared" si="2"/>
        <v/>
      </c>
      <c r="G183" s="22"/>
      <c r="H183" s="22"/>
      <c r="I183" s="23"/>
      <c r="J183" s="22">
        <f>SUMIF('ADV - GA4'!A:A,A183,'ADV - GA4'!C:C)</f>
        <v>0</v>
      </c>
      <c r="K183" s="20" t="str">
        <f t="shared" si="34"/>
        <v/>
      </c>
      <c r="L183" s="24" t="str">
        <f t="shared" si="3"/>
        <v/>
      </c>
      <c r="M183" s="25">
        <f t="shared" si="35"/>
        <v>0</v>
      </c>
      <c r="N183" s="26">
        <f t="shared" si="36"/>
        <v>0</v>
      </c>
      <c r="O183" s="20" t="str">
        <f>iferror(Planejador!$I$128,"")</f>
        <v/>
      </c>
      <c r="P183" s="20" t="str">
        <f>Planejador!$I$120</f>
        <v/>
      </c>
      <c r="Q183" s="27">
        <f t="shared" si="37"/>
        <v>0</v>
      </c>
      <c r="R183" s="24" t="str">
        <f>Planejador!$I$122</f>
        <v/>
      </c>
      <c r="S183" s="16"/>
      <c r="T183" s="16"/>
      <c r="U183" s="16"/>
      <c r="V183" s="16"/>
      <c r="W183" s="16"/>
      <c r="X183" s="16"/>
      <c r="Y183" s="16"/>
      <c r="Z183" s="16"/>
    </row>
    <row r="184" ht="15.75" hidden="1" customHeight="1" outlineLevel="1">
      <c r="A184" s="17">
        <v>46199.0</v>
      </c>
      <c r="B184" s="18" t="str">
        <f t="shared" si="33"/>
        <v>sexta-feira</v>
      </c>
      <c r="C184" s="19"/>
      <c r="D184" s="20">
        <f>SUMIF('ADV - GG'!A:A,A184,'ADV - GG'!C:C)+SUMIF('ADV - FB'!A:A,$A184,'ADV - FB'!E:E)</f>
        <v>0</v>
      </c>
      <c r="E184" s="21">
        <f>SUMIF('ADV - GG'!A:A,A184,'ADV - GG'!H:H)+SUMIF('ADV - FB'!A:A,$A184,'ADV - FB'!I:I)+SUMIF('ADV - FB'!A:A,$A184,'ADV - FB'!J:J)+SUMIF('ADV - FB'!A:A,$A184,'ADV - FB'!K:K)</f>
        <v>0</v>
      </c>
      <c r="F184" s="20" t="str">
        <f t="shared" si="2"/>
        <v/>
      </c>
      <c r="G184" s="22"/>
      <c r="H184" s="22"/>
      <c r="I184" s="23"/>
      <c r="J184" s="22">
        <f>SUMIF('ADV - GA4'!A:A,A184,'ADV - GA4'!C:C)</f>
        <v>0</v>
      </c>
      <c r="K184" s="20" t="str">
        <f t="shared" si="34"/>
        <v/>
      </c>
      <c r="L184" s="24" t="str">
        <f t="shared" si="3"/>
        <v/>
      </c>
      <c r="M184" s="25">
        <f t="shared" si="35"/>
        <v>0</v>
      </c>
      <c r="N184" s="26">
        <f t="shared" si="36"/>
        <v>0</v>
      </c>
      <c r="O184" s="20" t="str">
        <f>iferror(Planejador!$I$128,"")</f>
        <v/>
      </c>
      <c r="P184" s="20" t="str">
        <f>Planejador!$I$120</f>
        <v/>
      </c>
      <c r="Q184" s="27">
        <f t="shared" si="37"/>
        <v>0</v>
      </c>
      <c r="R184" s="24" t="str">
        <f>Planejador!$I$122</f>
        <v/>
      </c>
      <c r="S184" s="16"/>
      <c r="T184" s="16"/>
      <c r="U184" s="16"/>
      <c r="V184" s="16"/>
      <c r="W184" s="16"/>
      <c r="X184" s="16"/>
      <c r="Y184" s="16"/>
      <c r="Z184" s="16"/>
    </row>
    <row r="185" ht="15.75" hidden="1" customHeight="1" outlineLevel="1">
      <c r="A185" s="17">
        <v>46200.0</v>
      </c>
      <c r="B185" s="18" t="str">
        <f t="shared" si="33"/>
        <v>sábado</v>
      </c>
      <c r="C185" s="19"/>
      <c r="D185" s="20">
        <f>SUMIF('ADV - GG'!A:A,A185,'ADV - GG'!C:C)+SUMIF('ADV - FB'!A:A,$A185,'ADV - FB'!E:E)</f>
        <v>0</v>
      </c>
      <c r="E185" s="21">
        <f>SUMIF('ADV - GG'!A:A,A185,'ADV - GG'!H:H)+SUMIF('ADV - FB'!A:A,$A185,'ADV - FB'!I:I)+SUMIF('ADV - FB'!A:A,$A185,'ADV - FB'!J:J)+SUMIF('ADV - FB'!A:A,$A185,'ADV - FB'!K:K)</f>
        <v>0</v>
      </c>
      <c r="F185" s="20" t="str">
        <f t="shared" si="2"/>
        <v/>
      </c>
      <c r="G185" s="22"/>
      <c r="H185" s="22"/>
      <c r="I185" s="23"/>
      <c r="J185" s="22">
        <f>SUMIF('ADV - GA4'!A:A,A185,'ADV - GA4'!C:C)</f>
        <v>0</v>
      </c>
      <c r="K185" s="20" t="str">
        <f t="shared" si="34"/>
        <v/>
      </c>
      <c r="L185" s="24" t="str">
        <f t="shared" si="3"/>
        <v/>
      </c>
      <c r="M185" s="25">
        <f t="shared" si="35"/>
        <v>0</v>
      </c>
      <c r="N185" s="26">
        <f t="shared" si="36"/>
        <v>0</v>
      </c>
      <c r="O185" s="20" t="str">
        <f>iferror(Planejador!$I$128,"")</f>
        <v/>
      </c>
      <c r="P185" s="20" t="str">
        <f>Planejador!$I$120</f>
        <v/>
      </c>
      <c r="Q185" s="27">
        <f t="shared" si="37"/>
        <v>0</v>
      </c>
      <c r="R185" s="24" t="str">
        <f>Planejador!$I$122</f>
        <v/>
      </c>
      <c r="S185" s="16"/>
      <c r="T185" s="16"/>
      <c r="U185" s="16"/>
      <c r="V185" s="16"/>
      <c r="W185" s="16"/>
      <c r="X185" s="16"/>
      <c r="Y185" s="16"/>
      <c r="Z185" s="16"/>
    </row>
    <row r="186" ht="15.75" hidden="1" customHeight="1" outlineLevel="1">
      <c r="A186" s="17">
        <v>46201.0</v>
      </c>
      <c r="B186" s="18" t="str">
        <f t="shared" si="33"/>
        <v>domingo</v>
      </c>
      <c r="C186" s="19"/>
      <c r="D186" s="20">
        <f>SUMIF('ADV - GG'!A:A,A186,'ADV - GG'!C:C)+SUMIF('ADV - FB'!A:A,$A186,'ADV - FB'!E:E)</f>
        <v>0</v>
      </c>
      <c r="E186" s="21">
        <f>SUMIF('ADV - GG'!A:A,A186,'ADV - GG'!H:H)+SUMIF('ADV - FB'!A:A,$A186,'ADV - FB'!I:I)+SUMIF('ADV - FB'!A:A,$A186,'ADV - FB'!J:J)+SUMIF('ADV - FB'!A:A,$A186,'ADV - FB'!K:K)</f>
        <v>0</v>
      </c>
      <c r="F186" s="20" t="str">
        <f t="shared" si="2"/>
        <v/>
      </c>
      <c r="G186" s="22"/>
      <c r="H186" s="22"/>
      <c r="I186" s="23"/>
      <c r="J186" s="22">
        <f>SUMIF('ADV - GA4'!A:A,A186,'ADV - GA4'!C:C)</f>
        <v>0</v>
      </c>
      <c r="K186" s="20" t="str">
        <f t="shared" si="34"/>
        <v/>
      </c>
      <c r="L186" s="24" t="str">
        <f t="shared" si="3"/>
        <v/>
      </c>
      <c r="M186" s="25">
        <f t="shared" si="35"/>
        <v>0</v>
      </c>
      <c r="N186" s="26">
        <f t="shared" si="36"/>
        <v>0</v>
      </c>
      <c r="O186" s="20" t="str">
        <f>iferror(Planejador!$I$128,"")</f>
        <v/>
      </c>
      <c r="P186" s="20" t="str">
        <f>Planejador!$I$120</f>
        <v/>
      </c>
      <c r="Q186" s="27">
        <f t="shared" si="37"/>
        <v>0</v>
      </c>
      <c r="R186" s="24" t="str">
        <f>Planejador!$I$122</f>
        <v/>
      </c>
      <c r="S186" s="16"/>
      <c r="T186" s="16"/>
      <c r="U186" s="16"/>
      <c r="V186" s="16"/>
      <c r="W186" s="16"/>
      <c r="X186" s="16"/>
      <c r="Y186" s="16"/>
      <c r="Z186" s="16"/>
    </row>
    <row r="187" ht="15.75" hidden="1" customHeight="1" outlineLevel="1">
      <c r="A187" s="17">
        <v>46202.0</v>
      </c>
      <c r="B187" s="18" t="str">
        <f t="shared" si="33"/>
        <v>segunda-feira</v>
      </c>
      <c r="C187" s="19"/>
      <c r="D187" s="20">
        <f>SUMIF('ADV - GG'!A:A,A187,'ADV - GG'!C:C)+SUMIF('ADV - FB'!A:A,$A187,'ADV - FB'!E:E)</f>
        <v>0</v>
      </c>
      <c r="E187" s="21">
        <f>SUMIF('ADV - GG'!A:A,A187,'ADV - GG'!H:H)+SUMIF('ADV - FB'!A:A,$A187,'ADV - FB'!I:I)+SUMIF('ADV - FB'!A:A,$A187,'ADV - FB'!J:J)+SUMIF('ADV - FB'!A:A,$A187,'ADV - FB'!K:K)</f>
        <v>0</v>
      </c>
      <c r="F187" s="20" t="str">
        <f t="shared" si="2"/>
        <v/>
      </c>
      <c r="G187" s="22"/>
      <c r="H187" s="22"/>
      <c r="I187" s="23"/>
      <c r="J187" s="22">
        <f>SUMIF('ADV - GA4'!A:A,A187,'ADV - GA4'!C:C)</f>
        <v>0</v>
      </c>
      <c r="K187" s="20" t="str">
        <f t="shared" si="34"/>
        <v/>
      </c>
      <c r="L187" s="24" t="str">
        <f t="shared" si="3"/>
        <v/>
      </c>
      <c r="M187" s="25">
        <f t="shared" si="35"/>
        <v>0</v>
      </c>
      <c r="N187" s="26">
        <f t="shared" si="36"/>
        <v>0</v>
      </c>
      <c r="O187" s="20" t="str">
        <f>iferror(Planejador!$I$128,"")</f>
        <v/>
      </c>
      <c r="P187" s="20" t="str">
        <f>Planejador!$I$120</f>
        <v/>
      </c>
      <c r="Q187" s="27">
        <f t="shared" si="37"/>
        <v>0</v>
      </c>
      <c r="R187" s="24" t="str">
        <f>Planejador!$I$122</f>
        <v/>
      </c>
      <c r="S187" s="16"/>
      <c r="T187" s="16"/>
      <c r="U187" s="16"/>
      <c r="V187" s="16"/>
      <c r="W187" s="16"/>
      <c r="X187" s="16"/>
      <c r="Y187" s="16"/>
      <c r="Z187" s="16"/>
    </row>
    <row r="188" ht="15.75" hidden="1" customHeight="1" outlineLevel="1">
      <c r="A188" s="17">
        <v>46203.0</v>
      </c>
      <c r="B188" s="18" t="str">
        <f t="shared" si="33"/>
        <v>terça-feira</v>
      </c>
      <c r="C188" s="19"/>
      <c r="D188" s="20">
        <f>SUMIF('ADV - GG'!A:A,A188,'ADV - GG'!C:C)+SUMIF('ADV - FB'!A:A,$A188,'ADV - FB'!E:E)</f>
        <v>0</v>
      </c>
      <c r="E188" s="21">
        <f>SUMIF('ADV - GG'!A:A,A188,'ADV - GG'!H:H)+SUMIF('ADV - FB'!A:A,$A188,'ADV - FB'!I:I)+SUMIF('ADV - FB'!A:A,$A188,'ADV - FB'!J:J)+SUMIF('ADV - FB'!A:A,$A188,'ADV - FB'!K:K)</f>
        <v>0</v>
      </c>
      <c r="F188" s="20" t="str">
        <f t="shared" si="2"/>
        <v/>
      </c>
      <c r="G188" s="22"/>
      <c r="H188" s="22"/>
      <c r="I188" s="23"/>
      <c r="J188" s="22">
        <f>SUMIF('ADV - GA4'!A:A,A188,'ADV - GA4'!C:C)</f>
        <v>0</v>
      </c>
      <c r="K188" s="20" t="str">
        <f t="shared" si="34"/>
        <v/>
      </c>
      <c r="L188" s="24" t="str">
        <f t="shared" si="3"/>
        <v/>
      </c>
      <c r="M188" s="25">
        <f t="shared" si="35"/>
        <v>0</v>
      </c>
      <c r="N188" s="26">
        <f t="shared" si="36"/>
        <v>0</v>
      </c>
      <c r="O188" s="20" t="str">
        <f>iferror(Planejador!$I$128,"")</f>
        <v/>
      </c>
      <c r="P188" s="20" t="str">
        <f>Planejador!$I$120</f>
        <v/>
      </c>
      <c r="Q188" s="27">
        <f t="shared" si="37"/>
        <v>0</v>
      </c>
      <c r="R188" s="24" t="str">
        <f>Planejador!$I$122</f>
        <v/>
      </c>
      <c r="S188" s="16"/>
      <c r="T188" s="16"/>
      <c r="U188" s="16"/>
      <c r="V188" s="16"/>
      <c r="W188" s="16"/>
      <c r="X188" s="16"/>
      <c r="Y188" s="16"/>
      <c r="Z188" s="16"/>
    </row>
    <row r="189" ht="22.5" customHeight="1" collapsed="1">
      <c r="A189" s="28" t="s">
        <v>31</v>
      </c>
      <c r="B189" s="29">
        <v>31.0</v>
      </c>
      <c r="C189" s="30"/>
      <c r="D189" s="10">
        <f>IFERROR(SUM(D190:D220),"")</f>
        <v>0</v>
      </c>
      <c r="E189" s="11">
        <f>iferror(SUM(E190:E220),"")</f>
        <v>0</v>
      </c>
      <c r="F189" s="14" t="str">
        <f t="shared" si="2"/>
        <v/>
      </c>
      <c r="G189" s="13">
        <f t="shared" ref="G189:I189" si="38">iferror(SUM(G190:G220),"")</f>
        <v>0</v>
      </c>
      <c r="H189" s="13">
        <f t="shared" si="38"/>
        <v>0</v>
      </c>
      <c r="I189" s="10">
        <f t="shared" si="38"/>
        <v>0</v>
      </c>
      <c r="J189" s="13">
        <f>IFERROR(SUM(J190:J220),"")</f>
        <v>0</v>
      </c>
      <c r="K189" s="14" t="str">
        <f>iferror(D189/J189,"")</f>
        <v/>
      </c>
      <c r="L189" s="15" t="str">
        <f t="shared" si="3"/>
        <v/>
      </c>
      <c r="M189" s="10" t="str">
        <f>Planejador!$I$142</f>
        <v/>
      </c>
      <c r="N189" s="13" t="str">
        <f>iferror(Planejador!$I$149,"")</f>
        <v/>
      </c>
      <c r="O189" s="14" t="str">
        <f>iferror(Planejador!$I$151,"")</f>
        <v/>
      </c>
      <c r="P189" s="14" t="str">
        <f>iferror(Planejador!$I$143,"")</f>
        <v/>
      </c>
      <c r="Q189" s="13" t="str">
        <f>iferror(Planejador!$I$148,"")</f>
        <v/>
      </c>
      <c r="R189" s="15" t="str">
        <f>Iferror(Planejador!$I$145,"")</f>
        <v/>
      </c>
      <c r="S189" s="31"/>
      <c r="T189" s="31"/>
      <c r="U189" s="31"/>
      <c r="V189" s="31"/>
      <c r="W189" s="31"/>
      <c r="X189" s="31"/>
      <c r="Y189" s="31"/>
      <c r="Z189" s="31"/>
    </row>
    <row r="190" ht="15.75" hidden="1" customHeight="1" outlineLevel="1">
      <c r="A190" s="17">
        <v>46204.0</v>
      </c>
      <c r="B190" s="18" t="str">
        <f t="shared" ref="B190:B220" si="39">TEXT(A190,"dddd")</f>
        <v>quarta-feira</v>
      </c>
      <c r="C190" s="19"/>
      <c r="D190" s="20">
        <f>SUMIF('ADV - GG'!A:A,A190,'ADV - GG'!C:C)+SUMIF('ADV - FB'!A:A,$A190,'ADV - FB'!E:E)</f>
        <v>0</v>
      </c>
      <c r="E190" s="21">
        <f>SUMIF('ADV - GG'!A:A,A190,'ADV - GG'!H:H)+SUMIF('ADV - FB'!A:A,$A190,'ADV - FB'!I:I)+SUMIF('ADV - FB'!A:A,$A190,'ADV - FB'!J:J)+SUMIF('ADV - FB'!A:A,$A190,'ADV - FB'!K:K)</f>
        <v>0</v>
      </c>
      <c r="F190" s="20" t="str">
        <f t="shared" si="2"/>
        <v/>
      </c>
      <c r="G190" s="22"/>
      <c r="H190" s="22"/>
      <c r="I190" s="23"/>
      <c r="J190" s="22">
        <f>SUMIF('ADV - GA4'!A:A,A190,'ADV - GA4'!C:C)</f>
        <v>0</v>
      </c>
      <c r="K190" s="20" t="str">
        <f t="shared" ref="K190:K220" si="40">IFERROR(D190/J190,"")</f>
        <v/>
      </c>
      <c r="L190" s="24" t="str">
        <f t="shared" si="3"/>
        <v/>
      </c>
      <c r="M190" s="25">
        <f t="shared" ref="M190:M220" si="41">$M$189/$B$189</f>
        <v>0</v>
      </c>
      <c r="N190" s="26">
        <f t="shared" ref="N190:N220" si="42">iferror($N$189/$B$189,"")</f>
        <v>0</v>
      </c>
      <c r="O190" s="20" t="str">
        <f>iferror(Planejador!$I$151,"")</f>
        <v/>
      </c>
      <c r="P190" s="20" t="str">
        <f>Planejador!$I$143</f>
        <v/>
      </c>
      <c r="Q190" s="27">
        <f t="shared" ref="Q190:Q220" si="43">$Q$189/$B$189</f>
        <v>0</v>
      </c>
      <c r="R190" s="24" t="str">
        <f>Planejador!$I$145</f>
        <v/>
      </c>
      <c r="S190" s="16"/>
      <c r="T190" s="16"/>
      <c r="U190" s="16"/>
      <c r="V190" s="16"/>
      <c r="W190" s="16"/>
      <c r="X190" s="16"/>
      <c r="Y190" s="16"/>
      <c r="Z190" s="16"/>
    </row>
    <row r="191" ht="15.75" hidden="1" customHeight="1" outlineLevel="1">
      <c r="A191" s="17">
        <v>46205.0</v>
      </c>
      <c r="B191" s="18" t="str">
        <f t="shared" si="39"/>
        <v>quinta-feira</v>
      </c>
      <c r="C191" s="19"/>
      <c r="D191" s="20">
        <f>SUMIF('ADV - GG'!A:A,A191,'ADV - GG'!C:C)+SUMIF('ADV - FB'!A:A,$A191,'ADV - FB'!E:E)</f>
        <v>0</v>
      </c>
      <c r="E191" s="21">
        <f>SUMIF('ADV - GG'!A:A,A191,'ADV - GG'!H:H)+SUMIF('ADV - FB'!A:A,$A191,'ADV - FB'!I:I)+SUMIF('ADV - FB'!A:A,$A191,'ADV - FB'!J:J)+SUMIF('ADV - FB'!A:A,$A191,'ADV - FB'!K:K)</f>
        <v>0</v>
      </c>
      <c r="F191" s="20" t="str">
        <f t="shared" si="2"/>
        <v/>
      </c>
      <c r="G191" s="22"/>
      <c r="H191" s="22"/>
      <c r="I191" s="23"/>
      <c r="J191" s="22">
        <f>SUMIF('ADV - GA4'!A:A,A191,'ADV - GA4'!C:C)</f>
        <v>0</v>
      </c>
      <c r="K191" s="20" t="str">
        <f t="shared" si="40"/>
        <v/>
      </c>
      <c r="L191" s="24" t="str">
        <f t="shared" si="3"/>
        <v/>
      </c>
      <c r="M191" s="25">
        <f t="shared" si="41"/>
        <v>0</v>
      </c>
      <c r="N191" s="26">
        <f t="shared" si="42"/>
        <v>0</v>
      </c>
      <c r="O191" s="20" t="str">
        <f>iferror(Planejador!$I$151,"")</f>
        <v/>
      </c>
      <c r="P191" s="20" t="str">
        <f>Planejador!$I$143</f>
        <v/>
      </c>
      <c r="Q191" s="27">
        <f t="shared" si="43"/>
        <v>0</v>
      </c>
      <c r="R191" s="24" t="str">
        <f>Planejador!$I$145</f>
        <v/>
      </c>
      <c r="S191" s="16"/>
      <c r="T191" s="16"/>
      <c r="U191" s="16"/>
      <c r="V191" s="16"/>
      <c r="W191" s="16"/>
      <c r="X191" s="16"/>
      <c r="Y191" s="16"/>
      <c r="Z191" s="16"/>
    </row>
    <row r="192" ht="15.75" hidden="1" customHeight="1" outlineLevel="1">
      <c r="A192" s="17">
        <v>46206.0</v>
      </c>
      <c r="B192" s="18" t="str">
        <f t="shared" si="39"/>
        <v>sexta-feira</v>
      </c>
      <c r="C192" s="19"/>
      <c r="D192" s="20">
        <f>SUMIF('ADV - GG'!A:A,A192,'ADV - GG'!C:C)+SUMIF('ADV - FB'!A:A,$A192,'ADV - FB'!E:E)</f>
        <v>0</v>
      </c>
      <c r="E192" s="21">
        <f>SUMIF('ADV - GG'!A:A,A192,'ADV - GG'!H:H)+SUMIF('ADV - FB'!A:A,$A192,'ADV - FB'!I:I)+SUMIF('ADV - FB'!A:A,$A192,'ADV - FB'!J:J)+SUMIF('ADV - FB'!A:A,$A192,'ADV - FB'!K:K)</f>
        <v>0</v>
      </c>
      <c r="F192" s="20" t="str">
        <f t="shared" si="2"/>
        <v/>
      </c>
      <c r="G192" s="22"/>
      <c r="H192" s="22"/>
      <c r="I192" s="23"/>
      <c r="J192" s="22">
        <f>SUMIF('ADV - GA4'!A:A,A192,'ADV - GA4'!C:C)</f>
        <v>0</v>
      </c>
      <c r="K192" s="20" t="str">
        <f t="shared" si="40"/>
        <v/>
      </c>
      <c r="L192" s="24" t="str">
        <f t="shared" si="3"/>
        <v/>
      </c>
      <c r="M192" s="25">
        <f t="shared" si="41"/>
        <v>0</v>
      </c>
      <c r="N192" s="26">
        <f t="shared" si="42"/>
        <v>0</v>
      </c>
      <c r="O192" s="20" t="str">
        <f>iferror(Planejador!$I$151,"")</f>
        <v/>
      </c>
      <c r="P192" s="20" t="str">
        <f>Planejador!$I$143</f>
        <v/>
      </c>
      <c r="Q192" s="27">
        <f t="shared" si="43"/>
        <v>0</v>
      </c>
      <c r="R192" s="24" t="str">
        <f>Planejador!$I$145</f>
        <v/>
      </c>
      <c r="S192" s="16"/>
      <c r="T192" s="16"/>
      <c r="U192" s="16"/>
      <c r="V192" s="16"/>
      <c r="W192" s="16"/>
      <c r="X192" s="16"/>
      <c r="Y192" s="16"/>
      <c r="Z192" s="16"/>
    </row>
    <row r="193" ht="15.75" hidden="1" customHeight="1" outlineLevel="1">
      <c r="A193" s="17">
        <v>46207.0</v>
      </c>
      <c r="B193" s="18" t="str">
        <f t="shared" si="39"/>
        <v>sábado</v>
      </c>
      <c r="C193" s="19"/>
      <c r="D193" s="20">
        <f>SUMIF('ADV - GG'!A:A,A193,'ADV - GG'!C:C)+SUMIF('ADV - FB'!A:A,$A193,'ADV - FB'!E:E)</f>
        <v>0</v>
      </c>
      <c r="E193" s="21">
        <f>SUMIF('ADV - GG'!A:A,A193,'ADV - GG'!H:H)+SUMIF('ADV - FB'!A:A,$A193,'ADV - FB'!I:I)+SUMIF('ADV - FB'!A:A,$A193,'ADV - FB'!J:J)+SUMIF('ADV - FB'!A:A,$A193,'ADV - FB'!K:K)</f>
        <v>0</v>
      </c>
      <c r="F193" s="20" t="str">
        <f t="shared" si="2"/>
        <v/>
      </c>
      <c r="G193" s="22"/>
      <c r="H193" s="22"/>
      <c r="I193" s="23"/>
      <c r="J193" s="22">
        <f>SUMIF('ADV - GA4'!A:A,A193,'ADV - GA4'!C:C)</f>
        <v>0</v>
      </c>
      <c r="K193" s="20" t="str">
        <f t="shared" si="40"/>
        <v/>
      </c>
      <c r="L193" s="24" t="str">
        <f t="shared" si="3"/>
        <v/>
      </c>
      <c r="M193" s="25">
        <f t="shared" si="41"/>
        <v>0</v>
      </c>
      <c r="N193" s="26">
        <f t="shared" si="42"/>
        <v>0</v>
      </c>
      <c r="O193" s="20" t="str">
        <f>iferror(Planejador!$I$151,"")</f>
        <v/>
      </c>
      <c r="P193" s="20" t="str">
        <f>Planejador!$I$143</f>
        <v/>
      </c>
      <c r="Q193" s="27">
        <f t="shared" si="43"/>
        <v>0</v>
      </c>
      <c r="R193" s="24" t="str">
        <f>Planejador!$I$145</f>
        <v/>
      </c>
      <c r="S193" s="16"/>
      <c r="T193" s="16"/>
      <c r="U193" s="16"/>
      <c r="V193" s="16"/>
      <c r="W193" s="16"/>
      <c r="X193" s="16"/>
      <c r="Y193" s="16"/>
      <c r="Z193" s="16"/>
    </row>
    <row r="194" ht="15.75" hidden="1" customHeight="1" outlineLevel="1">
      <c r="A194" s="17">
        <v>46208.0</v>
      </c>
      <c r="B194" s="18" t="str">
        <f t="shared" si="39"/>
        <v>domingo</v>
      </c>
      <c r="C194" s="19"/>
      <c r="D194" s="20">
        <f>SUMIF('ADV - GG'!A:A,A194,'ADV - GG'!C:C)+SUMIF('ADV - FB'!A:A,$A194,'ADV - FB'!E:E)</f>
        <v>0</v>
      </c>
      <c r="E194" s="21">
        <f>SUMIF('ADV - GG'!A:A,A194,'ADV - GG'!H:H)+SUMIF('ADV - FB'!A:A,$A194,'ADV - FB'!I:I)+SUMIF('ADV - FB'!A:A,$A194,'ADV - FB'!J:J)+SUMIF('ADV - FB'!A:A,$A194,'ADV - FB'!K:K)</f>
        <v>0</v>
      </c>
      <c r="F194" s="20" t="str">
        <f t="shared" si="2"/>
        <v/>
      </c>
      <c r="G194" s="22"/>
      <c r="H194" s="22"/>
      <c r="I194" s="23"/>
      <c r="J194" s="22">
        <f>SUMIF('ADV - GA4'!A:A,A194,'ADV - GA4'!C:C)</f>
        <v>0</v>
      </c>
      <c r="K194" s="20" t="str">
        <f t="shared" si="40"/>
        <v/>
      </c>
      <c r="L194" s="24" t="str">
        <f t="shared" si="3"/>
        <v/>
      </c>
      <c r="M194" s="25">
        <f t="shared" si="41"/>
        <v>0</v>
      </c>
      <c r="N194" s="26">
        <f t="shared" si="42"/>
        <v>0</v>
      </c>
      <c r="O194" s="20" t="str">
        <f>iferror(Planejador!$I$151,"")</f>
        <v/>
      </c>
      <c r="P194" s="20" t="str">
        <f>Planejador!$I$143</f>
        <v/>
      </c>
      <c r="Q194" s="27">
        <f t="shared" si="43"/>
        <v>0</v>
      </c>
      <c r="R194" s="24" t="str">
        <f>Planejador!$I$145</f>
        <v/>
      </c>
      <c r="S194" s="16"/>
      <c r="T194" s="16"/>
      <c r="U194" s="16"/>
      <c r="V194" s="16"/>
      <c r="W194" s="16"/>
      <c r="X194" s="16"/>
      <c r="Y194" s="16"/>
      <c r="Z194" s="16"/>
    </row>
    <row r="195" ht="15.75" hidden="1" customHeight="1" outlineLevel="1">
      <c r="A195" s="17">
        <v>46209.0</v>
      </c>
      <c r="B195" s="18" t="str">
        <f t="shared" si="39"/>
        <v>segunda-feira</v>
      </c>
      <c r="C195" s="19"/>
      <c r="D195" s="20">
        <f>SUMIF('ADV - GG'!A:A,A195,'ADV - GG'!C:C)+SUMIF('ADV - FB'!A:A,$A195,'ADV - FB'!E:E)</f>
        <v>0</v>
      </c>
      <c r="E195" s="21">
        <f>SUMIF('ADV - GG'!A:A,A195,'ADV - GG'!H:H)+SUMIF('ADV - FB'!A:A,$A195,'ADV - FB'!I:I)+SUMIF('ADV - FB'!A:A,$A195,'ADV - FB'!J:J)+SUMIF('ADV - FB'!A:A,$A195,'ADV - FB'!K:K)</f>
        <v>0</v>
      </c>
      <c r="F195" s="20" t="str">
        <f t="shared" si="2"/>
        <v/>
      </c>
      <c r="G195" s="22"/>
      <c r="H195" s="22"/>
      <c r="I195" s="23"/>
      <c r="J195" s="22">
        <f>SUMIF('ADV - GA4'!A:A,A195,'ADV - GA4'!C:C)</f>
        <v>0</v>
      </c>
      <c r="K195" s="20" t="str">
        <f t="shared" si="40"/>
        <v/>
      </c>
      <c r="L195" s="24" t="str">
        <f t="shared" si="3"/>
        <v/>
      </c>
      <c r="M195" s="25">
        <f t="shared" si="41"/>
        <v>0</v>
      </c>
      <c r="N195" s="26">
        <f t="shared" si="42"/>
        <v>0</v>
      </c>
      <c r="O195" s="20" t="str">
        <f>iferror(Planejador!$I$151,"")</f>
        <v/>
      </c>
      <c r="P195" s="20" t="str">
        <f>Planejador!$I$143</f>
        <v/>
      </c>
      <c r="Q195" s="27">
        <f t="shared" si="43"/>
        <v>0</v>
      </c>
      <c r="R195" s="24" t="str">
        <f>Planejador!$I$145</f>
        <v/>
      </c>
      <c r="S195" s="16"/>
      <c r="T195" s="16"/>
      <c r="U195" s="16"/>
      <c r="V195" s="16"/>
      <c r="W195" s="16"/>
      <c r="X195" s="16"/>
      <c r="Y195" s="16"/>
      <c r="Z195" s="16"/>
    </row>
    <row r="196" ht="15.75" hidden="1" customHeight="1" outlineLevel="1">
      <c r="A196" s="17">
        <v>46210.0</v>
      </c>
      <c r="B196" s="18" t="str">
        <f t="shared" si="39"/>
        <v>terça-feira</v>
      </c>
      <c r="C196" s="19"/>
      <c r="D196" s="20">
        <f>SUMIF('ADV - GG'!A:A,A196,'ADV - GG'!C:C)+SUMIF('ADV - FB'!A:A,$A196,'ADV - FB'!E:E)</f>
        <v>0</v>
      </c>
      <c r="E196" s="21">
        <f>SUMIF('ADV - GG'!A:A,A196,'ADV - GG'!H:H)+SUMIF('ADV - FB'!A:A,$A196,'ADV - FB'!I:I)+SUMIF('ADV - FB'!A:A,$A196,'ADV - FB'!J:J)+SUMIF('ADV - FB'!A:A,$A196,'ADV - FB'!K:K)</f>
        <v>0</v>
      </c>
      <c r="F196" s="20" t="str">
        <f t="shared" si="2"/>
        <v/>
      </c>
      <c r="G196" s="22"/>
      <c r="H196" s="22"/>
      <c r="I196" s="23"/>
      <c r="J196" s="22">
        <f>SUMIF('ADV - GA4'!A:A,A196,'ADV - GA4'!C:C)</f>
        <v>0</v>
      </c>
      <c r="K196" s="20" t="str">
        <f t="shared" si="40"/>
        <v/>
      </c>
      <c r="L196" s="24" t="str">
        <f t="shared" si="3"/>
        <v/>
      </c>
      <c r="M196" s="25">
        <f t="shared" si="41"/>
        <v>0</v>
      </c>
      <c r="N196" s="26">
        <f t="shared" si="42"/>
        <v>0</v>
      </c>
      <c r="O196" s="20" t="str">
        <f>iferror(Planejador!$I$151,"")</f>
        <v/>
      </c>
      <c r="P196" s="20" t="str">
        <f>Planejador!$I$143</f>
        <v/>
      </c>
      <c r="Q196" s="27">
        <f t="shared" si="43"/>
        <v>0</v>
      </c>
      <c r="R196" s="24" t="str">
        <f>Planejador!$I$145</f>
        <v/>
      </c>
      <c r="S196" s="16"/>
      <c r="T196" s="16"/>
      <c r="U196" s="16"/>
      <c r="V196" s="16"/>
      <c r="W196" s="16"/>
      <c r="X196" s="16"/>
      <c r="Y196" s="16"/>
      <c r="Z196" s="16"/>
    </row>
    <row r="197" ht="15.75" hidden="1" customHeight="1" outlineLevel="1">
      <c r="A197" s="17">
        <v>46211.0</v>
      </c>
      <c r="B197" s="18" t="str">
        <f t="shared" si="39"/>
        <v>quarta-feira</v>
      </c>
      <c r="C197" s="19"/>
      <c r="D197" s="20">
        <f>SUMIF('ADV - GG'!A:A,A197,'ADV - GG'!C:C)+SUMIF('ADV - FB'!A:A,$A197,'ADV - FB'!E:E)</f>
        <v>0</v>
      </c>
      <c r="E197" s="21">
        <f>SUMIF('ADV - GG'!A:A,A197,'ADV - GG'!H:H)+SUMIF('ADV - FB'!A:A,$A197,'ADV - FB'!I:I)+SUMIF('ADV - FB'!A:A,$A197,'ADV - FB'!J:J)+SUMIF('ADV - FB'!A:A,$A197,'ADV - FB'!K:K)</f>
        <v>0</v>
      </c>
      <c r="F197" s="20" t="str">
        <f t="shared" si="2"/>
        <v/>
      </c>
      <c r="G197" s="22"/>
      <c r="H197" s="22"/>
      <c r="I197" s="23"/>
      <c r="J197" s="22">
        <f>SUMIF('ADV - GA4'!A:A,A197,'ADV - GA4'!C:C)</f>
        <v>0</v>
      </c>
      <c r="K197" s="20" t="str">
        <f t="shared" si="40"/>
        <v/>
      </c>
      <c r="L197" s="24" t="str">
        <f t="shared" si="3"/>
        <v/>
      </c>
      <c r="M197" s="25">
        <f t="shared" si="41"/>
        <v>0</v>
      </c>
      <c r="N197" s="26">
        <f t="shared" si="42"/>
        <v>0</v>
      </c>
      <c r="O197" s="20" t="str">
        <f>iferror(Planejador!$I$151,"")</f>
        <v/>
      </c>
      <c r="P197" s="20" t="str">
        <f>Planejador!$I$143</f>
        <v/>
      </c>
      <c r="Q197" s="27">
        <f t="shared" si="43"/>
        <v>0</v>
      </c>
      <c r="R197" s="24" t="str">
        <f>Planejador!$I$145</f>
        <v/>
      </c>
      <c r="S197" s="16"/>
      <c r="T197" s="16"/>
      <c r="U197" s="16"/>
      <c r="V197" s="16"/>
      <c r="W197" s="16"/>
      <c r="X197" s="16"/>
      <c r="Y197" s="16"/>
      <c r="Z197" s="16"/>
    </row>
    <row r="198" ht="15.75" hidden="1" customHeight="1" outlineLevel="1">
      <c r="A198" s="17">
        <v>46212.0</v>
      </c>
      <c r="B198" s="18" t="str">
        <f t="shared" si="39"/>
        <v>quinta-feira</v>
      </c>
      <c r="C198" s="19"/>
      <c r="D198" s="20">
        <f>SUMIF('ADV - GG'!A:A,A198,'ADV - GG'!C:C)+SUMIF('ADV - FB'!A:A,$A198,'ADV - FB'!E:E)</f>
        <v>0</v>
      </c>
      <c r="E198" s="21">
        <f>SUMIF('ADV - GG'!A:A,A198,'ADV - GG'!H:H)+SUMIF('ADV - FB'!A:A,$A198,'ADV - FB'!I:I)+SUMIF('ADV - FB'!A:A,$A198,'ADV - FB'!J:J)+SUMIF('ADV - FB'!A:A,$A198,'ADV - FB'!K:K)</f>
        <v>0</v>
      </c>
      <c r="F198" s="20" t="str">
        <f t="shared" si="2"/>
        <v/>
      </c>
      <c r="G198" s="22"/>
      <c r="H198" s="22"/>
      <c r="I198" s="23"/>
      <c r="J198" s="22">
        <f>SUMIF('ADV - GA4'!A:A,A198,'ADV - GA4'!C:C)</f>
        <v>0</v>
      </c>
      <c r="K198" s="20" t="str">
        <f t="shared" si="40"/>
        <v/>
      </c>
      <c r="L198" s="24" t="str">
        <f t="shared" si="3"/>
        <v/>
      </c>
      <c r="M198" s="25">
        <f t="shared" si="41"/>
        <v>0</v>
      </c>
      <c r="N198" s="26">
        <f t="shared" si="42"/>
        <v>0</v>
      </c>
      <c r="O198" s="20" t="str">
        <f>iferror(Planejador!$I$151,"")</f>
        <v/>
      </c>
      <c r="P198" s="20" t="str">
        <f>Planejador!$I$143</f>
        <v/>
      </c>
      <c r="Q198" s="27">
        <f t="shared" si="43"/>
        <v>0</v>
      </c>
      <c r="R198" s="24" t="str">
        <f>Planejador!$I$145</f>
        <v/>
      </c>
      <c r="S198" s="16"/>
      <c r="T198" s="16"/>
      <c r="U198" s="16"/>
      <c r="V198" s="16"/>
      <c r="W198" s="16"/>
      <c r="X198" s="16"/>
      <c r="Y198" s="16"/>
      <c r="Z198" s="16"/>
    </row>
    <row r="199" ht="15.75" hidden="1" customHeight="1" outlineLevel="1">
      <c r="A199" s="17">
        <v>46213.0</v>
      </c>
      <c r="B199" s="18" t="str">
        <f t="shared" si="39"/>
        <v>sexta-feira</v>
      </c>
      <c r="C199" s="19"/>
      <c r="D199" s="20">
        <f>SUMIF('ADV - GG'!A:A,A199,'ADV - GG'!C:C)+SUMIF('ADV - FB'!A:A,$A199,'ADV - FB'!E:E)</f>
        <v>0</v>
      </c>
      <c r="E199" s="21">
        <f>SUMIF('ADV - GG'!A:A,A199,'ADV - GG'!H:H)+SUMIF('ADV - FB'!A:A,$A199,'ADV - FB'!I:I)+SUMIF('ADV - FB'!A:A,$A199,'ADV - FB'!J:J)+SUMIF('ADV - FB'!A:A,$A199,'ADV - FB'!K:K)</f>
        <v>0</v>
      </c>
      <c r="F199" s="20" t="str">
        <f t="shared" si="2"/>
        <v/>
      </c>
      <c r="G199" s="22"/>
      <c r="H199" s="22"/>
      <c r="I199" s="23"/>
      <c r="J199" s="22">
        <f>SUMIF('ADV - GA4'!A:A,A199,'ADV - GA4'!C:C)</f>
        <v>0</v>
      </c>
      <c r="K199" s="20" t="str">
        <f t="shared" si="40"/>
        <v/>
      </c>
      <c r="L199" s="24" t="str">
        <f t="shared" si="3"/>
        <v/>
      </c>
      <c r="M199" s="25">
        <f t="shared" si="41"/>
        <v>0</v>
      </c>
      <c r="N199" s="26">
        <f t="shared" si="42"/>
        <v>0</v>
      </c>
      <c r="O199" s="20" t="str">
        <f>iferror(Planejador!$I$151,"")</f>
        <v/>
      </c>
      <c r="P199" s="20" t="str">
        <f>Planejador!$I$143</f>
        <v/>
      </c>
      <c r="Q199" s="27">
        <f t="shared" si="43"/>
        <v>0</v>
      </c>
      <c r="R199" s="24" t="str">
        <f>Planejador!$I$145</f>
        <v/>
      </c>
      <c r="S199" s="16"/>
      <c r="T199" s="16"/>
      <c r="U199" s="16"/>
      <c r="V199" s="16"/>
      <c r="W199" s="16"/>
      <c r="X199" s="16"/>
      <c r="Y199" s="16"/>
      <c r="Z199" s="16"/>
    </row>
    <row r="200" ht="15.75" hidden="1" customHeight="1" outlineLevel="1">
      <c r="A200" s="17">
        <v>46214.0</v>
      </c>
      <c r="B200" s="18" t="str">
        <f t="shared" si="39"/>
        <v>sábado</v>
      </c>
      <c r="C200" s="19"/>
      <c r="D200" s="20">
        <f>SUMIF('ADV - GG'!A:A,A200,'ADV - GG'!C:C)+SUMIF('ADV - FB'!A:A,$A200,'ADV - FB'!E:E)</f>
        <v>0</v>
      </c>
      <c r="E200" s="21">
        <f>SUMIF('ADV - GG'!A:A,A200,'ADV - GG'!H:H)+SUMIF('ADV - FB'!A:A,$A200,'ADV - FB'!I:I)+SUMIF('ADV - FB'!A:A,$A200,'ADV - FB'!J:J)+SUMIF('ADV - FB'!A:A,$A200,'ADV - FB'!K:K)</f>
        <v>0</v>
      </c>
      <c r="F200" s="20" t="str">
        <f t="shared" si="2"/>
        <v/>
      </c>
      <c r="G200" s="22"/>
      <c r="H200" s="22"/>
      <c r="I200" s="23"/>
      <c r="J200" s="22">
        <f>SUMIF('ADV - GA4'!A:A,A200,'ADV - GA4'!C:C)</f>
        <v>0</v>
      </c>
      <c r="K200" s="20" t="str">
        <f t="shared" si="40"/>
        <v/>
      </c>
      <c r="L200" s="24" t="str">
        <f t="shared" si="3"/>
        <v/>
      </c>
      <c r="M200" s="25">
        <f t="shared" si="41"/>
        <v>0</v>
      </c>
      <c r="N200" s="26">
        <f t="shared" si="42"/>
        <v>0</v>
      </c>
      <c r="O200" s="20" t="str">
        <f>iferror(Planejador!$I$151,"")</f>
        <v/>
      </c>
      <c r="P200" s="20" t="str">
        <f>Planejador!$I$143</f>
        <v/>
      </c>
      <c r="Q200" s="27">
        <f t="shared" si="43"/>
        <v>0</v>
      </c>
      <c r="R200" s="24" t="str">
        <f>Planejador!$I$145</f>
        <v/>
      </c>
      <c r="S200" s="16"/>
      <c r="T200" s="16"/>
      <c r="U200" s="16"/>
      <c r="V200" s="16"/>
      <c r="W200" s="16"/>
      <c r="X200" s="16"/>
      <c r="Y200" s="16"/>
      <c r="Z200" s="16"/>
    </row>
    <row r="201" ht="15.75" hidden="1" customHeight="1" outlineLevel="1">
      <c r="A201" s="17">
        <v>46215.0</v>
      </c>
      <c r="B201" s="18" t="str">
        <f t="shared" si="39"/>
        <v>domingo</v>
      </c>
      <c r="C201" s="19"/>
      <c r="D201" s="20">
        <f>SUMIF('ADV - GG'!A:A,A201,'ADV - GG'!C:C)+SUMIF('ADV - FB'!A:A,$A201,'ADV - FB'!E:E)</f>
        <v>0</v>
      </c>
      <c r="E201" s="21">
        <f>SUMIF('ADV - GG'!A:A,A201,'ADV - GG'!H:H)+SUMIF('ADV - FB'!A:A,$A201,'ADV - FB'!I:I)+SUMIF('ADV - FB'!A:A,$A201,'ADV - FB'!J:J)+SUMIF('ADV - FB'!A:A,$A201,'ADV - FB'!K:K)</f>
        <v>0</v>
      </c>
      <c r="F201" s="20" t="str">
        <f t="shared" si="2"/>
        <v/>
      </c>
      <c r="G201" s="22"/>
      <c r="H201" s="22"/>
      <c r="I201" s="23"/>
      <c r="J201" s="22">
        <f>SUMIF('ADV - GA4'!A:A,A201,'ADV - GA4'!C:C)</f>
        <v>0</v>
      </c>
      <c r="K201" s="20" t="str">
        <f t="shared" si="40"/>
        <v/>
      </c>
      <c r="L201" s="24" t="str">
        <f t="shared" si="3"/>
        <v/>
      </c>
      <c r="M201" s="25">
        <f t="shared" si="41"/>
        <v>0</v>
      </c>
      <c r="N201" s="26">
        <f t="shared" si="42"/>
        <v>0</v>
      </c>
      <c r="O201" s="20" t="str">
        <f>iferror(Planejador!$I$151,"")</f>
        <v/>
      </c>
      <c r="P201" s="20" t="str">
        <f>Planejador!$I$143</f>
        <v/>
      </c>
      <c r="Q201" s="27">
        <f t="shared" si="43"/>
        <v>0</v>
      </c>
      <c r="R201" s="24" t="str">
        <f>Planejador!$I$145</f>
        <v/>
      </c>
      <c r="S201" s="16"/>
      <c r="T201" s="16"/>
      <c r="U201" s="16"/>
      <c r="V201" s="16"/>
      <c r="W201" s="16"/>
      <c r="X201" s="16"/>
      <c r="Y201" s="16"/>
      <c r="Z201" s="16"/>
    </row>
    <row r="202" ht="15.75" hidden="1" customHeight="1" outlineLevel="1">
      <c r="A202" s="17">
        <v>46216.0</v>
      </c>
      <c r="B202" s="18" t="str">
        <f t="shared" si="39"/>
        <v>segunda-feira</v>
      </c>
      <c r="C202" s="19"/>
      <c r="D202" s="20">
        <f>SUMIF('ADV - GG'!A:A,A202,'ADV - GG'!C:C)+SUMIF('ADV - FB'!A:A,$A202,'ADV - FB'!E:E)</f>
        <v>0</v>
      </c>
      <c r="E202" s="21">
        <f>SUMIF('ADV - GG'!A:A,A202,'ADV - GG'!H:H)+SUMIF('ADV - FB'!A:A,$A202,'ADV - FB'!I:I)+SUMIF('ADV - FB'!A:A,$A202,'ADV - FB'!J:J)+SUMIF('ADV - FB'!A:A,$A202,'ADV - FB'!K:K)</f>
        <v>0</v>
      </c>
      <c r="F202" s="20" t="str">
        <f t="shared" si="2"/>
        <v/>
      </c>
      <c r="G202" s="22"/>
      <c r="H202" s="22"/>
      <c r="I202" s="23"/>
      <c r="J202" s="22">
        <f>SUMIF('ADV - GA4'!A:A,A202,'ADV - GA4'!C:C)</f>
        <v>0</v>
      </c>
      <c r="K202" s="20" t="str">
        <f t="shared" si="40"/>
        <v/>
      </c>
      <c r="L202" s="24" t="str">
        <f t="shared" si="3"/>
        <v/>
      </c>
      <c r="M202" s="25">
        <f t="shared" si="41"/>
        <v>0</v>
      </c>
      <c r="N202" s="26">
        <f t="shared" si="42"/>
        <v>0</v>
      </c>
      <c r="O202" s="20" t="str">
        <f>iferror(Planejador!$I$151,"")</f>
        <v/>
      </c>
      <c r="P202" s="20" t="str">
        <f>Planejador!$I$143</f>
        <v/>
      </c>
      <c r="Q202" s="27">
        <f t="shared" si="43"/>
        <v>0</v>
      </c>
      <c r="R202" s="24" t="str">
        <f>Planejador!$I$145</f>
        <v/>
      </c>
      <c r="S202" s="16"/>
      <c r="T202" s="16"/>
      <c r="U202" s="16"/>
      <c r="V202" s="16"/>
      <c r="W202" s="16"/>
      <c r="X202" s="16"/>
      <c r="Y202" s="16"/>
      <c r="Z202" s="16"/>
    </row>
    <row r="203" ht="15.75" hidden="1" customHeight="1" outlineLevel="1">
      <c r="A203" s="17">
        <v>46217.0</v>
      </c>
      <c r="B203" s="18" t="str">
        <f t="shared" si="39"/>
        <v>terça-feira</v>
      </c>
      <c r="C203" s="19"/>
      <c r="D203" s="20">
        <f>SUMIF('ADV - GG'!A:A,A203,'ADV - GG'!C:C)+SUMIF('ADV - FB'!A:A,$A203,'ADV - FB'!E:E)</f>
        <v>0</v>
      </c>
      <c r="E203" s="21">
        <f>SUMIF('ADV - GG'!A:A,A203,'ADV - GG'!H:H)+SUMIF('ADV - FB'!A:A,$A203,'ADV - FB'!I:I)+SUMIF('ADV - FB'!A:A,$A203,'ADV - FB'!J:J)+SUMIF('ADV - FB'!A:A,$A203,'ADV - FB'!K:K)</f>
        <v>0</v>
      </c>
      <c r="F203" s="20" t="str">
        <f t="shared" si="2"/>
        <v/>
      </c>
      <c r="G203" s="22"/>
      <c r="H203" s="22"/>
      <c r="I203" s="23"/>
      <c r="J203" s="22">
        <f>SUMIF('ADV - GA4'!A:A,A203,'ADV - GA4'!C:C)</f>
        <v>0</v>
      </c>
      <c r="K203" s="20" t="str">
        <f t="shared" si="40"/>
        <v/>
      </c>
      <c r="L203" s="24" t="str">
        <f t="shared" si="3"/>
        <v/>
      </c>
      <c r="M203" s="25">
        <f t="shared" si="41"/>
        <v>0</v>
      </c>
      <c r="N203" s="26">
        <f t="shared" si="42"/>
        <v>0</v>
      </c>
      <c r="O203" s="20" t="str">
        <f>iferror(Planejador!$I$151,"")</f>
        <v/>
      </c>
      <c r="P203" s="20" t="str">
        <f>Planejador!$I$143</f>
        <v/>
      </c>
      <c r="Q203" s="27">
        <f t="shared" si="43"/>
        <v>0</v>
      </c>
      <c r="R203" s="24" t="str">
        <f>Planejador!$I$145</f>
        <v/>
      </c>
      <c r="S203" s="16"/>
      <c r="T203" s="16"/>
      <c r="U203" s="16"/>
      <c r="V203" s="16"/>
      <c r="W203" s="16"/>
      <c r="X203" s="16"/>
      <c r="Y203" s="16"/>
      <c r="Z203" s="16"/>
    </row>
    <row r="204" ht="15.75" hidden="1" customHeight="1" outlineLevel="1">
      <c r="A204" s="17">
        <v>46218.0</v>
      </c>
      <c r="B204" s="18" t="str">
        <f t="shared" si="39"/>
        <v>quarta-feira</v>
      </c>
      <c r="C204" s="19"/>
      <c r="D204" s="20">
        <f>SUMIF('ADV - GG'!A:A,A204,'ADV - GG'!C:C)+SUMIF('ADV - FB'!A:A,$A204,'ADV - FB'!E:E)</f>
        <v>0</v>
      </c>
      <c r="E204" s="21">
        <f>SUMIF('ADV - GG'!A:A,A204,'ADV - GG'!H:H)+SUMIF('ADV - FB'!A:A,$A204,'ADV - FB'!I:I)+SUMIF('ADV - FB'!A:A,$A204,'ADV - FB'!J:J)+SUMIF('ADV - FB'!A:A,$A204,'ADV - FB'!K:K)</f>
        <v>0</v>
      </c>
      <c r="F204" s="20" t="str">
        <f t="shared" si="2"/>
        <v/>
      </c>
      <c r="G204" s="22"/>
      <c r="H204" s="22"/>
      <c r="I204" s="23"/>
      <c r="J204" s="22">
        <f>SUMIF('ADV - GA4'!A:A,A204,'ADV - GA4'!C:C)</f>
        <v>0</v>
      </c>
      <c r="K204" s="20" t="str">
        <f t="shared" si="40"/>
        <v/>
      </c>
      <c r="L204" s="24" t="str">
        <f t="shared" si="3"/>
        <v/>
      </c>
      <c r="M204" s="25">
        <f t="shared" si="41"/>
        <v>0</v>
      </c>
      <c r="N204" s="26">
        <f t="shared" si="42"/>
        <v>0</v>
      </c>
      <c r="O204" s="20" t="str">
        <f>iferror(Planejador!$I$151,"")</f>
        <v/>
      </c>
      <c r="P204" s="20" t="str">
        <f>Planejador!$I$143</f>
        <v/>
      </c>
      <c r="Q204" s="27">
        <f t="shared" si="43"/>
        <v>0</v>
      </c>
      <c r="R204" s="24" t="str">
        <f>Planejador!$I$145</f>
        <v/>
      </c>
      <c r="S204" s="16"/>
      <c r="T204" s="16"/>
      <c r="U204" s="16"/>
      <c r="V204" s="16"/>
      <c r="W204" s="16"/>
      <c r="X204" s="16"/>
      <c r="Y204" s="16"/>
      <c r="Z204" s="16"/>
    </row>
    <row r="205" ht="15.75" hidden="1" customHeight="1" outlineLevel="1">
      <c r="A205" s="17">
        <v>46219.0</v>
      </c>
      <c r="B205" s="18" t="str">
        <f t="shared" si="39"/>
        <v>quinta-feira</v>
      </c>
      <c r="C205" s="19"/>
      <c r="D205" s="20">
        <f>SUMIF('ADV - GG'!A:A,A205,'ADV - GG'!C:C)+SUMIF('ADV - FB'!A:A,$A205,'ADV - FB'!E:E)</f>
        <v>0</v>
      </c>
      <c r="E205" s="21">
        <f>SUMIF('ADV - GG'!A:A,A205,'ADV - GG'!H:H)+SUMIF('ADV - FB'!A:A,$A205,'ADV - FB'!I:I)+SUMIF('ADV - FB'!A:A,$A205,'ADV - FB'!J:J)+SUMIF('ADV - FB'!A:A,$A205,'ADV - FB'!K:K)</f>
        <v>0</v>
      </c>
      <c r="F205" s="20" t="str">
        <f t="shared" si="2"/>
        <v/>
      </c>
      <c r="G205" s="22"/>
      <c r="H205" s="22"/>
      <c r="I205" s="23"/>
      <c r="J205" s="22">
        <f>SUMIF('ADV - GA4'!A:A,A205,'ADV - GA4'!C:C)</f>
        <v>0</v>
      </c>
      <c r="K205" s="20" t="str">
        <f t="shared" si="40"/>
        <v/>
      </c>
      <c r="L205" s="24" t="str">
        <f t="shared" si="3"/>
        <v/>
      </c>
      <c r="M205" s="25">
        <f t="shared" si="41"/>
        <v>0</v>
      </c>
      <c r="N205" s="26">
        <f t="shared" si="42"/>
        <v>0</v>
      </c>
      <c r="O205" s="20" t="str">
        <f>iferror(Planejador!$I$151,"")</f>
        <v/>
      </c>
      <c r="P205" s="20" t="str">
        <f>Planejador!$I$143</f>
        <v/>
      </c>
      <c r="Q205" s="27">
        <f t="shared" si="43"/>
        <v>0</v>
      </c>
      <c r="R205" s="24" t="str">
        <f>Planejador!$I$145</f>
        <v/>
      </c>
      <c r="S205" s="16"/>
      <c r="T205" s="16"/>
      <c r="U205" s="16"/>
      <c r="V205" s="16"/>
      <c r="W205" s="16"/>
      <c r="X205" s="16"/>
      <c r="Y205" s="16"/>
      <c r="Z205" s="16"/>
    </row>
    <row r="206" ht="15.75" hidden="1" customHeight="1" outlineLevel="1">
      <c r="A206" s="17">
        <v>46220.0</v>
      </c>
      <c r="B206" s="18" t="str">
        <f t="shared" si="39"/>
        <v>sexta-feira</v>
      </c>
      <c r="C206" s="19"/>
      <c r="D206" s="20">
        <f>SUMIF('ADV - GG'!A:A,A206,'ADV - GG'!C:C)+SUMIF('ADV - FB'!A:A,$A206,'ADV - FB'!E:E)</f>
        <v>0</v>
      </c>
      <c r="E206" s="21">
        <f>SUMIF('ADV - GG'!A:A,A206,'ADV - GG'!H:H)+SUMIF('ADV - FB'!A:A,$A206,'ADV - FB'!I:I)+SUMIF('ADV - FB'!A:A,$A206,'ADV - FB'!J:J)+SUMIF('ADV - FB'!A:A,$A206,'ADV - FB'!K:K)</f>
        <v>0</v>
      </c>
      <c r="F206" s="20" t="str">
        <f t="shared" si="2"/>
        <v/>
      </c>
      <c r="G206" s="22"/>
      <c r="H206" s="22"/>
      <c r="I206" s="23"/>
      <c r="J206" s="22">
        <f>SUMIF('ADV - GA4'!A:A,A206,'ADV - GA4'!C:C)</f>
        <v>0</v>
      </c>
      <c r="K206" s="20" t="str">
        <f t="shared" si="40"/>
        <v/>
      </c>
      <c r="L206" s="24" t="str">
        <f t="shared" si="3"/>
        <v/>
      </c>
      <c r="M206" s="25">
        <f t="shared" si="41"/>
        <v>0</v>
      </c>
      <c r="N206" s="26">
        <f t="shared" si="42"/>
        <v>0</v>
      </c>
      <c r="O206" s="20" t="str">
        <f>iferror(Planejador!$I$151,"")</f>
        <v/>
      </c>
      <c r="P206" s="20" t="str">
        <f>Planejador!$I$143</f>
        <v/>
      </c>
      <c r="Q206" s="27">
        <f t="shared" si="43"/>
        <v>0</v>
      </c>
      <c r="R206" s="24" t="str">
        <f>Planejador!$I$145</f>
        <v/>
      </c>
      <c r="S206" s="16"/>
      <c r="T206" s="16"/>
      <c r="U206" s="16"/>
      <c r="V206" s="16"/>
      <c r="W206" s="16"/>
      <c r="X206" s="16"/>
      <c r="Y206" s="16"/>
      <c r="Z206" s="16"/>
    </row>
    <row r="207" ht="15.75" hidden="1" customHeight="1" outlineLevel="1">
      <c r="A207" s="17">
        <v>46221.0</v>
      </c>
      <c r="B207" s="18" t="str">
        <f t="shared" si="39"/>
        <v>sábado</v>
      </c>
      <c r="C207" s="19"/>
      <c r="D207" s="20">
        <f>SUMIF('ADV - GG'!A:A,A207,'ADV - GG'!C:C)+SUMIF('ADV - FB'!A:A,$A207,'ADV - FB'!E:E)</f>
        <v>0</v>
      </c>
      <c r="E207" s="21">
        <f>SUMIF('ADV - GG'!A:A,A207,'ADV - GG'!H:H)+SUMIF('ADV - FB'!A:A,$A207,'ADV - FB'!I:I)+SUMIF('ADV - FB'!A:A,$A207,'ADV - FB'!J:J)+SUMIF('ADV - FB'!A:A,$A207,'ADV - FB'!K:K)</f>
        <v>0</v>
      </c>
      <c r="F207" s="20" t="str">
        <f t="shared" si="2"/>
        <v/>
      </c>
      <c r="G207" s="22"/>
      <c r="H207" s="22"/>
      <c r="I207" s="23"/>
      <c r="J207" s="22">
        <f>SUMIF('ADV - GA4'!A:A,A207,'ADV - GA4'!C:C)</f>
        <v>0</v>
      </c>
      <c r="K207" s="20" t="str">
        <f t="shared" si="40"/>
        <v/>
      </c>
      <c r="L207" s="24" t="str">
        <f t="shared" si="3"/>
        <v/>
      </c>
      <c r="M207" s="25">
        <f t="shared" si="41"/>
        <v>0</v>
      </c>
      <c r="N207" s="26">
        <f t="shared" si="42"/>
        <v>0</v>
      </c>
      <c r="O207" s="20" t="str">
        <f>iferror(Planejador!$I$151,"")</f>
        <v/>
      </c>
      <c r="P207" s="20" t="str">
        <f>Planejador!$I$143</f>
        <v/>
      </c>
      <c r="Q207" s="27">
        <f t="shared" si="43"/>
        <v>0</v>
      </c>
      <c r="R207" s="24" t="str">
        <f>Planejador!$I$145</f>
        <v/>
      </c>
      <c r="S207" s="16"/>
      <c r="T207" s="16"/>
      <c r="U207" s="16"/>
      <c r="V207" s="16"/>
      <c r="W207" s="16"/>
      <c r="X207" s="16"/>
      <c r="Y207" s="16"/>
      <c r="Z207" s="16"/>
    </row>
    <row r="208" ht="15.75" hidden="1" customHeight="1" outlineLevel="1">
      <c r="A208" s="17">
        <v>46222.0</v>
      </c>
      <c r="B208" s="18" t="str">
        <f t="shared" si="39"/>
        <v>domingo</v>
      </c>
      <c r="C208" s="19"/>
      <c r="D208" s="20">
        <f>SUMIF('ADV - GG'!A:A,A208,'ADV - GG'!C:C)+SUMIF('ADV - FB'!A:A,$A208,'ADV - FB'!E:E)</f>
        <v>0</v>
      </c>
      <c r="E208" s="21">
        <f>SUMIF('ADV - GG'!A:A,A208,'ADV - GG'!H:H)+SUMIF('ADV - FB'!A:A,$A208,'ADV - FB'!I:I)+SUMIF('ADV - FB'!A:A,$A208,'ADV - FB'!J:J)+SUMIF('ADV - FB'!A:A,$A208,'ADV - FB'!K:K)</f>
        <v>0</v>
      </c>
      <c r="F208" s="20" t="str">
        <f t="shared" si="2"/>
        <v/>
      </c>
      <c r="G208" s="22"/>
      <c r="H208" s="22"/>
      <c r="I208" s="23"/>
      <c r="J208" s="22">
        <f>SUMIF('ADV - GA4'!A:A,A208,'ADV - GA4'!C:C)</f>
        <v>0</v>
      </c>
      <c r="K208" s="20" t="str">
        <f t="shared" si="40"/>
        <v/>
      </c>
      <c r="L208" s="24" t="str">
        <f t="shared" si="3"/>
        <v/>
      </c>
      <c r="M208" s="25">
        <f t="shared" si="41"/>
        <v>0</v>
      </c>
      <c r="N208" s="26">
        <f t="shared" si="42"/>
        <v>0</v>
      </c>
      <c r="O208" s="20" t="str">
        <f>iferror(Planejador!$I$151,"")</f>
        <v/>
      </c>
      <c r="P208" s="20" t="str">
        <f>Planejador!$I$143</f>
        <v/>
      </c>
      <c r="Q208" s="27">
        <f t="shared" si="43"/>
        <v>0</v>
      </c>
      <c r="R208" s="24" t="str">
        <f>Planejador!$I$145</f>
        <v/>
      </c>
      <c r="S208" s="16"/>
      <c r="T208" s="16"/>
      <c r="U208" s="16"/>
      <c r="V208" s="16"/>
      <c r="W208" s="16"/>
      <c r="X208" s="16"/>
      <c r="Y208" s="16"/>
      <c r="Z208" s="16"/>
    </row>
    <row r="209" ht="15.75" hidden="1" customHeight="1" outlineLevel="1">
      <c r="A209" s="17">
        <v>46223.0</v>
      </c>
      <c r="B209" s="18" t="str">
        <f t="shared" si="39"/>
        <v>segunda-feira</v>
      </c>
      <c r="C209" s="19"/>
      <c r="D209" s="20">
        <f>SUMIF('ADV - GG'!A:A,A209,'ADV - GG'!C:C)+SUMIF('ADV - FB'!A:A,$A209,'ADV - FB'!E:E)</f>
        <v>0</v>
      </c>
      <c r="E209" s="21">
        <f>SUMIF('ADV - GG'!A:A,A209,'ADV - GG'!H:H)+SUMIF('ADV - FB'!A:A,$A209,'ADV - FB'!I:I)+SUMIF('ADV - FB'!A:A,$A209,'ADV - FB'!J:J)+SUMIF('ADV - FB'!A:A,$A209,'ADV - FB'!K:K)</f>
        <v>0</v>
      </c>
      <c r="F209" s="20" t="str">
        <f t="shared" si="2"/>
        <v/>
      </c>
      <c r="G209" s="22"/>
      <c r="H209" s="22"/>
      <c r="I209" s="23"/>
      <c r="J209" s="22">
        <f>SUMIF('ADV - GA4'!A:A,A209,'ADV - GA4'!C:C)</f>
        <v>0</v>
      </c>
      <c r="K209" s="20" t="str">
        <f t="shared" si="40"/>
        <v/>
      </c>
      <c r="L209" s="24" t="str">
        <f t="shared" si="3"/>
        <v/>
      </c>
      <c r="M209" s="25">
        <f t="shared" si="41"/>
        <v>0</v>
      </c>
      <c r="N209" s="26">
        <f t="shared" si="42"/>
        <v>0</v>
      </c>
      <c r="O209" s="20" t="str">
        <f>iferror(Planejador!$I$151,"")</f>
        <v/>
      </c>
      <c r="P209" s="20" t="str">
        <f>Planejador!$I$143</f>
        <v/>
      </c>
      <c r="Q209" s="27">
        <f t="shared" si="43"/>
        <v>0</v>
      </c>
      <c r="R209" s="24" t="str">
        <f>Planejador!$I$145</f>
        <v/>
      </c>
      <c r="S209" s="16"/>
      <c r="T209" s="16"/>
      <c r="U209" s="16"/>
      <c r="V209" s="16"/>
      <c r="W209" s="16"/>
      <c r="X209" s="16"/>
      <c r="Y209" s="16"/>
      <c r="Z209" s="16"/>
    </row>
    <row r="210" ht="15.75" hidden="1" customHeight="1" outlineLevel="1">
      <c r="A210" s="17">
        <v>46224.0</v>
      </c>
      <c r="B210" s="18" t="str">
        <f t="shared" si="39"/>
        <v>terça-feira</v>
      </c>
      <c r="C210" s="19"/>
      <c r="D210" s="20">
        <f>SUMIF('ADV - GG'!A:A,A210,'ADV - GG'!C:C)+SUMIF('ADV - FB'!A:A,$A210,'ADV - FB'!E:E)</f>
        <v>0</v>
      </c>
      <c r="E210" s="21">
        <f>SUMIF('ADV - GG'!A:A,A210,'ADV - GG'!H:H)+SUMIF('ADV - FB'!A:A,$A210,'ADV - FB'!I:I)+SUMIF('ADV - FB'!A:A,$A210,'ADV - FB'!J:J)+SUMIF('ADV - FB'!A:A,$A210,'ADV - FB'!K:K)</f>
        <v>0</v>
      </c>
      <c r="F210" s="20" t="str">
        <f t="shared" si="2"/>
        <v/>
      </c>
      <c r="G210" s="22"/>
      <c r="H210" s="22"/>
      <c r="I210" s="23"/>
      <c r="J210" s="22">
        <f>SUMIF('ADV - GA4'!A:A,A210,'ADV - GA4'!C:C)</f>
        <v>0</v>
      </c>
      <c r="K210" s="20" t="str">
        <f t="shared" si="40"/>
        <v/>
      </c>
      <c r="L210" s="24" t="str">
        <f t="shared" si="3"/>
        <v/>
      </c>
      <c r="M210" s="25">
        <f t="shared" si="41"/>
        <v>0</v>
      </c>
      <c r="N210" s="26">
        <f t="shared" si="42"/>
        <v>0</v>
      </c>
      <c r="O210" s="20" t="str">
        <f>iferror(Planejador!$I$151,"")</f>
        <v/>
      </c>
      <c r="P210" s="20" t="str">
        <f>Planejador!$I$143</f>
        <v/>
      </c>
      <c r="Q210" s="27">
        <f t="shared" si="43"/>
        <v>0</v>
      </c>
      <c r="R210" s="24" t="str">
        <f>Planejador!$I$145</f>
        <v/>
      </c>
      <c r="S210" s="16"/>
      <c r="T210" s="16"/>
      <c r="U210" s="16"/>
      <c r="V210" s="16"/>
      <c r="W210" s="16"/>
      <c r="X210" s="16"/>
      <c r="Y210" s="16"/>
      <c r="Z210" s="16"/>
    </row>
    <row r="211" ht="15.75" hidden="1" customHeight="1" outlineLevel="1">
      <c r="A211" s="17">
        <v>46225.0</v>
      </c>
      <c r="B211" s="18" t="str">
        <f t="shared" si="39"/>
        <v>quarta-feira</v>
      </c>
      <c r="C211" s="19"/>
      <c r="D211" s="20">
        <f>SUMIF('ADV - GG'!A:A,A211,'ADV - GG'!C:C)+SUMIF('ADV - FB'!A:A,$A211,'ADV - FB'!E:E)</f>
        <v>0</v>
      </c>
      <c r="E211" s="21">
        <f>SUMIF('ADV - GG'!A:A,A211,'ADV - GG'!H:H)+SUMIF('ADV - FB'!A:A,$A211,'ADV - FB'!I:I)+SUMIF('ADV - FB'!A:A,$A211,'ADV - FB'!J:J)+SUMIF('ADV - FB'!A:A,$A211,'ADV - FB'!K:K)</f>
        <v>0</v>
      </c>
      <c r="F211" s="20" t="str">
        <f t="shared" si="2"/>
        <v/>
      </c>
      <c r="G211" s="22"/>
      <c r="H211" s="22"/>
      <c r="I211" s="23"/>
      <c r="J211" s="22">
        <f>SUMIF('ADV - GA4'!A:A,A211,'ADV - GA4'!C:C)</f>
        <v>0</v>
      </c>
      <c r="K211" s="20" t="str">
        <f t="shared" si="40"/>
        <v/>
      </c>
      <c r="L211" s="24" t="str">
        <f t="shared" si="3"/>
        <v/>
      </c>
      <c r="M211" s="25">
        <f t="shared" si="41"/>
        <v>0</v>
      </c>
      <c r="N211" s="26">
        <f t="shared" si="42"/>
        <v>0</v>
      </c>
      <c r="O211" s="20" t="str">
        <f>iferror(Planejador!$I$151,"")</f>
        <v/>
      </c>
      <c r="P211" s="20" t="str">
        <f>Planejador!$I$143</f>
        <v/>
      </c>
      <c r="Q211" s="27">
        <f t="shared" si="43"/>
        <v>0</v>
      </c>
      <c r="R211" s="24" t="str">
        <f>Planejador!$I$145</f>
        <v/>
      </c>
      <c r="S211" s="16"/>
      <c r="T211" s="16"/>
      <c r="U211" s="16"/>
      <c r="V211" s="16"/>
      <c r="W211" s="16"/>
      <c r="X211" s="16"/>
      <c r="Y211" s="16"/>
      <c r="Z211" s="16"/>
    </row>
    <row r="212" ht="15.75" hidden="1" customHeight="1" outlineLevel="1">
      <c r="A212" s="17">
        <v>46226.0</v>
      </c>
      <c r="B212" s="18" t="str">
        <f t="shared" si="39"/>
        <v>quinta-feira</v>
      </c>
      <c r="C212" s="19"/>
      <c r="D212" s="20">
        <f>SUMIF('ADV - GG'!A:A,A212,'ADV - GG'!C:C)+SUMIF('ADV - FB'!A:A,$A212,'ADV - FB'!E:E)</f>
        <v>0</v>
      </c>
      <c r="E212" s="21">
        <f>SUMIF('ADV - GG'!A:A,A212,'ADV - GG'!H:H)+SUMIF('ADV - FB'!A:A,$A212,'ADV - FB'!I:I)+SUMIF('ADV - FB'!A:A,$A212,'ADV - FB'!J:J)+SUMIF('ADV - FB'!A:A,$A212,'ADV - FB'!K:K)</f>
        <v>0</v>
      </c>
      <c r="F212" s="20" t="str">
        <f t="shared" si="2"/>
        <v/>
      </c>
      <c r="G212" s="22"/>
      <c r="H212" s="22"/>
      <c r="I212" s="23"/>
      <c r="J212" s="22">
        <f>SUMIF('ADV - GA4'!A:A,A212,'ADV - GA4'!C:C)</f>
        <v>0</v>
      </c>
      <c r="K212" s="20" t="str">
        <f t="shared" si="40"/>
        <v/>
      </c>
      <c r="L212" s="24" t="str">
        <f t="shared" si="3"/>
        <v/>
      </c>
      <c r="M212" s="25">
        <f t="shared" si="41"/>
        <v>0</v>
      </c>
      <c r="N212" s="26">
        <f t="shared" si="42"/>
        <v>0</v>
      </c>
      <c r="O212" s="20" t="str">
        <f>iferror(Planejador!$I$151,"")</f>
        <v/>
      </c>
      <c r="P212" s="20" t="str">
        <f>Planejador!$I$143</f>
        <v/>
      </c>
      <c r="Q212" s="27">
        <f t="shared" si="43"/>
        <v>0</v>
      </c>
      <c r="R212" s="24" t="str">
        <f>Planejador!$I$145</f>
        <v/>
      </c>
      <c r="S212" s="16"/>
      <c r="T212" s="16"/>
      <c r="U212" s="16"/>
      <c r="V212" s="16"/>
      <c r="W212" s="16"/>
      <c r="X212" s="16"/>
      <c r="Y212" s="16"/>
      <c r="Z212" s="16"/>
    </row>
    <row r="213" ht="15.75" hidden="1" customHeight="1" outlineLevel="1">
      <c r="A213" s="17">
        <v>46227.0</v>
      </c>
      <c r="B213" s="18" t="str">
        <f t="shared" si="39"/>
        <v>sexta-feira</v>
      </c>
      <c r="C213" s="19"/>
      <c r="D213" s="20">
        <f>SUMIF('ADV - GG'!A:A,A213,'ADV - GG'!C:C)+SUMIF('ADV - FB'!A:A,$A213,'ADV - FB'!E:E)</f>
        <v>0</v>
      </c>
      <c r="E213" s="21">
        <f>SUMIF('ADV - GG'!A:A,A213,'ADV - GG'!H:H)+SUMIF('ADV - FB'!A:A,$A213,'ADV - FB'!I:I)+SUMIF('ADV - FB'!A:A,$A213,'ADV - FB'!J:J)+SUMIF('ADV - FB'!A:A,$A213,'ADV - FB'!K:K)</f>
        <v>0</v>
      </c>
      <c r="F213" s="20" t="str">
        <f t="shared" si="2"/>
        <v/>
      </c>
      <c r="G213" s="22"/>
      <c r="H213" s="22"/>
      <c r="I213" s="23"/>
      <c r="J213" s="22">
        <f>SUMIF('ADV - GA4'!A:A,A213,'ADV - GA4'!C:C)</f>
        <v>0</v>
      </c>
      <c r="K213" s="20" t="str">
        <f t="shared" si="40"/>
        <v/>
      </c>
      <c r="L213" s="24" t="str">
        <f t="shared" si="3"/>
        <v/>
      </c>
      <c r="M213" s="25">
        <f t="shared" si="41"/>
        <v>0</v>
      </c>
      <c r="N213" s="26">
        <f t="shared" si="42"/>
        <v>0</v>
      </c>
      <c r="O213" s="20" t="str">
        <f>iferror(Planejador!$I$151,"")</f>
        <v/>
      </c>
      <c r="P213" s="20" t="str">
        <f>Planejador!$I$143</f>
        <v/>
      </c>
      <c r="Q213" s="27">
        <f t="shared" si="43"/>
        <v>0</v>
      </c>
      <c r="R213" s="24" t="str">
        <f>Planejador!$I$145</f>
        <v/>
      </c>
      <c r="S213" s="16"/>
      <c r="T213" s="16"/>
      <c r="U213" s="16"/>
      <c r="V213" s="16"/>
      <c r="W213" s="16"/>
      <c r="X213" s="16"/>
      <c r="Y213" s="16"/>
      <c r="Z213" s="16"/>
    </row>
    <row r="214" ht="15.75" hidden="1" customHeight="1" outlineLevel="1">
      <c r="A214" s="17">
        <v>46228.0</v>
      </c>
      <c r="B214" s="18" t="str">
        <f t="shared" si="39"/>
        <v>sábado</v>
      </c>
      <c r="C214" s="19"/>
      <c r="D214" s="20">
        <f>SUMIF('ADV - GG'!A:A,A214,'ADV - GG'!C:C)+SUMIF('ADV - FB'!A:A,$A214,'ADV - FB'!E:E)</f>
        <v>0</v>
      </c>
      <c r="E214" s="21">
        <f>SUMIF('ADV - GG'!A:A,A214,'ADV - GG'!H:H)+SUMIF('ADV - FB'!A:A,$A214,'ADV - FB'!I:I)+SUMIF('ADV - FB'!A:A,$A214,'ADV - FB'!J:J)+SUMIF('ADV - FB'!A:A,$A214,'ADV - FB'!K:K)</f>
        <v>0</v>
      </c>
      <c r="F214" s="20" t="str">
        <f t="shared" si="2"/>
        <v/>
      </c>
      <c r="G214" s="22"/>
      <c r="H214" s="22"/>
      <c r="I214" s="23"/>
      <c r="J214" s="22">
        <f>SUMIF('ADV - GA4'!A:A,A214,'ADV - GA4'!C:C)</f>
        <v>0</v>
      </c>
      <c r="K214" s="20" t="str">
        <f t="shared" si="40"/>
        <v/>
      </c>
      <c r="L214" s="24" t="str">
        <f t="shared" si="3"/>
        <v/>
      </c>
      <c r="M214" s="25">
        <f t="shared" si="41"/>
        <v>0</v>
      </c>
      <c r="N214" s="26">
        <f t="shared" si="42"/>
        <v>0</v>
      </c>
      <c r="O214" s="20" t="str">
        <f>iferror(Planejador!$I$151,"")</f>
        <v/>
      </c>
      <c r="P214" s="20" t="str">
        <f>Planejador!$I$143</f>
        <v/>
      </c>
      <c r="Q214" s="27">
        <f t="shared" si="43"/>
        <v>0</v>
      </c>
      <c r="R214" s="24" t="str">
        <f>Planejador!$I$145</f>
        <v/>
      </c>
      <c r="S214" s="16"/>
      <c r="T214" s="16"/>
      <c r="U214" s="16"/>
      <c r="V214" s="16"/>
      <c r="W214" s="16"/>
      <c r="X214" s="16"/>
      <c r="Y214" s="16"/>
      <c r="Z214" s="16"/>
    </row>
    <row r="215" ht="15.75" hidden="1" customHeight="1" outlineLevel="1">
      <c r="A215" s="17">
        <v>46229.0</v>
      </c>
      <c r="B215" s="18" t="str">
        <f t="shared" si="39"/>
        <v>domingo</v>
      </c>
      <c r="C215" s="19"/>
      <c r="D215" s="20">
        <f>SUMIF('ADV - GG'!A:A,A215,'ADV - GG'!C:C)+SUMIF('ADV - FB'!A:A,$A215,'ADV - FB'!E:E)</f>
        <v>0</v>
      </c>
      <c r="E215" s="21">
        <f>SUMIF('ADV - GG'!A:A,A215,'ADV - GG'!H:H)+SUMIF('ADV - FB'!A:A,$A215,'ADV - FB'!I:I)+SUMIF('ADV - FB'!A:A,$A215,'ADV - FB'!J:J)+SUMIF('ADV - FB'!A:A,$A215,'ADV - FB'!K:K)</f>
        <v>0</v>
      </c>
      <c r="F215" s="20" t="str">
        <f t="shared" si="2"/>
        <v/>
      </c>
      <c r="G215" s="22"/>
      <c r="H215" s="22"/>
      <c r="I215" s="23"/>
      <c r="J215" s="22">
        <f>SUMIF('ADV - GA4'!A:A,A215,'ADV - GA4'!C:C)</f>
        <v>0</v>
      </c>
      <c r="K215" s="20" t="str">
        <f t="shared" si="40"/>
        <v/>
      </c>
      <c r="L215" s="24" t="str">
        <f t="shared" si="3"/>
        <v/>
      </c>
      <c r="M215" s="25">
        <f t="shared" si="41"/>
        <v>0</v>
      </c>
      <c r="N215" s="26">
        <f t="shared" si="42"/>
        <v>0</v>
      </c>
      <c r="O215" s="20" t="str">
        <f>iferror(Planejador!$I$151,"")</f>
        <v/>
      </c>
      <c r="P215" s="20" t="str">
        <f>Planejador!$I$143</f>
        <v/>
      </c>
      <c r="Q215" s="27">
        <f t="shared" si="43"/>
        <v>0</v>
      </c>
      <c r="R215" s="24" t="str">
        <f>Planejador!$I$145</f>
        <v/>
      </c>
      <c r="S215" s="16"/>
      <c r="T215" s="16"/>
      <c r="U215" s="16"/>
      <c r="V215" s="16"/>
      <c r="W215" s="16"/>
      <c r="X215" s="16"/>
      <c r="Y215" s="16"/>
      <c r="Z215" s="16"/>
    </row>
    <row r="216" ht="15.75" hidden="1" customHeight="1" outlineLevel="1">
      <c r="A216" s="17">
        <v>46230.0</v>
      </c>
      <c r="B216" s="18" t="str">
        <f t="shared" si="39"/>
        <v>segunda-feira</v>
      </c>
      <c r="C216" s="19"/>
      <c r="D216" s="20">
        <f>SUMIF('ADV - GG'!A:A,A216,'ADV - GG'!C:C)+SUMIF('ADV - FB'!A:A,$A216,'ADV - FB'!E:E)</f>
        <v>0</v>
      </c>
      <c r="E216" s="21">
        <f>SUMIF('ADV - GG'!A:A,A216,'ADV - GG'!H:H)+SUMIF('ADV - FB'!A:A,$A216,'ADV - FB'!I:I)+SUMIF('ADV - FB'!A:A,$A216,'ADV - FB'!J:J)+SUMIF('ADV - FB'!A:A,$A216,'ADV - FB'!K:K)</f>
        <v>0</v>
      </c>
      <c r="F216" s="20" t="str">
        <f t="shared" si="2"/>
        <v/>
      </c>
      <c r="G216" s="22"/>
      <c r="H216" s="22"/>
      <c r="I216" s="23"/>
      <c r="J216" s="22">
        <f>SUMIF('ADV - GA4'!A:A,A216,'ADV - GA4'!C:C)</f>
        <v>0</v>
      </c>
      <c r="K216" s="20" t="str">
        <f t="shared" si="40"/>
        <v/>
      </c>
      <c r="L216" s="24" t="str">
        <f t="shared" si="3"/>
        <v/>
      </c>
      <c r="M216" s="25">
        <f t="shared" si="41"/>
        <v>0</v>
      </c>
      <c r="N216" s="26">
        <f t="shared" si="42"/>
        <v>0</v>
      </c>
      <c r="O216" s="20" t="str">
        <f>iferror(Planejador!$I$151,"")</f>
        <v/>
      </c>
      <c r="P216" s="20" t="str">
        <f>Planejador!$I$143</f>
        <v/>
      </c>
      <c r="Q216" s="27">
        <f t="shared" si="43"/>
        <v>0</v>
      </c>
      <c r="R216" s="24" t="str">
        <f>Planejador!$I$145</f>
        <v/>
      </c>
      <c r="S216" s="16"/>
      <c r="T216" s="16"/>
      <c r="U216" s="16"/>
      <c r="V216" s="16"/>
      <c r="W216" s="16"/>
      <c r="X216" s="16"/>
      <c r="Y216" s="16"/>
      <c r="Z216" s="16"/>
    </row>
    <row r="217" ht="15.75" hidden="1" customHeight="1" outlineLevel="1">
      <c r="A217" s="17">
        <v>46231.0</v>
      </c>
      <c r="B217" s="18" t="str">
        <f t="shared" si="39"/>
        <v>terça-feira</v>
      </c>
      <c r="C217" s="19"/>
      <c r="D217" s="20">
        <f>SUMIF('ADV - GG'!A:A,A217,'ADV - GG'!C:C)+SUMIF('ADV - FB'!A:A,$A217,'ADV - FB'!E:E)</f>
        <v>0</v>
      </c>
      <c r="E217" s="21">
        <f>SUMIF('ADV - GG'!A:A,A217,'ADV - GG'!H:H)+SUMIF('ADV - FB'!A:A,$A217,'ADV - FB'!I:I)+SUMIF('ADV - FB'!A:A,$A217,'ADV - FB'!J:J)+SUMIF('ADV - FB'!A:A,$A217,'ADV - FB'!K:K)</f>
        <v>0</v>
      </c>
      <c r="F217" s="20" t="str">
        <f t="shared" si="2"/>
        <v/>
      </c>
      <c r="G217" s="22"/>
      <c r="H217" s="22"/>
      <c r="I217" s="23"/>
      <c r="J217" s="22">
        <f>SUMIF('ADV - GA4'!A:A,A217,'ADV - GA4'!C:C)</f>
        <v>0</v>
      </c>
      <c r="K217" s="20" t="str">
        <f t="shared" si="40"/>
        <v/>
      </c>
      <c r="L217" s="24" t="str">
        <f t="shared" si="3"/>
        <v/>
      </c>
      <c r="M217" s="25">
        <f t="shared" si="41"/>
        <v>0</v>
      </c>
      <c r="N217" s="26">
        <f t="shared" si="42"/>
        <v>0</v>
      </c>
      <c r="O217" s="20" t="str">
        <f>iferror(Planejador!$I$151,"")</f>
        <v/>
      </c>
      <c r="P217" s="20" t="str">
        <f>Planejador!$I$143</f>
        <v/>
      </c>
      <c r="Q217" s="27">
        <f t="shared" si="43"/>
        <v>0</v>
      </c>
      <c r="R217" s="24" t="str">
        <f>Planejador!$I$145</f>
        <v/>
      </c>
      <c r="S217" s="16"/>
      <c r="T217" s="16"/>
      <c r="U217" s="16"/>
      <c r="V217" s="16"/>
      <c r="W217" s="16"/>
      <c r="X217" s="16"/>
      <c r="Y217" s="16"/>
      <c r="Z217" s="16"/>
    </row>
    <row r="218" ht="15.75" hidden="1" customHeight="1" outlineLevel="1">
      <c r="A218" s="17">
        <v>46232.0</v>
      </c>
      <c r="B218" s="18" t="str">
        <f t="shared" si="39"/>
        <v>quarta-feira</v>
      </c>
      <c r="C218" s="19"/>
      <c r="D218" s="20">
        <f>SUMIF('ADV - GG'!A:A,A218,'ADV - GG'!C:C)+SUMIF('ADV - FB'!A:A,$A218,'ADV - FB'!E:E)</f>
        <v>0</v>
      </c>
      <c r="E218" s="21">
        <f>SUMIF('ADV - GG'!A:A,A218,'ADV - GG'!H:H)+SUMIF('ADV - FB'!A:A,$A218,'ADV - FB'!I:I)+SUMIF('ADV - FB'!A:A,$A218,'ADV - FB'!J:J)+SUMIF('ADV - FB'!A:A,$A218,'ADV - FB'!K:K)</f>
        <v>0</v>
      </c>
      <c r="F218" s="20" t="str">
        <f t="shared" si="2"/>
        <v/>
      </c>
      <c r="G218" s="22"/>
      <c r="H218" s="22"/>
      <c r="I218" s="23"/>
      <c r="J218" s="22">
        <f>SUMIF('ADV - GA4'!A:A,A218,'ADV - GA4'!C:C)</f>
        <v>0</v>
      </c>
      <c r="K218" s="20" t="str">
        <f t="shared" si="40"/>
        <v/>
      </c>
      <c r="L218" s="24" t="str">
        <f t="shared" si="3"/>
        <v/>
      </c>
      <c r="M218" s="25">
        <f t="shared" si="41"/>
        <v>0</v>
      </c>
      <c r="N218" s="26">
        <f t="shared" si="42"/>
        <v>0</v>
      </c>
      <c r="O218" s="20" t="str">
        <f>iferror(Planejador!$I$151,"")</f>
        <v/>
      </c>
      <c r="P218" s="20" t="str">
        <f>Planejador!$I$143</f>
        <v/>
      </c>
      <c r="Q218" s="27">
        <f t="shared" si="43"/>
        <v>0</v>
      </c>
      <c r="R218" s="24" t="str">
        <f>Planejador!$I$145</f>
        <v/>
      </c>
      <c r="S218" s="16"/>
      <c r="T218" s="16"/>
      <c r="U218" s="16"/>
      <c r="V218" s="16"/>
      <c r="W218" s="16"/>
      <c r="X218" s="16"/>
      <c r="Y218" s="16"/>
      <c r="Z218" s="16"/>
    </row>
    <row r="219" ht="15.75" hidden="1" customHeight="1" outlineLevel="1">
      <c r="A219" s="17">
        <v>46233.0</v>
      </c>
      <c r="B219" s="18" t="str">
        <f t="shared" si="39"/>
        <v>quinta-feira</v>
      </c>
      <c r="C219" s="19"/>
      <c r="D219" s="20">
        <f>SUMIF('ADV - GG'!A:A,A219,'ADV - GG'!C:C)+SUMIF('ADV - FB'!A:A,$A219,'ADV - FB'!E:E)</f>
        <v>0</v>
      </c>
      <c r="E219" s="21">
        <f>SUMIF('ADV - GG'!A:A,A219,'ADV - GG'!H:H)+SUMIF('ADV - FB'!A:A,$A219,'ADV - FB'!I:I)+SUMIF('ADV - FB'!A:A,$A219,'ADV - FB'!J:J)+SUMIF('ADV - FB'!A:A,$A219,'ADV - FB'!K:K)</f>
        <v>0</v>
      </c>
      <c r="F219" s="20" t="str">
        <f t="shared" si="2"/>
        <v/>
      </c>
      <c r="G219" s="22"/>
      <c r="H219" s="22"/>
      <c r="I219" s="23"/>
      <c r="J219" s="22">
        <f>SUMIF('ADV - GA4'!A:A,A219,'ADV - GA4'!C:C)</f>
        <v>0</v>
      </c>
      <c r="K219" s="20" t="str">
        <f t="shared" si="40"/>
        <v/>
      </c>
      <c r="L219" s="24" t="str">
        <f t="shared" si="3"/>
        <v/>
      </c>
      <c r="M219" s="25">
        <f t="shared" si="41"/>
        <v>0</v>
      </c>
      <c r="N219" s="26">
        <f t="shared" si="42"/>
        <v>0</v>
      </c>
      <c r="O219" s="20" t="str">
        <f>iferror(Planejador!$I$151,"")</f>
        <v/>
      </c>
      <c r="P219" s="20" t="str">
        <f>Planejador!$I$143</f>
        <v/>
      </c>
      <c r="Q219" s="27">
        <f t="shared" si="43"/>
        <v>0</v>
      </c>
      <c r="R219" s="24" t="str">
        <f>Planejador!$I$145</f>
        <v/>
      </c>
      <c r="S219" s="16"/>
      <c r="T219" s="16"/>
      <c r="U219" s="16"/>
      <c r="V219" s="16"/>
      <c r="W219" s="16"/>
      <c r="X219" s="16"/>
      <c r="Y219" s="16"/>
      <c r="Z219" s="16"/>
    </row>
    <row r="220" ht="15.75" hidden="1" customHeight="1" outlineLevel="1">
      <c r="A220" s="17">
        <v>46234.0</v>
      </c>
      <c r="B220" s="18" t="str">
        <f t="shared" si="39"/>
        <v>sexta-feira</v>
      </c>
      <c r="C220" s="19"/>
      <c r="D220" s="20">
        <f>SUMIF('ADV - GG'!A:A,A220,'ADV - GG'!C:C)+SUMIF('ADV - FB'!A:A,$A220,'ADV - FB'!E:E)</f>
        <v>0</v>
      </c>
      <c r="E220" s="21">
        <f>SUMIF('ADV - GG'!A:A,A220,'ADV - GG'!H:H)+SUMIF('ADV - FB'!A:A,$A220,'ADV - FB'!I:I)+SUMIF('ADV - FB'!A:A,$A220,'ADV - FB'!J:J)+SUMIF('ADV - FB'!A:A,$A220,'ADV - FB'!K:K)</f>
        <v>0</v>
      </c>
      <c r="F220" s="20" t="str">
        <f t="shared" si="2"/>
        <v/>
      </c>
      <c r="G220" s="22"/>
      <c r="H220" s="22"/>
      <c r="I220" s="23"/>
      <c r="J220" s="22">
        <f>SUMIF('ADV - GA4'!A:A,A220,'ADV - GA4'!C:C)</f>
        <v>0</v>
      </c>
      <c r="K220" s="20" t="str">
        <f t="shared" si="40"/>
        <v/>
      </c>
      <c r="L220" s="24" t="str">
        <f t="shared" si="3"/>
        <v/>
      </c>
      <c r="M220" s="25">
        <f t="shared" si="41"/>
        <v>0</v>
      </c>
      <c r="N220" s="26">
        <f t="shared" si="42"/>
        <v>0</v>
      </c>
      <c r="O220" s="20" t="str">
        <f>iferror(Planejador!$I$151,"")</f>
        <v/>
      </c>
      <c r="P220" s="20" t="str">
        <f>Planejador!$I$143</f>
        <v/>
      </c>
      <c r="Q220" s="27">
        <f t="shared" si="43"/>
        <v>0</v>
      </c>
      <c r="R220" s="24" t="str">
        <f>Planejador!$I$145</f>
        <v/>
      </c>
      <c r="S220" s="16"/>
      <c r="T220" s="16"/>
      <c r="U220" s="16"/>
      <c r="V220" s="16"/>
      <c r="W220" s="16"/>
      <c r="X220" s="16"/>
      <c r="Y220" s="16"/>
      <c r="Z220" s="16"/>
    </row>
    <row r="221" ht="22.5" customHeight="1" collapsed="1">
      <c r="A221" s="28" t="s">
        <v>32</v>
      </c>
      <c r="B221" s="29">
        <v>31.0</v>
      </c>
      <c r="C221" s="30"/>
      <c r="D221" s="10">
        <f>IFERROR(SUM(D222:D252),"")</f>
        <v>0</v>
      </c>
      <c r="E221" s="11">
        <f>iferror(SUM(E222:E252),"")</f>
        <v>0</v>
      </c>
      <c r="F221" s="14" t="str">
        <f t="shared" si="2"/>
        <v/>
      </c>
      <c r="G221" s="13">
        <f t="shared" ref="G221:I221" si="44">iferror(SUM(G222:G252),"")</f>
        <v>0</v>
      </c>
      <c r="H221" s="13">
        <f t="shared" si="44"/>
        <v>0</v>
      </c>
      <c r="I221" s="10">
        <f t="shared" si="44"/>
        <v>0</v>
      </c>
      <c r="J221" s="13">
        <f>IFERROR(SUM(J222:J252),"")</f>
        <v>0</v>
      </c>
      <c r="K221" s="14" t="str">
        <f>iferror(D221/J221,"")</f>
        <v/>
      </c>
      <c r="L221" s="15" t="str">
        <f t="shared" si="3"/>
        <v/>
      </c>
      <c r="M221" s="10" t="str">
        <f>Planejador!$I$165</f>
        <v/>
      </c>
      <c r="N221" s="13" t="str">
        <f>iferror(Planejador!$I$172,"")</f>
        <v/>
      </c>
      <c r="O221" s="14" t="str">
        <f>iferror(Planejador!$I$174,"")</f>
        <v/>
      </c>
      <c r="P221" s="14" t="str">
        <f>iferror(Planejador!$I$166,"")</f>
        <v/>
      </c>
      <c r="Q221" s="13" t="str">
        <f>iferror(Planejador!$I$171,"")</f>
        <v/>
      </c>
      <c r="R221" s="15" t="str">
        <f>Iferror(Planejador!$I$168,"")</f>
        <v/>
      </c>
      <c r="S221" s="31"/>
      <c r="T221" s="31"/>
      <c r="U221" s="31"/>
      <c r="V221" s="31"/>
      <c r="W221" s="31"/>
      <c r="X221" s="31"/>
      <c r="Y221" s="31"/>
      <c r="Z221" s="31"/>
    </row>
    <row r="222" ht="15.75" hidden="1" customHeight="1" outlineLevel="1">
      <c r="A222" s="17">
        <v>46235.0</v>
      </c>
      <c r="B222" s="18" t="str">
        <f t="shared" ref="B222:B252" si="45">TEXT(A222,"dddd")</f>
        <v>sábado</v>
      </c>
      <c r="C222" s="19"/>
      <c r="D222" s="20">
        <f>SUMIF('ADV - GG'!A:A,A222,'ADV - GG'!C:C)+SUMIF('ADV - FB'!A:A,$A222,'ADV - FB'!E:E)</f>
        <v>0</v>
      </c>
      <c r="E222" s="21">
        <f>SUMIF('ADV - GG'!A:A,A222,'ADV - GG'!H:H)+SUMIF('ADV - FB'!A:A,$A222,'ADV - FB'!I:I)+SUMIF('ADV - FB'!A:A,$A222,'ADV - FB'!J:J)+SUMIF('ADV - FB'!A:A,$A222,'ADV - FB'!K:K)</f>
        <v>0</v>
      </c>
      <c r="F222" s="20" t="str">
        <f t="shared" si="2"/>
        <v/>
      </c>
      <c r="G222" s="22"/>
      <c r="H222" s="22"/>
      <c r="I222" s="23"/>
      <c r="J222" s="22">
        <f>SUMIF('ADV - GA4'!A:A,A222,'ADV - GA4'!C:C)</f>
        <v>0</v>
      </c>
      <c r="K222" s="20" t="str">
        <f t="shared" ref="K222:K252" si="46">IFERROR(D222/J222,"")</f>
        <v/>
      </c>
      <c r="L222" s="24" t="str">
        <f t="shared" si="3"/>
        <v/>
      </c>
      <c r="M222" s="25">
        <f t="shared" ref="M222:M252" si="47">$M$221/$B$221</f>
        <v>0</v>
      </c>
      <c r="N222" s="26">
        <f t="shared" ref="N222:N252" si="48">iferror($N$221/$B$221,"")</f>
        <v>0</v>
      </c>
      <c r="O222" s="20" t="str">
        <f>IFERROR(Planejador!$I$174,"")</f>
        <v/>
      </c>
      <c r="P222" s="20" t="str">
        <f>Planejador!$I$166</f>
        <v/>
      </c>
      <c r="Q222" s="27">
        <f t="shared" ref="Q222:Q252" si="49">$Q$221/$B$221</f>
        <v>0</v>
      </c>
      <c r="R222" s="24" t="str">
        <f>Planejador!$I$168</f>
        <v/>
      </c>
      <c r="S222" s="16"/>
      <c r="T222" s="16"/>
      <c r="U222" s="16"/>
      <c r="V222" s="16"/>
      <c r="W222" s="16"/>
      <c r="X222" s="16"/>
      <c r="Y222" s="16"/>
      <c r="Z222" s="16"/>
    </row>
    <row r="223" ht="15.75" hidden="1" customHeight="1" outlineLevel="1">
      <c r="A223" s="17">
        <v>46236.0</v>
      </c>
      <c r="B223" s="18" t="str">
        <f t="shared" si="45"/>
        <v>domingo</v>
      </c>
      <c r="C223" s="19"/>
      <c r="D223" s="20">
        <f>SUMIF('ADV - GG'!A:A,A223,'ADV - GG'!C:C)+SUMIF('ADV - FB'!A:A,$A223,'ADV - FB'!E:E)</f>
        <v>0</v>
      </c>
      <c r="E223" s="21">
        <f>SUMIF('ADV - GG'!A:A,A223,'ADV - GG'!H:H)+SUMIF('ADV - FB'!A:A,$A223,'ADV - FB'!I:I)+SUMIF('ADV - FB'!A:A,$A223,'ADV - FB'!J:J)+SUMIF('ADV - FB'!A:A,$A223,'ADV - FB'!K:K)</f>
        <v>0</v>
      </c>
      <c r="F223" s="20" t="str">
        <f t="shared" si="2"/>
        <v/>
      </c>
      <c r="G223" s="22"/>
      <c r="H223" s="22"/>
      <c r="I223" s="23"/>
      <c r="J223" s="22">
        <f>SUMIF('ADV - GA4'!A:A,A223,'ADV - GA4'!C:C)</f>
        <v>0</v>
      </c>
      <c r="K223" s="20" t="str">
        <f t="shared" si="46"/>
        <v/>
      </c>
      <c r="L223" s="24" t="str">
        <f t="shared" si="3"/>
        <v/>
      </c>
      <c r="M223" s="25">
        <f t="shared" si="47"/>
        <v>0</v>
      </c>
      <c r="N223" s="26">
        <f t="shared" si="48"/>
        <v>0</v>
      </c>
      <c r="O223" s="20" t="str">
        <f>IFERROR(Planejador!$I$174,"")</f>
        <v/>
      </c>
      <c r="P223" s="20" t="str">
        <f>Planejador!$I$166</f>
        <v/>
      </c>
      <c r="Q223" s="27">
        <f t="shared" si="49"/>
        <v>0</v>
      </c>
      <c r="R223" s="24" t="str">
        <f>Planejador!$I$168</f>
        <v/>
      </c>
      <c r="S223" s="16"/>
      <c r="T223" s="16"/>
      <c r="U223" s="16"/>
      <c r="V223" s="16"/>
      <c r="W223" s="16"/>
      <c r="X223" s="16"/>
      <c r="Y223" s="16"/>
      <c r="Z223" s="16"/>
    </row>
    <row r="224" ht="15.75" hidden="1" customHeight="1" outlineLevel="1">
      <c r="A224" s="17">
        <v>46237.0</v>
      </c>
      <c r="B224" s="18" t="str">
        <f t="shared" si="45"/>
        <v>segunda-feira</v>
      </c>
      <c r="C224" s="19"/>
      <c r="D224" s="20">
        <f>SUMIF('ADV - GG'!A:A,A224,'ADV - GG'!C:C)+SUMIF('ADV - FB'!A:A,$A224,'ADV - FB'!E:E)</f>
        <v>0</v>
      </c>
      <c r="E224" s="21">
        <f>SUMIF('ADV - GG'!A:A,A224,'ADV - GG'!H:H)+SUMIF('ADV - FB'!A:A,$A224,'ADV - FB'!I:I)+SUMIF('ADV - FB'!A:A,$A224,'ADV - FB'!J:J)+SUMIF('ADV - FB'!A:A,$A224,'ADV - FB'!K:K)</f>
        <v>0</v>
      </c>
      <c r="F224" s="20" t="str">
        <f t="shared" si="2"/>
        <v/>
      </c>
      <c r="G224" s="22"/>
      <c r="H224" s="22"/>
      <c r="I224" s="23"/>
      <c r="J224" s="22">
        <f>SUMIF('ADV - GA4'!A:A,A224,'ADV - GA4'!C:C)</f>
        <v>0</v>
      </c>
      <c r="K224" s="20" t="str">
        <f t="shared" si="46"/>
        <v/>
      </c>
      <c r="L224" s="24" t="str">
        <f t="shared" si="3"/>
        <v/>
      </c>
      <c r="M224" s="25">
        <f t="shared" si="47"/>
        <v>0</v>
      </c>
      <c r="N224" s="26">
        <f t="shared" si="48"/>
        <v>0</v>
      </c>
      <c r="O224" s="20" t="str">
        <f>IFERROR(Planejador!$I$174,"")</f>
        <v/>
      </c>
      <c r="P224" s="20" t="str">
        <f>Planejador!$I$166</f>
        <v/>
      </c>
      <c r="Q224" s="27">
        <f t="shared" si="49"/>
        <v>0</v>
      </c>
      <c r="R224" s="24" t="str">
        <f>Planejador!$I$168</f>
        <v/>
      </c>
      <c r="S224" s="16"/>
      <c r="T224" s="16"/>
      <c r="U224" s="16"/>
      <c r="V224" s="16"/>
      <c r="W224" s="16"/>
      <c r="X224" s="16"/>
      <c r="Y224" s="16"/>
      <c r="Z224" s="16"/>
    </row>
    <row r="225" ht="15.75" hidden="1" customHeight="1" outlineLevel="1">
      <c r="A225" s="17">
        <v>46238.0</v>
      </c>
      <c r="B225" s="18" t="str">
        <f t="shared" si="45"/>
        <v>terça-feira</v>
      </c>
      <c r="C225" s="19"/>
      <c r="D225" s="20">
        <f>SUMIF('ADV - GG'!A:A,A225,'ADV - GG'!C:C)+SUMIF('ADV - FB'!A:A,$A225,'ADV - FB'!E:E)</f>
        <v>0</v>
      </c>
      <c r="E225" s="21">
        <f>SUMIF('ADV - GG'!A:A,A225,'ADV - GG'!H:H)+SUMIF('ADV - FB'!A:A,$A225,'ADV - FB'!I:I)+SUMIF('ADV - FB'!A:A,$A225,'ADV - FB'!J:J)+SUMIF('ADV - FB'!A:A,$A225,'ADV - FB'!K:K)</f>
        <v>0</v>
      </c>
      <c r="F225" s="20" t="str">
        <f t="shared" si="2"/>
        <v/>
      </c>
      <c r="G225" s="22"/>
      <c r="H225" s="22"/>
      <c r="I225" s="23"/>
      <c r="J225" s="22">
        <f>SUMIF('ADV - GA4'!A:A,A225,'ADV - GA4'!C:C)</f>
        <v>0</v>
      </c>
      <c r="K225" s="20" t="str">
        <f t="shared" si="46"/>
        <v/>
      </c>
      <c r="L225" s="24" t="str">
        <f t="shared" si="3"/>
        <v/>
      </c>
      <c r="M225" s="25">
        <f t="shared" si="47"/>
        <v>0</v>
      </c>
      <c r="N225" s="26">
        <f t="shared" si="48"/>
        <v>0</v>
      </c>
      <c r="O225" s="20" t="str">
        <f>IFERROR(Planejador!$I$174,"")</f>
        <v/>
      </c>
      <c r="P225" s="20" t="str">
        <f>Planejador!$I$166</f>
        <v/>
      </c>
      <c r="Q225" s="27">
        <f t="shared" si="49"/>
        <v>0</v>
      </c>
      <c r="R225" s="24" t="str">
        <f>Planejador!$I$168</f>
        <v/>
      </c>
      <c r="S225" s="16"/>
      <c r="T225" s="16"/>
      <c r="U225" s="16"/>
      <c r="V225" s="16"/>
      <c r="W225" s="16"/>
      <c r="X225" s="16"/>
      <c r="Y225" s="16"/>
      <c r="Z225" s="16"/>
    </row>
    <row r="226" ht="15.75" hidden="1" customHeight="1" outlineLevel="1">
      <c r="A226" s="17">
        <v>46239.0</v>
      </c>
      <c r="B226" s="18" t="str">
        <f t="shared" si="45"/>
        <v>quarta-feira</v>
      </c>
      <c r="C226" s="19"/>
      <c r="D226" s="20">
        <f>SUMIF('ADV - GG'!A:A,A226,'ADV - GG'!C:C)+SUMIF('ADV - FB'!A:A,$A226,'ADV - FB'!E:E)</f>
        <v>0</v>
      </c>
      <c r="E226" s="21">
        <f>SUMIF('ADV - GG'!A:A,A226,'ADV - GG'!H:H)+SUMIF('ADV - FB'!A:A,$A226,'ADV - FB'!I:I)+SUMIF('ADV - FB'!A:A,$A226,'ADV - FB'!J:J)+SUMIF('ADV - FB'!A:A,$A226,'ADV - FB'!K:K)</f>
        <v>0</v>
      </c>
      <c r="F226" s="20" t="str">
        <f t="shared" si="2"/>
        <v/>
      </c>
      <c r="G226" s="22"/>
      <c r="H226" s="22"/>
      <c r="I226" s="23"/>
      <c r="J226" s="22">
        <f>SUMIF('ADV - GA4'!A:A,A226,'ADV - GA4'!C:C)</f>
        <v>0</v>
      </c>
      <c r="K226" s="20" t="str">
        <f t="shared" si="46"/>
        <v/>
      </c>
      <c r="L226" s="24" t="str">
        <f t="shared" si="3"/>
        <v/>
      </c>
      <c r="M226" s="25">
        <f t="shared" si="47"/>
        <v>0</v>
      </c>
      <c r="N226" s="26">
        <f t="shared" si="48"/>
        <v>0</v>
      </c>
      <c r="O226" s="20" t="str">
        <f>IFERROR(Planejador!$I$174,"")</f>
        <v/>
      </c>
      <c r="P226" s="20" t="str">
        <f>Planejador!$I$166</f>
        <v/>
      </c>
      <c r="Q226" s="27">
        <f t="shared" si="49"/>
        <v>0</v>
      </c>
      <c r="R226" s="24" t="str">
        <f>Planejador!$I$168</f>
        <v/>
      </c>
      <c r="S226" s="16"/>
      <c r="T226" s="16"/>
      <c r="U226" s="16"/>
      <c r="V226" s="16"/>
      <c r="W226" s="16"/>
      <c r="X226" s="16"/>
      <c r="Y226" s="16"/>
      <c r="Z226" s="16"/>
    </row>
    <row r="227" ht="15.75" hidden="1" customHeight="1" outlineLevel="1">
      <c r="A227" s="17">
        <v>46240.0</v>
      </c>
      <c r="B227" s="18" t="str">
        <f t="shared" si="45"/>
        <v>quinta-feira</v>
      </c>
      <c r="C227" s="19"/>
      <c r="D227" s="20">
        <f>SUMIF('ADV - GG'!A:A,A227,'ADV - GG'!C:C)+SUMIF('ADV - FB'!A:A,$A227,'ADV - FB'!E:E)</f>
        <v>0</v>
      </c>
      <c r="E227" s="21">
        <f>SUMIF('ADV - GG'!A:A,A227,'ADV - GG'!H:H)+SUMIF('ADV - FB'!A:A,$A227,'ADV - FB'!I:I)+SUMIF('ADV - FB'!A:A,$A227,'ADV - FB'!J:J)+SUMIF('ADV - FB'!A:A,$A227,'ADV - FB'!K:K)</f>
        <v>0</v>
      </c>
      <c r="F227" s="20" t="str">
        <f t="shared" si="2"/>
        <v/>
      </c>
      <c r="G227" s="22"/>
      <c r="H227" s="22"/>
      <c r="I227" s="23"/>
      <c r="J227" s="22">
        <f>SUMIF('ADV - GA4'!A:A,A227,'ADV - GA4'!C:C)</f>
        <v>0</v>
      </c>
      <c r="K227" s="20" t="str">
        <f t="shared" si="46"/>
        <v/>
      </c>
      <c r="L227" s="24" t="str">
        <f t="shared" si="3"/>
        <v/>
      </c>
      <c r="M227" s="25">
        <f t="shared" si="47"/>
        <v>0</v>
      </c>
      <c r="N227" s="26">
        <f t="shared" si="48"/>
        <v>0</v>
      </c>
      <c r="O227" s="20" t="str">
        <f>IFERROR(Planejador!$I$174,"")</f>
        <v/>
      </c>
      <c r="P227" s="20" t="str">
        <f>Planejador!$I$166</f>
        <v/>
      </c>
      <c r="Q227" s="27">
        <f t="shared" si="49"/>
        <v>0</v>
      </c>
      <c r="R227" s="24" t="str">
        <f>Planejador!$I$168</f>
        <v/>
      </c>
      <c r="S227" s="16"/>
      <c r="T227" s="16"/>
      <c r="U227" s="16"/>
      <c r="V227" s="16"/>
      <c r="W227" s="16"/>
      <c r="X227" s="16"/>
      <c r="Y227" s="16"/>
      <c r="Z227" s="16"/>
    </row>
    <row r="228" ht="15.75" hidden="1" customHeight="1" outlineLevel="1">
      <c r="A228" s="17">
        <v>46241.0</v>
      </c>
      <c r="B228" s="18" t="str">
        <f t="shared" si="45"/>
        <v>sexta-feira</v>
      </c>
      <c r="C228" s="19"/>
      <c r="D228" s="20">
        <f>SUMIF('ADV - GG'!A:A,A228,'ADV - GG'!C:C)+SUMIF('ADV - FB'!A:A,$A228,'ADV - FB'!E:E)</f>
        <v>0</v>
      </c>
      <c r="E228" s="21">
        <f>SUMIF('ADV - GG'!A:A,A228,'ADV - GG'!H:H)+SUMIF('ADV - FB'!A:A,$A228,'ADV - FB'!I:I)+SUMIF('ADV - FB'!A:A,$A228,'ADV - FB'!J:J)+SUMIF('ADV - FB'!A:A,$A228,'ADV - FB'!K:K)</f>
        <v>0</v>
      </c>
      <c r="F228" s="20" t="str">
        <f t="shared" si="2"/>
        <v/>
      </c>
      <c r="G228" s="22"/>
      <c r="H228" s="22"/>
      <c r="I228" s="23"/>
      <c r="J228" s="22">
        <f>SUMIF('ADV - GA4'!A:A,A228,'ADV - GA4'!C:C)</f>
        <v>0</v>
      </c>
      <c r="K228" s="20" t="str">
        <f t="shared" si="46"/>
        <v/>
      </c>
      <c r="L228" s="24" t="str">
        <f t="shared" si="3"/>
        <v/>
      </c>
      <c r="M228" s="25">
        <f t="shared" si="47"/>
        <v>0</v>
      </c>
      <c r="N228" s="26">
        <f t="shared" si="48"/>
        <v>0</v>
      </c>
      <c r="O228" s="20" t="str">
        <f>IFERROR(Planejador!$I$174,"")</f>
        <v/>
      </c>
      <c r="P228" s="20" t="str">
        <f>Planejador!$I$166</f>
        <v/>
      </c>
      <c r="Q228" s="27">
        <f t="shared" si="49"/>
        <v>0</v>
      </c>
      <c r="R228" s="24" t="str">
        <f>Planejador!$I$168</f>
        <v/>
      </c>
      <c r="S228" s="16"/>
      <c r="T228" s="16"/>
      <c r="U228" s="16"/>
      <c r="V228" s="16"/>
      <c r="W228" s="16"/>
      <c r="X228" s="16"/>
      <c r="Y228" s="16"/>
      <c r="Z228" s="16"/>
    </row>
    <row r="229" ht="15.75" hidden="1" customHeight="1" outlineLevel="1">
      <c r="A229" s="17">
        <v>46242.0</v>
      </c>
      <c r="B229" s="18" t="str">
        <f t="shared" si="45"/>
        <v>sábado</v>
      </c>
      <c r="C229" s="19"/>
      <c r="D229" s="20">
        <f>SUMIF('ADV - GG'!A:A,A229,'ADV - GG'!C:C)+SUMIF('ADV - FB'!A:A,$A229,'ADV - FB'!E:E)</f>
        <v>0</v>
      </c>
      <c r="E229" s="21">
        <f>SUMIF('ADV - GG'!A:A,A229,'ADV - GG'!H:H)+SUMIF('ADV - FB'!A:A,$A229,'ADV - FB'!I:I)+SUMIF('ADV - FB'!A:A,$A229,'ADV - FB'!J:J)+SUMIF('ADV - FB'!A:A,$A229,'ADV - FB'!K:K)</f>
        <v>0</v>
      </c>
      <c r="F229" s="20" t="str">
        <f t="shared" si="2"/>
        <v/>
      </c>
      <c r="G229" s="22"/>
      <c r="H229" s="22"/>
      <c r="I229" s="23"/>
      <c r="J229" s="22">
        <f>SUMIF('ADV - GA4'!A:A,A229,'ADV - GA4'!C:C)</f>
        <v>0</v>
      </c>
      <c r="K229" s="20" t="str">
        <f t="shared" si="46"/>
        <v/>
      </c>
      <c r="L229" s="24" t="str">
        <f t="shared" si="3"/>
        <v/>
      </c>
      <c r="M229" s="25">
        <f t="shared" si="47"/>
        <v>0</v>
      </c>
      <c r="N229" s="26">
        <f t="shared" si="48"/>
        <v>0</v>
      </c>
      <c r="O229" s="20" t="str">
        <f>IFERROR(Planejador!$I$174,"")</f>
        <v/>
      </c>
      <c r="P229" s="20" t="str">
        <f>Planejador!$I$166</f>
        <v/>
      </c>
      <c r="Q229" s="27">
        <f t="shared" si="49"/>
        <v>0</v>
      </c>
      <c r="R229" s="24" t="str">
        <f>Planejador!$I$168</f>
        <v/>
      </c>
      <c r="S229" s="16"/>
      <c r="T229" s="16"/>
      <c r="U229" s="16"/>
      <c r="V229" s="16"/>
      <c r="W229" s="16"/>
      <c r="X229" s="16"/>
      <c r="Y229" s="16"/>
      <c r="Z229" s="16"/>
    </row>
    <row r="230" ht="15.75" hidden="1" customHeight="1" outlineLevel="1">
      <c r="A230" s="17">
        <v>46243.0</v>
      </c>
      <c r="B230" s="18" t="str">
        <f t="shared" si="45"/>
        <v>domingo</v>
      </c>
      <c r="C230" s="19"/>
      <c r="D230" s="20">
        <f>SUMIF('ADV - GG'!A:A,A230,'ADV - GG'!C:C)+SUMIF('ADV - FB'!A:A,$A230,'ADV - FB'!E:E)</f>
        <v>0</v>
      </c>
      <c r="E230" s="21">
        <f>SUMIF('ADV - GG'!A:A,A230,'ADV - GG'!H:H)+SUMIF('ADV - FB'!A:A,$A230,'ADV - FB'!I:I)+SUMIF('ADV - FB'!A:A,$A230,'ADV - FB'!J:J)+SUMIF('ADV - FB'!A:A,$A230,'ADV - FB'!K:K)</f>
        <v>0</v>
      </c>
      <c r="F230" s="20" t="str">
        <f t="shared" si="2"/>
        <v/>
      </c>
      <c r="G230" s="22"/>
      <c r="H230" s="22"/>
      <c r="I230" s="23"/>
      <c r="J230" s="22">
        <f>SUMIF('ADV - GA4'!A:A,A230,'ADV - GA4'!C:C)</f>
        <v>0</v>
      </c>
      <c r="K230" s="20" t="str">
        <f t="shared" si="46"/>
        <v/>
      </c>
      <c r="L230" s="24" t="str">
        <f t="shared" si="3"/>
        <v/>
      </c>
      <c r="M230" s="25">
        <f t="shared" si="47"/>
        <v>0</v>
      </c>
      <c r="N230" s="26">
        <f t="shared" si="48"/>
        <v>0</v>
      </c>
      <c r="O230" s="20" t="str">
        <f>IFERROR(Planejador!$I$174,"")</f>
        <v/>
      </c>
      <c r="P230" s="20" t="str">
        <f>Planejador!$I$166</f>
        <v/>
      </c>
      <c r="Q230" s="27">
        <f t="shared" si="49"/>
        <v>0</v>
      </c>
      <c r="R230" s="24" t="str">
        <f>Planejador!$I$168</f>
        <v/>
      </c>
      <c r="S230" s="16"/>
      <c r="T230" s="16"/>
      <c r="U230" s="16"/>
      <c r="V230" s="16"/>
      <c r="W230" s="16"/>
      <c r="X230" s="16"/>
      <c r="Y230" s="16"/>
      <c r="Z230" s="16"/>
    </row>
    <row r="231" ht="15.75" hidden="1" customHeight="1" outlineLevel="1">
      <c r="A231" s="17">
        <v>46244.0</v>
      </c>
      <c r="B231" s="18" t="str">
        <f t="shared" si="45"/>
        <v>segunda-feira</v>
      </c>
      <c r="C231" s="19"/>
      <c r="D231" s="20">
        <f>SUMIF('ADV - GG'!A:A,A231,'ADV - GG'!C:C)+SUMIF('ADV - FB'!A:A,$A231,'ADV - FB'!E:E)</f>
        <v>0</v>
      </c>
      <c r="E231" s="21">
        <f>SUMIF('ADV - GG'!A:A,A231,'ADV - GG'!H:H)+SUMIF('ADV - FB'!A:A,$A231,'ADV - FB'!I:I)+SUMIF('ADV - FB'!A:A,$A231,'ADV - FB'!J:J)+SUMIF('ADV - FB'!A:A,$A231,'ADV - FB'!K:K)</f>
        <v>0</v>
      </c>
      <c r="F231" s="20" t="str">
        <f t="shared" si="2"/>
        <v/>
      </c>
      <c r="G231" s="22"/>
      <c r="H231" s="22"/>
      <c r="I231" s="23"/>
      <c r="J231" s="22">
        <f>SUMIF('ADV - GA4'!A:A,A231,'ADV - GA4'!C:C)</f>
        <v>0</v>
      </c>
      <c r="K231" s="20" t="str">
        <f t="shared" si="46"/>
        <v/>
      </c>
      <c r="L231" s="24" t="str">
        <f t="shared" si="3"/>
        <v/>
      </c>
      <c r="M231" s="25">
        <f t="shared" si="47"/>
        <v>0</v>
      </c>
      <c r="N231" s="26">
        <f t="shared" si="48"/>
        <v>0</v>
      </c>
      <c r="O231" s="20" t="str">
        <f>IFERROR(Planejador!$I$174,"")</f>
        <v/>
      </c>
      <c r="P231" s="20" t="str">
        <f>Planejador!$I$166</f>
        <v/>
      </c>
      <c r="Q231" s="27">
        <f t="shared" si="49"/>
        <v>0</v>
      </c>
      <c r="R231" s="24" t="str">
        <f>Planejador!$I$168</f>
        <v/>
      </c>
      <c r="S231" s="16"/>
      <c r="T231" s="16"/>
      <c r="U231" s="16"/>
      <c r="V231" s="16"/>
      <c r="W231" s="16"/>
      <c r="X231" s="16"/>
      <c r="Y231" s="16"/>
      <c r="Z231" s="16"/>
    </row>
    <row r="232" ht="15.75" hidden="1" customHeight="1" outlineLevel="1">
      <c r="A232" s="17">
        <v>46245.0</v>
      </c>
      <c r="B232" s="18" t="str">
        <f t="shared" si="45"/>
        <v>terça-feira</v>
      </c>
      <c r="C232" s="19"/>
      <c r="D232" s="20">
        <f>SUMIF('ADV - GG'!A:A,A232,'ADV - GG'!C:C)+SUMIF('ADV - FB'!A:A,$A232,'ADV - FB'!E:E)</f>
        <v>0</v>
      </c>
      <c r="E232" s="21">
        <f>SUMIF('ADV - GG'!A:A,A232,'ADV - GG'!H:H)+SUMIF('ADV - FB'!A:A,$A232,'ADV - FB'!I:I)+SUMIF('ADV - FB'!A:A,$A232,'ADV - FB'!J:J)+SUMIF('ADV - FB'!A:A,$A232,'ADV - FB'!K:K)</f>
        <v>0</v>
      </c>
      <c r="F232" s="20" t="str">
        <f t="shared" si="2"/>
        <v/>
      </c>
      <c r="G232" s="22"/>
      <c r="H232" s="22"/>
      <c r="I232" s="23"/>
      <c r="J232" s="22">
        <f>SUMIF('ADV - GA4'!A:A,A232,'ADV - GA4'!C:C)</f>
        <v>0</v>
      </c>
      <c r="K232" s="20" t="str">
        <f t="shared" si="46"/>
        <v/>
      </c>
      <c r="L232" s="24" t="str">
        <f t="shared" si="3"/>
        <v/>
      </c>
      <c r="M232" s="25">
        <f t="shared" si="47"/>
        <v>0</v>
      </c>
      <c r="N232" s="26">
        <f t="shared" si="48"/>
        <v>0</v>
      </c>
      <c r="O232" s="20" t="str">
        <f>IFERROR(Planejador!$I$174,"")</f>
        <v/>
      </c>
      <c r="P232" s="20" t="str">
        <f>Planejador!$I$166</f>
        <v/>
      </c>
      <c r="Q232" s="27">
        <f t="shared" si="49"/>
        <v>0</v>
      </c>
      <c r="R232" s="24" t="str">
        <f>Planejador!$I$168</f>
        <v/>
      </c>
      <c r="S232" s="16"/>
      <c r="T232" s="16"/>
      <c r="U232" s="16"/>
      <c r="V232" s="16"/>
      <c r="W232" s="16"/>
      <c r="X232" s="16"/>
      <c r="Y232" s="16"/>
      <c r="Z232" s="16"/>
    </row>
    <row r="233" ht="15.75" hidden="1" customHeight="1" outlineLevel="1">
      <c r="A233" s="17">
        <v>46246.0</v>
      </c>
      <c r="B233" s="18" t="str">
        <f t="shared" si="45"/>
        <v>quarta-feira</v>
      </c>
      <c r="C233" s="19"/>
      <c r="D233" s="20">
        <f>SUMIF('ADV - GG'!A:A,A233,'ADV - GG'!C:C)+SUMIF('ADV - FB'!A:A,$A233,'ADV - FB'!E:E)</f>
        <v>0</v>
      </c>
      <c r="E233" s="21">
        <f>SUMIF('ADV - GG'!A:A,A233,'ADV - GG'!H:H)+SUMIF('ADV - FB'!A:A,$A233,'ADV - FB'!I:I)+SUMIF('ADV - FB'!A:A,$A233,'ADV - FB'!J:J)+SUMIF('ADV - FB'!A:A,$A233,'ADV - FB'!K:K)</f>
        <v>0</v>
      </c>
      <c r="F233" s="20" t="str">
        <f t="shared" si="2"/>
        <v/>
      </c>
      <c r="G233" s="22"/>
      <c r="H233" s="22"/>
      <c r="I233" s="23"/>
      <c r="J233" s="22">
        <f>SUMIF('ADV - GA4'!A:A,A233,'ADV - GA4'!C:C)</f>
        <v>0</v>
      </c>
      <c r="K233" s="20" t="str">
        <f t="shared" si="46"/>
        <v/>
      </c>
      <c r="L233" s="24" t="str">
        <f t="shared" si="3"/>
        <v/>
      </c>
      <c r="M233" s="25">
        <f t="shared" si="47"/>
        <v>0</v>
      </c>
      <c r="N233" s="26">
        <f t="shared" si="48"/>
        <v>0</v>
      </c>
      <c r="O233" s="20" t="str">
        <f>IFERROR(Planejador!$I$174,"")</f>
        <v/>
      </c>
      <c r="P233" s="20" t="str">
        <f>Planejador!$I$166</f>
        <v/>
      </c>
      <c r="Q233" s="27">
        <f t="shared" si="49"/>
        <v>0</v>
      </c>
      <c r="R233" s="24" t="str">
        <f>Planejador!$I$168</f>
        <v/>
      </c>
      <c r="S233" s="16"/>
      <c r="T233" s="16"/>
      <c r="U233" s="16"/>
      <c r="V233" s="16"/>
      <c r="W233" s="16"/>
      <c r="X233" s="16"/>
      <c r="Y233" s="16"/>
      <c r="Z233" s="16"/>
    </row>
    <row r="234" ht="15.75" hidden="1" customHeight="1" outlineLevel="1">
      <c r="A234" s="17">
        <v>46247.0</v>
      </c>
      <c r="B234" s="18" t="str">
        <f t="shared" si="45"/>
        <v>quinta-feira</v>
      </c>
      <c r="C234" s="19"/>
      <c r="D234" s="20">
        <f>SUMIF('ADV - GG'!A:A,A234,'ADV - GG'!C:C)+SUMIF('ADV - FB'!A:A,$A234,'ADV - FB'!E:E)</f>
        <v>0</v>
      </c>
      <c r="E234" s="21">
        <f>SUMIF('ADV - GG'!A:A,A234,'ADV - GG'!H:H)+SUMIF('ADV - FB'!A:A,$A234,'ADV - FB'!I:I)+SUMIF('ADV - FB'!A:A,$A234,'ADV - FB'!J:J)+SUMIF('ADV - FB'!A:A,$A234,'ADV - FB'!K:K)</f>
        <v>0</v>
      </c>
      <c r="F234" s="20" t="str">
        <f t="shared" si="2"/>
        <v/>
      </c>
      <c r="G234" s="22"/>
      <c r="H234" s="22"/>
      <c r="I234" s="23"/>
      <c r="J234" s="22">
        <f>SUMIF('ADV - GA4'!A:A,A234,'ADV - GA4'!C:C)</f>
        <v>0</v>
      </c>
      <c r="K234" s="20" t="str">
        <f t="shared" si="46"/>
        <v/>
      </c>
      <c r="L234" s="24" t="str">
        <f t="shared" si="3"/>
        <v/>
      </c>
      <c r="M234" s="25">
        <f t="shared" si="47"/>
        <v>0</v>
      </c>
      <c r="N234" s="26">
        <f t="shared" si="48"/>
        <v>0</v>
      </c>
      <c r="O234" s="20" t="str">
        <f>IFERROR(Planejador!$I$174,"")</f>
        <v/>
      </c>
      <c r="P234" s="20" t="str">
        <f>Planejador!$I$166</f>
        <v/>
      </c>
      <c r="Q234" s="27">
        <f t="shared" si="49"/>
        <v>0</v>
      </c>
      <c r="R234" s="24" t="str">
        <f>Planejador!$I$168</f>
        <v/>
      </c>
      <c r="S234" s="16"/>
      <c r="T234" s="16"/>
      <c r="U234" s="16"/>
      <c r="V234" s="16"/>
      <c r="W234" s="16"/>
      <c r="X234" s="16"/>
      <c r="Y234" s="16"/>
      <c r="Z234" s="16"/>
    </row>
    <row r="235" ht="15.75" hidden="1" customHeight="1" outlineLevel="1">
      <c r="A235" s="17">
        <v>46248.0</v>
      </c>
      <c r="B235" s="18" t="str">
        <f t="shared" si="45"/>
        <v>sexta-feira</v>
      </c>
      <c r="C235" s="19"/>
      <c r="D235" s="20">
        <f>SUMIF('ADV - GG'!A:A,A235,'ADV - GG'!C:C)+SUMIF('ADV - FB'!A:A,$A235,'ADV - FB'!E:E)</f>
        <v>0</v>
      </c>
      <c r="E235" s="21">
        <f>SUMIF('ADV - GG'!A:A,A235,'ADV - GG'!H:H)+SUMIF('ADV - FB'!A:A,$A235,'ADV - FB'!I:I)+SUMIF('ADV - FB'!A:A,$A235,'ADV - FB'!J:J)+SUMIF('ADV - FB'!A:A,$A235,'ADV - FB'!K:K)</f>
        <v>0</v>
      </c>
      <c r="F235" s="20" t="str">
        <f t="shared" si="2"/>
        <v/>
      </c>
      <c r="G235" s="22"/>
      <c r="H235" s="22"/>
      <c r="I235" s="23"/>
      <c r="J235" s="22">
        <f>SUMIF('ADV - GA4'!A:A,A235,'ADV - GA4'!C:C)</f>
        <v>0</v>
      </c>
      <c r="K235" s="20" t="str">
        <f t="shared" si="46"/>
        <v/>
      </c>
      <c r="L235" s="24" t="str">
        <f t="shared" si="3"/>
        <v/>
      </c>
      <c r="M235" s="25">
        <f t="shared" si="47"/>
        <v>0</v>
      </c>
      <c r="N235" s="26">
        <f t="shared" si="48"/>
        <v>0</v>
      </c>
      <c r="O235" s="20" t="str">
        <f>IFERROR(Planejador!$I$174,"")</f>
        <v/>
      </c>
      <c r="P235" s="20" t="str">
        <f>Planejador!$I$166</f>
        <v/>
      </c>
      <c r="Q235" s="27">
        <f t="shared" si="49"/>
        <v>0</v>
      </c>
      <c r="R235" s="24" t="str">
        <f>Planejador!$I$168</f>
        <v/>
      </c>
      <c r="S235" s="16"/>
      <c r="T235" s="16"/>
      <c r="U235" s="16"/>
      <c r="V235" s="16"/>
      <c r="W235" s="16"/>
      <c r="X235" s="16"/>
      <c r="Y235" s="16"/>
      <c r="Z235" s="16"/>
    </row>
    <row r="236" ht="15.75" hidden="1" customHeight="1" outlineLevel="1">
      <c r="A236" s="17">
        <v>46249.0</v>
      </c>
      <c r="B236" s="18" t="str">
        <f t="shared" si="45"/>
        <v>sábado</v>
      </c>
      <c r="C236" s="19"/>
      <c r="D236" s="20">
        <f>SUMIF('ADV - GG'!A:A,A236,'ADV - GG'!C:C)+SUMIF('ADV - FB'!A:A,$A236,'ADV - FB'!E:E)</f>
        <v>0</v>
      </c>
      <c r="E236" s="21">
        <f>SUMIF('ADV - GG'!A:A,A236,'ADV - GG'!H:H)+SUMIF('ADV - FB'!A:A,$A236,'ADV - FB'!I:I)+SUMIF('ADV - FB'!A:A,$A236,'ADV - FB'!J:J)+SUMIF('ADV - FB'!A:A,$A236,'ADV - FB'!K:K)</f>
        <v>0</v>
      </c>
      <c r="F236" s="20" t="str">
        <f t="shared" si="2"/>
        <v/>
      </c>
      <c r="G236" s="22"/>
      <c r="H236" s="22"/>
      <c r="I236" s="23"/>
      <c r="J236" s="22">
        <f>SUMIF('ADV - GA4'!A:A,A236,'ADV - GA4'!C:C)</f>
        <v>0</v>
      </c>
      <c r="K236" s="20" t="str">
        <f t="shared" si="46"/>
        <v/>
      </c>
      <c r="L236" s="24" t="str">
        <f t="shared" si="3"/>
        <v/>
      </c>
      <c r="M236" s="25">
        <f t="shared" si="47"/>
        <v>0</v>
      </c>
      <c r="N236" s="26">
        <f t="shared" si="48"/>
        <v>0</v>
      </c>
      <c r="O236" s="20" t="str">
        <f>IFERROR(Planejador!$I$174,"")</f>
        <v/>
      </c>
      <c r="P236" s="20" t="str">
        <f>Planejador!$I$166</f>
        <v/>
      </c>
      <c r="Q236" s="27">
        <f t="shared" si="49"/>
        <v>0</v>
      </c>
      <c r="R236" s="24" t="str">
        <f>Planejador!$I$168</f>
        <v/>
      </c>
      <c r="S236" s="16"/>
      <c r="T236" s="16"/>
      <c r="U236" s="16"/>
      <c r="V236" s="16"/>
      <c r="W236" s="16"/>
      <c r="X236" s="16"/>
      <c r="Y236" s="16"/>
      <c r="Z236" s="16"/>
    </row>
    <row r="237" ht="15.75" hidden="1" customHeight="1" outlineLevel="1">
      <c r="A237" s="17">
        <v>46250.0</v>
      </c>
      <c r="B237" s="18" t="str">
        <f t="shared" si="45"/>
        <v>domingo</v>
      </c>
      <c r="C237" s="19"/>
      <c r="D237" s="20">
        <f>SUMIF('ADV - GG'!A:A,A237,'ADV - GG'!C:C)+SUMIF('ADV - FB'!A:A,$A237,'ADV - FB'!E:E)</f>
        <v>0</v>
      </c>
      <c r="E237" s="21">
        <f>SUMIF('ADV - GG'!A:A,A237,'ADV - GG'!H:H)+SUMIF('ADV - FB'!A:A,$A237,'ADV - FB'!I:I)+SUMIF('ADV - FB'!A:A,$A237,'ADV - FB'!J:J)+SUMIF('ADV - FB'!A:A,$A237,'ADV - FB'!K:K)</f>
        <v>0</v>
      </c>
      <c r="F237" s="20" t="str">
        <f t="shared" si="2"/>
        <v/>
      </c>
      <c r="G237" s="22"/>
      <c r="H237" s="22"/>
      <c r="I237" s="23"/>
      <c r="J237" s="22">
        <f>SUMIF('ADV - GA4'!A:A,A237,'ADV - GA4'!C:C)</f>
        <v>0</v>
      </c>
      <c r="K237" s="20" t="str">
        <f t="shared" si="46"/>
        <v/>
      </c>
      <c r="L237" s="24" t="str">
        <f t="shared" si="3"/>
        <v/>
      </c>
      <c r="M237" s="25">
        <f t="shared" si="47"/>
        <v>0</v>
      </c>
      <c r="N237" s="26">
        <f t="shared" si="48"/>
        <v>0</v>
      </c>
      <c r="O237" s="20" t="str">
        <f>IFERROR(Planejador!$I$174,"")</f>
        <v/>
      </c>
      <c r="P237" s="20" t="str">
        <f>Planejador!$I$166</f>
        <v/>
      </c>
      <c r="Q237" s="27">
        <f t="shared" si="49"/>
        <v>0</v>
      </c>
      <c r="R237" s="24" t="str">
        <f>Planejador!$I$168</f>
        <v/>
      </c>
      <c r="S237" s="16"/>
      <c r="T237" s="16"/>
      <c r="U237" s="16"/>
      <c r="V237" s="16"/>
      <c r="W237" s="16"/>
      <c r="X237" s="16"/>
      <c r="Y237" s="16"/>
      <c r="Z237" s="16"/>
    </row>
    <row r="238" ht="15.75" hidden="1" customHeight="1" outlineLevel="1">
      <c r="A238" s="17">
        <v>46251.0</v>
      </c>
      <c r="B238" s="18" t="str">
        <f t="shared" si="45"/>
        <v>segunda-feira</v>
      </c>
      <c r="C238" s="19"/>
      <c r="D238" s="20">
        <f>SUMIF('ADV - GG'!A:A,A238,'ADV - GG'!C:C)+SUMIF('ADV - FB'!A:A,$A238,'ADV - FB'!E:E)</f>
        <v>0</v>
      </c>
      <c r="E238" s="21">
        <f>SUMIF('ADV - GG'!A:A,A238,'ADV - GG'!H:H)+SUMIF('ADV - FB'!A:A,$A238,'ADV - FB'!I:I)+SUMIF('ADV - FB'!A:A,$A238,'ADV - FB'!J:J)+SUMIF('ADV - FB'!A:A,$A238,'ADV - FB'!K:K)</f>
        <v>0</v>
      </c>
      <c r="F238" s="20" t="str">
        <f t="shared" si="2"/>
        <v/>
      </c>
      <c r="G238" s="22"/>
      <c r="H238" s="22"/>
      <c r="I238" s="23"/>
      <c r="J238" s="22">
        <f>SUMIF('ADV - GA4'!A:A,A238,'ADV - GA4'!C:C)</f>
        <v>0</v>
      </c>
      <c r="K238" s="20" t="str">
        <f t="shared" si="46"/>
        <v/>
      </c>
      <c r="L238" s="24" t="str">
        <f t="shared" si="3"/>
        <v/>
      </c>
      <c r="M238" s="25">
        <f t="shared" si="47"/>
        <v>0</v>
      </c>
      <c r="N238" s="26">
        <f t="shared" si="48"/>
        <v>0</v>
      </c>
      <c r="O238" s="20" t="str">
        <f>IFERROR(Planejador!$I$174,"")</f>
        <v/>
      </c>
      <c r="P238" s="20" t="str">
        <f>Planejador!$I$166</f>
        <v/>
      </c>
      <c r="Q238" s="27">
        <f t="shared" si="49"/>
        <v>0</v>
      </c>
      <c r="R238" s="24" t="str">
        <f>Planejador!$I$168</f>
        <v/>
      </c>
      <c r="S238" s="16"/>
      <c r="T238" s="16"/>
      <c r="U238" s="16"/>
      <c r="V238" s="16"/>
      <c r="W238" s="16"/>
      <c r="X238" s="16"/>
      <c r="Y238" s="16"/>
      <c r="Z238" s="16"/>
    </row>
    <row r="239" ht="15.75" hidden="1" customHeight="1" outlineLevel="1">
      <c r="A239" s="17">
        <v>46252.0</v>
      </c>
      <c r="B239" s="18" t="str">
        <f t="shared" si="45"/>
        <v>terça-feira</v>
      </c>
      <c r="C239" s="19"/>
      <c r="D239" s="20">
        <f>SUMIF('ADV - GG'!A:A,A239,'ADV - GG'!C:C)+SUMIF('ADV - FB'!A:A,$A239,'ADV - FB'!E:E)</f>
        <v>0</v>
      </c>
      <c r="E239" s="21">
        <f>SUMIF('ADV - GG'!A:A,A239,'ADV - GG'!H:H)+SUMIF('ADV - FB'!A:A,$A239,'ADV - FB'!I:I)+SUMIF('ADV - FB'!A:A,$A239,'ADV - FB'!J:J)+SUMIF('ADV - FB'!A:A,$A239,'ADV - FB'!K:K)</f>
        <v>0</v>
      </c>
      <c r="F239" s="20" t="str">
        <f t="shared" si="2"/>
        <v/>
      </c>
      <c r="G239" s="22"/>
      <c r="H239" s="22"/>
      <c r="I239" s="23"/>
      <c r="J239" s="22">
        <f>SUMIF('ADV - GA4'!A:A,A239,'ADV - GA4'!C:C)</f>
        <v>0</v>
      </c>
      <c r="K239" s="20" t="str">
        <f t="shared" si="46"/>
        <v/>
      </c>
      <c r="L239" s="24" t="str">
        <f t="shared" si="3"/>
        <v/>
      </c>
      <c r="M239" s="25">
        <f t="shared" si="47"/>
        <v>0</v>
      </c>
      <c r="N239" s="26">
        <f t="shared" si="48"/>
        <v>0</v>
      </c>
      <c r="O239" s="20" t="str">
        <f>IFERROR(Planejador!$I$174,"")</f>
        <v/>
      </c>
      <c r="P239" s="20" t="str">
        <f>Planejador!$I$166</f>
        <v/>
      </c>
      <c r="Q239" s="27">
        <f t="shared" si="49"/>
        <v>0</v>
      </c>
      <c r="R239" s="24" t="str">
        <f>Planejador!$I$168</f>
        <v/>
      </c>
      <c r="S239" s="16"/>
      <c r="T239" s="16"/>
      <c r="U239" s="16"/>
      <c r="V239" s="16"/>
      <c r="W239" s="16"/>
      <c r="X239" s="16"/>
      <c r="Y239" s="16"/>
      <c r="Z239" s="16"/>
    </row>
    <row r="240" ht="15.75" hidden="1" customHeight="1" outlineLevel="1">
      <c r="A240" s="17">
        <v>46253.0</v>
      </c>
      <c r="B240" s="18" t="str">
        <f t="shared" si="45"/>
        <v>quarta-feira</v>
      </c>
      <c r="C240" s="19"/>
      <c r="D240" s="20">
        <f>SUMIF('ADV - GG'!A:A,A240,'ADV - GG'!C:C)+SUMIF('ADV - FB'!A:A,$A240,'ADV - FB'!E:E)</f>
        <v>0</v>
      </c>
      <c r="E240" s="21">
        <f>SUMIF('ADV - GG'!A:A,A240,'ADV - GG'!H:H)+SUMIF('ADV - FB'!A:A,$A240,'ADV - FB'!I:I)+SUMIF('ADV - FB'!A:A,$A240,'ADV - FB'!J:J)+SUMIF('ADV - FB'!A:A,$A240,'ADV - FB'!K:K)</f>
        <v>0</v>
      </c>
      <c r="F240" s="20" t="str">
        <f t="shared" si="2"/>
        <v/>
      </c>
      <c r="G240" s="22"/>
      <c r="H240" s="22"/>
      <c r="I240" s="23"/>
      <c r="J240" s="22">
        <f>SUMIF('ADV - GA4'!A:A,A240,'ADV - GA4'!C:C)</f>
        <v>0</v>
      </c>
      <c r="K240" s="20" t="str">
        <f t="shared" si="46"/>
        <v/>
      </c>
      <c r="L240" s="24" t="str">
        <f t="shared" si="3"/>
        <v/>
      </c>
      <c r="M240" s="25">
        <f t="shared" si="47"/>
        <v>0</v>
      </c>
      <c r="N240" s="26">
        <f t="shared" si="48"/>
        <v>0</v>
      </c>
      <c r="O240" s="20" t="str">
        <f>IFERROR(Planejador!$I$174,"")</f>
        <v/>
      </c>
      <c r="P240" s="20" t="str">
        <f>Planejador!$I$166</f>
        <v/>
      </c>
      <c r="Q240" s="27">
        <f t="shared" si="49"/>
        <v>0</v>
      </c>
      <c r="R240" s="24" t="str">
        <f>Planejador!$I$168</f>
        <v/>
      </c>
      <c r="S240" s="16"/>
      <c r="T240" s="16"/>
      <c r="U240" s="16"/>
      <c r="V240" s="16"/>
      <c r="W240" s="16"/>
      <c r="X240" s="16"/>
      <c r="Y240" s="16"/>
      <c r="Z240" s="16"/>
    </row>
    <row r="241" ht="15.75" hidden="1" customHeight="1" outlineLevel="1">
      <c r="A241" s="17">
        <v>46254.0</v>
      </c>
      <c r="B241" s="18" t="str">
        <f t="shared" si="45"/>
        <v>quinta-feira</v>
      </c>
      <c r="C241" s="19"/>
      <c r="D241" s="20">
        <f>SUMIF('ADV - GG'!A:A,A241,'ADV - GG'!C:C)+SUMIF('ADV - FB'!A:A,$A241,'ADV - FB'!E:E)</f>
        <v>0</v>
      </c>
      <c r="E241" s="21">
        <f>SUMIF('ADV - GG'!A:A,A241,'ADV - GG'!H:H)+SUMIF('ADV - FB'!A:A,$A241,'ADV - FB'!I:I)+SUMIF('ADV - FB'!A:A,$A241,'ADV - FB'!J:J)+SUMIF('ADV - FB'!A:A,$A241,'ADV - FB'!K:K)</f>
        <v>0</v>
      </c>
      <c r="F241" s="20" t="str">
        <f t="shared" si="2"/>
        <v/>
      </c>
      <c r="G241" s="22"/>
      <c r="H241" s="22"/>
      <c r="I241" s="23"/>
      <c r="J241" s="22">
        <f>SUMIF('ADV - GA4'!A:A,A241,'ADV - GA4'!C:C)</f>
        <v>0</v>
      </c>
      <c r="K241" s="20" t="str">
        <f t="shared" si="46"/>
        <v/>
      </c>
      <c r="L241" s="24" t="str">
        <f t="shared" si="3"/>
        <v/>
      </c>
      <c r="M241" s="25">
        <f t="shared" si="47"/>
        <v>0</v>
      </c>
      <c r="N241" s="26">
        <f t="shared" si="48"/>
        <v>0</v>
      </c>
      <c r="O241" s="20" t="str">
        <f>IFERROR(Planejador!$I$174,"")</f>
        <v/>
      </c>
      <c r="P241" s="20" t="str">
        <f>Planejador!$I$166</f>
        <v/>
      </c>
      <c r="Q241" s="27">
        <f t="shared" si="49"/>
        <v>0</v>
      </c>
      <c r="R241" s="24" t="str">
        <f>Planejador!$I$168</f>
        <v/>
      </c>
      <c r="S241" s="16"/>
      <c r="T241" s="16"/>
      <c r="U241" s="16"/>
      <c r="V241" s="16"/>
      <c r="W241" s="16"/>
      <c r="X241" s="16"/>
      <c r="Y241" s="16"/>
      <c r="Z241" s="16"/>
    </row>
    <row r="242" ht="15.75" hidden="1" customHeight="1" outlineLevel="1">
      <c r="A242" s="17">
        <v>46255.0</v>
      </c>
      <c r="B242" s="18" t="str">
        <f t="shared" si="45"/>
        <v>sexta-feira</v>
      </c>
      <c r="C242" s="19"/>
      <c r="D242" s="20">
        <f>SUMIF('ADV - GG'!A:A,A242,'ADV - GG'!C:C)+SUMIF('ADV - FB'!A:A,$A242,'ADV - FB'!E:E)</f>
        <v>0</v>
      </c>
      <c r="E242" s="21">
        <f>SUMIF('ADV - GG'!A:A,A242,'ADV - GG'!H:H)+SUMIF('ADV - FB'!A:A,$A242,'ADV - FB'!I:I)+SUMIF('ADV - FB'!A:A,$A242,'ADV - FB'!J:J)+SUMIF('ADV - FB'!A:A,$A242,'ADV - FB'!K:K)</f>
        <v>0</v>
      </c>
      <c r="F242" s="20" t="str">
        <f t="shared" si="2"/>
        <v/>
      </c>
      <c r="G242" s="22"/>
      <c r="H242" s="22"/>
      <c r="I242" s="23"/>
      <c r="J242" s="22">
        <f>SUMIF('ADV - GA4'!A:A,A242,'ADV - GA4'!C:C)</f>
        <v>0</v>
      </c>
      <c r="K242" s="20" t="str">
        <f t="shared" si="46"/>
        <v/>
      </c>
      <c r="L242" s="24" t="str">
        <f t="shared" si="3"/>
        <v/>
      </c>
      <c r="M242" s="25">
        <f t="shared" si="47"/>
        <v>0</v>
      </c>
      <c r="N242" s="26">
        <f t="shared" si="48"/>
        <v>0</v>
      </c>
      <c r="O242" s="20" t="str">
        <f>IFERROR(Planejador!$I$174,"")</f>
        <v/>
      </c>
      <c r="P242" s="20" t="str">
        <f>Planejador!$I$166</f>
        <v/>
      </c>
      <c r="Q242" s="27">
        <f t="shared" si="49"/>
        <v>0</v>
      </c>
      <c r="R242" s="24" t="str">
        <f>Planejador!$I$168</f>
        <v/>
      </c>
      <c r="S242" s="16"/>
      <c r="T242" s="16"/>
      <c r="U242" s="16"/>
      <c r="V242" s="16"/>
      <c r="W242" s="16"/>
      <c r="X242" s="16"/>
      <c r="Y242" s="16"/>
      <c r="Z242" s="16"/>
    </row>
    <row r="243" ht="15.75" hidden="1" customHeight="1" outlineLevel="1">
      <c r="A243" s="17">
        <v>46256.0</v>
      </c>
      <c r="B243" s="18" t="str">
        <f t="shared" si="45"/>
        <v>sábado</v>
      </c>
      <c r="C243" s="19"/>
      <c r="D243" s="20">
        <f>SUMIF('ADV - GG'!A:A,A243,'ADV - GG'!C:C)+SUMIF('ADV - FB'!A:A,$A243,'ADV - FB'!E:E)</f>
        <v>0</v>
      </c>
      <c r="E243" s="21">
        <f>SUMIF('ADV - GG'!A:A,A243,'ADV - GG'!H:H)+SUMIF('ADV - FB'!A:A,$A243,'ADV - FB'!I:I)+SUMIF('ADV - FB'!A:A,$A243,'ADV - FB'!J:J)+SUMIF('ADV - FB'!A:A,$A243,'ADV - FB'!K:K)</f>
        <v>0</v>
      </c>
      <c r="F243" s="20" t="str">
        <f t="shared" si="2"/>
        <v/>
      </c>
      <c r="G243" s="22"/>
      <c r="H243" s="22"/>
      <c r="I243" s="23"/>
      <c r="J243" s="22">
        <f>SUMIF('ADV - GA4'!A:A,A243,'ADV - GA4'!C:C)</f>
        <v>0</v>
      </c>
      <c r="K243" s="20" t="str">
        <f t="shared" si="46"/>
        <v/>
      </c>
      <c r="L243" s="24" t="str">
        <f t="shared" si="3"/>
        <v/>
      </c>
      <c r="M243" s="25">
        <f t="shared" si="47"/>
        <v>0</v>
      </c>
      <c r="N243" s="26">
        <f t="shared" si="48"/>
        <v>0</v>
      </c>
      <c r="O243" s="20" t="str">
        <f>IFERROR(Planejador!$I$174,"")</f>
        <v/>
      </c>
      <c r="P243" s="20" t="str">
        <f>Planejador!$I$166</f>
        <v/>
      </c>
      <c r="Q243" s="27">
        <f t="shared" si="49"/>
        <v>0</v>
      </c>
      <c r="R243" s="24" t="str">
        <f>Planejador!$I$168</f>
        <v/>
      </c>
      <c r="S243" s="16"/>
      <c r="T243" s="16"/>
      <c r="U243" s="16"/>
      <c r="V243" s="16"/>
      <c r="W243" s="16"/>
      <c r="X243" s="16"/>
      <c r="Y243" s="16"/>
      <c r="Z243" s="16"/>
    </row>
    <row r="244" ht="15.75" hidden="1" customHeight="1" outlineLevel="1">
      <c r="A244" s="17">
        <v>46257.0</v>
      </c>
      <c r="B244" s="18" t="str">
        <f t="shared" si="45"/>
        <v>domingo</v>
      </c>
      <c r="C244" s="19"/>
      <c r="D244" s="20">
        <f>SUMIF('ADV - GG'!A:A,A244,'ADV - GG'!C:C)+SUMIF('ADV - FB'!A:A,$A244,'ADV - FB'!E:E)</f>
        <v>0</v>
      </c>
      <c r="E244" s="21">
        <f>SUMIF('ADV - GG'!A:A,A244,'ADV - GG'!H:H)+SUMIF('ADV - FB'!A:A,$A244,'ADV - FB'!I:I)+SUMIF('ADV - FB'!A:A,$A244,'ADV - FB'!J:J)+SUMIF('ADV - FB'!A:A,$A244,'ADV - FB'!K:K)</f>
        <v>0</v>
      </c>
      <c r="F244" s="20" t="str">
        <f t="shared" si="2"/>
        <v/>
      </c>
      <c r="G244" s="22"/>
      <c r="H244" s="22"/>
      <c r="I244" s="23"/>
      <c r="J244" s="22">
        <f>SUMIF('ADV - GA4'!A:A,A244,'ADV - GA4'!C:C)</f>
        <v>0</v>
      </c>
      <c r="K244" s="20" t="str">
        <f t="shared" si="46"/>
        <v/>
      </c>
      <c r="L244" s="24" t="str">
        <f t="shared" si="3"/>
        <v/>
      </c>
      <c r="M244" s="25">
        <f t="shared" si="47"/>
        <v>0</v>
      </c>
      <c r="N244" s="26">
        <f t="shared" si="48"/>
        <v>0</v>
      </c>
      <c r="O244" s="20" t="str">
        <f>IFERROR(Planejador!$I$174,"")</f>
        <v/>
      </c>
      <c r="P244" s="20" t="str">
        <f>Planejador!$I$166</f>
        <v/>
      </c>
      <c r="Q244" s="27">
        <f t="shared" si="49"/>
        <v>0</v>
      </c>
      <c r="R244" s="24" t="str">
        <f>Planejador!$I$168</f>
        <v/>
      </c>
      <c r="S244" s="16"/>
      <c r="T244" s="16"/>
      <c r="U244" s="16"/>
      <c r="V244" s="16"/>
      <c r="W244" s="16"/>
      <c r="X244" s="16"/>
      <c r="Y244" s="16"/>
      <c r="Z244" s="16"/>
    </row>
    <row r="245" ht="15.75" hidden="1" customHeight="1" outlineLevel="1">
      <c r="A245" s="17">
        <v>46258.0</v>
      </c>
      <c r="B245" s="18" t="str">
        <f t="shared" si="45"/>
        <v>segunda-feira</v>
      </c>
      <c r="C245" s="19"/>
      <c r="D245" s="20">
        <f>SUMIF('ADV - GG'!A:A,A245,'ADV - GG'!C:C)+SUMIF('ADV - FB'!A:A,$A245,'ADV - FB'!E:E)</f>
        <v>0</v>
      </c>
      <c r="E245" s="21">
        <f>SUMIF('ADV - GG'!A:A,A245,'ADV - GG'!H:H)+SUMIF('ADV - FB'!A:A,$A245,'ADV - FB'!I:I)+SUMIF('ADV - FB'!A:A,$A245,'ADV - FB'!J:J)+SUMIF('ADV - FB'!A:A,$A245,'ADV - FB'!K:K)</f>
        <v>0</v>
      </c>
      <c r="F245" s="20" t="str">
        <f t="shared" si="2"/>
        <v/>
      </c>
      <c r="G245" s="22"/>
      <c r="H245" s="22"/>
      <c r="I245" s="23"/>
      <c r="J245" s="22">
        <f>SUMIF('ADV - GA4'!A:A,A245,'ADV - GA4'!C:C)</f>
        <v>0</v>
      </c>
      <c r="K245" s="20" t="str">
        <f t="shared" si="46"/>
        <v/>
      </c>
      <c r="L245" s="24" t="str">
        <f t="shared" si="3"/>
        <v/>
      </c>
      <c r="M245" s="25">
        <f t="shared" si="47"/>
        <v>0</v>
      </c>
      <c r="N245" s="26">
        <f t="shared" si="48"/>
        <v>0</v>
      </c>
      <c r="O245" s="20" t="str">
        <f>IFERROR(Planejador!$I$174,"")</f>
        <v/>
      </c>
      <c r="P245" s="20" t="str">
        <f>Planejador!$I$166</f>
        <v/>
      </c>
      <c r="Q245" s="27">
        <f t="shared" si="49"/>
        <v>0</v>
      </c>
      <c r="R245" s="24" t="str">
        <f>Planejador!$I$168</f>
        <v/>
      </c>
      <c r="S245" s="16"/>
      <c r="T245" s="16"/>
      <c r="U245" s="16"/>
      <c r="V245" s="16"/>
      <c r="W245" s="16"/>
      <c r="X245" s="16"/>
      <c r="Y245" s="16"/>
      <c r="Z245" s="16"/>
    </row>
    <row r="246" ht="15.75" hidden="1" customHeight="1" outlineLevel="1">
      <c r="A246" s="17">
        <v>46259.0</v>
      </c>
      <c r="B246" s="18" t="str">
        <f t="shared" si="45"/>
        <v>terça-feira</v>
      </c>
      <c r="C246" s="19"/>
      <c r="D246" s="20">
        <f>SUMIF('ADV - GG'!A:A,A246,'ADV - GG'!C:C)+SUMIF('ADV - FB'!A:A,$A246,'ADV - FB'!E:E)</f>
        <v>0</v>
      </c>
      <c r="E246" s="21">
        <f>SUMIF('ADV - GG'!A:A,A246,'ADV - GG'!H:H)+SUMIF('ADV - FB'!A:A,$A246,'ADV - FB'!I:I)+SUMIF('ADV - FB'!A:A,$A246,'ADV - FB'!J:J)+SUMIF('ADV - FB'!A:A,$A246,'ADV - FB'!K:K)</f>
        <v>0</v>
      </c>
      <c r="F246" s="20" t="str">
        <f t="shared" si="2"/>
        <v/>
      </c>
      <c r="G246" s="22"/>
      <c r="H246" s="22"/>
      <c r="I246" s="23"/>
      <c r="J246" s="22">
        <f>SUMIF('ADV - GA4'!A:A,A246,'ADV - GA4'!C:C)</f>
        <v>0</v>
      </c>
      <c r="K246" s="20" t="str">
        <f t="shared" si="46"/>
        <v/>
      </c>
      <c r="L246" s="24" t="str">
        <f t="shared" si="3"/>
        <v/>
      </c>
      <c r="M246" s="25">
        <f t="shared" si="47"/>
        <v>0</v>
      </c>
      <c r="N246" s="26">
        <f t="shared" si="48"/>
        <v>0</v>
      </c>
      <c r="O246" s="20" t="str">
        <f>IFERROR(Planejador!$I$174,"")</f>
        <v/>
      </c>
      <c r="P246" s="20" t="str">
        <f>Planejador!$I$166</f>
        <v/>
      </c>
      <c r="Q246" s="27">
        <f t="shared" si="49"/>
        <v>0</v>
      </c>
      <c r="R246" s="24" t="str">
        <f>Planejador!$I$168</f>
        <v/>
      </c>
      <c r="S246" s="16"/>
      <c r="T246" s="16"/>
      <c r="U246" s="16"/>
      <c r="V246" s="16"/>
      <c r="W246" s="16"/>
      <c r="X246" s="16"/>
      <c r="Y246" s="16"/>
      <c r="Z246" s="16"/>
    </row>
    <row r="247" ht="15.75" hidden="1" customHeight="1" outlineLevel="1">
      <c r="A247" s="17">
        <v>46260.0</v>
      </c>
      <c r="B247" s="18" t="str">
        <f t="shared" si="45"/>
        <v>quarta-feira</v>
      </c>
      <c r="C247" s="19"/>
      <c r="D247" s="20">
        <f>SUMIF('ADV - GG'!A:A,A247,'ADV - GG'!C:C)+SUMIF('ADV - FB'!A:A,$A247,'ADV - FB'!E:E)</f>
        <v>0</v>
      </c>
      <c r="E247" s="21">
        <f>SUMIF('ADV - GG'!A:A,A247,'ADV - GG'!H:H)+SUMIF('ADV - FB'!A:A,$A247,'ADV - FB'!I:I)+SUMIF('ADV - FB'!A:A,$A247,'ADV - FB'!J:J)+SUMIF('ADV - FB'!A:A,$A247,'ADV - FB'!K:K)</f>
        <v>0</v>
      </c>
      <c r="F247" s="20" t="str">
        <f t="shared" si="2"/>
        <v/>
      </c>
      <c r="G247" s="22"/>
      <c r="H247" s="22"/>
      <c r="I247" s="23"/>
      <c r="J247" s="22">
        <f>SUMIF('ADV - GA4'!A:A,A247,'ADV - GA4'!C:C)</f>
        <v>0</v>
      </c>
      <c r="K247" s="20" t="str">
        <f t="shared" si="46"/>
        <v/>
      </c>
      <c r="L247" s="24" t="str">
        <f t="shared" si="3"/>
        <v/>
      </c>
      <c r="M247" s="25">
        <f t="shared" si="47"/>
        <v>0</v>
      </c>
      <c r="N247" s="26">
        <f t="shared" si="48"/>
        <v>0</v>
      </c>
      <c r="O247" s="20" t="str">
        <f>IFERROR(Planejador!$I$174,"")</f>
        <v/>
      </c>
      <c r="P247" s="20" t="str">
        <f>Planejador!$I$166</f>
        <v/>
      </c>
      <c r="Q247" s="27">
        <f t="shared" si="49"/>
        <v>0</v>
      </c>
      <c r="R247" s="24" t="str">
        <f>Planejador!$I$168</f>
        <v/>
      </c>
      <c r="S247" s="16"/>
      <c r="T247" s="16"/>
      <c r="U247" s="16"/>
      <c r="V247" s="16"/>
      <c r="W247" s="16"/>
      <c r="X247" s="16"/>
      <c r="Y247" s="16"/>
      <c r="Z247" s="16"/>
    </row>
    <row r="248" ht="15.75" hidden="1" customHeight="1" outlineLevel="1">
      <c r="A248" s="17">
        <v>46261.0</v>
      </c>
      <c r="B248" s="18" t="str">
        <f t="shared" si="45"/>
        <v>quinta-feira</v>
      </c>
      <c r="C248" s="19"/>
      <c r="D248" s="20">
        <f>SUMIF('ADV - GG'!A:A,A248,'ADV - GG'!C:C)+SUMIF('ADV - FB'!A:A,$A248,'ADV - FB'!E:E)</f>
        <v>0</v>
      </c>
      <c r="E248" s="21">
        <f>SUMIF('ADV - GG'!A:A,A248,'ADV - GG'!H:H)+SUMIF('ADV - FB'!A:A,$A248,'ADV - FB'!I:I)+SUMIF('ADV - FB'!A:A,$A248,'ADV - FB'!J:J)+SUMIF('ADV - FB'!A:A,$A248,'ADV - FB'!K:K)</f>
        <v>0</v>
      </c>
      <c r="F248" s="20" t="str">
        <f t="shared" si="2"/>
        <v/>
      </c>
      <c r="G248" s="22"/>
      <c r="H248" s="22"/>
      <c r="I248" s="23"/>
      <c r="J248" s="22">
        <f>SUMIF('ADV - GA4'!A:A,A248,'ADV - GA4'!C:C)</f>
        <v>0</v>
      </c>
      <c r="K248" s="20" t="str">
        <f t="shared" si="46"/>
        <v/>
      </c>
      <c r="L248" s="24" t="str">
        <f t="shared" si="3"/>
        <v/>
      </c>
      <c r="M248" s="25">
        <f t="shared" si="47"/>
        <v>0</v>
      </c>
      <c r="N248" s="26">
        <f t="shared" si="48"/>
        <v>0</v>
      </c>
      <c r="O248" s="20" t="str">
        <f>IFERROR(Planejador!$I$174,"")</f>
        <v/>
      </c>
      <c r="P248" s="20" t="str">
        <f>Planejador!$I$166</f>
        <v/>
      </c>
      <c r="Q248" s="27">
        <f t="shared" si="49"/>
        <v>0</v>
      </c>
      <c r="R248" s="24" t="str">
        <f>Planejador!$I$168</f>
        <v/>
      </c>
      <c r="S248" s="16"/>
      <c r="T248" s="16"/>
      <c r="U248" s="16"/>
      <c r="V248" s="16"/>
      <c r="W248" s="16"/>
      <c r="X248" s="16"/>
      <c r="Y248" s="16"/>
      <c r="Z248" s="16"/>
    </row>
    <row r="249" ht="15.75" hidden="1" customHeight="1" outlineLevel="1">
      <c r="A249" s="17">
        <v>46262.0</v>
      </c>
      <c r="B249" s="18" t="str">
        <f t="shared" si="45"/>
        <v>sexta-feira</v>
      </c>
      <c r="C249" s="19"/>
      <c r="D249" s="20">
        <f>SUMIF('ADV - GG'!A:A,A249,'ADV - GG'!C:C)+SUMIF('ADV - FB'!A:A,$A249,'ADV - FB'!E:E)</f>
        <v>0</v>
      </c>
      <c r="E249" s="21">
        <f>SUMIF('ADV - GG'!A:A,A249,'ADV - GG'!H:H)+SUMIF('ADV - FB'!A:A,$A249,'ADV - FB'!I:I)+SUMIF('ADV - FB'!A:A,$A249,'ADV - FB'!J:J)+SUMIF('ADV - FB'!A:A,$A249,'ADV - FB'!K:K)</f>
        <v>0</v>
      </c>
      <c r="F249" s="20" t="str">
        <f t="shared" si="2"/>
        <v/>
      </c>
      <c r="G249" s="22"/>
      <c r="H249" s="22"/>
      <c r="I249" s="23"/>
      <c r="J249" s="22">
        <f>SUMIF('ADV - GA4'!A:A,A249,'ADV - GA4'!C:C)</f>
        <v>0</v>
      </c>
      <c r="K249" s="20" t="str">
        <f t="shared" si="46"/>
        <v/>
      </c>
      <c r="L249" s="24" t="str">
        <f t="shared" si="3"/>
        <v/>
      </c>
      <c r="M249" s="25">
        <f t="shared" si="47"/>
        <v>0</v>
      </c>
      <c r="N249" s="26">
        <f t="shared" si="48"/>
        <v>0</v>
      </c>
      <c r="O249" s="20" t="str">
        <f>IFERROR(Planejador!$I$174,"")</f>
        <v/>
      </c>
      <c r="P249" s="20" t="str">
        <f>Planejador!$I$166</f>
        <v/>
      </c>
      <c r="Q249" s="27">
        <f t="shared" si="49"/>
        <v>0</v>
      </c>
      <c r="R249" s="24" t="str">
        <f>Planejador!$I$168</f>
        <v/>
      </c>
      <c r="S249" s="16"/>
      <c r="T249" s="16"/>
      <c r="U249" s="16"/>
      <c r="V249" s="16"/>
      <c r="W249" s="16"/>
      <c r="X249" s="16"/>
      <c r="Y249" s="16"/>
      <c r="Z249" s="16"/>
    </row>
    <row r="250" ht="15.75" hidden="1" customHeight="1" outlineLevel="1">
      <c r="A250" s="17">
        <v>46263.0</v>
      </c>
      <c r="B250" s="18" t="str">
        <f t="shared" si="45"/>
        <v>sábado</v>
      </c>
      <c r="C250" s="19"/>
      <c r="D250" s="20">
        <f>SUMIF('ADV - GG'!A:A,A250,'ADV - GG'!C:C)+SUMIF('ADV - FB'!A:A,$A250,'ADV - FB'!E:E)</f>
        <v>0</v>
      </c>
      <c r="E250" s="21">
        <f>SUMIF('ADV - GG'!A:A,A250,'ADV - GG'!H:H)+SUMIF('ADV - FB'!A:A,$A250,'ADV - FB'!I:I)+SUMIF('ADV - FB'!A:A,$A250,'ADV - FB'!J:J)+SUMIF('ADV - FB'!A:A,$A250,'ADV - FB'!K:K)</f>
        <v>0</v>
      </c>
      <c r="F250" s="20" t="str">
        <f t="shared" si="2"/>
        <v/>
      </c>
      <c r="G250" s="22"/>
      <c r="H250" s="22"/>
      <c r="I250" s="23"/>
      <c r="J250" s="22">
        <f>SUMIF('ADV - GA4'!A:A,A250,'ADV - GA4'!C:C)</f>
        <v>0</v>
      </c>
      <c r="K250" s="20" t="str">
        <f t="shared" si="46"/>
        <v/>
      </c>
      <c r="L250" s="24" t="str">
        <f t="shared" si="3"/>
        <v/>
      </c>
      <c r="M250" s="25">
        <f t="shared" si="47"/>
        <v>0</v>
      </c>
      <c r="N250" s="26">
        <f t="shared" si="48"/>
        <v>0</v>
      </c>
      <c r="O250" s="20" t="str">
        <f>IFERROR(Planejador!$I$174,"")</f>
        <v/>
      </c>
      <c r="P250" s="20" t="str">
        <f>Planejador!$I$166</f>
        <v/>
      </c>
      <c r="Q250" s="27">
        <f t="shared" si="49"/>
        <v>0</v>
      </c>
      <c r="R250" s="24" t="str">
        <f>Planejador!$I$168</f>
        <v/>
      </c>
      <c r="S250" s="16"/>
      <c r="T250" s="16"/>
      <c r="U250" s="16"/>
      <c r="V250" s="16"/>
      <c r="W250" s="16"/>
      <c r="X250" s="16"/>
      <c r="Y250" s="16"/>
      <c r="Z250" s="16"/>
    </row>
    <row r="251" ht="15.75" hidden="1" customHeight="1" outlineLevel="1">
      <c r="A251" s="17">
        <v>46264.0</v>
      </c>
      <c r="B251" s="18" t="str">
        <f t="shared" si="45"/>
        <v>domingo</v>
      </c>
      <c r="C251" s="19"/>
      <c r="D251" s="20">
        <f>SUMIF('ADV - GG'!A:A,A251,'ADV - GG'!C:C)+SUMIF('ADV - FB'!A:A,$A251,'ADV - FB'!E:E)</f>
        <v>0</v>
      </c>
      <c r="E251" s="21">
        <f>SUMIF('ADV - GG'!A:A,A251,'ADV - GG'!H:H)+SUMIF('ADV - FB'!A:A,$A251,'ADV - FB'!I:I)+SUMIF('ADV - FB'!A:A,$A251,'ADV - FB'!J:J)+SUMIF('ADV - FB'!A:A,$A251,'ADV - FB'!K:K)</f>
        <v>0</v>
      </c>
      <c r="F251" s="20" t="str">
        <f t="shared" si="2"/>
        <v/>
      </c>
      <c r="G251" s="22"/>
      <c r="H251" s="22"/>
      <c r="I251" s="23"/>
      <c r="J251" s="22">
        <f>SUMIF('ADV - GA4'!A:A,A251,'ADV - GA4'!C:C)</f>
        <v>0</v>
      </c>
      <c r="K251" s="20" t="str">
        <f t="shared" si="46"/>
        <v/>
      </c>
      <c r="L251" s="24" t="str">
        <f t="shared" si="3"/>
        <v/>
      </c>
      <c r="M251" s="25">
        <f t="shared" si="47"/>
        <v>0</v>
      </c>
      <c r="N251" s="26">
        <f t="shared" si="48"/>
        <v>0</v>
      </c>
      <c r="O251" s="20" t="str">
        <f>IFERROR(Planejador!$I$174,"")</f>
        <v/>
      </c>
      <c r="P251" s="20" t="str">
        <f>Planejador!$I$166</f>
        <v/>
      </c>
      <c r="Q251" s="27">
        <f t="shared" si="49"/>
        <v>0</v>
      </c>
      <c r="R251" s="24" t="str">
        <f>Planejador!$I$168</f>
        <v/>
      </c>
      <c r="S251" s="16"/>
      <c r="T251" s="16"/>
      <c r="U251" s="16"/>
      <c r="V251" s="16"/>
      <c r="W251" s="16"/>
      <c r="X251" s="16"/>
      <c r="Y251" s="16"/>
      <c r="Z251" s="16"/>
    </row>
    <row r="252" ht="15.75" hidden="1" customHeight="1" outlineLevel="1">
      <c r="A252" s="17">
        <v>46265.0</v>
      </c>
      <c r="B252" s="18" t="str">
        <f t="shared" si="45"/>
        <v>segunda-feira</v>
      </c>
      <c r="C252" s="19"/>
      <c r="D252" s="20">
        <f>SUMIF('ADV - GG'!A:A,A252,'ADV - GG'!C:C)+SUMIF('ADV - FB'!A:A,$A252,'ADV - FB'!E:E)</f>
        <v>0</v>
      </c>
      <c r="E252" s="21">
        <f>SUMIF('ADV - GG'!A:A,A252,'ADV - GG'!H:H)+SUMIF('ADV - FB'!A:A,$A252,'ADV - FB'!I:I)+SUMIF('ADV - FB'!A:A,$A252,'ADV - FB'!J:J)+SUMIF('ADV - FB'!A:A,$A252,'ADV - FB'!K:K)</f>
        <v>0</v>
      </c>
      <c r="F252" s="20" t="str">
        <f t="shared" si="2"/>
        <v/>
      </c>
      <c r="G252" s="22"/>
      <c r="H252" s="22"/>
      <c r="I252" s="23"/>
      <c r="J252" s="22">
        <f>SUMIF('ADV - GA4'!A:A,A252,'ADV - GA4'!C:C)</f>
        <v>0</v>
      </c>
      <c r="K252" s="20" t="str">
        <f t="shared" si="46"/>
        <v/>
      </c>
      <c r="L252" s="24" t="str">
        <f t="shared" si="3"/>
        <v/>
      </c>
      <c r="M252" s="25">
        <f t="shared" si="47"/>
        <v>0</v>
      </c>
      <c r="N252" s="26">
        <f t="shared" si="48"/>
        <v>0</v>
      </c>
      <c r="O252" s="20" t="str">
        <f>IFERROR(Planejador!$I$174,"")</f>
        <v/>
      </c>
      <c r="P252" s="20" t="str">
        <f>Planejador!$I$166</f>
        <v/>
      </c>
      <c r="Q252" s="27">
        <f t="shared" si="49"/>
        <v>0</v>
      </c>
      <c r="R252" s="24" t="str">
        <f>Planejador!$I$168</f>
        <v/>
      </c>
      <c r="S252" s="16"/>
      <c r="T252" s="16"/>
      <c r="U252" s="16"/>
      <c r="V252" s="16"/>
      <c r="W252" s="16"/>
      <c r="X252" s="16"/>
      <c r="Y252" s="16"/>
      <c r="Z252" s="16"/>
    </row>
    <row r="253" ht="22.5" customHeight="1" collapsed="1">
      <c r="A253" s="28" t="s">
        <v>33</v>
      </c>
      <c r="B253" s="29">
        <v>30.0</v>
      </c>
      <c r="C253" s="30"/>
      <c r="D253" s="10">
        <f>IFERROR(SUM(D254:D283),"")</f>
        <v>0</v>
      </c>
      <c r="E253" s="11">
        <f>iferror(SUM(E254:E283),"")</f>
        <v>0</v>
      </c>
      <c r="F253" s="14" t="str">
        <f t="shared" si="2"/>
        <v/>
      </c>
      <c r="G253" s="13">
        <f t="shared" ref="G253:I253" si="50">iferror(SUM(G254:G283),"")</f>
        <v>0</v>
      </c>
      <c r="H253" s="13">
        <f t="shared" si="50"/>
        <v>0</v>
      </c>
      <c r="I253" s="10">
        <f t="shared" si="50"/>
        <v>0</v>
      </c>
      <c r="J253" s="13">
        <f>IFERROR(SUM(J254:J283),"")</f>
        <v>0</v>
      </c>
      <c r="K253" s="14" t="str">
        <f>iferror(D253/J253,"")</f>
        <v/>
      </c>
      <c r="L253" s="15" t="str">
        <f t="shared" si="3"/>
        <v/>
      </c>
      <c r="M253" s="10" t="str">
        <f>Planejador!$I$188</f>
        <v/>
      </c>
      <c r="N253" s="13" t="str">
        <f>iferror(Planejador!$I$195,"")</f>
        <v/>
      </c>
      <c r="O253" s="14" t="str">
        <f>iferror(Planejador!$I$197,"")</f>
        <v/>
      </c>
      <c r="P253" s="14" t="str">
        <f>iferror(Planejador!$I$189,"")</f>
        <v/>
      </c>
      <c r="Q253" s="13" t="str">
        <f>iferror(Planejador!$I$194,"")</f>
        <v/>
      </c>
      <c r="R253" s="15" t="str">
        <f>Iferror(Planejador!$I$191,"")</f>
        <v/>
      </c>
      <c r="S253" s="31"/>
      <c r="T253" s="31"/>
      <c r="U253" s="31"/>
      <c r="V253" s="31"/>
      <c r="W253" s="31"/>
      <c r="X253" s="31"/>
      <c r="Y253" s="31"/>
      <c r="Z253" s="31"/>
    </row>
    <row r="254" ht="15.75" hidden="1" customHeight="1" outlineLevel="1">
      <c r="A254" s="17">
        <v>46266.0</v>
      </c>
      <c r="B254" s="18" t="str">
        <f t="shared" ref="B254:B283" si="51">TEXT(A254,"dddd")</f>
        <v>terça-feira</v>
      </c>
      <c r="C254" s="19"/>
      <c r="D254" s="20">
        <f>SUMIF('ADV - GG'!A:A,A254,'ADV - GG'!C:C)+SUMIF('ADV - FB'!A:A,$A254,'ADV - FB'!E:E)</f>
        <v>0</v>
      </c>
      <c r="E254" s="21">
        <f>SUMIF('ADV - GG'!A:A,A254,'ADV - GG'!H:H)+SUMIF('ADV - FB'!A:A,$A254,'ADV - FB'!I:I)+SUMIF('ADV - FB'!A:A,$A254,'ADV - FB'!J:J)+SUMIF('ADV - FB'!A:A,$A254,'ADV - FB'!K:K)</f>
        <v>0</v>
      </c>
      <c r="F254" s="20" t="str">
        <f t="shared" si="2"/>
        <v/>
      </c>
      <c r="G254" s="22"/>
      <c r="H254" s="22"/>
      <c r="I254" s="23"/>
      <c r="J254" s="22">
        <f>SUMIF('ADV - GA4'!A:A,A254,'ADV - GA4'!C:C)</f>
        <v>0</v>
      </c>
      <c r="K254" s="20" t="str">
        <f t="shared" ref="K254:K283" si="52">IFERROR(D254/J254,"")</f>
        <v/>
      </c>
      <c r="L254" s="24" t="str">
        <f t="shared" si="3"/>
        <v/>
      </c>
      <c r="M254" s="25">
        <f t="shared" ref="M254:M283" si="53">$M$253/$B$253</f>
        <v>0</v>
      </c>
      <c r="N254" s="26">
        <f t="shared" ref="N254:N283" si="54">iferror($N$253/$B$253,"")</f>
        <v>0</v>
      </c>
      <c r="O254" s="20" t="str">
        <f>IFERROR(Planejador!$I$197,"")</f>
        <v/>
      </c>
      <c r="P254" s="20" t="str">
        <f>Planejador!$I$189</f>
        <v/>
      </c>
      <c r="Q254" s="27">
        <f t="shared" ref="Q254:Q283" si="55">$Q$253/$B$253</f>
        <v>0</v>
      </c>
      <c r="R254" s="24" t="str">
        <f>Planejador!$I$191</f>
        <v/>
      </c>
      <c r="S254" s="16"/>
      <c r="T254" s="16"/>
      <c r="U254" s="16"/>
      <c r="V254" s="16"/>
      <c r="W254" s="16"/>
      <c r="X254" s="16"/>
      <c r="Y254" s="16"/>
      <c r="Z254" s="16"/>
    </row>
    <row r="255" ht="15.75" hidden="1" customHeight="1" outlineLevel="1">
      <c r="A255" s="17">
        <v>46267.0</v>
      </c>
      <c r="B255" s="18" t="str">
        <f t="shared" si="51"/>
        <v>quarta-feira</v>
      </c>
      <c r="C255" s="19"/>
      <c r="D255" s="20">
        <f>SUMIF('ADV - GG'!A:A,A255,'ADV - GG'!C:C)+SUMIF('ADV - FB'!A:A,$A255,'ADV - FB'!E:E)</f>
        <v>0</v>
      </c>
      <c r="E255" s="21">
        <f>SUMIF('ADV - GG'!A:A,A255,'ADV - GG'!H:H)+SUMIF('ADV - FB'!A:A,$A255,'ADV - FB'!I:I)+SUMIF('ADV - FB'!A:A,$A255,'ADV - FB'!J:J)+SUMIF('ADV - FB'!A:A,$A255,'ADV - FB'!K:K)</f>
        <v>0</v>
      </c>
      <c r="F255" s="20" t="str">
        <f t="shared" si="2"/>
        <v/>
      </c>
      <c r="G255" s="22"/>
      <c r="H255" s="22"/>
      <c r="I255" s="23"/>
      <c r="J255" s="22">
        <f>SUMIF('ADV - GA4'!A:A,A255,'ADV - GA4'!C:C)</f>
        <v>0</v>
      </c>
      <c r="K255" s="20" t="str">
        <f t="shared" si="52"/>
        <v/>
      </c>
      <c r="L255" s="24" t="str">
        <f t="shared" si="3"/>
        <v/>
      </c>
      <c r="M255" s="25">
        <f t="shared" si="53"/>
        <v>0</v>
      </c>
      <c r="N255" s="26">
        <f t="shared" si="54"/>
        <v>0</v>
      </c>
      <c r="O255" s="20" t="str">
        <f>IFERROR(Planejador!$I$197,"")</f>
        <v/>
      </c>
      <c r="P255" s="20" t="str">
        <f>Planejador!$I$189</f>
        <v/>
      </c>
      <c r="Q255" s="27">
        <f t="shared" si="55"/>
        <v>0</v>
      </c>
      <c r="R255" s="24" t="str">
        <f>Planejador!$I$191</f>
        <v/>
      </c>
      <c r="S255" s="16"/>
      <c r="T255" s="16"/>
      <c r="U255" s="16"/>
      <c r="V255" s="16"/>
      <c r="W255" s="16"/>
      <c r="X255" s="16"/>
      <c r="Y255" s="16"/>
      <c r="Z255" s="16"/>
    </row>
    <row r="256" ht="15.75" hidden="1" customHeight="1" outlineLevel="1">
      <c r="A256" s="17">
        <v>46268.0</v>
      </c>
      <c r="B256" s="18" t="str">
        <f t="shared" si="51"/>
        <v>quinta-feira</v>
      </c>
      <c r="C256" s="19"/>
      <c r="D256" s="20">
        <f>SUMIF('ADV - GG'!A:A,A256,'ADV - GG'!C:C)+SUMIF('ADV - FB'!A:A,$A256,'ADV - FB'!E:E)</f>
        <v>0</v>
      </c>
      <c r="E256" s="21">
        <f>SUMIF('ADV - GG'!A:A,A256,'ADV - GG'!H:H)+SUMIF('ADV - FB'!A:A,$A256,'ADV - FB'!I:I)+SUMIF('ADV - FB'!A:A,$A256,'ADV - FB'!J:J)+SUMIF('ADV - FB'!A:A,$A256,'ADV - FB'!K:K)</f>
        <v>0</v>
      </c>
      <c r="F256" s="20" t="str">
        <f t="shared" si="2"/>
        <v/>
      </c>
      <c r="G256" s="22"/>
      <c r="H256" s="22"/>
      <c r="I256" s="23"/>
      <c r="J256" s="22">
        <f>SUMIF('ADV - GA4'!A:A,A256,'ADV - GA4'!C:C)</f>
        <v>0</v>
      </c>
      <c r="K256" s="20" t="str">
        <f t="shared" si="52"/>
        <v/>
      </c>
      <c r="L256" s="24" t="str">
        <f t="shared" si="3"/>
        <v/>
      </c>
      <c r="M256" s="25">
        <f t="shared" si="53"/>
        <v>0</v>
      </c>
      <c r="N256" s="26">
        <f t="shared" si="54"/>
        <v>0</v>
      </c>
      <c r="O256" s="20" t="str">
        <f>IFERROR(Planejador!$I$197,"")</f>
        <v/>
      </c>
      <c r="P256" s="20" t="str">
        <f>Planejador!$I$189</f>
        <v/>
      </c>
      <c r="Q256" s="27">
        <f t="shared" si="55"/>
        <v>0</v>
      </c>
      <c r="R256" s="24" t="str">
        <f>Planejador!$I$191</f>
        <v/>
      </c>
      <c r="S256" s="16"/>
      <c r="T256" s="16"/>
      <c r="U256" s="16"/>
      <c r="V256" s="16"/>
      <c r="W256" s="16"/>
      <c r="X256" s="16"/>
      <c r="Y256" s="16"/>
      <c r="Z256" s="16"/>
    </row>
    <row r="257" ht="15.75" hidden="1" customHeight="1" outlineLevel="1">
      <c r="A257" s="17">
        <v>46269.0</v>
      </c>
      <c r="B257" s="18" t="str">
        <f t="shared" si="51"/>
        <v>sexta-feira</v>
      </c>
      <c r="C257" s="19"/>
      <c r="D257" s="20">
        <f>SUMIF('ADV - GG'!A:A,A257,'ADV - GG'!C:C)+SUMIF('ADV - FB'!A:A,$A257,'ADV - FB'!E:E)</f>
        <v>0</v>
      </c>
      <c r="E257" s="21">
        <f>SUMIF('ADV - GG'!A:A,A257,'ADV - GG'!H:H)+SUMIF('ADV - FB'!A:A,$A257,'ADV - FB'!I:I)+SUMIF('ADV - FB'!A:A,$A257,'ADV - FB'!J:J)+SUMIF('ADV - FB'!A:A,$A257,'ADV - FB'!K:K)</f>
        <v>0</v>
      </c>
      <c r="F257" s="20" t="str">
        <f t="shared" si="2"/>
        <v/>
      </c>
      <c r="G257" s="22"/>
      <c r="H257" s="22"/>
      <c r="I257" s="23"/>
      <c r="J257" s="22">
        <f>SUMIF('ADV - GA4'!A:A,A257,'ADV - GA4'!C:C)</f>
        <v>0</v>
      </c>
      <c r="K257" s="20" t="str">
        <f t="shared" si="52"/>
        <v/>
      </c>
      <c r="L257" s="24" t="str">
        <f t="shared" si="3"/>
        <v/>
      </c>
      <c r="M257" s="25">
        <f t="shared" si="53"/>
        <v>0</v>
      </c>
      <c r="N257" s="26">
        <f t="shared" si="54"/>
        <v>0</v>
      </c>
      <c r="O257" s="20" t="str">
        <f>IFERROR(Planejador!$I$197,"")</f>
        <v/>
      </c>
      <c r="P257" s="20" t="str">
        <f>Planejador!$I$189</f>
        <v/>
      </c>
      <c r="Q257" s="27">
        <f t="shared" si="55"/>
        <v>0</v>
      </c>
      <c r="R257" s="24" t="str">
        <f>Planejador!$I$191</f>
        <v/>
      </c>
      <c r="S257" s="16"/>
      <c r="T257" s="16"/>
      <c r="U257" s="16"/>
      <c r="V257" s="16"/>
      <c r="W257" s="16"/>
      <c r="X257" s="16"/>
      <c r="Y257" s="16"/>
      <c r="Z257" s="16"/>
    </row>
    <row r="258" ht="15.75" hidden="1" customHeight="1" outlineLevel="1">
      <c r="A258" s="17">
        <v>46270.0</v>
      </c>
      <c r="B258" s="18" t="str">
        <f t="shared" si="51"/>
        <v>sábado</v>
      </c>
      <c r="C258" s="19"/>
      <c r="D258" s="20">
        <f>SUMIF('ADV - GG'!A:A,A258,'ADV - GG'!C:C)+SUMIF('ADV - FB'!A:A,$A258,'ADV - FB'!E:E)</f>
        <v>0</v>
      </c>
      <c r="E258" s="21">
        <f>SUMIF('ADV - GG'!A:A,A258,'ADV - GG'!H:H)+SUMIF('ADV - FB'!A:A,$A258,'ADV - FB'!I:I)+SUMIF('ADV - FB'!A:A,$A258,'ADV - FB'!J:J)+SUMIF('ADV - FB'!A:A,$A258,'ADV - FB'!K:K)</f>
        <v>0</v>
      </c>
      <c r="F258" s="20" t="str">
        <f t="shared" si="2"/>
        <v/>
      </c>
      <c r="G258" s="22"/>
      <c r="H258" s="22"/>
      <c r="I258" s="23"/>
      <c r="J258" s="22">
        <f>SUMIF('ADV - GA4'!A:A,A258,'ADV - GA4'!C:C)</f>
        <v>0</v>
      </c>
      <c r="K258" s="20" t="str">
        <f t="shared" si="52"/>
        <v/>
      </c>
      <c r="L258" s="24" t="str">
        <f t="shared" si="3"/>
        <v/>
      </c>
      <c r="M258" s="25">
        <f t="shared" si="53"/>
        <v>0</v>
      </c>
      <c r="N258" s="26">
        <f t="shared" si="54"/>
        <v>0</v>
      </c>
      <c r="O258" s="20" t="str">
        <f>IFERROR(Planejador!$I$197,"")</f>
        <v/>
      </c>
      <c r="P258" s="20" t="str">
        <f>Planejador!$I$189</f>
        <v/>
      </c>
      <c r="Q258" s="27">
        <f t="shared" si="55"/>
        <v>0</v>
      </c>
      <c r="R258" s="24" t="str">
        <f>Planejador!$I$191</f>
        <v/>
      </c>
      <c r="S258" s="16"/>
      <c r="T258" s="16"/>
      <c r="U258" s="16"/>
      <c r="V258" s="16"/>
      <c r="W258" s="16"/>
      <c r="X258" s="16"/>
      <c r="Y258" s="16"/>
      <c r="Z258" s="16"/>
    </row>
    <row r="259" ht="15.75" hidden="1" customHeight="1" outlineLevel="1">
      <c r="A259" s="17">
        <v>46271.0</v>
      </c>
      <c r="B259" s="18" t="str">
        <f t="shared" si="51"/>
        <v>domingo</v>
      </c>
      <c r="C259" s="19"/>
      <c r="D259" s="20">
        <f>SUMIF('ADV - GG'!A:A,A259,'ADV - GG'!C:C)+SUMIF('ADV - FB'!A:A,$A259,'ADV - FB'!E:E)</f>
        <v>0</v>
      </c>
      <c r="E259" s="21">
        <f>SUMIF('ADV - GG'!A:A,A259,'ADV - GG'!H:H)+SUMIF('ADV - FB'!A:A,$A259,'ADV - FB'!I:I)+SUMIF('ADV - FB'!A:A,$A259,'ADV - FB'!J:J)+SUMIF('ADV - FB'!A:A,$A259,'ADV - FB'!K:K)</f>
        <v>0</v>
      </c>
      <c r="F259" s="20" t="str">
        <f t="shared" si="2"/>
        <v/>
      </c>
      <c r="G259" s="22"/>
      <c r="H259" s="22"/>
      <c r="I259" s="23"/>
      <c r="J259" s="22">
        <f>SUMIF('ADV - GA4'!A:A,A259,'ADV - GA4'!C:C)</f>
        <v>0</v>
      </c>
      <c r="K259" s="20" t="str">
        <f t="shared" si="52"/>
        <v/>
      </c>
      <c r="L259" s="24" t="str">
        <f t="shared" si="3"/>
        <v/>
      </c>
      <c r="M259" s="25">
        <f t="shared" si="53"/>
        <v>0</v>
      </c>
      <c r="N259" s="26">
        <f t="shared" si="54"/>
        <v>0</v>
      </c>
      <c r="O259" s="20" t="str">
        <f>IFERROR(Planejador!$I$197,"")</f>
        <v/>
      </c>
      <c r="P259" s="20" t="str">
        <f>Planejador!$I$189</f>
        <v/>
      </c>
      <c r="Q259" s="27">
        <f t="shared" si="55"/>
        <v>0</v>
      </c>
      <c r="R259" s="24" t="str">
        <f>Planejador!$I$191</f>
        <v/>
      </c>
      <c r="S259" s="16"/>
      <c r="T259" s="16"/>
      <c r="U259" s="16"/>
      <c r="V259" s="16"/>
      <c r="W259" s="16"/>
      <c r="X259" s="16"/>
      <c r="Y259" s="16"/>
      <c r="Z259" s="16"/>
    </row>
    <row r="260" ht="15.75" hidden="1" customHeight="1" outlineLevel="1">
      <c r="A260" s="17">
        <v>46272.0</v>
      </c>
      <c r="B260" s="18" t="str">
        <f t="shared" si="51"/>
        <v>segunda-feira</v>
      </c>
      <c r="C260" s="19"/>
      <c r="D260" s="20">
        <f>SUMIF('ADV - GG'!A:A,A260,'ADV - GG'!C:C)+SUMIF('ADV - FB'!A:A,$A260,'ADV - FB'!E:E)</f>
        <v>0</v>
      </c>
      <c r="E260" s="21">
        <f>SUMIF('ADV - GG'!A:A,A260,'ADV - GG'!H:H)+SUMIF('ADV - FB'!A:A,$A260,'ADV - FB'!I:I)+SUMIF('ADV - FB'!A:A,$A260,'ADV - FB'!J:J)+SUMIF('ADV - FB'!A:A,$A260,'ADV - FB'!K:K)</f>
        <v>0</v>
      </c>
      <c r="F260" s="20" t="str">
        <f t="shared" si="2"/>
        <v/>
      </c>
      <c r="G260" s="22"/>
      <c r="H260" s="22"/>
      <c r="I260" s="23"/>
      <c r="J260" s="22">
        <f>SUMIF('ADV - GA4'!A:A,A260,'ADV - GA4'!C:C)</f>
        <v>0</v>
      </c>
      <c r="K260" s="20" t="str">
        <f t="shared" si="52"/>
        <v/>
      </c>
      <c r="L260" s="24" t="str">
        <f t="shared" si="3"/>
        <v/>
      </c>
      <c r="M260" s="25">
        <f t="shared" si="53"/>
        <v>0</v>
      </c>
      <c r="N260" s="26">
        <f t="shared" si="54"/>
        <v>0</v>
      </c>
      <c r="O260" s="20" t="str">
        <f>IFERROR(Planejador!$I$197,"")</f>
        <v/>
      </c>
      <c r="P260" s="20" t="str">
        <f>Planejador!$I$189</f>
        <v/>
      </c>
      <c r="Q260" s="27">
        <f t="shared" si="55"/>
        <v>0</v>
      </c>
      <c r="R260" s="24" t="str">
        <f>Planejador!$I$191</f>
        <v/>
      </c>
      <c r="S260" s="16"/>
      <c r="T260" s="16"/>
      <c r="U260" s="16"/>
      <c r="V260" s="16"/>
      <c r="W260" s="16"/>
      <c r="X260" s="16"/>
      <c r="Y260" s="16"/>
      <c r="Z260" s="16"/>
    </row>
    <row r="261" ht="15.75" hidden="1" customHeight="1" outlineLevel="1">
      <c r="A261" s="17">
        <v>46273.0</v>
      </c>
      <c r="B261" s="18" t="str">
        <f t="shared" si="51"/>
        <v>terça-feira</v>
      </c>
      <c r="C261" s="19"/>
      <c r="D261" s="20">
        <f>SUMIF('ADV - GG'!A:A,A261,'ADV - GG'!C:C)+SUMIF('ADV - FB'!A:A,$A261,'ADV - FB'!E:E)</f>
        <v>0</v>
      </c>
      <c r="E261" s="21">
        <f>SUMIF('ADV - GG'!A:A,A261,'ADV - GG'!H:H)+SUMIF('ADV - FB'!A:A,$A261,'ADV - FB'!I:I)+SUMIF('ADV - FB'!A:A,$A261,'ADV - FB'!J:J)+SUMIF('ADV - FB'!A:A,$A261,'ADV - FB'!K:K)</f>
        <v>0</v>
      </c>
      <c r="F261" s="20" t="str">
        <f t="shared" si="2"/>
        <v/>
      </c>
      <c r="G261" s="22"/>
      <c r="H261" s="22"/>
      <c r="I261" s="23"/>
      <c r="J261" s="22">
        <f>SUMIF('ADV - GA4'!A:A,A261,'ADV - GA4'!C:C)</f>
        <v>0</v>
      </c>
      <c r="K261" s="20" t="str">
        <f t="shared" si="52"/>
        <v/>
      </c>
      <c r="L261" s="24" t="str">
        <f t="shared" si="3"/>
        <v/>
      </c>
      <c r="M261" s="25">
        <f t="shared" si="53"/>
        <v>0</v>
      </c>
      <c r="N261" s="26">
        <f t="shared" si="54"/>
        <v>0</v>
      </c>
      <c r="O261" s="20" t="str">
        <f>IFERROR(Planejador!$I$197,"")</f>
        <v/>
      </c>
      <c r="P261" s="20" t="str">
        <f>Planejador!$I$189</f>
        <v/>
      </c>
      <c r="Q261" s="27">
        <f t="shared" si="55"/>
        <v>0</v>
      </c>
      <c r="R261" s="24" t="str">
        <f>Planejador!$I$191</f>
        <v/>
      </c>
      <c r="S261" s="16"/>
      <c r="T261" s="16"/>
      <c r="U261" s="16"/>
      <c r="V261" s="16"/>
      <c r="W261" s="16"/>
      <c r="X261" s="16"/>
      <c r="Y261" s="16"/>
      <c r="Z261" s="16"/>
    </row>
    <row r="262" ht="15.75" hidden="1" customHeight="1" outlineLevel="1">
      <c r="A262" s="17">
        <v>46274.0</v>
      </c>
      <c r="B262" s="18" t="str">
        <f t="shared" si="51"/>
        <v>quarta-feira</v>
      </c>
      <c r="C262" s="19"/>
      <c r="D262" s="20">
        <f>SUMIF('ADV - GG'!A:A,A262,'ADV - GG'!C:C)+SUMIF('ADV - FB'!A:A,$A262,'ADV - FB'!E:E)</f>
        <v>0</v>
      </c>
      <c r="E262" s="21">
        <f>SUMIF('ADV - GG'!A:A,A262,'ADV - GG'!H:H)+SUMIF('ADV - FB'!A:A,$A262,'ADV - FB'!I:I)+SUMIF('ADV - FB'!A:A,$A262,'ADV - FB'!J:J)+SUMIF('ADV - FB'!A:A,$A262,'ADV - FB'!K:K)</f>
        <v>0</v>
      </c>
      <c r="F262" s="20" t="str">
        <f t="shared" si="2"/>
        <v/>
      </c>
      <c r="G262" s="22"/>
      <c r="H262" s="22"/>
      <c r="I262" s="23"/>
      <c r="J262" s="22">
        <f>SUMIF('ADV - GA4'!A:A,A262,'ADV - GA4'!C:C)</f>
        <v>0</v>
      </c>
      <c r="K262" s="20" t="str">
        <f t="shared" si="52"/>
        <v/>
      </c>
      <c r="L262" s="24" t="str">
        <f t="shared" si="3"/>
        <v/>
      </c>
      <c r="M262" s="25">
        <f t="shared" si="53"/>
        <v>0</v>
      </c>
      <c r="N262" s="26">
        <f t="shared" si="54"/>
        <v>0</v>
      </c>
      <c r="O262" s="20" t="str">
        <f>IFERROR(Planejador!$I$197,"")</f>
        <v/>
      </c>
      <c r="P262" s="20" t="str">
        <f>Planejador!$I$189</f>
        <v/>
      </c>
      <c r="Q262" s="27">
        <f t="shared" si="55"/>
        <v>0</v>
      </c>
      <c r="R262" s="24" t="str">
        <f>Planejador!$I$191</f>
        <v/>
      </c>
      <c r="S262" s="16"/>
      <c r="T262" s="16"/>
      <c r="U262" s="16"/>
      <c r="V262" s="16"/>
      <c r="W262" s="16"/>
      <c r="X262" s="16"/>
      <c r="Y262" s="16"/>
      <c r="Z262" s="16"/>
    </row>
    <row r="263" ht="15.75" hidden="1" customHeight="1" outlineLevel="1">
      <c r="A263" s="17">
        <v>46275.0</v>
      </c>
      <c r="B263" s="18" t="str">
        <f t="shared" si="51"/>
        <v>quinta-feira</v>
      </c>
      <c r="C263" s="19"/>
      <c r="D263" s="20">
        <f>SUMIF('ADV - GG'!A:A,A263,'ADV - GG'!C:C)+SUMIF('ADV - FB'!A:A,$A263,'ADV - FB'!E:E)</f>
        <v>0</v>
      </c>
      <c r="E263" s="21">
        <f>SUMIF('ADV - GG'!A:A,A263,'ADV - GG'!H:H)+SUMIF('ADV - FB'!A:A,$A263,'ADV - FB'!I:I)+SUMIF('ADV - FB'!A:A,$A263,'ADV - FB'!J:J)+SUMIF('ADV - FB'!A:A,$A263,'ADV - FB'!K:K)</f>
        <v>0</v>
      </c>
      <c r="F263" s="20" t="str">
        <f t="shared" si="2"/>
        <v/>
      </c>
      <c r="G263" s="22"/>
      <c r="H263" s="22"/>
      <c r="I263" s="23"/>
      <c r="J263" s="22">
        <f>SUMIF('ADV - GA4'!A:A,A263,'ADV - GA4'!C:C)</f>
        <v>0</v>
      </c>
      <c r="K263" s="20" t="str">
        <f t="shared" si="52"/>
        <v/>
      </c>
      <c r="L263" s="24" t="str">
        <f t="shared" si="3"/>
        <v/>
      </c>
      <c r="M263" s="25">
        <f t="shared" si="53"/>
        <v>0</v>
      </c>
      <c r="N263" s="26">
        <f t="shared" si="54"/>
        <v>0</v>
      </c>
      <c r="O263" s="20" t="str">
        <f>IFERROR(Planejador!$I$197,"")</f>
        <v/>
      </c>
      <c r="P263" s="20" t="str">
        <f>Planejador!$I$189</f>
        <v/>
      </c>
      <c r="Q263" s="27">
        <f t="shared" si="55"/>
        <v>0</v>
      </c>
      <c r="R263" s="24" t="str">
        <f>Planejador!$I$191</f>
        <v/>
      </c>
      <c r="S263" s="16"/>
      <c r="T263" s="16"/>
      <c r="U263" s="16"/>
      <c r="V263" s="16"/>
      <c r="W263" s="16"/>
      <c r="X263" s="16"/>
      <c r="Y263" s="16"/>
      <c r="Z263" s="16"/>
    </row>
    <row r="264" ht="15.75" hidden="1" customHeight="1" outlineLevel="1">
      <c r="A264" s="17">
        <v>46276.0</v>
      </c>
      <c r="B264" s="18" t="str">
        <f t="shared" si="51"/>
        <v>sexta-feira</v>
      </c>
      <c r="C264" s="19"/>
      <c r="D264" s="20">
        <f>SUMIF('ADV - GG'!A:A,A264,'ADV - GG'!C:C)+SUMIF('ADV - FB'!A:A,$A264,'ADV - FB'!E:E)</f>
        <v>0</v>
      </c>
      <c r="E264" s="21">
        <f>SUMIF('ADV - GG'!A:A,A264,'ADV - GG'!H:H)+SUMIF('ADV - FB'!A:A,$A264,'ADV - FB'!I:I)+SUMIF('ADV - FB'!A:A,$A264,'ADV - FB'!J:J)+SUMIF('ADV - FB'!A:A,$A264,'ADV - FB'!K:K)</f>
        <v>0</v>
      </c>
      <c r="F264" s="20" t="str">
        <f t="shared" si="2"/>
        <v/>
      </c>
      <c r="G264" s="22"/>
      <c r="H264" s="22"/>
      <c r="I264" s="23"/>
      <c r="J264" s="22">
        <f>SUMIF('ADV - GA4'!A:A,A264,'ADV - GA4'!C:C)</f>
        <v>0</v>
      </c>
      <c r="K264" s="20" t="str">
        <f t="shared" si="52"/>
        <v/>
      </c>
      <c r="L264" s="24" t="str">
        <f t="shared" si="3"/>
        <v/>
      </c>
      <c r="M264" s="25">
        <f t="shared" si="53"/>
        <v>0</v>
      </c>
      <c r="N264" s="26">
        <f t="shared" si="54"/>
        <v>0</v>
      </c>
      <c r="O264" s="20" t="str">
        <f>IFERROR(Planejador!$I$197,"")</f>
        <v/>
      </c>
      <c r="P264" s="20" t="str">
        <f>Planejador!$I$189</f>
        <v/>
      </c>
      <c r="Q264" s="27">
        <f t="shared" si="55"/>
        <v>0</v>
      </c>
      <c r="R264" s="24" t="str">
        <f>Planejador!$I$191</f>
        <v/>
      </c>
      <c r="S264" s="16"/>
      <c r="T264" s="16"/>
      <c r="U264" s="16"/>
      <c r="V264" s="16"/>
      <c r="W264" s="16"/>
      <c r="X264" s="16"/>
      <c r="Y264" s="16"/>
      <c r="Z264" s="16"/>
    </row>
    <row r="265" ht="15.75" hidden="1" customHeight="1" outlineLevel="1">
      <c r="A265" s="17">
        <v>46277.0</v>
      </c>
      <c r="B265" s="18" t="str">
        <f t="shared" si="51"/>
        <v>sábado</v>
      </c>
      <c r="C265" s="19"/>
      <c r="D265" s="20">
        <f>SUMIF('ADV - GG'!A:A,A265,'ADV - GG'!C:C)+SUMIF('ADV - FB'!A:A,$A265,'ADV - FB'!E:E)</f>
        <v>0</v>
      </c>
      <c r="E265" s="21">
        <f>SUMIF('ADV - GG'!A:A,A265,'ADV - GG'!H:H)+SUMIF('ADV - FB'!A:A,$A265,'ADV - FB'!I:I)+SUMIF('ADV - FB'!A:A,$A265,'ADV - FB'!J:J)+SUMIF('ADV - FB'!A:A,$A265,'ADV - FB'!K:K)</f>
        <v>0</v>
      </c>
      <c r="F265" s="20" t="str">
        <f t="shared" si="2"/>
        <v/>
      </c>
      <c r="G265" s="22"/>
      <c r="H265" s="22"/>
      <c r="I265" s="23"/>
      <c r="J265" s="22">
        <f>SUMIF('ADV - GA4'!A:A,A265,'ADV - GA4'!C:C)</f>
        <v>0</v>
      </c>
      <c r="K265" s="20" t="str">
        <f t="shared" si="52"/>
        <v/>
      </c>
      <c r="L265" s="24" t="str">
        <f t="shared" si="3"/>
        <v/>
      </c>
      <c r="M265" s="25">
        <f t="shared" si="53"/>
        <v>0</v>
      </c>
      <c r="N265" s="26">
        <f t="shared" si="54"/>
        <v>0</v>
      </c>
      <c r="O265" s="20" t="str">
        <f>IFERROR(Planejador!$I$197,"")</f>
        <v/>
      </c>
      <c r="P265" s="20" t="str">
        <f>Planejador!$I$189</f>
        <v/>
      </c>
      <c r="Q265" s="27">
        <f t="shared" si="55"/>
        <v>0</v>
      </c>
      <c r="R265" s="24" t="str">
        <f>Planejador!$I$191</f>
        <v/>
      </c>
      <c r="S265" s="16"/>
      <c r="T265" s="16"/>
      <c r="U265" s="16"/>
      <c r="V265" s="16"/>
      <c r="W265" s="16"/>
      <c r="X265" s="16"/>
      <c r="Y265" s="16"/>
      <c r="Z265" s="16"/>
    </row>
    <row r="266" ht="15.75" hidden="1" customHeight="1" outlineLevel="1">
      <c r="A266" s="17">
        <v>46278.0</v>
      </c>
      <c r="B266" s="18" t="str">
        <f t="shared" si="51"/>
        <v>domingo</v>
      </c>
      <c r="C266" s="19"/>
      <c r="D266" s="20">
        <f>SUMIF('ADV - GG'!A:A,A266,'ADV - GG'!C:C)+SUMIF('ADV - FB'!A:A,$A266,'ADV - FB'!E:E)</f>
        <v>0</v>
      </c>
      <c r="E266" s="21">
        <f>SUMIF('ADV - GG'!A:A,A266,'ADV - GG'!H:H)+SUMIF('ADV - FB'!A:A,$A266,'ADV - FB'!I:I)+SUMIF('ADV - FB'!A:A,$A266,'ADV - FB'!J:J)+SUMIF('ADV - FB'!A:A,$A266,'ADV - FB'!K:K)</f>
        <v>0</v>
      </c>
      <c r="F266" s="20" t="str">
        <f t="shared" si="2"/>
        <v/>
      </c>
      <c r="G266" s="22"/>
      <c r="H266" s="22"/>
      <c r="I266" s="23"/>
      <c r="J266" s="22">
        <f>SUMIF('ADV - GA4'!A:A,A266,'ADV - GA4'!C:C)</f>
        <v>0</v>
      </c>
      <c r="K266" s="20" t="str">
        <f t="shared" si="52"/>
        <v/>
      </c>
      <c r="L266" s="24" t="str">
        <f t="shared" si="3"/>
        <v/>
      </c>
      <c r="M266" s="25">
        <f t="shared" si="53"/>
        <v>0</v>
      </c>
      <c r="N266" s="26">
        <f t="shared" si="54"/>
        <v>0</v>
      </c>
      <c r="O266" s="20" t="str">
        <f>IFERROR(Planejador!$I$197,"")</f>
        <v/>
      </c>
      <c r="P266" s="20" t="str">
        <f>Planejador!$I$189</f>
        <v/>
      </c>
      <c r="Q266" s="27">
        <f t="shared" si="55"/>
        <v>0</v>
      </c>
      <c r="R266" s="24" t="str">
        <f>Planejador!$I$191</f>
        <v/>
      </c>
      <c r="S266" s="16"/>
      <c r="T266" s="16"/>
      <c r="U266" s="16"/>
      <c r="V266" s="16"/>
      <c r="W266" s="16"/>
      <c r="X266" s="16"/>
      <c r="Y266" s="16"/>
      <c r="Z266" s="16"/>
    </row>
    <row r="267" ht="15.75" hidden="1" customHeight="1" outlineLevel="1">
      <c r="A267" s="17">
        <v>46279.0</v>
      </c>
      <c r="B267" s="18" t="str">
        <f t="shared" si="51"/>
        <v>segunda-feira</v>
      </c>
      <c r="C267" s="19"/>
      <c r="D267" s="20">
        <f>SUMIF('ADV - GG'!A:A,A267,'ADV - GG'!C:C)+SUMIF('ADV - FB'!A:A,$A267,'ADV - FB'!E:E)</f>
        <v>0</v>
      </c>
      <c r="E267" s="21">
        <f>SUMIF('ADV - GG'!A:A,A267,'ADV - GG'!H:H)+SUMIF('ADV - FB'!A:A,$A267,'ADV - FB'!I:I)+SUMIF('ADV - FB'!A:A,$A267,'ADV - FB'!J:J)+SUMIF('ADV - FB'!A:A,$A267,'ADV - FB'!K:K)</f>
        <v>0</v>
      </c>
      <c r="F267" s="20" t="str">
        <f t="shared" si="2"/>
        <v/>
      </c>
      <c r="G267" s="22"/>
      <c r="H267" s="22"/>
      <c r="I267" s="23"/>
      <c r="J267" s="22">
        <f>SUMIF('ADV - GA4'!A:A,A267,'ADV - GA4'!C:C)</f>
        <v>0</v>
      </c>
      <c r="K267" s="20" t="str">
        <f t="shared" si="52"/>
        <v/>
      </c>
      <c r="L267" s="24" t="str">
        <f t="shared" si="3"/>
        <v/>
      </c>
      <c r="M267" s="25">
        <f t="shared" si="53"/>
        <v>0</v>
      </c>
      <c r="N267" s="26">
        <f t="shared" si="54"/>
        <v>0</v>
      </c>
      <c r="O267" s="20" t="str">
        <f>IFERROR(Planejador!$I$197,"")</f>
        <v/>
      </c>
      <c r="P267" s="20" t="str">
        <f>Planejador!$I$189</f>
        <v/>
      </c>
      <c r="Q267" s="27">
        <f t="shared" si="55"/>
        <v>0</v>
      </c>
      <c r="R267" s="24" t="str">
        <f>Planejador!$I$191</f>
        <v/>
      </c>
      <c r="S267" s="16"/>
      <c r="T267" s="16"/>
      <c r="U267" s="16"/>
      <c r="V267" s="16"/>
      <c r="W267" s="16"/>
      <c r="X267" s="16"/>
      <c r="Y267" s="16"/>
      <c r="Z267" s="16"/>
    </row>
    <row r="268" ht="15.75" hidden="1" customHeight="1" outlineLevel="1">
      <c r="A268" s="17">
        <v>46280.0</v>
      </c>
      <c r="B268" s="18" t="str">
        <f t="shared" si="51"/>
        <v>terça-feira</v>
      </c>
      <c r="C268" s="19"/>
      <c r="D268" s="20">
        <f>SUMIF('ADV - GG'!A:A,A268,'ADV - GG'!C:C)+SUMIF('ADV - FB'!A:A,$A268,'ADV - FB'!E:E)</f>
        <v>0</v>
      </c>
      <c r="E268" s="21">
        <f>SUMIF('ADV - GG'!A:A,A268,'ADV - GG'!H:H)+SUMIF('ADV - FB'!A:A,$A268,'ADV - FB'!I:I)+SUMIF('ADV - FB'!A:A,$A268,'ADV - FB'!J:J)+SUMIF('ADV - FB'!A:A,$A268,'ADV - FB'!K:K)</f>
        <v>0</v>
      </c>
      <c r="F268" s="20" t="str">
        <f t="shared" si="2"/>
        <v/>
      </c>
      <c r="G268" s="22"/>
      <c r="H268" s="22"/>
      <c r="I268" s="23"/>
      <c r="J268" s="22">
        <f>SUMIF('ADV - GA4'!A:A,A268,'ADV - GA4'!C:C)</f>
        <v>0</v>
      </c>
      <c r="K268" s="20" t="str">
        <f t="shared" si="52"/>
        <v/>
      </c>
      <c r="L268" s="24" t="str">
        <f t="shared" si="3"/>
        <v/>
      </c>
      <c r="M268" s="25">
        <f t="shared" si="53"/>
        <v>0</v>
      </c>
      <c r="N268" s="26">
        <f t="shared" si="54"/>
        <v>0</v>
      </c>
      <c r="O268" s="20" t="str">
        <f>IFERROR(Planejador!$I$197,"")</f>
        <v/>
      </c>
      <c r="P268" s="20" t="str">
        <f>Planejador!$I$189</f>
        <v/>
      </c>
      <c r="Q268" s="27">
        <f t="shared" si="55"/>
        <v>0</v>
      </c>
      <c r="R268" s="24" t="str">
        <f>Planejador!$I$191</f>
        <v/>
      </c>
      <c r="S268" s="16"/>
      <c r="T268" s="16"/>
      <c r="U268" s="16"/>
      <c r="V268" s="16"/>
      <c r="W268" s="16"/>
      <c r="X268" s="16"/>
      <c r="Y268" s="16"/>
      <c r="Z268" s="16"/>
    </row>
    <row r="269" ht="15.75" hidden="1" customHeight="1" outlineLevel="1">
      <c r="A269" s="17">
        <v>46281.0</v>
      </c>
      <c r="B269" s="18" t="str">
        <f t="shared" si="51"/>
        <v>quarta-feira</v>
      </c>
      <c r="C269" s="19"/>
      <c r="D269" s="20">
        <f>SUMIF('ADV - GG'!A:A,A269,'ADV - GG'!C:C)+SUMIF('ADV - FB'!A:A,$A269,'ADV - FB'!E:E)</f>
        <v>0</v>
      </c>
      <c r="E269" s="21">
        <f>SUMIF('ADV - GG'!A:A,A269,'ADV - GG'!H:H)+SUMIF('ADV - FB'!A:A,$A269,'ADV - FB'!I:I)+SUMIF('ADV - FB'!A:A,$A269,'ADV - FB'!J:J)+SUMIF('ADV - FB'!A:A,$A269,'ADV - FB'!K:K)</f>
        <v>0</v>
      </c>
      <c r="F269" s="20" t="str">
        <f t="shared" si="2"/>
        <v/>
      </c>
      <c r="G269" s="22"/>
      <c r="H269" s="22"/>
      <c r="I269" s="23"/>
      <c r="J269" s="22">
        <f>SUMIF('ADV - GA4'!A:A,A269,'ADV - GA4'!C:C)</f>
        <v>0</v>
      </c>
      <c r="K269" s="20" t="str">
        <f t="shared" si="52"/>
        <v/>
      </c>
      <c r="L269" s="24" t="str">
        <f t="shared" si="3"/>
        <v/>
      </c>
      <c r="M269" s="25">
        <f t="shared" si="53"/>
        <v>0</v>
      </c>
      <c r="N269" s="26">
        <f t="shared" si="54"/>
        <v>0</v>
      </c>
      <c r="O269" s="20" t="str">
        <f>IFERROR(Planejador!$I$197,"")</f>
        <v/>
      </c>
      <c r="P269" s="20" t="str">
        <f>Planejador!$I$189</f>
        <v/>
      </c>
      <c r="Q269" s="27">
        <f t="shared" si="55"/>
        <v>0</v>
      </c>
      <c r="R269" s="24" t="str">
        <f>Planejador!$I$191</f>
        <v/>
      </c>
      <c r="S269" s="16"/>
      <c r="T269" s="16"/>
      <c r="U269" s="16"/>
      <c r="V269" s="16"/>
      <c r="W269" s="16"/>
      <c r="X269" s="16"/>
      <c r="Y269" s="16"/>
      <c r="Z269" s="16"/>
    </row>
    <row r="270" ht="15.75" hidden="1" customHeight="1" outlineLevel="1">
      <c r="A270" s="17">
        <v>46282.0</v>
      </c>
      <c r="B270" s="18" t="str">
        <f t="shared" si="51"/>
        <v>quinta-feira</v>
      </c>
      <c r="C270" s="19"/>
      <c r="D270" s="20">
        <f>SUMIF('ADV - GG'!A:A,A270,'ADV - GG'!C:C)+SUMIF('ADV - FB'!A:A,$A270,'ADV - FB'!E:E)</f>
        <v>0</v>
      </c>
      <c r="E270" s="21">
        <f>SUMIF('ADV - GG'!A:A,A270,'ADV - GG'!H:H)+SUMIF('ADV - FB'!A:A,$A270,'ADV - FB'!I:I)+SUMIF('ADV - FB'!A:A,$A270,'ADV - FB'!J:J)+SUMIF('ADV - FB'!A:A,$A270,'ADV - FB'!K:K)</f>
        <v>0</v>
      </c>
      <c r="F270" s="20" t="str">
        <f t="shared" si="2"/>
        <v/>
      </c>
      <c r="G270" s="22"/>
      <c r="H270" s="22"/>
      <c r="I270" s="23"/>
      <c r="J270" s="22">
        <f>SUMIF('ADV - GA4'!A:A,A270,'ADV - GA4'!C:C)</f>
        <v>0</v>
      </c>
      <c r="K270" s="20" t="str">
        <f t="shared" si="52"/>
        <v/>
      </c>
      <c r="L270" s="24" t="str">
        <f t="shared" si="3"/>
        <v/>
      </c>
      <c r="M270" s="25">
        <f t="shared" si="53"/>
        <v>0</v>
      </c>
      <c r="N270" s="26">
        <f t="shared" si="54"/>
        <v>0</v>
      </c>
      <c r="O270" s="20" t="str">
        <f>IFERROR(Planejador!$I$197,"")</f>
        <v/>
      </c>
      <c r="P270" s="20" t="str">
        <f>Planejador!$I$189</f>
        <v/>
      </c>
      <c r="Q270" s="27">
        <f t="shared" si="55"/>
        <v>0</v>
      </c>
      <c r="R270" s="24" t="str">
        <f>Planejador!$I$191</f>
        <v/>
      </c>
      <c r="S270" s="16"/>
      <c r="T270" s="16"/>
      <c r="U270" s="16"/>
      <c r="V270" s="16"/>
      <c r="W270" s="16"/>
      <c r="X270" s="16"/>
      <c r="Y270" s="16"/>
      <c r="Z270" s="16"/>
    </row>
    <row r="271" ht="15.75" hidden="1" customHeight="1" outlineLevel="1">
      <c r="A271" s="17">
        <v>46283.0</v>
      </c>
      <c r="B271" s="18" t="str">
        <f t="shared" si="51"/>
        <v>sexta-feira</v>
      </c>
      <c r="C271" s="19"/>
      <c r="D271" s="20">
        <f>SUMIF('ADV - GG'!A:A,A271,'ADV - GG'!C:C)+SUMIF('ADV - FB'!A:A,$A271,'ADV - FB'!E:E)</f>
        <v>0</v>
      </c>
      <c r="E271" s="21">
        <f>SUMIF('ADV - GG'!A:A,A271,'ADV - GG'!H:H)+SUMIF('ADV - FB'!A:A,$A271,'ADV - FB'!I:I)+SUMIF('ADV - FB'!A:A,$A271,'ADV - FB'!J:J)+SUMIF('ADV - FB'!A:A,$A271,'ADV - FB'!K:K)</f>
        <v>0</v>
      </c>
      <c r="F271" s="20" t="str">
        <f t="shared" si="2"/>
        <v/>
      </c>
      <c r="G271" s="22"/>
      <c r="H271" s="22"/>
      <c r="I271" s="23"/>
      <c r="J271" s="22">
        <f>SUMIF('ADV - GA4'!A:A,A271,'ADV - GA4'!C:C)</f>
        <v>0</v>
      </c>
      <c r="K271" s="20" t="str">
        <f t="shared" si="52"/>
        <v/>
      </c>
      <c r="L271" s="24" t="str">
        <f t="shared" si="3"/>
        <v/>
      </c>
      <c r="M271" s="25">
        <f t="shared" si="53"/>
        <v>0</v>
      </c>
      <c r="N271" s="26">
        <f t="shared" si="54"/>
        <v>0</v>
      </c>
      <c r="O271" s="20" t="str">
        <f>IFERROR(Planejador!$I$197,"")</f>
        <v/>
      </c>
      <c r="P271" s="20" t="str">
        <f>Planejador!$I$189</f>
        <v/>
      </c>
      <c r="Q271" s="27">
        <f t="shared" si="55"/>
        <v>0</v>
      </c>
      <c r="R271" s="24" t="str">
        <f>Planejador!$I$191</f>
        <v/>
      </c>
      <c r="S271" s="16"/>
      <c r="T271" s="16"/>
      <c r="U271" s="16"/>
      <c r="V271" s="16"/>
      <c r="W271" s="16"/>
      <c r="X271" s="16"/>
      <c r="Y271" s="16"/>
      <c r="Z271" s="16"/>
    </row>
    <row r="272" ht="15.75" hidden="1" customHeight="1" outlineLevel="1">
      <c r="A272" s="17">
        <v>46284.0</v>
      </c>
      <c r="B272" s="18" t="str">
        <f t="shared" si="51"/>
        <v>sábado</v>
      </c>
      <c r="C272" s="19"/>
      <c r="D272" s="20">
        <f>SUMIF('ADV - GG'!A:A,A272,'ADV - GG'!C:C)+SUMIF('ADV - FB'!A:A,$A272,'ADV - FB'!E:E)</f>
        <v>0</v>
      </c>
      <c r="E272" s="21">
        <f>SUMIF('ADV - GG'!A:A,A272,'ADV - GG'!H:H)+SUMIF('ADV - FB'!A:A,$A272,'ADV - FB'!I:I)+SUMIF('ADV - FB'!A:A,$A272,'ADV - FB'!J:J)+SUMIF('ADV - FB'!A:A,$A272,'ADV - FB'!K:K)</f>
        <v>0</v>
      </c>
      <c r="F272" s="20" t="str">
        <f t="shared" si="2"/>
        <v/>
      </c>
      <c r="G272" s="22"/>
      <c r="H272" s="22"/>
      <c r="I272" s="23"/>
      <c r="J272" s="22">
        <f>SUMIF('ADV - GA4'!A:A,A272,'ADV - GA4'!C:C)</f>
        <v>0</v>
      </c>
      <c r="K272" s="20" t="str">
        <f t="shared" si="52"/>
        <v/>
      </c>
      <c r="L272" s="24" t="str">
        <f t="shared" si="3"/>
        <v/>
      </c>
      <c r="M272" s="25">
        <f t="shared" si="53"/>
        <v>0</v>
      </c>
      <c r="N272" s="26">
        <f t="shared" si="54"/>
        <v>0</v>
      </c>
      <c r="O272" s="20" t="str">
        <f>IFERROR(Planejador!$I$197,"")</f>
        <v/>
      </c>
      <c r="P272" s="20" t="str">
        <f>Planejador!$I$189</f>
        <v/>
      </c>
      <c r="Q272" s="27">
        <f t="shared" si="55"/>
        <v>0</v>
      </c>
      <c r="R272" s="24" t="str">
        <f>Planejador!$I$191</f>
        <v/>
      </c>
      <c r="S272" s="16"/>
      <c r="T272" s="16"/>
      <c r="U272" s="16"/>
      <c r="V272" s="16"/>
      <c r="W272" s="16"/>
      <c r="X272" s="16"/>
      <c r="Y272" s="16"/>
      <c r="Z272" s="16"/>
    </row>
    <row r="273" ht="15.75" hidden="1" customHeight="1" outlineLevel="1">
      <c r="A273" s="17">
        <v>46285.0</v>
      </c>
      <c r="B273" s="18" t="str">
        <f t="shared" si="51"/>
        <v>domingo</v>
      </c>
      <c r="C273" s="19"/>
      <c r="D273" s="20">
        <f>SUMIF('ADV - GG'!A:A,A273,'ADV - GG'!C:C)+SUMIF('ADV - FB'!A:A,$A273,'ADV - FB'!E:E)</f>
        <v>0</v>
      </c>
      <c r="E273" s="21">
        <f>SUMIF('ADV - GG'!A:A,A273,'ADV - GG'!H:H)+SUMIF('ADV - FB'!A:A,$A273,'ADV - FB'!I:I)+SUMIF('ADV - FB'!A:A,$A273,'ADV - FB'!J:J)+SUMIF('ADV - FB'!A:A,$A273,'ADV - FB'!K:K)</f>
        <v>0</v>
      </c>
      <c r="F273" s="20" t="str">
        <f t="shared" si="2"/>
        <v/>
      </c>
      <c r="G273" s="22"/>
      <c r="H273" s="22"/>
      <c r="I273" s="23"/>
      <c r="J273" s="22">
        <f>SUMIF('ADV - GA4'!A:A,A273,'ADV - GA4'!C:C)</f>
        <v>0</v>
      </c>
      <c r="K273" s="20" t="str">
        <f t="shared" si="52"/>
        <v/>
      </c>
      <c r="L273" s="24" t="str">
        <f t="shared" si="3"/>
        <v/>
      </c>
      <c r="M273" s="25">
        <f t="shared" si="53"/>
        <v>0</v>
      </c>
      <c r="N273" s="26">
        <f t="shared" si="54"/>
        <v>0</v>
      </c>
      <c r="O273" s="20" t="str">
        <f>IFERROR(Planejador!$I$197,"")</f>
        <v/>
      </c>
      <c r="P273" s="20" t="str">
        <f>Planejador!$I$189</f>
        <v/>
      </c>
      <c r="Q273" s="27">
        <f t="shared" si="55"/>
        <v>0</v>
      </c>
      <c r="R273" s="24" t="str">
        <f>Planejador!$I$191</f>
        <v/>
      </c>
      <c r="S273" s="16"/>
      <c r="T273" s="16"/>
      <c r="U273" s="16"/>
      <c r="V273" s="16"/>
      <c r="W273" s="16"/>
      <c r="X273" s="16"/>
      <c r="Y273" s="16"/>
      <c r="Z273" s="16"/>
    </row>
    <row r="274" ht="15.75" hidden="1" customHeight="1" outlineLevel="1">
      <c r="A274" s="17">
        <v>46286.0</v>
      </c>
      <c r="B274" s="18" t="str">
        <f t="shared" si="51"/>
        <v>segunda-feira</v>
      </c>
      <c r="C274" s="19"/>
      <c r="D274" s="20">
        <f>SUMIF('ADV - GG'!A:A,A274,'ADV - GG'!C:C)+SUMIF('ADV - FB'!A:A,$A274,'ADV - FB'!E:E)</f>
        <v>0</v>
      </c>
      <c r="E274" s="21">
        <f>SUMIF('ADV - GG'!A:A,A274,'ADV - GG'!H:H)+SUMIF('ADV - FB'!A:A,$A274,'ADV - FB'!I:I)+SUMIF('ADV - FB'!A:A,$A274,'ADV - FB'!J:J)+SUMIF('ADV - FB'!A:A,$A274,'ADV - FB'!K:K)</f>
        <v>0</v>
      </c>
      <c r="F274" s="20" t="str">
        <f t="shared" si="2"/>
        <v/>
      </c>
      <c r="G274" s="22"/>
      <c r="H274" s="22"/>
      <c r="I274" s="23"/>
      <c r="J274" s="22">
        <f>SUMIF('ADV - GA4'!A:A,A274,'ADV - GA4'!C:C)</f>
        <v>0</v>
      </c>
      <c r="K274" s="20" t="str">
        <f t="shared" si="52"/>
        <v/>
      </c>
      <c r="L274" s="24" t="str">
        <f t="shared" si="3"/>
        <v/>
      </c>
      <c r="M274" s="25">
        <f t="shared" si="53"/>
        <v>0</v>
      </c>
      <c r="N274" s="26">
        <f t="shared" si="54"/>
        <v>0</v>
      </c>
      <c r="O274" s="20" t="str">
        <f>IFERROR(Planejador!$I$197,"")</f>
        <v/>
      </c>
      <c r="P274" s="20" t="str">
        <f>Planejador!$I$189</f>
        <v/>
      </c>
      <c r="Q274" s="27">
        <f t="shared" si="55"/>
        <v>0</v>
      </c>
      <c r="R274" s="24" t="str">
        <f>Planejador!$I$191</f>
        <v/>
      </c>
      <c r="S274" s="16"/>
      <c r="T274" s="16"/>
      <c r="U274" s="16"/>
      <c r="V274" s="16"/>
      <c r="W274" s="16"/>
      <c r="X274" s="16"/>
      <c r="Y274" s="16"/>
      <c r="Z274" s="16"/>
    </row>
    <row r="275" ht="15.75" hidden="1" customHeight="1" outlineLevel="1">
      <c r="A275" s="17">
        <v>46287.0</v>
      </c>
      <c r="B275" s="18" t="str">
        <f t="shared" si="51"/>
        <v>terça-feira</v>
      </c>
      <c r="C275" s="19"/>
      <c r="D275" s="20">
        <f>SUMIF('ADV - GG'!A:A,A275,'ADV - GG'!C:C)+SUMIF('ADV - FB'!A:A,$A275,'ADV - FB'!E:E)</f>
        <v>0</v>
      </c>
      <c r="E275" s="21">
        <f>SUMIF('ADV - GG'!A:A,A275,'ADV - GG'!H:H)+SUMIF('ADV - FB'!A:A,$A275,'ADV - FB'!I:I)+SUMIF('ADV - FB'!A:A,$A275,'ADV - FB'!J:J)+SUMIF('ADV - FB'!A:A,$A275,'ADV - FB'!K:K)</f>
        <v>0</v>
      </c>
      <c r="F275" s="20" t="str">
        <f t="shared" si="2"/>
        <v/>
      </c>
      <c r="G275" s="22"/>
      <c r="H275" s="22"/>
      <c r="I275" s="23"/>
      <c r="J275" s="22">
        <f>SUMIF('ADV - GA4'!A:A,A275,'ADV - GA4'!C:C)</f>
        <v>0</v>
      </c>
      <c r="K275" s="20" t="str">
        <f t="shared" si="52"/>
        <v/>
      </c>
      <c r="L275" s="24" t="str">
        <f t="shared" si="3"/>
        <v/>
      </c>
      <c r="M275" s="25">
        <f t="shared" si="53"/>
        <v>0</v>
      </c>
      <c r="N275" s="26">
        <f t="shared" si="54"/>
        <v>0</v>
      </c>
      <c r="O275" s="20" t="str">
        <f>IFERROR(Planejador!$I$197,"")</f>
        <v/>
      </c>
      <c r="P275" s="20" t="str">
        <f>Planejador!$I$189</f>
        <v/>
      </c>
      <c r="Q275" s="27">
        <f t="shared" si="55"/>
        <v>0</v>
      </c>
      <c r="R275" s="24" t="str">
        <f>Planejador!$I$191</f>
        <v/>
      </c>
      <c r="S275" s="16"/>
      <c r="T275" s="16"/>
      <c r="U275" s="16"/>
      <c r="V275" s="16"/>
      <c r="W275" s="16"/>
      <c r="X275" s="16"/>
      <c r="Y275" s="16"/>
      <c r="Z275" s="16"/>
    </row>
    <row r="276" ht="15.75" hidden="1" customHeight="1" outlineLevel="1">
      <c r="A276" s="17">
        <v>46288.0</v>
      </c>
      <c r="B276" s="18" t="str">
        <f t="shared" si="51"/>
        <v>quarta-feira</v>
      </c>
      <c r="C276" s="19"/>
      <c r="D276" s="20">
        <f>SUMIF('ADV - GG'!A:A,A276,'ADV - GG'!C:C)+SUMIF('ADV - FB'!A:A,$A276,'ADV - FB'!E:E)</f>
        <v>0</v>
      </c>
      <c r="E276" s="21">
        <f>SUMIF('ADV - GG'!A:A,A276,'ADV - GG'!H:H)+SUMIF('ADV - FB'!A:A,$A276,'ADV - FB'!I:I)+SUMIF('ADV - FB'!A:A,$A276,'ADV - FB'!J:J)+SUMIF('ADV - FB'!A:A,$A276,'ADV - FB'!K:K)</f>
        <v>0</v>
      </c>
      <c r="F276" s="20" t="str">
        <f t="shared" si="2"/>
        <v/>
      </c>
      <c r="G276" s="22"/>
      <c r="H276" s="22"/>
      <c r="I276" s="23"/>
      <c r="J276" s="22">
        <f>SUMIF('ADV - GA4'!A:A,A276,'ADV - GA4'!C:C)</f>
        <v>0</v>
      </c>
      <c r="K276" s="20" t="str">
        <f t="shared" si="52"/>
        <v/>
      </c>
      <c r="L276" s="24" t="str">
        <f t="shared" si="3"/>
        <v/>
      </c>
      <c r="M276" s="25">
        <f t="shared" si="53"/>
        <v>0</v>
      </c>
      <c r="N276" s="26">
        <f t="shared" si="54"/>
        <v>0</v>
      </c>
      <c r="O276" s="20" t="str">
        <f>IFERROR(Planejador!$I$197,"")</f>
        <v/>
      </c>
      <c r="P276" s="20" t="str">
        <f>Planejador!$I$189</f>
        <v/>
      </c>
      <c r="Q276" s="27">
        <f t="shared" si="55"/>
        <v>0</v>
      </c>
      <c r="R276" s="24" t="str">
        <f>Planejador!$I$191</f>
        <v/>
      </c>
      <c r="S276" s="16"/>
      <c r="T276" s="16"/>
      <c r="U276" s="16"/>
      <c r="V276" s="16"/>
      <c r="W276" s="16"/>
      <c r="X276" s="16"/>
      <c r="Y276" s="16"/>
      <c r="Z276" s="16"/>
    </row>
    <row r="277" ht="15.75" hidden="1" customHeight="1" outlineLevel="1">
      <c r="A277" s="17">
        <v>46289.0</v>
      </c>
      <c r="B277" s="18" t="str">
        <f t="shared" si="51"/>
        <v>quinta-feira</v>
      </c>
      <c r="C277" s="19"/>
      <c r="D277" s="20">
        <f>SUMIF('ADV - GG'!A:A,A277,'ADV - GG'!C:C)+SUMIF('ADV - FB'!A:A,$A277,'ADV - FB'!E:E)</f>
        <v>0</v>
      </c>
      <c r="E277" s="21">
        <f>SUMIF('ADV - GG'!A:A,A277,'ADV - GG'!H:H)+SUMIF('ADV - FB'!A:A,$A277,'ADV - FB'!I:I)+SUMIF('ADV - FB'!A:A,$A277,'ADV - FB'!J:J)+SUMIF('ADV - FB'!A:A,$A277,'ADV - FB'!K:K)</f>
        <v>0</v>
      </c>
      <c r="F277" s="20" t="str">
        <f t="shared" si="2"/>
        <v/>
      </c>
      <c r="G277" s="22"/>
      <c r="H277" s="22"/>
      <c r="I277" s="23"/>
      <c r="J277" s="22">
        <f>SUMIF('ADV - GA4'!A:A,A277,'ADV - GA4'!C:C)</f>
        <v>0</v>
      </c>
      <c r="K277" s="20" t="str">
        <f t="shared" si="52"/>
        <v/>
      </c>
      <c r="L277" s="24" t="str">
        <f t="shared" si="3"/>
        <v/>
      </c>
      <c r="M277" s="25">
        <f t="shared" si="53"/>
        <v>0</v>
      </c>
      <c r="N277" s="26">
        <f t="shared" si="54"/>
        <v>0</v>
      </c>
      <c r="O277" s="20" t="str">
        <f>IFERROR(Planejador!$I$197,"")</f>
        <v/>
      </c>
      <c r="P277" s="20" t="str">
        <f>Planejador!$I$189</f>
        <v/>
      </c>
      <c r="Q277" s="27">
        <f t="shared" si="55"/>
        <v>0</v>
      </c>
      <c r="R277" s="24" t="str">
        <f>Planejador!$I$191</f>
        <v/>
      </c>
      <c r="S277" s="16"/>
      <c r="T277" s="16"/>
      <c r="U277" s="16"/>
      <c r="V277" s="16"/>
      <c r="W277" s="16"/>
      <c r="X277" s="16"/>
      <c r="Y277" s="16"/>
      <c r="Z277" s="16"/>
    </row>
    <row r="278" ht="15.75" hidden="1" customHeight="1" outlineLevel="1">
      <c r="A278" s="17">
        <v>46290.0</v>
      </c>
      <c r="B278" s="18" t="str">
        <f t="shared" si="51"/>
        <v>sexta-feira</v>
      </c>
      <c r="C278" s="19"/>
      <c r="D278" s="20">
        <f>SUMIF('ADV - GG'!A:A,A278,'ADV - GG'!C:C)+SUMIF('ADV - FB'!A:A,$A278,'ADV - FB'!E:E)</f>
        <v>0</v>
      </c>
      <c r="E278" s="21">
        <f>SUMIF('ADV - GG'!A:A,A278,'ADV - GG'!H:H)+SUMIF('ADV - FB'!A:A,$A278,'ADV - FB'!I:I)+SUMIF('ADV - FB'!A:A,$A278,'ADV - FB'!J:J)+SUMIF('ADV - FB'!A:A,$A278,'ADV - FB'!K:K)</f>
        <v>0</v>
      </c>
      <c r="F278" s="20" t="str">
        <f t="shared" si="2"/>
        <v/>
      </c>
      <c r="G278" s="22"/>
      <c r="H278" s="22"/>
      <c r="I278" s="23"/>
      <c r="J278" s="22">
        <f>SUMIF('ADV - GA4'!A:A,A278,'ADV - GA4'!C:C)</f>
        <v>0</v>
      </c>
      <c r="K278" s="20" t="str">
        <f t="shared" si="52"/>
        <v/>
      </c>
      <c r="L278" s="24" t="str">
        <f t="shared" si="3"/>
        <v/>
      </c>
      <c r="M278" s="25">
        <f t="shared" si="53"/>
        <v>0</v>
      </c>
      <c r="N278" s="26">
        <f t="shared" si="54"/>
        <v>0</v>
      </c>
      <c r="O278" s="20" t="str">
        <f>IFERROR(Planejador!$I$197,"")</f>
        <v/>
      </c>
      <c r="P278" s="20" t="str">
        <f>Planejador!$I$189</f>
        <v/>
      </c>
      <c r="Q278" s="27">
        <f t="shared" si="55"/>
        <v>0</v>
      </c>
      <c r="R278" s="24" t="str">
        <f>Planejador!$I$191</f>
        <v/>
      </c>
      <c r="S278" s="16"/>
      <c r="T278" s="16"/>
      <c r="U278" s="16"/>
      <c r="V278" s="16"/>
      <c r="W278" s="16"/>
      <c r="X278" s="16"/>
      <c r="Y278" s="16"/>
      <c r="Z278" s="16"/>
    </row>
    <row r="279" ht="15.75" hidden="1" customHeight="1" outlineLevel="1">
      <c r="A279" s="17">
        <v>46291.0</v>
      </c>
      <c r="B279" s="18" t="str">
        <f t="shared" si="51"/>
        <v>sábado</v>
      </c>
      <c r="C279" s="19"/>
      <c r="D279" s="20">
        <f>SUMIF('ADV - GG'!A:A,A279,'ADV - GG'!C:C)+SUMIF('ADV - FB'!A:A,$A279,'ADV - FB'!E:E)</f>
        <v>0</v>
      </c>
      <c r="E279" s="21">
        <f>SUMIF('ADV - GG'!A:A,A279,'ADV - GG'!H:H)+SUMIF('ADV - FB'!A:A,$A279,'ADV - FB'!I:I)+SUMIF('ADV - FB'!A:A,$A279,'ADV - FB'!J:J)+SUMIF('ADV - FB'!A:A,$A279,'ADV - FB'!K:K)</f>
        <v>0</v>
      </c>
      <c r="F279" s="20" t="str">
        <f t="shared" si="2"/>
        <v/>
      </c>
      <c r="G279" s="22"/>
      <c r="H279" s="22"/>
      <c r="I279" s="23"/>
      <c r="J279" s="22">
        <f>SUMIF('ADV - GA4'!A:A,A279,'ADV - GA4'!C:C)</f>
        <v>0</v>
      </c>
      <c r="K279" s="20" t="str">
        <f t="shared" si="52"/>
        <v/>
      </c>
      <c r="L279" s="24" t="str">
        <f t="shared" si="3"/>
        <v/>
      </c>
      <c r="M279" s="25">
        <f t="shared" si="53"/>
        <v>0</v>
      </c>
      <c r="N279" s="26">
        <f t="shared" si="54"/>
        <v>0</v>
      </c>
      <c r="O279" s="20" t="str">
        <f>IFERROR(Planejador!$I$197,"")</f>
        <v/>
      </c>
      <c r="P279" s="20" t="str">
        <f>Planejador!$I$189</f>
        <v/>
      </c>
      <c r="Q279" s="27">
        <f t="shared" si="55"/>
        <v>0</v>
      </c>
      <c r="R279" s="24" t="str">
        <f>Planejador!$I$191</f>
        <v/>
      </c>
      <c r="S279" s="16"/>
      <c r="T279" s="16"/>
      <c r="U279" s="16"/>
      <c r="V279" s="16"/>
      <c r="W279" s="16"/>
      <c r="X279" s="16"/>
      <c r="Y279" s="16"/>
      <c r="Z279" s="16"/>
    </row>
    <row r="280" ht="15.75" hidden="1" customHeight="1" outlineLevel="1">
      <c r="A280" s="17">
        <v>46292.0</v>
      </c>
      <c r="B280" s="18" t="str">
        <f t="shared" si="51"/>
        <v>domingo</v>
      </c>
      <c r="C280" s="19"/>
      <c r="D280" s="20">
        <f>SUMIF('ADV - GG'!A:A,A280,'ADV - GG'!C:C)+SUMIF('ADV - FB'!A:A,$A280,'ADV - FB'!E:E)</f>
        <v>0</v>
      </c>
      <c r="E280" s="21">
        <f>SUMIF('ADV - GG'!A:A,A280,'ADV - GG'!H:H)+SUMIF('ADV - FB'!A:A,$A280,'ADV - FB'!I:I)+SUMIF('ADV - FB'!A:A,$A280,'ADV - FB'!J:J)+SUMIF('ADV - FB'!A:A,$A280,'ADV - FB'!K:K)</f>
        <v>0</v>
      </c>
      <c r="F280" s="20" t="str">
        <f t="shared" si="2"/>
        <v/>
      </c>
      <c r="G280" s="22"/>
      <c r="H280" s="22"/>
      <c r="I280" s="23"/>
      <c r="J280" s="22">
        <f>SUMIF('ADV - GA4'!A:A,A280,'ADV - GA4'!C:C)</f>
        <v>0</v>
      </c>
      <c r="K280" s="20" t="str">
        <f t="shared" si="52"/>
        <v/>
      </c>
      <c r="L280" s="24" t="str">
        <f t="shared" si="3"/>
        <v/>
      </c>
      <c r="M280" s="25">
        <f t="shared" si="53"/>
        <v>0</v>
      </c>
      <c r="N280" s="26">
        <f t="shared" si="54"/>
        <v>0</v>
      </c>
      <c r="O280" s="20" t="str">
        <f>IFERROR(Planejador!$I$197,"")</f>
        <v/>
      </c>
      <c r="P280" s="20" t="str">
        <f>Planejador!$I$189</f>
        <v/>
      </c>
      <c r="Q280" s="27">
        <f t="shared" si="55"/>
        <v>0</v>
      </c>
      <c r="R280" s="24" t="str">
        <f>Planejador!$I$191</f>
        <v/>
      </c>
      <c r="S280" s="16"/>
      <c r="T280" s="16"/>
      <c r="U280" s="16"/>
      <c r="V280" s="16"/>
      <c r="W280" s="16"/>
      <c r="X280" s="16"/>
      <c r="Y280" s="16"/>
      <c r="Z280" s="16"/>
    </row>
    <row r="281" ht="15.75" hidden="1" customHeight="1" outlineLevel="1">
      <c r="A281" s="17">
        <v>46293.0</v>
      </c>
      <c r="B281" s="18" t="str">
        <f t="shared" si="51"/>
        <v>segunda-feira</v>
      </c>
      <c r="C281" s="19"/>
      <c r="D281" s="20">
        <f>SUMIF('ADV - GG'!A:A,A281,'ADV - GG'!C:C)+SUMIF('ADV - FB'!A:A,$A281,'ADV - FB'!E:E)</f>
        <v>0</v>
      </c>
      <c r="E281" s="21">
        <f>SUMIF('ADV - GG'!A:A,A281,'ADV - GG'!H:H)+SUMIF('ADV - FB'!A:A,$A281,'ADV - FB'!I:I)+SUMIF('ADV - FB'!A:A,$A281,'ADV - FB'!J:J)+SUMIF('ADV - FB'!A:A,$A281,'ADV - FB'!K:K)</f>
        <v>0</v>
      </c>
      <c r="F281" s="20" t="str">
        <f t="shared" si="2"/>
        <v/>
      </c>
      <c r="G281" s="22"/>
      <c r="H281" s="22"/>
      <c r="I281" s="23"/>
      <c r="J281" s="22">
        <f>SUMIF('ADV - GA4'!A:A,A281,'ADV - GA4'!C:C)</f>
        <v>0</v>
      </c>
      <c r="K281" s="20" t="str">
        <f t="shared" si="52"/>
        <v/>
      </c>
      <c r="L281" s="24" t="str">
        <f t="shared" si="3"/>
        <v/>
      </c>
      <c r="M281" s="25">
        <f t="shared" si="53"/>
        <v>0</v>
      </c>
      <c r="N281" s="26">
        <f t="shared" si="54"/>
        <v>0</v>
      </c>
      <c r="O281" s="20" t="str">
        <f>IFERROR(Planejador!$I$197,"")</f>
        <v/>
      </c>
      <c r="P281" s="20" t="str">
        <f>Planejador!$I$189</f>
        <v/>
      </c>
      <c r="Q281" s="27">
        <f t="shared" si="55"/>
        <v>0</v>
      </c>
      <c r="R281" s="24" t="str">
        <f>Planejador!$I$191</f>
        <v/>
      </c>
      <c r="S281" s="16"/>
      <c r="T281" s="16"/>
      <c r="U281" s="16"/>
      <c r="V281" s="16"/>
      <c r="W281" s="16"/>
      <c r="X281" s="16"/>
      <c r="Y281" s="16"/>
      <c r="Z281" s="16"/>
    </row>
    <row r="282" ht="15.75" hidden="1" customHeight="1" outlineLevel="1">
      <c r="A282" s="17">
        <v>46294.0</v>
      </c>
      <c r="B282" s="18" t="str">
        <f t="shared" si="51"/>
        <v>terça-feira</v>
      </c>
      <c r="C282" s="19"/>
      <c r="D282" s="20">
        <f>SUMIF('ADV - GG'!A:A,A282,'ADV - GG'!C:C)+SUMIF('ADV - FB'!A:A,$A282,'ADV - FB'!E:E)</f>
        <v>0</v>
      </c>
      <c r="E282" s="21">
        <f>SUMIF('ADV - GG'!A:A,A282,'ADV - GG'!H:H)+SUMIF('ADV - FB'!A:A,$A282,'ADV - FB'!I:I)+SUMIF('ADV - FB'!A:A,$A282,'ADV - FB'!J:J)+SUMIF('ADV - FB'!A:A,$A282,'ADV - FB'!K:K)</f>
        <v>0</v>
      </c>
      <c r="F282" s="20" t="str">
        <f t="shared" si="2"/>
        <v/>
      </c>
      <c r="G282" s="22"/>
      <c r="H282" s="22"/>
      <c r="I282" s="23"/>
      <c r="J282" s="22">
        <f>SUMIF('ADV - GA4'!A:A,A282,'ADV - GA4'!C:C)</f>
        <v>0</v>
      </c>
      <c r="K282" s="20" t="str">
        <f t="shared" si="52"/>
        <v/>
      </c>
      <c r="L282" s="24" t="str">
        <f t="shared" si="3"/>
        <v/>
      </c>
      <c r="M282" s="25">
        <f t="shared" si="53"/>
        <v>0</v>
      </c>
      <c r="N282" s="26">
        <f t="shared" si="54"/>
        <v>0</v>
      </c>
      <c r="O282" s="20" t="str">
        <f>IFERROR(Planejador!$I$197,"")</f>
        <v/>
      </c>
      <c r="P282" s="20" t="str">
        <f>Planejador!$I$189</f>
        <v/>
      </c>
      <c r="Q282" s="27">
        <f t="shared" si="55"/>
        <v>0</v>
      </c>
      <c r="R282" s="24" t="str">
        <f>Planejador!$I$191</f>
        <v/>
      </c>
      <c r="S282" s="16"/>
      <c r="T282" s="16"/>
      <c r="U282" s="16"/>
      <c r="V282" s="16"/>
      <c r="W282" s="16"/>
      <c r="X282" s="16"/>
      <c r="Y282" s="16"/>
      <c r="Z282" s="16"/>
    </row>
    <row r="283" ht="15.75" hidden="1" customHeight="1" outlineLevel="1">
      <c r="A283" s="17">
        <v>46295.0</v>
      </c>
      <c r="B283" s="18" t="str">
        <f t="shared" si="51"/>
        <v>quarta-feira</v>
      </c>
      <c r="C283" s="19"/>
      <c r="D283" s="20">
        <f>SUMIF('ADV - GG'!A:A,A283,'ADV - GG'!C:C)+SUMIF('ADV - FB'!A:A,$A283,'ADV - FB'!E:E)</f>
        <v>0</v>
      </c>
      <c r="E283" s="21">
        <f>SUMIF('ADV - GG'!A:A,A283,'ADV - GG'!H:H)+SUMIF('ADV - FB'!A:A,$A283,'ADV - FB'!I:I)+SUMIF('ADV - FB'!A:A,$A283,'ADV - FB'!J:J)+SUMIF('ADV - FB'!A:A,$A283,'ADV - FB'!K:K)</f>
        <v>0</v>
      </c>
      <c r="F283" s="20" t="str">
        <f t="shared" si="2"/>
        <v/>
      </c>
      <c r="G283" s="22"/>
      <c r="H283" s="22"/>
      <c r="I283" s="23"/>
      <c r="J283" s="22">
        <f>SUMIF('ADV - GA4'!A:A,A283,'ADV - GA4'!C:C)</f>
        <v>0</v>
      </c>
      <c r="K283" s="20" t="str">
        <f t="shared" si="52"/>
        <v/>
      </c>
      <c r="L283" s="24" t="str">
        <f t="shared" si="3"/>
        <v/>
      </c>
      <c r="M283" s="25">
        <f t="shared" si="53"/>
        <v>0</v>
      </c>
      <c r="N283" s="26">
        <f t="shared" si="54"/>
        <v>0</v>
      </c>
      <c r="O283" s="20" t="str">
        <f>IFERROR(Planejador!$I$197,"")</f>
        <v/>
      </c>
      <c r="P283" s="20" t="str">
        <f>Planejador!$I$189</f>
        <v/>
      </c>
      <c r="Q283" s="27">
        <f t="shared" si="55"/>
        <v>0</v>
      </c>
      <c r="R283" s="24" t="str">
        <f>Planejador!$I$191</f>
        <v/>
      </c>
      <c r="S283" s="16"/>
      <c r="T283" s="16"/>
      <c r="U283" s="16"/>
      <c r="V283" s="16"/>
      <c r="W283" s="16"/>
      <c r="X283" s="16"/>
      <c r="Y283" s="16"/>
      <c r="Z283" s="16"/>
    </row>
    <row r="284" ht="22.5" customHeight="1" collapsed="1">
      <c r="A284" s="28" t="s">
        <v>34</v>
      </c>
      <c r="B284" s="29">
        <v>31.0</v>
      </c>
      <c r="C284" s="30"/>
      <c r="D284" s="10">
        <f>IFERROR(SUM(D285:D315),"")</f>
        <v>0</v>
      </c>
      <c r="E284" s="11">
        <f>iferror(SUM(E285:E315),"")</f>
        <v>0</v>
      </c>
      <c r="F284" s="14" t="str">
        <f t="shared" si="2"/>
        <v/>
      </c>
      <c r="G284" s="13">
        <f t="shared" ref="G284:I284" si="56">iferror(SUM(G285:G315),"")</f>
        <v>0</v>
      </c>
      <c r="H284" s="13">
        <f t="shared" si="56"/>
        <v>0</v>
      </c>
      <c r="I284" s="10">
        <f t="shared" si="56"/>
        <v>0</v>
      </c>
      <c r="J284" s="13">
        <f>IFERROR(SUM(J285:J315),"")</f>
        <v>0</v>
      </c>
      <c r="K284" s="14" t="str">
        <f>iferror(D284/J284,"")</f>
        <v/>
      </c>
      <c r="L284" s="15" t="str">
        <f t="shared" si="3"/>
        <v/>
      </c>
      <c r="M284" s="10" t="str">
        <f>Planejador!$I$211</f>
        <v/>
      </c>
      <c r="N284" s="13" t="str">
        <f>iferror(Planejador!$I$218,"")</f>
        <v/>
      </c>
      <c r="O284" s="14" t="str">
        <f>iferror(Planejador!$I$220,"")</f>
        <v/>
      </c>
      <c r="P284" s="14" t="str">
        <f>iferror(Planejador!$I$212,"")</f>
        <v/>
      </c>
      <c r="Q284" s="13" t="str">
        <f>iferror(Planejador!$I$217,"")</f>
        <v/>
      </c>
      <c r="R284" s="15" t="str">
        <f>Iferror(Planejador!$I$214,"")</f>
        <v/>
      </c>
      <c r="S284" s="31"/>
      <c r="T284" s="31"/>
      <c r="U284" s="31"/>
      <c r="V284" s="31"/>
      <c r="W284" s="31"/>
      <c r="X284" s="31"/>
      <c r="Y284" s="31"/>
      <c r="Z284" s="31"/>
    </row>
    <row r="285" ht="15.75" hidden="1" customHeight="1" outlineLevel="1">
      <c r="A285" s="17">
        <v>46296.0</v>
      </c>
      <c r="B285" s="18" t="str">
        <f t="shared" ref="B285:B315" si="57">TEXT(A285,"dddd")</f>
        <v>quinta-feira</v>
      </c>
      <c r="C285" s="19"/>
      <c r="D285" s="20">
        <f>SUMIF('ADV - GG'!A:A,A285,'ADV - GG'!C:C)+SUMIF('ADV - FB'!A:A,$A285,'ADV - FB'!E:E)</f>
        <v>0</v>
      </c>
      <c r="E285" s="21">
        <f>SUMIF('ADV - GG'!A:A,A285,'ADV - GG'!H:H)+SUMIF('ADV - FB'!A:A,$A285,'ADV - FB'!I:I)+SUMIF('ADV - FB'!A:A,$A285,'ADV - FB'!J:J)+SUMIF('ADV - FB'!A:A,$A285,'ADV - FB'!K:K)</f>
        <v>0</v>
      </c>
      <c r="F285" s="20" t="str">
        <f t="shared" si="2"/>
        <v/>
      </c>
      <c r="G285" s="22"/>
      <c r="H285" s="22"/>
      <c r="I285" s="23"/>
      <c r="J285" s="22">
        <f>SUMIF('ADV - GA4'!A:A,A285,'ADV - GA4'!C:C)</f>
        <v>0</v>
      </c>
      <c r="K285" s="20" t="str">
        <f t="shared" ref="K285:K315" si="58">IFERROR(D285/J285,"")</f>
        <v/>
      </c>
      <c r="L285" s="24" t="str">
        <f t="shared" si="3"/>
        <v/>
      </c>
      <c r="M285" s="25">
        <f t="shared" ref="M285:M315" si="59">$M$284/$B$284</f>
        <v>0</v>
      </c>
      <c r="N285" s="26">
        <f t="shared" ref="N285:N315" si="60">iferror($N$284/$B$284,"")</f>
        <v>0</v>
      </c>
      <c r="O285" s="20" t="str">
        <f>IFERROR(Planejador!$I$220,"")</f>
        <v/>
      </c>
      <c r="P285" s="20" t="str">
        <f>Planejador!$I$212</f>
        <v/>
      </c>
      <c r="Q285" s="27">
        <f t="shared" ref="Q285:Q315" si="61">$Q$284/$B$284</f>
        <v>0</v>
      </c>
      <c r="R285" s="24" t="str">
        <f>Planejador!$I$214</f>
        <v/>
      </c>
      <c r="S285" s="16"/>
      <c r="T285" s="16"/>
      <c r="U285" s="16"/>
      <c r="V285" s="16"/>
      <c r="W285" s="16"/>
      <c r="X285" s="16"/>
      <c r="Y285" s="16"/>
      <c r="Z285" s="16"/>
    </row>
    <row r="286" ht="15.75" hidden="1" customHeight="1" outlineLevel="1">
      <c r="A286" s="17">
        <v>46297.0</v>
      </c>
      <c r="B286" s="18" t="str">
        <f t="shared" si="57"/>
        <v>sexta-feira</v>
      </c>
      <c r="C286" s="19"/>
      <c r="D286" s="20">
        <f>SUMIF('ADV - GG'!A:A,A286,'ADV - GG'!C:C)+SUMIF('ADV - FB'!A:A,$A286,'ADV - FB'!E:E)</f>
        <v>0</v>
      </c>
      <c r="E286" s="21">
        <f>SUMIF('ADV - GG'!A:A,A286,'ADV - GG'!H:H)+SUMIF('ADV - FB'!A:A,$A286,'ADV - FB'!I:I)+SUMIF('ADV - FB'!A:A,$A286,'ADV - FB'!J:J)+SUMIF('ADV - FB'!A:A,$A286,'ADV - FB'!K:K)</f>
        <v>0</v>
      </c>
      <c r="F286" s="20" t="str">
        <f t="shared" si="2"/>
        <v/>
      </c>
      <c r="G286" s="22"/>
      <c r="H286" s="22"/>
      <c r="I286" s="23"/>
      <c r="J286" s="22">
        <f>SUMIF('ADV - GA4'!A:A,A286,'ADV - GA4'!C:C)</f>
        <v>0</v>
      </c>
      <c r="K286" s="20" t="str">
        <f t="shared" si="58"/>
        <v/>
      </c>
      <c r="L286" s="24" t="str">
        <f t="shared" si="3"/>
        <v/>
      </c>
      <c r="M286" s="25">
        <f t="shared" si="59"/>
        <v>0</v>
      </c>
      <c r="N286" s="26">
        <f t="shared" si="60"/>
        <v>0</v>
      </c>
      <c r="O286" s="20" t="str">
        <f>IFERROR(Planejador!$I$220,"")</f>
        <v/>
      </c>
      <c r="P286" s="20" t="str">
        <f>Planejador!$I$212</f>
        <v/>
      </c>
      <c r="Q286" s="27">
        <f t="shared" si="61"/>
        <v>0</v>
      </c>
      <c r="R286" s="24" t="str">
        <f>Planejador!$I$214</f>
        <v/>
      </c>
      <c r="S286" s="16"/>
      <c r="T286" s="16"/>
      <c r="U286" s="16"/>
      <c r="V286" s="16"/>
      <c r="W286" s="16"/>
      <c r="X286" s="16"/>
      <c r="Y286" s="16"/>
      <c r="Z286" s="16"/>
    </row>
    <row r="287" ht="15.75" hidden="1" customHeight="1" outlineLevel="1">
      <c r="A287" s="17">
        <v>46298.0</v>
      </c>
      <c r="B287" s="18" t="str">
        <f t="shared" si="57"/>
        <v>sábado</v>
      </c>
      <c r="C287" s="19"/>
      <c r="D287" s="20">
        <f>SUMIF('ADV - GG'!A:A,A287,'ADV - GG'!C:C)+SUMIF('ADV - FB'!A:A,$A287,'ADV - FB'!E:E)</f>
        <v>0</v>
      </c>
      <c r="E287" s="21">
        <f>SUMIF('ADV - GG'!A:A,A287,'ADV - GG'!H:H)+SUMIF('ADV - FB'!A:A,$A287,'ADV - FB'!I:I)+SUMIF('ADV - FB'!A:A,$A287,'ADV - FB'!J:J)+SUMIF('ADV - FB'!A:A,$A287,'ADV - FB'!K:K)</f>
        <v>0</v>
      </c>
      <c r="F287" s="20" t="str">
        <f t="shared" si="2"/>
        <v/>
      </c>
      <c r="G287" s="22"/>
      <c r="H287" s="22"/>
      <c r="I287" s="23"/>
      <c r="J287" s="22">
        <f>SUMIF('ADV - GA4'!A:A,A287,'ADV - GA4'!C:C)</f>
        <v>0</v>
      </c>
      <c r="K287" s="20" t="str">
        <f t="shared" si="58"/>
        <v/>
      </c>
      <c r="L287" s="24" t="str">
        <f t="shared" si="3"/>
        <v/>
      </c>
      <c r="M287" s="25">
        <f t="shared" si="59"/>
        <v>0</v>
      </c>
      <c r="N287" s="26">
        <f t="shared" si="60"/>
        <v>0</v>
      </c>
      <c r="O287" s="20" t="str">
        <f>IFERROR(Planejador!$I$220,"")</f>
        <v/>
      </c>
      <c r="P287" s="20" t="str">
        <f>Planejador!$I$212</f>
        <v/>
      </c>
      <c r="Q287" s="27">
        <f t="shared" si="61"/>
        <v>0</v>
      </c>
      <c r="R287" s="24" t="str">
        <f>Planejador!$I$214</f>
        <v/>
      </c>
      <c r="S287" s="16"/>
      <c r="T287" s="16"/>
      <c r="U287" s="16"/>
      <c r="V287" s="16"/>
      <c r="W287" s="16"/>
      <c r="X287" s="16"/>
      <c r="Y287" s="16"/>
      <c r="Z287" s="16"/>
    </row>
    <row r="288" ht="15.75" hidden="1" customHeight="1" outlineLevel="1">
      <c r="A288" s="17">
        <v>46299.0</v>
      </c>
      <c r="B288" s="18" t="str">
        <f t="shared" si="57"/>
        <v>domingo</v>
      </c>
      <c r="C288" s="19"/>
      <c r="D288" s="20">
        <f>SUMIF('ADV - GG'!A:A,A288,'ADV - GG'!C:C)+SUMIF('ADV - FB'!A:A,$A288,'ADV - FB'!E:E)</f>
        <v>0</v>
      </c>
      <c r="E288" s="21">
        <f>SUMIF('ADV - GG'!A:A,A288,'ADV - GG'!H:H)+SUMIF('ADV - FB'!A:A,$A288,'ADV - FB'!I:I)+SUMIF('ADV - FB'!A:A,$A288,'ADV - FB'!J:J)+SUMIF('ADV - FB'!A:A,$A288,'ADV - FB'!K:K)</f>
        <v>0</v>
      </c>
      <c r="F288" s="20" t="str">
        <f t="shared" si="2"/>
        <v/>
      </c>
      <c r="G288" s="22"/>
      <c r="H288" s="22"/>
      <c r="I288" s="23"/>
      <c r="J288" s="22">
        <f>SUMIF('ADV - GA4'!A:A,A288,'ADV - GA4'!C:C)</f>
        <v>0</v>
      </c>
      <c r="K288" s="20" t="str">
        <f t="shared" si="58"/>
        <v/>
      </c>
      <c r="L288" s="24" t="str">
        <f t="shared" si="3"/>
        <v/>
      </c>
      <c r="M288" s="25">
        <f t="shared" si="59"/>
        <v>0</v>
      </c>
      <c r="N288" s="26">
        <f t="shared" si="60"/>
        <v>0</v>
      </c>
      <c r="O288" s="20" t="str">
        <f>IFERROR(Planejador!$I$220,"")</f>
        <v/>
      </c>
      <c r="P288" s="20" t="str">
        <f>Planejador!$I$212</f>
        <v/>
      </c>
      <c r="Q288" s="27">
        <f t="shared" si="61"/>
        <v>0</v>
      </c>
      <c r="R288" s="24" t="str">
        <f>Planejador!$I$214</f>
        <v/>
      </c>
      <c r="S288" s="16"/>
      <c r="T288" s="16"/>
      <c r="U288" s="16"/>
      <c r="V288" s="16"/>
      <c r="W288" s="16"/>
      <c r="X288" s="16"/>
      <c r="Y288" s="16"/>
      <c r="Z288" s="16"/>
    </row>
    <row r="289" ht="15.75" hidden="1" customHeight="1" outlineLevel="1">
      <c r="A289" s="17">
        <v>46300.0</v>
      </c>
      <c r="B289" s="18" t="str">
        <f t="shared" si="57"/>
        <v>segunda-feira</v>
      </c>
      <c r="C289" s="19"/>
      <c r="D289" s="20">
        <f>SUMIF('ADV - GG'!A:A,A289,'ADV - GG'!C:C)+SUMIF('ADV - FB'!A:A,$A289,'ADV - FB'!E:E)</f>
        <v>0</v>
      </c>
      <c r="E289" s="21">
        <f>SUMIF('ADV - GG'!A:A,A289,'ADV - GG'!H:H)+SUMIF('ADV - FB'!A:A,$A289,'ADV - FB'!I:I)+SUMIF('ADV - FB'!A:A,$A289,'ADV - FB'!J:J)+SUMIF('ADV - FB'!A:A,$A289,'ADV - FB'!K:K)</f>
        <v>0</v>
      </c>
      <c r="F289" s="20" t="str">
        <f t="shared" si="2"/>
        <v/>
      </c>
      <c r="G289" s="22"/>
      <c r="H289" s="22"/>
      <c r="I289" s="23"/>
      <c r="J289" s="22">
        <f>SUMIF('ADV - GA4'!A:A,A289,'ADV - GA4'!C:C)</f>
        <v>0</v>
      </c>
      <c r="K289" s="20" t="str">
        <f t="shared" si="58"/>
        <v/>
      </c>
      <c r="L289" s="24" t="str">
        <f t="shared" si="3"/>
        <v/>
      </c>
      <c r="M289" s="25">
        <f t="shared" si="59"/>
        <v>0</v>
      </c>
      <c r="N289" s="26">
        <f t="shared" si="60"/>
        <v>0</v>
      </c>
      <c r="O289" s="20" t="str">
        <f>IFERROR(Planejador!$I$220,"")</f>
        <v/>
      </c>
      <c r="P289" s="20" t="str">
        <f>Planejador!$I$212</f>
        <v/>
      </c>
      <c r="Q289" s="27">
        <f t="shared" si="61"/>
        <v>0</v>
      </c>
      <c r="R289" s="24" t="str">
        <f>Planejador!$I$214</f>
        <v/>
      </c>
      <c r="S289" s="16"/>
      <c r="T289" s="16"/>
      <c r="U289" s="16"/>
      <c r="V289" s="16"/>
      <c r="W289" s="16"/>
      <c r="X289" s="16"/>
      <c r="Y289" s="16"/>
      <c r="Z289" s="16"/>
    </row>
    <row r="290" ht="15.75" hidden="1" customHeight="1" outlineLevel="1">
      <c r="A290" s="17">
        <v>46301.0</v>
      </c>
      <c r="B290" s="18" t="str">
        <f t="shared" si="57"/>
        <v>terça-feira</v>
      </c>
      <c r="C290" s="19"/>
      <c r="D290" s="20">
        <f>SUMIF('ADV - GG'!A:A,A290,'ADV - GG'!C:C)+SUMIF('ADV - FB'!A:A,$A290,'ADV - FB'!E:E)</f>
        <v>0</v>
      </c>
      <c r="E290" s="21">
        <f>SUMIF('ADV - GG'!A:A,A290,'ADV - GG'!H:H)+SUMIF('ADV - FB'!A:A,$A290,'ADV - FB'!I:I)+SUMIF('ADV - FB'!A:A,$A290,'ADV - FB'!J:J)+SUMIF('ADV - FB'!A:A,$A290,'ADV - FB'!K:K)</f>
        <v>0</v>
      </c>
      <c r="F290" s="20" t="str">
        <f t="shared" si="2"/>
        <v/>
      </c>
      <c r="G290" s="22"/>
      <c r="H290" s="22"/>
      <c r="I290" s="23"/>
      <c r="J290" s="22">
        <f>SUMIF('ADV - GA4'!A:A,A290,'ADV - GA4'!C:C)</f>
        <v>0</v>
      </c>
      <c r="K290" s="20" t="str">
        <f t="shared" si="58"/>
        <v/>
      </c>
      <c r="L290" s="24" t="str">
        <f t="shared" si="3"/>
        <v/>
      </c>
      <c r="M290" s="25">
        <f t="shared" si="59"/>
        <v>0</v>
      </c>
      <c r="N290" s="26">
        <f t="shared" si="60"/>
        <v>0</v>
      </c>
      <c r="O290" s="20" t="str">
        <f>IFERROR(Planejador!$I$220,"")</f>
        <v/>
      </c>
      <c r="P290" s="20" t="str">
        <f>Planejador!$I$212</f>
        <v/>
      </c>
      <c r="Q290" s="27">
        <f t="shared" si="61"/>
        <v>0</v>
      </c>
      <c r="R290" s="24" t="str">
        <f>Planejador!$I$214</f>
        <v/>
      </c>
      <c r="S290" s="16"/>
      <c r="T290" s="16"/>
      <c r="U290" s="16"/>
      <c r="V290" s="16"/>
      <c r="W290" s="16"/>
      <c r="X290" s="16"/>
      <c r="Y290" s="16"/>
      <c r="Z290" s="16"/>
    </row>
    <row r="291" ht="15.75" hidden="1" customHeight="1" outlineLevel="1">
      <c r="A291" s="17">
        <v>46302.0</v>
      </c>
      <c r="B291" s="18" t="str">
        <f t="shared" si="57"/>
        <v>quarta-feira</v>
      </c>
      <c r="C291" s="19"/>
      <c r="D291" s="20">
        <f>SUMIF('ADV - GG'!A:A,A291,'ADV - GG'!C:C)+SUMIF('ADV - FB'!A:A,$A291,'ADV - FB'!E:E)</f>
        <v>0</v>
      </c>
      <c r="E291" s="21">
        <f>SUMIF('ADV - GG'!A:A,A291,'ADV - GG'!H:H)+SUMIF('ADV - FB'!A:A,$A291,'ADV - FB'!I:I)+SUMIF('ADV - FB'!A:A,$A291,'ADV - FB'!J:J)+SUMIF('ADV - FB'!A:A,$A291,'ADV - FB'!K:K)</f>
        <v>0</v>
      </c>
      <c r="F291" s="20" t="str">
        <f t="shared" si="2"/>
        <v/>
      </c>
      <c r="G291" s="22"/>
      <c r="H291" s="22"/>
      <c r="I291" s="23"/>
      <c r="J291" s="22">
        <f>SUMIF('ADV - GA4'!A:A,A291,'ADV - GA4'!C:C)</f>
        <v>0</v>
      </c>
      <c r="K291" s="20" t="str">
        <f t="shared" si="58"/>
        <v/>
      </c>
      <c r="L291" s="24" t="str">
        <f t="shared" si="3"/>
        <v/>
      </c>
      <c r="M291" s="25">
        <f t="shared" si="59"/>
        <v>0</v>
      </c>
      <c r="N291" s="26">
        <f t="shared" si="60"/>
        <v>0</v>
      </c>
      <c r="O291" s="20" t="str">
        <f>IFERROR(Planejador!$I$220,"")</f>
        <v/>
      </c>
      <c r="P291" s="20" t="str">
        <f>Planejador!$I$212</f>
        <v/>
      </c>
      <c r="Q291" s="27">
        <f t="shared" si="61"/>
        <v>0</v>
      </c>
      <c r="R291" s="24" t="str">
        <f>Planejador!$I$214</f>
        <v/>
      </c>
      <c r="S291" s="16"/>
      <c r="T291" s="16"/>
      <c r="U291" s="16"/>
      <c r="V291" s="16"/>
      <c r="W291" s="16"/>
      <c r="X291" s="16"/>
      <c r="Y291" s="16"/>
      <c r="Z291" s="16"/>
    </row>
    <row r="292" ht="15.75" hidden="1" customHeight="1" outlineLevel="1">
      <c r="A292" s="17">
        <v>46303.0</v>
      </c>
      <c r="B292" s="18" t="str">
        <f t="shared" si="57"/>
        <v>quinta-feira</v>
      </c>
      <c r="C292" s="19"/>
      <c r="D292" s="20">
        <f>SUMIF('ADV - GG'!A:A,A292,'ADV - GG'!C:C)+SUMIF('ADV - FB'!A:A,$A292,'ADV - FB'!E:E)</f>
        <v>0</v>
      </c>
      <c r="E292" s="21">
        <f>SUMIF('ADV - GG'!A:A,A292,'ADV - GG'!H:H)+SUMIF('ADV - FB'!A:A,$A292,'ADV - FB'!I:I)+SUMIF('ADV - FB'!A:A,$A292,'ADV - FB'!J:J)+SUMIF('ADV - FB'!A:A,$A292,'ADV - FB'!K:K)</f>
        <v>0</v>
      </c>
      <c r="F292" s="20" t="str">
        <f t="shared" si="2"/>
        <v/>
      </c>
      <c r="G292" s="22"/>
      <c r="H292" s="22"/>
      <c r="I292" s="23"/>
      <c r="J292" s="22">
        <f>SUMIF('ADV - GA4'!A:A,A292,'ADV - GA4'!C:C)</f>
        <v>0</v>
      </c>
      <c r="K292" s="20" t="str">
        <f t="shared" si="58"/>
        <v/>
      </c>
      <c r="L292" s="24" t="str">
        <f t="shared" si="3"/>
        <v/>
      </c>
      <c r="M292" s="25">
        <f t="shared" si="59"/>
        <v>0</v>
      </c>
      <c r="N292" s="26">
        <f t="shared" si="60"/>
        <v>0</v>
      </c>
      <c r="O292" s="20" t="str">
        <f>IFERROR(Planejador!$I$220,"")</f>
        <v/>
      </c>
      <c r="P292" s="20" t="str">
        <f>Planejador!$I$212</f>
        <v/>
      </c>
      <c r="Q292" s="27">
        <f t="shared" si="61"/>
        <v>0</v>
      </c>
      <c r="R292" s="24" t="str">
        <f>Planejador!$I$214</f>
        <v/>
      </c>
      <c r="S292" s="16"/>
      <c r="T292" s="16"/>
      <c r="U292" s="16"/>
      <c r="V292" s="16"/>
      <c r="W292" s="16"/>
      <c r="X292" s="16"/>
      <c r="Y292" s="16"/>
      <c r="Z292" s="16"/>
    </row>
    <row r="293" ht="15.75" hidden="1" customHeight="1" outlineLevel="1">
      <c r="A293" s="17">
        <v>46304.0</v>
      </c>
      <c r="B293" s="18" t="str">
        <f t="shared" si="57"/>
        <v>sexta-feira</v>
      </c>
      <c r="C293" s="19"/>
      <c r="D293" s="20">
        <f>SUMIF('ADV - GG'!A:A,A293,'ADV - GG'!C:C)+SUMIF('ADV - FB'!A:A,$A293,'ADV - FB'!E:E)</f>
        <v>0</v>
      </c>
      <c r="E293" s="21">
        <f>SUMIF('ADV - GG'!A:A,A293,'ADV - GG'!H:H)+SUMIF('ADV - FB'!A:A,$A293,'ADV - FB'!I:I)+SUMIF('ADV - FB'!A:A,$A293,'ADV - FB'!J:J)+SUMIF('ADV - FB'!A:A,$A293,'ADV - FB'!K:K)</f>
        <v>0</v>
      </c>
      <c r="F293" s="20" t="str">
        <f t="shared" si="2"/>
        <v/>
      </c>
      <c r="G293" s="22"/>
      <c r="H293" s="22"/>
      <c r="I293" s="23"/>
      <c r="J293" s="22">
        <f>SUMIF('ADV - GA4'!A:A,A293,'ADV - GA4'!C:C)</f>
        <v>0</v>
      </c>
      <c r="K293" s="20" t="str">
        <f t="shared" si="58"/>
        <v/>
      </c>
      <c r="L293" s="24" t="str">
        <f t="shared" si="3"/>
        <v/>
      </c>
      <c r="M293" s="25">
        <f t="shared" si="59"/>
        <v>0</v>
      </c>
      <c r="N293" s="26">
        <f t="shared" si="60"/>
        <v>0</v>
      </c>
      <c r="O293" s="20" t="str">
        <f>IFERROR(Planejador!$I$220,"")</f>
        <v/>
      </c>
      <c r="P293" s="20" t="str">
        <f>Planejador!$I$212</f>
        <v/>
      </c>
      <c r="Q293" s="27">
        <f t="shared" si="61"/>
        <v>0</v>
      </c>
      <c r="R293" s="24" t="str">
        <f>Planejador!$I$214</f>
        <v/>
      </c>
      <c r="S293" s="16"/>
      <c r="T293" s="16"/>
      <c r="U293" s="16"/>
      <c r="V293" s="16"/>
      <c r="W293" s="16"/>
      <c r="X293" s="16"/>
      <c r="Y293" s="16"/>
      <c r="Z293" s="16"/>
    </row>
    <row r="294" ht="15.75" hidden="1" customHeight="1" outlineLevel="1">
      <c r="A294" s="17">
        <v>46305.0</v>
      </c>
      <c r="B294" s="18" t="str">
        <f t="shared" si="57"/>
        <v>sábado</v>
      </c>
      <c r="C294" s="19"/>
      <c r="D294" s="20">
        <f>SUMIF('ADV - GG'!A:A,A294,'ADV - GG'!C:C)+SUMIF('ADV - FB'!A:A,$A294,'ADV - FB'!E:E)</f>
        <v>0</v>
      </c>
      <c r="E294" s="21">
        <f>SUMIF('ADV - GG'!A:A,A294,'ADV - GG'!H:H)+SUMIF('ADV - FB'!A:A,$A294,'ADV - FB'!I:I)+SUMIF('ADV - FB'!A:A,$A294,'ADV - FB'!J:J)+SUMIF('ADV - FB'!A:A,$A294,'ADV - FB'!K:K)</f>
        <v>0</v>
      </c>
      <c r="F294" s="20" t="str">
        <f t="shared" si="2"/>
        <v/>
      </c>
      <c r="G294" s="22"/>
      <c r="H294" s="22"/>
      <c r="I294" s="23"/>
      <c r="J294" s="22">
        <f>SUMIF('ADV - GA4'!A:A,A294,'ADV - GA4'!C:C)</f>
        <v>0</v>
      </c>
      <c r="K294" s="20" t="str">
        <f t="shared" si="58"/>
        <v/>
      </c>
      <c r="L294" s="24" t="str">
        <f t="shared" si="3"/>
        <v/>
      </c>
      <c r="M294" s="25">
        <f t="shared" si="59"/>
        <v>0</v>
      </c>
      <c r="N294" s="26">
        <f t="shared" si="60"/>
        <v>0</v>
      </c>
      <c r="O294" s="20" t="str">
        <f>IFERROR(Planejador!$I$220,"")</f>
        <v/>
      </c>
      <c r="P294" s="20" t="str">
        <f>Planejador!$I$212</f>
        <v/>
      </c>
      <c r="Q294" s="27">
        <f t="shared" si="61"/>
        <v>0</v>
      </c>
      <c r="R294" s="24" t="str">
        <f>Planejador!$I$214</f>
        <v/>
      </c>
      <c r="S294" s="16"/>
      <c r="T294" s="16"/>
      <c r="U294" s="16"/>
      <c r="V294" s="16"/>
      <c r="W294" s="16"/>
      <c r="X294" s="16"/>
      <c r="Y294" s="16"/>
      <c r="Z294" s="16"/>
    </row>
    <row r="295" ht="15.75" hidden="1" customHeight="1" outlineLevel="1">
      <c r="A295" s="17">
        <v>46306.0</v>
      </c>
      <c r="B295" s="18" t="str">
        <f t="shared" si="57"/>
        <v>domingo</v>
      </c>
      <c r="C295" s="19"/>
      <c r="D295" s="20">
        <f>SUMIF('ADV - GG'!A:A,A295,'ADV - GG'!C:C)+SUMIF('ADV - FB'!A:A,$A295,'ADV - FB'!E:E)</f>
        <v>0</v>
      </c>
      <c r="E295" s="21">
        <f>SUMIF('ADV - GG'!A:A,A295,'ADV - GG'!H:H)+SUMIF('ADV - FB'!A:A,$A295,'ADV - FB'!I:I)+SUMIF('ADV - FB'!A:A,$A295,'ADV - FB'!J:J)+SUMIF('ADV - FB'!A:A,$A295,'ADV - FB'!K:K)</f>
        <v>0</v>
      </c>
      <c r="F295" s="20" t="str">
        <f t="shared" si="2"/>
        <v/>
      </c>
      <c r="G295" s="22"/>
      <c r="H295" s="22"/>
      <c r="I295" s="23"/>
      <c r="J295" s="22">
        <f>SUMIF('ADV - GA4'!A:A,A295,'ADV - GA4'!C:C)</f>
        <v>0</v>
      </c>
      <c r="K295" s="20" t="str">
        <f t="shared" si="58"/>
        <v/>
      </c>
      <c r="L295" s="24" t="str">
        <f t="shared" si="3"/>
        <v/>
      </c>
      <c r="M295" s="25">
        <f t="shared" si="59"/>
        <v>0</v>
      </c>
      <c r="N295" s="26">
        <f t="shared" si="60"/>
        <v>0</v>
      </c>
      <c r="O295" s="20" t="str">
        <f>IFERROR(Planejador!$I$220,"")</f>
        <v/>
      </c>
      <c r="P295" s="20" t="str">
        <f>Planejador!$I$212</f>
        <v/>
      </c>
      <c r="Q295" s="27">
        <f t="shared" si="61"/>
        <v>0</v>
      </c>
      <c r="R295" s="24" t="str">
        <f>Planejador!$I$214</f>
        <v/>
      </c>
      <c r="S295" s="16"/>
      <c r="T295" s="16"/>
      <c r="U295" s="16"/>
      <c r="V295" s="16"/>
      <c r="W295" s="16"/>
      <c r="X295" s="16"/>
      <c r="Y295" s="16"/>
      <c r="Z295" s="16"/>
    </row>
    <row r="296" ht="15.75" hidden="1" customHeight="1" outlineLevel="1">
      <c r="A296" s="17">
        <v>46307.0</v>
      </c>
      <c r="B296" s="18" t="str">
        <f t="shared" si="57"/>
        <v>segunda-feira</v>
      </c>
      <c r="C296" s="19"/>
      <c r="D296" s="20">
        <f>SUMIF('ADV - GG'!A:A,A296,'ADV - GG'!C:C)+SUMIF('ADV - FB'!A:A,$A296,'ADV - FB'!E:E)</f>
        <v>0</v>
      </c>
      <c r="E296" s="21">
        <f>SUMIF('ADV - GG'!A:A,A296,'ADV - GG'!H:H)+SUMIF('ADV - FB'!A:A,$A296,'ADV - FB'!I:I)+SUMIF('ADV - FB'!A:A,$A296,'ADV - FB'!J:J)+SUMIF('ADV - FB'!A:A,$A296,'ADV - FB'!K:K)</f>
        <v>0</v>
      </c>
      <c r="F296" s="20" t="str">
        <f t="shared" si="2"/>
        <v/>
      </c>
      <c r="G296" s="22"/>
      <c r="H296" s="22"/>
      <c r="I296" s="23"/>
      <c r="J296" s="22">
        <f>SUMIF('ADV - GA4'!A:A,A296,'ADV - GA4'!C:C)</f>
        <v>0</v>
      </c>
      <c r="K296" s="20" t="str">
        <f t="shared" si="58"/>
        <v/>
      </c>
      <c r="L296" s="24" t="str">
        <f t="shared" si="3"/>
        <v/>
      </c>
      <c r="M296" s="25">
        <f t="shared" si="59"/>
        <v>0</v>
      </c>
      <c r="N296" s="26">
        <f t="shared" si="60"/>
        <v>0</v>
      </c>
      <c r="O296" s="20" t="str">
        <f>IFERROR(Planejador!$I$220,"")</f>
        <v/>
      </c>
      <c r="P296" s="20" t="str">
        <f>Planejador!$I$212</f>
        <v/>
      </c>
      <c r="Q296" s="27">
        <f t="shared" si="61"/>
        <v>0</v>
      </c>
      <c r="R296" s="24" t="str">
        <f>Planejador!$I$214</f>
        <v/>
      </c>
      <c r="S296" s="16"/>
      <c r="T296" s="16"/>
      <c r="U296" s="16"/>
      <c r="V296" s="16"/>
      <c r="W296" s="16"/>
      <c r="X296" s="16"/>
      <c r="Y296" s="16"/>
      <c r="Z296" s="16"/>
    </row>
    <row r="297" ht="15.75" hidden="1" customHeight="1" outlineLevel="1">
      <c r="A297" s="17">
        <v>46308.0</v>
      </c>
      <c r="B297" s="18" t="str">
        <f t="shared" si="57"/>
        <v>terça-feira</v>
      </c>
      <c r="C297" s="19"/>
      <c r="D297" s="20">
        <f>SUMIF('ADV - GG'!A:A,A297,'ADV - GG'!C:C)+SUMIF('ADV - FB'!A:A,$A297,'ADV - FB'!E:E)</f>
        <v>0</v>
      </c>
      <c r="E297" s="21">
        <f>SUMIF('ADV - GG'!A:A,A297,'ADV - GG'!H:H)+SUMIF('ADV - FB'!A:A,$A297,'ADV - FB'!I:I)+SUMIF('ADV - FB'!A:A,$A297,'ADV - FB'!J:J)+SUMIF('ADV - FB'!A:A,$A297,'ADV - FB'!K:K)</f>
        <v>0</v>
      </c>
      <c r="F297" s="20" t="str">
        <f t="shared" si="2"/>
        <v/>
      </c>
      <c r="G297" s="22"/>
      <c r="H297" s="22"/>
      <c r="I297" s="23"/>
      <c r="J297" s="22">
        <f>SUMIF('ADV - GA4'!A:A,A297,'ADV - GA4'!C:C)</f>
        <v>0</v>
      </c>
      <c r="K297" s="20" t="str">
        <f t="shared" si="58"/>
        <v/>
      </c>
      <c r="L297" s="24" t="str">
        <f t="shared" si="3"/>
        <v/>
      </c>
      <c r="M297" s="25">
        <f t="shared" si="59"/>
        <v>0</v>
      </c>
      <c r="N297" s="26">
        <f t="shared" si="60"/>
        <v>0</v>
      </c>
      <c r="O297" s="20" t="str">
        <f>IFERROR(Planejador!$I$220,"")</f>
        <v/>
      </c>
      <c r="P297" s="20" t="str">
        <f>Planejador!$I$212</f>
        <v/>
      </c>
      <c r="Q297" s="27">
        <f t="shared" si="61"/>
        <v>0</v>
      </c>
      <c r="R297" s="24" t="str">
        <f>Planejador!$I$214</f>
        <v/>
      </c>
      <c r="S297" s="16"/>
      <c r="T297" s="16"/>
      <c r="U297" s="16"/>
      <c r="V297" s="16"/>
      <c r="W297" s="16"/>
      <c r="X297" s="16"/>
      <c r="Y297" s="16"/>
      <c r="Z297" s="16"/>
    </row>
    <row r="298" ht="15.75" hidden="1" customHeight="1" outlineLevel="1">
      <c r="A298" s="17">
        <v>46309.0</v>
      </c>
      <c r="B298" s="18" t="str">
        <f t="shared" si="57"/>
        <v>quarta-feira</v>
      </c>
      <c r="C298" s="19"/>
      <c r="D298" s="20">
        <f>SUMIF('ADV - GG'!A:A,A298,'ADV - GG'!C:C)+SUMIF('ADV - FB'!A:A,$A298,'ADV - FB'!E:E)</f>
        <v>0</v>
      </c>
      <c r="E298" s="21">
        <f>SUMIF('ADV - GG'!A:A,A298,'ADV - GG'!H:H)+SUMIF('ADV - FB'!A:A,$A298,'ADV - FB'!I:I)+SUMIF('ADV - FB'!A:A,$A298,'ADV - FB'!J:J)+SUMIF('ADV - FB'!A:A,$A298,'ADV - FB'!K:K)</f>
        <v>0</v>
      </c>
      <c r="F298" s="20" t="str">
        <f t="shared" si="2"/>
        <v/>
      </c>
      <c r="G298" s="22"/>
      <c r="H298" s="22"/>
      <c r="I298" s="23"/>
      <c r="J298" s="22">
        <f>SUMIF('ADV - GA4'!A:A,A298,'ADV - GA4'!C:C)</f>
        <v>0</v>
      </c>
      <c r="K298" s="20" t="str">
        <f t="shared" si="58"/>
        <v/>
      </c>
      <c r="L298" s="24" t="str">
        <f t="shared" si="3"/>
        <v/>
      </c>
      <c r="M298" s="25">
        <f t="shared" si="59"/>
        <v>0</v>
      </c>
      <c r="N298" s="26">
        <f t="shared" si="60"/>
        <v>0</v>
      </c>
      <c r="O298" s="20" t="str">
        <f>IFERROR(Planejador!$I$220,"")</f>
        <v/>
      </c>
      <c r="P298" s="20" t="str">
        <f>Planejador!$I$212</f>
        <v/>
      </c>
      <c r="Q298" s="27">
        <f t="shared" si="61"/>
        <v>0</v>
      </c>
      <c r="R298" s="24" t="str">
        <f>Planejador!$I$214</f>
        <v/>
      </c>
      <c r="S298" s="16"/>
      <c r="T298" s="16"/>
      <c r="U298" s="16"/>
      <c r="V298" s="16"/>
      <c r="W298" s="16"/>
      <c r="X298" s="16"/>
      <c r="Y298" s="16"/>
      <c r="Z298" s="16"/>
    </row>
    <row r="299" ht="15.75" hidden="1" customHeight="1" outlineLevel="1">
      <c r="A299" s="17">
        <v>46310.0</v>
      </c>
      <c r="B299" s="18" t="str">
        <f t="shared" si="57"/>
        <v>quinta-feira</v>
      </c>
      <c r="C299" s="19"/>
      <c r="D299" s="20">
        <f>SUMIF('ADV - GG'!A:A,A299,'ADV - GG'!C:C)+SUMIF('ADV - FB'!A:A,$A299,'ADV - FB'!E:E)</f>
        <v>0</v>
      </c>
      <c r="E299" s="21">
        <f>SUMIF('ADV - GG'!A:A,A299,'ADV - GG'!H:H)+SUMIF('ADV - FB'!A:A,$A299,'ADV - FB'!I:I)+SUMIF('ADV - FB'!A:A,$A299,'ADV - FB'!J:J)+SUMIF('ADV - FB'!A:A,$A299,'ADV - FB'!K:K)</f>
        <v>0</v>
      </c>
      <c r="F299" s="20" t="str">
        <f t="shared" si="2"/>
        <v/>
      </c>
      <c r="G299" s="22"/>
      <c r="H299" s="22"/>
      <c r="I299" s="23"/>
      <c r="J299" s="22">
        <f>SUMIF('ADV - GA4'!A:A,A299,'ADV - GA4'!C:C)</f>
        <v>0</v>
      </c>
      <c r="K299" s="20" t="str">
        <f t="shared" si="58"/>
        <v/>
      </c>
      <c r="L299" s="24" t="str">
        <f t="shared" si="3"/>
        <v/>
      </c>
      <c r="M299" s="25">
        <f t="shared" si="59"/>
        <v>0</v>
      </c>
      <c r="N299" s="26">
        <f t="shared" si="60"/>
        <v>0</v>
      </c>
      <c r="O299" s="20" t="str">
        <f>IFERROR(Planejador!$I$220,"")</f>
        <v/>
      </c>
      <c r="P299" s="20" t="str">
        <f>Planejador!$I$212</f>
        <v/>
      </c>
      <c r="Q299" s="27">
        <f t="shared" si="61"/>
        <v>0</v>
      </c>
      <c r="R299" s="24" t="str">
        <f>Planejador!$I$214</f>
        <v/>
      </c>
      <c r="S299" s="16"/>
      <c r="T299" s="16"/>
      <c r="U299" s="16"/>
      <c r="V299" s="16"/>
      <c r="W299" s="16"/>
      <c r="X299" s="16"/>
      <c r="Y299" s="16"/>
      <c r="Z299" s="16"/>
    </row>
    <row r="300" ht="15.75" hidden="1" customHeight="1" outlineLevel="1">
      <c r="A300" s="17">
        <v>46311.0</v>
      </c>
      <c r="B300" s="18" t="str">
        <f t="shared" si="57"/>
        <v>sexta-feira</v>
      </c>
      <c r="C300" s="19"/>
      <c r="D300" s="20">
        <f>SUMIF('ADV - GG'!A:A,A300,'ADV - GG'!C:C)+SUMIF('ADV - FB'!A:A,$A300,'ADV - FB'!E:E)</f>
        <v>0</v>
      </c>
      <c r="E300" s="21">
        <f>SUMIF('ADV - GG'!A:A,A300,'ADV - GG'!H:H)+SUMIF('ADV - FB'!A:A,$A300,'ADV - FB'!I:I)+SUMIF('ADV - FB'!A:A,$A300,'ADV - FB'!J:J)+SUMIF('ADV - FB'!A:A,$A300,'ADV - FB'!K:K)</f>
        <v>0</v>
      </c>
      <c r="F300" s="20" t="str">
        <f t="shared" si="2"/>
        <v/>
      </c>
      <c r="G300" s="22"/>
      <c r="H300" s="22"/>
      <c r="I300" s="23"/>
      <c r="J300" s="22">
        <f>SUMIF('ADV - GA4'!A:A,A300,'ADV - GA4'!C:C)</f>
        <v>0</v>
      </c>
      <c r="K300" s="20" t="str">
        <f t="shared" si="58"/>
        <v/>
      </c>
      <c r="L300" s="24" t="str">
        <f t="shared" si="3"/>
        <v/>
      </c>
      <c r="M300" s="25">
        <f t="shared" si="59"/>
        <v>0</v>
      </c>
      <c r="N300" s="26">
        <f t="shared" si="60"/>
        <v>0</v>
      </c>
      <c r="O300" s="20" t="str">
        <f>IFERROR(Planejador!$I$220,"")</f>
        <v/>
      </c>
      <c r="P300" s="20" t="str">
        <f>Planejador!$I$212</f>
        <v/>
      </c>
      <c r="Q300" s="27">
        <f t="shared" si="61"/>
        <v>0</v>
      </c>
      <c r="R300" s="24" t="str">
        <f>Planejador!$I$214</f>
        <v/>
      </c>
      <c r="S300" s="16"/>
      <c r="T300" s="16"/>
      <c r="U300" s="16"/>
      <c r="V300" s="16"/>
      <c r="W300" s="16"/>
      <c r="X300" s="16"/>
      <c r="Y300" s="16"/>
      <c r="Z300" s="16"/>
    </row>
    <row r="301" ht="15.75" hidden="1" customHeight="1" outlineLevel="1">
      <c r="A301" s="17">
        <v>46312.0</v>
      </c>
      <c r="B301" s="18" t="str">
        <f t="shared" si="57"/>
        <v>sábado</v>
      </c>
      <c r="C301" s="19"/>
      <c r="D301" s="20">
        <f>SUMIF('ADV - GG'!A:A,A301,'ADV - GG'!C:C)+SUMIF('ADV - FB'!A:A,$A301,'ADV - FB'!E:E)</f>
        <v>0</v>
      </c>
      <c r="E301" s="21">
        <f>SUMIF('ADV - GG'!A:A,A301,'ADV - GG'!H:H)+SUMIF('ADV - FB'!A:A,$A301,'ADV - FB'!I:I)+SUMIF('ADV - FB'!A:A,$A301,'ADV - FB'!J:J)+SUMIF('ADV - FB'!A:A,$A301,'ADV - FB'!K:K)</f>
        <v>0</v>
      </c>
      <c r="F301" s="20" t="str">
        <f t="shared" si="2"/>
        <v/>
      </c>
      <c r="G301" s="22"/>
      <c r="H301" s="22"/>
      <c r="I301" s="23"/>
      <c r="J301" s="22">
        <f>SUMIF('ADV - GA4'!A:A,A301,'ADV - GA4'!C:C)</f>
        <v>0</v>
      </c>
      <c r="K301" s="20" t="str">
        <f t="shared" si="58"/>
        <v/>
      </c>
      <c r="L301" s="24" t="str">
        <f t="shared" si="3"/>
        <v/>
      </c>
      <c r="M301" s="25">
        <f t="shared" si="59"/>
        <v>0</v>
      </c>
      <c r="N301" s="26">
        <f t="shared" si="60"/>
        <v>0</v>
      </c>
      <c r="O301" s="20" t="str">
        <f>IFERROR(Planejador!$I$220,"")</f>
        <v/>
      </c>
      <c r="P301" s="20" t="str">
        <f>Planejador!$I$212</f>
        <v/>
      </c>
      <c r="Q301" s="27">
        <f t="shared" si="61"/>
        <v>0</v>
      </c>
      <c r="R301" s="24" t="str">
        <f>Planejador!$I$214</f>
        <v/>
      </c>
      <c r="S301" s="16"/>
      <c r="T301" s="16"/>
      <c r="U301" s="16"/>
      <c r="V301" s="16"/>
      <c r="W301" s="16"/>
      <c r="X301" s="16"/>
      <c r="Y301" s="16"/>
      <c r="Z301" s="16"/>
    </row>
    <row r="302" ht="15.75" hidden="1" customHeight="1" outlineLevel="1">
      <c r="A302" s="17">
        <v>46313.0</v>
      </c>
      <c r="B302" s="18" t="str">
        <f t="shared" si="57"/>
        <v>domingo</v>
      </c>
      <c r="C302" s="19"/>
      <c r="D302" s="20">
        <f>SUMIF('ADV - GG'!A:A,A302,'ADV - GG'!C:C)+SUMIF('ADV - FB'!A:A,$A302,'ADV - FB'!E:E)</f>
        <v>0</v>
      </c>
      <c r="E302" s="21">
        <f>SUMIF('ADV - GG'!A:A,A302,'ADV - GG'!H:H)+SUMIF('ADV - FB'!A:A,$A302,'ADV - FB'!I:I)+SUMIF('ADV - FB'!A:A,$A302,'ADV - FB'!J:J)+SUMIF('ADV - FB'!A:A,$A302,'ADV - FB'!K:K)</f>
        <v>0</v>
      </c>
      <c r="F302" s="20" t="str">
        <f t="shared" si="2"/>
        <v/>
      </c>
      <c r="G302" s="22"/>
      <c r="H302" s="22"/>
      <c r="I302" s="23"/>
      <c r="J302" s="22">
        <f>SUMIF('ADV - GA4'!A:A,A302,'ADV - GA4'!C:C)</f>
        <v>0</v>
      </c>
      <c r="K302" s="20" t="str">
        <f t="shared" si="58"/>
        <v/>
      </c>
      <c r="L302" s="24" t="str">
        <f t="shared" si="3"/>
        <v/>
      </c>
      <c r="M302" s="25">
        <f t="shared" si="59"/>
        <v>0</v>
      </c>
      <c r="N302" s="26">
        <f t="shared" si="60"/>
        <v>0</v>
      </c>
      <c r="O302" s="20" t="str">
        <f>IFERROR(Planejador!$I$220,"")</f>
        <v/>
      </c>
      <c r="P302" s="20" t="str">
        <f>Planejador!$I$212</f>
        <v/>
      </c>
      <c r="Q302" s="27">
        <f t="shared" si="61"/>
        <v>0</v>
      </c>
      <c r="R302" s="24" t="str">
        <f>Planejador!$I$214</f>
        <v/>
      </c>
      <c r="S302" s="16"/>
      <c r="T302" s="16"/>
      <c r="U302" s="16"/>
      <c r="V302" s="16"/>
      <c r="W302" s="16"/>
      <c r="X302" s="16"/>
      <c r="Y302" s="16"/>
      <c r="Z302" s="16"/>
    </row>
    <row r="303" ht="15.75" hidden="1" customHeight="1" outlineLevel="1">
      <c r="A303" s="17">
        <v>46314.0</v>
      </c>
      <c r="B303" s="18" t="str">
        <f t="shared" si="57"/>
        <v>segunda-feira</v>
      </c>
      <c r="C303" s="19"/>
      <c r="D303" s="20">
        <f>SUMIF('ADV - GG'!A:A,A303,'ADV - GG'!C:C)+SUMIF('ADV - FB'!A:A,$A303,'ADV - FB'!E:E)</f>
        <v>0</v>
      </c>
      <c r="E303" s="21">
        <f>SUMIF('ADV - GG'!A:A,A303,'ADV - GG'!H:H)+SUMIF('ADV - FB'!A:A,$A303,'ADV - FB'!I:I)+SUMIF('ADV - FB'!A:A,$A303,'ADV - FB'!J:J)+SUMIF('ADV - FB'!A:A,$A303,'ADV - FB'!K:K)</f>
        <v>0</v>
      </c>
      <c r="F303" s="20" t="str">
        <f t="shared" si="2"/>
        <v/>
      </c>
      <c r="G303" s="22"/>
      <c r="H303" s="22"/>
      <c r="I303" s="23"/>
      <c r="J303" s="22">
        <f>SUMIF('ADV - GA4'!A:A,A303,'ADV - GA4'!C:C)</f>
        <v>0</v>
      </c>
      <c r="K303" s="20" t="str">
        <f t="shared" si="58"/>
        <v/>
      </c>
      <c r="L303" s="24" t="str">
        <f t="shared" si="3"/>
        <v/>
      </c>
      <c r="M303" s="25">
        <f t="shared" si="59"/>
        <v>0</v>
      </c>
      <c r="N303" s="26">
        <f t="shared" si="60"/>
        <v>0</v>
      </c>
      <c r="O303" s="20" t="str">
        <f>IFERROR(Planejador!$I$220,"")</f>
        <v/>
      </c>
      <c r="P303" s="20" t="str">
        <f>Planejador!$I$212</f>
        <v/>
      </c>
      <c r="Q303" s="27">
        <f t="shared" si="61"/>
        <v>0</v>
      </c>
      <c r="R303" s="24" t="str">
        <f>Planejador!$I$214</f>
        <v/>
      </c>
      <c r="S303" s="16"/>
      <c r="T303" s="16"/>
      <c r="U303" s="16"/>
      <c r="V303" s="16"/>
      <c r="W303" s="16"/>
      <c r="X303" s="16"/>
      <c r="Y303" s="16"/>
      <c r="Z303" s="16"/>
    </row>
    <row r="304" ht="15.75" hidden="1" customHeight="1" outlineLevel="1">
      <c r="A304" s="17">
        <v>46315.0</v>
      </c>
      <c r="B304" s="18" t="str">
        <f t="shared" si="57"/>
        <v>terça-feira</v>
      </c>
      <c r="C304" s="19"/>
      <c r="D304" s="20">
        <f>SUMIF('ADV - GG'!A:A,A304,'ADV - GG'!C:C)+SUMIF('ADV - FB'!A:A,$A304,'ADV - FB'!E:E)</f>
        <v>0</v>
      </c>
      <c r="E304" s="21">
        <f>SUMIF('ADV - GG'!A:A,A304,'ADV - GG'!H:H)+SUMIF('ADV - FB'!A:A,$A304,'ADV - FB'!I:I)+SUMIF('ADV - FB'!A:A,$A304,'ADV - FB'!J:J)+SUMIF('ADV - FB'!A:A,$A304,'ADV - FB'!K:K)</f>
        <v>0</v>
      </c>
      <c r="F304" s="20" t="str">
        <f t="shared" si="2"/>
        <v/>
      </c>
      <c r="G304" s="22"/>
      <c r="H304" s="22"/>
      <c r="I304" s="23"/>
      <c r="J304" s="22">
        <f>SUMIF('ADV - GA4'!A:A,A304,'ADV - GA4'!C:C)</f>
        <v>0</v>
      </c>
      <c r="K304" s="20" t="str">
        <f t="shared" si="58"/>
        <v/>
      </c>
      <c r="L304" s="24" t="str">
        <f t="shared" si="3"/>
        <v/>
      </c>
      <c r="M304" s="25">
        <f t="shared" si="59"/>
        <v>0</v>
      </c>
      <c r="N304" s="26">
        <f t="shared" si="60"/>
        <v>0</v>
      </c>
      <c r="O304" s="20" t="str">
        <f>IFERROR(Planejador!$I$220,"")</f>
        <v/>
      </c>
      <c r="P304" s="20" t="str">
        <f>Planejador!$I$212</f>
        <v/>
      </c>
      <c r="Q304" s="27">
        <f t="shared" si="61"/>
        <v>0</v>
      </c>
      <c r="R304" s="24" t="str">
        <f>Planejador!$I$214</f>
        <v/>
      </c>
      <c r="S304" s="16"/>
      <c r="T304" s="16"/>
      <c r="U304" s="16"/>
      <c r="V304" s="16"/>
      <c r="W304" s="16"/>
      <c r="X304" s="16"/>
      <c r="Y304" s="16"/>
      <c r="Z304" s="16"/>
    </row>
    <row r="305" ht="15.75" hidden="1" customHeight="1" outlineLevel="1">
      <c r="A305" s="17">
        <v>46316.0</v>
      </c>
      <c r="B305" s="18" t="str">
        <f t="shared" si="57"/>
        <v>quarta-feira</v>
      </c>
      <c r="C305" s="19"/>
      <c r="D305" s="20">
        <f>SUMIF('ADV - GG'!A:A,A305,'ADV - GG'!C:C)+SUMIF('ADV - FB'!A:A,$A305,'ADV - FB'!E:E)</f>
        <v>0</v>
      </c>
      <c r="E305" s="21">
        <f>SUMIF('ADV - GG'!A:A,A305,'ADV - GG'!H:H)+SUMIF('ADV - FB'!A:A,$A305,'ADV - FB'!I:I)+SUMIF('ADV - FB'!A:A,$A305,'ADV - FB'!J:J)+SUMIF('ADV - FB'!A:A,$A305,'ADV - FB'!K:K)</f>
        <v>0</v>
      </c>
      <c r="F305" s="20" t="str">
        <f t="shared" si="2"/>
        <v/>
      </c>
      <c r="G305" s="22"/>
      <c r="H305" s="22"/>
      <c r="I305" s="23"/>
      <c r="J305" s="22">
        <f>SUMIF('ADV - GA4'!A:A,A305,'ADV - GA4'!C:C)</f>
        <v>0</v>
      </c>
      <c r="K305" s="20" t="str">
        <f t="shared" si="58"/>
        <v/>
      </c>
      <c r="L305" s="24" t="str">
        <f t="shared" si="3"/>
        <v/>
      </c>
      <c r="M305" s="25">
        <f t="shared" si="59"/>
        <v>0</v>
      </c>
      <c r="N305" s="26">
        <f t="shared" si="60"/>
        <v>0</v>
      </c>
      <c r="O305" s="20" t="str">
        <f>IFERROR(Planejador!$I$220,"")</f>
        <v/>
      </c>
      <c r="P305" s="20" t="str">
        <f>Planejador!$I$212</f>
        <v/>
      </c>
      <c r="Q305" s="27">
        <f t="shared" si="61"/>
        <v>0</v>
      </c>
      <c r="R305" s="24" t="str">
        <f>Planejador!$I$214</f>
        <v/>
      </c>
      <c r="S305" s="16"/>
      <c r="T305" s="16"/>
      <c r="U305" s="16"/>
      <c r="V305" s="16"/>
      <c r="W305" s="16"/>
      <c r="X305" s="16"/>
      <c r="Y305" s="16"/>
      <c r="Z305" s="16"/>
    </row>
    <row r="306" ht="15.75" hidden="1" customHeight="1" outlineLevel="1">
      <c r="A306" s="17">
        <v>46317.0</v>
      </c>
      <c r="B306" s="18" t="str">
        <f t="shared" si="57"/>
        <v>quinta-feira</v>
      </c>
      <c r="C306" s="19"/>
      <c r="D306" s="20">
        <f>SUMIF('ADV - GG'!A:A,A306,'ADV - GG'!C:C)+SUMIF('ADV - FB'!A:A,$A306,'ADV - FB'!E:E)</f>
        <v>0</v>
      </c>
      <c r="E306" s="21">
        <f>SUMIF('ADV - GG'!A:A,A306,'ADV - GG'!H:H)+SUMIF('ADV - FB'!A:A,$A306,'ADV - FB'!I:I)+SUMIF('ADV - FB'!A:A,$A306,'ADV - FB'!J:J)+SUMIF('ADV - FB'!A:A,$A306,'ADV - FB'!K:K)</f>
        <v>0</v>
      </c>
      <c r="F306" s="20" t="str">
        <f t="shared" si="2"/>
        <v/>
      </c>
      <c r="G306" s="22"/>
      <c r="H306" s="22"/>
      <c r="I306" s="23"/>
      <c r="J306" s="22">
        <f>SUMIF('ADV - GA4'!A:A,A306,'ADV - GA4'!C:C)</f>
        <v>0</v>
      </c>
      <c r="K306" s="20" t="str">
        <f t="shared" si="58"/>
        <v/>
      </c>
      <c r="L306" s="24" t="str">
        <f t="shared" si="3"/>
        <v/>
      </c>
      <c r="M306" s="25">
        <f t="shared" si="59"/>
        <v>0</v>
      </c>
      <c r="N306" s="26">
        <f t="shared" si="60"/>
        <v>0</v>
      </c>
      <c r="O306" s="20" t="str">
        <f>IFERROR(Planejador!$I$220,"")</f>
        <v/>
      </c>
      <c r="P306" s="20" t="str">
        <f>Planejador!$I$212</f>
        <v/>
      </c>
      <c r="Q306" s="27">
        <f t="shared" si="61"/>
        <v>0</v>
      </c>
      <c r="R306" s="24" t="str">
        <f>Planejador!$I$214</f>
        <v/>
      </c>
      <c r="S306" s="16"/>
      <c r="T306" s="16"/>
      <c r="U306" s="16"/>
      <c r="V306" s="16"/>
      <c r="W306" s="16"/>
      <c r="X306" s="16"/>
      <c r="Y306" s="16"/>
      <c r="Z306" s="16"/>
    </row>
    <row r="307" ht="15.75" hidden="1" customHeight="1" outlineLevel="1">
      <c r="A307" s="17">
        <v>46318.0</v>
      </c>
      <c r="B307" s="18" t="str">
        <f t="shared" si="57"/>
        <v>sexta-feira</v>
      </c>
      <c r="C307" s="19"/>
      <c r="D307" s="20">
        <f>SUMIF('ADV - GG'!A:A,A307,'ADV - GG'!C:C)+SUMIF('ADV - FB'!A:A,$A307,'ADV - FB'!E:E)</f>
        <v>0</v>
      </c>
      <c r="E307" s="21">
        <f>SUMIF('ADV - GG'!A:A,A307,'ADV - GG'!H:H)+SUMIF('ADV - FB'!A:A,$A307,'ADV - FB'!I:I)+SUMIF('ADV - FB'!A:A,$A307,'ADV - FB'!J:J)+SUMIF('ADV - FB'!A:A,$A307,'ADV - FB'!K:K)</f>
        <v>0</v>
      </c>
      <c r="F307" s="20" t="str">
        <f t="shared" si="2"/>
        <v/>
      </c>
      <c r="G307" s="22"/>
      <c r="H307" s="22"/>
      <c r="I307" s="23"/>
      <c r="J307" s="22">
        <f>SUMIF('ADV - GA4'!A:A,A307,'ADV - GA4'!C:C)</f>
        <v>0</v>
      </c>
      <c r="K307" s="20" t="str">
        <f t="shared" si="58"/>
        <v/>
      </c>
      <c r="L307" s="24" t="str">
        <f t="shared" si="3"/>
        <v/>
      </c>
      <c r="M307" s="25">
        <f t="shared" si="59"/>
        <v>0</v>
      </c>
      <c r="N307" s="26">
        <f t="shared" si="60"/>
        <v>0</v>
      </c>
      <c r="O307" s="20" t="str">
        <f>IFERROR(Planejador!$I$220,"")</f>
        <v/>
      </c>
      <c r="P307" s="20" t="str">
        <f>Planejador!$I$212</f>
        <v/>
      </c>
      <c r="Q307" s="27">
        <f t="shared" si="61"/>
        <v>0</v>
      </c>
      <c r="R307" s="24" t="str">
        <f>Planejador!$I$214</f>
        <v/>
      </c>
      <c r="S307" s="16"/>
      <c r="T307" s="16"/>
      <c r="U307" s="16"/>
      <c r="V307" s="16"/>
      <c r="W307" s="16"/>
      <c r="X307" s="16"/>
      <c r="Y307" s="16"/>
      <c r="Z307" s="16"/>
    </row>
    <row r="308" ht="15.75" hidden="1" customHeight="1" outlineLevel="1">
      <c r="A308" s="17">
        <v>46319.0</v>
      </c>
      <c r="B308" s="18" t="str">
        <f t="shared" si="57"/>
        <v>sábado</v>
      </c>
      <c r="C308" s="19"/>
      <c r="D308" s="20">
        <f>SUMIF('ADV - GG'!A:A,A308,'ADV - GG'!C:C)+SUMIF('ADV - FB'!A:A,$A308,'ADV - FB'!E:E)</f>
        <v>0</v>
      </c>
      <c r="E308" s="21">
        <f>SUMIF('ADV - GG'!A:A,A308,'ADV - GG'!H:H)+SUMIF('ADV - FB'!A:A,$A308,'ADV - FB'!I:I)+SUMIF('ADV - FB'!A:A,$A308,'ADV - FB'!J:J)+SUMIF('ADV - FB'!A:A,$A308,'ADV - FB'!K:K)</f>
        <v>0</v>
      </c>
      <c r="F308" s="20" t="str">
        <f t="shared" si="2"/>
        <v/>
      </c>
      <c r="G308" s="22"/>
      <c r="H308" s="22"/>
      <c r="I308" s="23"/>
      <c r="J308" s="22">
        <f>SUMIF('ADV - GA4'!A:A,A308,'ADV - GA4'!C:C)</f>
        <v>0</v>
      </c>
      <c r="K308" s="20" t="str">
        <f t="shared" si="58"/>
        <v/>
      </c>
      <c r="L308" s="24" t="str">
        <f t="shared" si="3"/>
        <v/>
      </c>
      <c r="M308" s="25">
        <f t="shared" si="59"/>
        <v>0</v>
      </c>
      <c r="N308" s="26">
        <f t="shared" si="60"/>
        <v>0</v>
      </c>
      <c r="O308" s="20" t="str">
        <f>IFERROR(Planejador!$I$220,"")</f>
        <v/>
      </c>
      <c r="P308" s="20" t="str">
        <f>Planejador!$I$212</f>
        <v/>
      </c>
      <c r="Q308" s="27">
        <f t="shared" si="61"/>
        <v>0</v>
      </c>
      <c r="R308" s="24" t="str">
        <f>Planejador!$I$214</f>
        <v/>
      </c>
      <c r="S308" s="16"/>
      <c r="T308" s="16"/>
      <c r="U308" s="16"/>
      <c r="V308" s="16"/>
      <c r="W308" s="16"/>
      <c r="X308" s="16"/>
      <c r="Y308" s="16"/>
      <c r="Z308" s="16"/>
    </row>
    <row r="309" ht="15.75" hidden="1" customHeight="1" outlineLevel="1">
      <c r="A309" s="17">
        <v>46320.0</v>
      </c>
      <c r="B309" s="18" t="str">
        <f t="shared" si="57"/>
        <v>domingo</v>
      </c>
      <c r="C309" s="19"/>
      <c r="D309" s="20">
        <f>SUMIF('ADV - GG'!A:A,A309,'ADV - GG'!C:C)+SUMIF('ADV - FB'!A:A,$A309,'ADV - FB'!E:E)</f>
        <v>0</v>
      </c>
      <c r="E309" s="21">
        <f>SUMIF('ADV - GG'!A:A,A309,'ADV - GG'!H:H)+SUMIF('ADV - FB'!A:A,$A309,'ADV - FB'!I:I)+SUMIF('ADV - FB'!A:A,$A309,'ADV - FB'!J:J)+SUMIF('ADV - FB'!A:A,$A309,'ADV - FB'!K:K)</f>
        <v>0</v>
      </c>
      <c r="F309" s="20" t="str">
        <f t="shared" si="2"/>
        <v/>
      </c>
      <c r="G309" s="22"/>
      <c r="H309" s="22"/>
      <c r="I309" s="23"/>
      <c r="J309" s="22">
        <f>SUMIF('ADV - GA4'!A:A,A309,'ADV - GA4'!C:C)</f>
        <v>0</v>
      </c>
      <c r="K309" s="20" t="str">
        <f t="shared" si="58"/>
        <v/>
      </c>
      <c r="L309" s="24" t="str">
        <f t="shared" si="3"/>
        <v/>
      </c>
      <c r="M309" s="25">
        <f t="shared" si="59"/>
        <v>0</v>
      </c>
      <c r="N309" s="26">
        <f t="shared" si="60"/>
        <v>0</v>
      </c>
      <c r="O309" s="20" t="str">
        <f>IFERROR(Planejador!$I$220,"")</f>
        <v/>
      </c>
      <c r="P309" s="20" t="str">
        <f>Planejador!$I$212</f>
        <v/>
      </c>
      <c r="Q309" s="27">
        <f t="shared" si="61"/>
        <v>0</v>
      </c>
      <c r="R309" s="24" t="str">
        <f>Planejador!$I$214</f>
        <v/>
      </c>
      <c r="S309" s="16"/>
      <c r="T309" s="16"/>
      <c r="U309" s="16"/>
      <c r="V309" s="16"/>
      <c r="W309" s="16"/>
      <c r="X309" s="16"/>
      <c r="Y309" s="16"/>
      <c r="Z309" s="16"/>
    </row>
    <row r="310" ht="15.75" hidden="1" customHeight="1" outlineLevel="1">
      <c r="A310" s="17">
        <v>46321.0</v>
      </c>
      <c r="B310" s="18" t="str">
        <f t="shared" si="57"/>
        <v>segunda-feira</v>
      </c>
      <c r="C310" s="19"/>
      <c r="D310" s="20">
        <f>SUMIF('ADV - GG'!A:A,A310,'ADV - GG'!C:C)+SUMIF('ADV - FB'!A:A,$A310,'ADV - FB'!E:E)</f>
        <v>0</v>
      </c>
      <c r="E310" s="21">
        <f>SUMIF('ADV - GG'!A:A,A310,'ADV - GG'!H:H)+SUMIF('ADV - FB'!A:A,$A310,'ADV - FB'!I:I)+SUMIF('ADV - FB'!A:A,$A310,'ADV - FB'!J:J)+SUMIF('ADV - FB'!A:A,$A310,'ADV - FB'!K:K)</f>
        <v>0</v>
      </c>
      <c r="F310" s="20" t="str">
        <f t="shared" si="2"/>
        <v/>
      </c>
      <c r="G310" s="22"/>
      <c r="H310" s="22"/>
      <c r="I310" s="23"/>
      <c r="J310" s="22">
        <f>SUMIF('ADV - GA4'!A:A,A310,'ADV - GA4'!C:C)</f>
        <v>0</v>
      </c>
      <c r="K310" s="20" t="str">
        <f t="shared" si="58"/>
        <v/>
      </c>
      <c r="L310" s="24" t="str">
        <f t="shared" si="3"/>
        <v/>
      </c>
      <c r="M310" s="25">
        <f t="shared" si="59"/>
        <v>0</v>
      </c>
      <c r="N310" s="26">
        <f t="shared" si="60"/>
        <v>0</v>
      </c>
      <c r="O310" s="20" t="str">
        <f>IFERROR(Planejador!$I$220,"")</f>
        <v/>
      </c>
      <c r="P310" s="20" t="str">
        <f>Planejador!$I$212</f>
        <v/>
      </c>
      <c r="Q310" s="27">
        <f t="shared" si="61"/>
        <v>0</v>
      </c>
      <c r="R310" s="24" t="str">
        <f>Planejador!$I$214</f>
        <v/>
      </c>
      <c r="S310" s="16"/>
      <c r="T310" s="16"/>
      <c r="U310" s="16"/>
      <c r="V310" s="16"/>
      <c r="W310" s="16"/>
      <c r="X310" s="16"/>
      <c r="Y310" s="16"/>
      <c r="Z310" s="16"/>
    </row>
    <row r="311" ht="15.75" hidden="1" customHeight="1" outlineLevel="1">
      <c r="A311" s="17">
        <v>46322.0</v>
      </c>
      <c r="B311" s="18" t="str">
        <f t="shared" si="57"/>
        <v>terça-feira</v>
      </c>
      <c r="C311" s="19"/>
      <c r="D311" s="20">
        <f>SUMIF('ADV - GG'!A:A,A311,'ADV - GG'!C:C)+SUMIF('ADV - FB'!A:A,$A311,'ADV - FB'!E:E)</f>
        <v>0</v>
      </c>
      <c r="E311" s="21">
        <f>SUMIF('ADV - GG'!A:A,A311,'ADV - GG'!H:H)+SUMIF('ADV - FB'!A:A,$A311,'ADV - FB'!I:I)+SUMIF('ADV - FB'!A:A,$A311,'ADV - FB'!J:J)+SUMIF('ADV - FB'!A:A,$A311,'ADV - FB'!K:K)</f>
        <v>0</v>
      </c>
      <c r="F311" s="20" t="str">
        <f t="shared" si="2"/>
        <v/>
      </c>
      <c r="G311" s="22"/>
      <c r="H311" s="22"/>
      <c r="I311" s="23"/>
      <c r="J311" s="22">
        <f>SUMIF('ADV - GA4'!A:A,A311,'ADV - GA4'!C:C)</f>
        <v>0</v>
      </c>
      <c r="K311" s="20" t="str">
        <f t="shared" si="58"/>
        <v/>
      </c>
      <c r="L311" s="24" t="str">
        <f t="shared" si="3"/>
        <v/>
      </c>
      <c r="M311" s="25">
        <f t="shared" si="59"/>
        <v>0</v>
      </c>
      <c r="N311" s="26">
        <f t="shared" si="60"/>
        <v>0</v>
      </c>
      <c r="O311" s="20" t="str">
        <f>IFERROR(Planejador!$I$220,"")</f>
        <v/>
      </c>
      <c r="P311" s="20" t="str">
        <f>Planejador!$I$212</f>
        <v/>
      </c>
      <c r="Q311" s="27">
        <f t="shared" si="61"/>
        <v>0</v>
      </c>
      <c r="R311" s="24" t="str">
        <f>Planejador!$I$214</f>
        <v/>
      </c>
      <c r="S311" s="16"/>
      <c r="T311" s="16"/>
      <c r="U311" s="16"/>
      <c r="V311" s="16"/>
      <c r="W311" s="16"/>
      <c r="X311" s="16"/>
      <c r="Y311" s="16"/>
      <c r="Z311" s="16"/>
    </row>
    <row r="312" ht="15.75" hidden="1" customHeight="1" outlineLevel="1">
      <c r="A312" s="17">
        <v>46323.0</v>
      </c>
      <c r="B312" s="18" t="str">
        <f t="shared" si="57"/>
        <v>quarta-feira</v>
      </c>
      <c r="C312" s="19"/>
      <c r="D312" s="20">
        <f>SUMIF('ADV - GG'!A:A,A312,'ADV - GG'!C:C)+SUMIF('ADV - FB'!A:A,$A312,'ADV - FB'!E:E)</f>
        <v>0</v>
      </c>
      <c r="E312" s="21">
        <f>SUMIF('ADV - GG'!A:A,A312,'ADV - GG'!H:H)+SUMIF('ADV - FB'!A:A,$A312,'ADV - FB'!I:I)+SUMIF('ADV - FB'!A:A,$A312,'ADV - FB'!J:J)+SUMIF('ADV - FB'!A:A,$A312,'ADV - FB'!K:K)</f>
        <v>0</v>
      </c>
      <c r="F312" s="20" t="str">
        <f t="shared" si="2"/>
        <v/>
      </c>
      <c r="G312" s="22"/>
      <c r="H312" s="22"/>
      <c r="I312" s="23"/>
      <c r="J312" s="22">
        <f>SUMIF('ADV - GA4'!A:A,A312,'ADV - GA4'!C:C)</f>
        <v>0</v>
      </c>
      <c r="K312" s="20" t="str">
        <f t="shared" si="58"/>
        <v/>
      </c>
      <c r="L312" s="24" t="str">
        <f t="shared" si="3"/>
        <v/>
      </c>
      <c r="M312" s="25">
        <f t="shared" si="59"/>
        <v>0</v>
      </c>
      <c r="N312" s="26">
        <f t="shared" si="60"/>
        <v>0</v>
      </c>
      <c r="O312" s="20" t="str">
        <f>IFERROR(Planejador!$I$220,"")</f>
        <v/>
      </c>
      <c r="P312" s="20" t="str">
        <f>Planejador!$I$212</f>
        <v/>
      </c>
      <c r="Q312" s="27">
        <f t="shared" si="61"/>
        <v>0</v>
      </c>
      <c r="R312" s="24" t="str">
        <f>Planejador!$I$214</f>
        <v/>
      </c>
      <c r="S312" s="16"/>
      <c r="T312" s="16"/>
      <c r="U312" s="16"/>
      <c r="V312" s="16"/>
      <c r="W312" s="16"/>
      <c r="X312" s="16"/>
      <c r="Y312" s="16"/>
      <c r="Z312" s="16"/>
    </row>
    <row r="313" ht="15.75" hidden="1" customHeight="1" outlineLevel="1">
      <c r="A313" s="17">
        <v>46324.0</v>
      </c>
      <c r="B313" s="18" t="str">
        <f t="shared" si="57"/>
        <v>quinta-feira</v>
      </c>
      <c r="C313" s="19"/>
      <c r="D313" s="20">
        <f>SUMIF('ADV - GG'!A:A,A313,'ADV - GG'!C:C)+SUMIF('ADV - FB'!A:A,$A313,'ADV - FB'!E:E)</f>
        <v>0</v>
      </c>
      <c r="E313" s="21">
        <f>SUMIF('ADV - GG'!A:A,A313,'ADV - GG'!H:H)+SUMIF('ADV - FB'!A:A,$A313,'ADV - FB'!I:I)+SUMIF('ADV - FB'!A:A,$A313,'ADV - FB'!J:J)+SUMIF('ADV - FB'!A:A,$A313,'ADV - FB'!K:K)</f>
        <v>0</v>
      </c>
      <c r="F313" s="20" t="str">
        <f t="shared" si="2"/>
        <v/>
      </c>
      <c r="G313" s="22"/>
      <c r="H313" s="22"/>
      <c r="I313" s="23"/>
      <c r="J313" s="22">
        <f>SUMIF('ADV - GA4'!A:A,A313,'ADV - GA4'!C:C)</f>
        <v>0</v>
      </c>
      <c r="K313" s="20" t="str">
        <f t="shared" si="58"/>
        <v/>
      </c>
      <c r="L313" s="24" t="str">
        <f t="shared" si="3"/>
        <v/>
      </c>
      <c r="M313" s="25">
        <f t="shared" si="59"/>
        <v>0</v>
      </c>
      <c r="N313" s="26">
        <f t="shared" si="60"/>
        <v>0</v>
      </c>
      <c r="O313" s="20" t="str">
        <f>IFERROR(Planejador!$I$220,"")</f>
        <v/>
      </c>
      <c r="P313" s="20" t="str">
        <f>Planejador!$I$212</f>
        <v/>
      </c>
      <c r="Q313" s="27">
        <f t="shared" si="61"/>
        <v>0</v>
      </c>
      <c r="R313" s="24" t="str">
        <f>Planejador!$I$214</f>
        <v/>
      </c>
      <c r="S313" s="16"/>
      <c r="T313" s="16"/>
      <c r="U313" s="16"/>
      <c r="V313" s="16"/>
      <c r="W313" s="16"/>
      <c r="X313" s="16"/>
      <c r="Y313" s="16"/>
      <c r="Z313" s="16"/>
    </row>
    <row r="314" ht="15.75" hidden="1" customHeight="1" outlineLevel="1">
      <c r="A314" s="17">
        <v>46325.0</v>
      </c>
      <c r="B314" s="18" t="str">
        <f t="shared" si="57"/>
        <v>sexta-feira</v>
      </c>
      <c r="C314" s="19"/>
      <c r="D314" s="20">
        <f>SUMIF('ADV - GG'!A:A,A314,'ADV - GG'!C:C)+SUMIF('ADV - FB'!A:A,$A314,'ADV - FB'!E:E)</f>
        <v>0</v>
      </c>
      <c r="E314" s="21">
        <f>SUMIF('ADV - GG'!A:A,A314,'ADV - GG'!H:H)+SUMIF('ADV - FB'!A:A,$A314,'ADV - FB'!I:I)+SUMIF('ADV - FB'!A:A,$A314,'ADV - FB'!J:J)+SUMIF('ADV - FB'!A:A,$A314,'ADV - FB'!K:K)</f>
        <v>0</v>
      </c>
      <c r="F314" s="20" t="str">
        <f t="shared" si="2"/>
        <v/>
      </c>
      <c r="G314" s="22"/>
      <c r="H314" s="22"/>
      <c r="I314" s="23"/>
      <c r="J314" s="22">
        <f>SUMIF('ADV - GA4'!A:A,A314,'ADV - GA4'!C:C)</f>
        <v>0</v>
      </c>
      <c r="K314" s="20" t="str">
        <f t="shared" si="58"/>
        <v/>
      </c>
      <c r="L314" s="24" t="str">
        <f t="shared" si="3"/>
        <v/>
      </c>
      <c r="M314" s="25">
        <f t="shared" si="59"/>
        <v>0</v>
      </c>
      <c r="N314" s="26">
        <f t="shared" si="60"/>
        <v>0</v>
      </c>
      <c r="O314" s="20" t="str">
        <f>IFERROR(Planejador!$I$220,"")</f>
        <v/>
      </c>
      <c r="P314" s="20" t="str">
        <f>Planejador!$I$212</f>
        <v/>
      </c>
      <c r="Q314" s="27">
        <f t="shared" si="61"/>
        <v>0</v>
      </c>
      <c r="R314" s="24" t="str">
        <f>Planejador!$I$214</f>
        <v/>
      </c>
      <c r="S314" s="16"/>
      <c r="T314" s="16"/>
      <c r="U314" s="16"/>
      <c r="V314" s="16"/>
      <c r="W314" s="16"/>
      <c r="X314" s="16"/>
      <c r="Y314" s="16"/>
      <c r="Z314" s="16"/>
    </row>
    <row r="315" ht="15.75" hidden="1" customHeight="1" outlineLevel="1">
      <c r="A315" s="17">
        <v>46326.0</v>
      </c>
      <c r="B315" s="18" t="str">
        <f t="shared" si="57"/>
        <v>sábado</v>
      </c>
      <c r="C315" s="19"/>
      <c r="D315" s="20">
        <f>SUMIF('ADV - GG'!A:A,A315,'ADV - GG'!C:C)+SUMIF('ADV - FB'!A:A,$A315,'ADV - FB'!E:E)</f>
        <v>0</v>
      </c>
      <c r="E315" s="21">
        <f>SUMIF('ADV - GG'!A:A,A315,'ADV - GG'!H:H)+SUMIF('ADV - FB'!A:A,$A315,'ADV - FB'!I:I)+SUMIF('ADV - FB'!A:A,$A315,'ADV - FB'!J:J)+SUMIF('ADV - FB'!A:A,$A315,'ADV - FB'!K:K)</f>
        <v>0</v>
      </c>
      <c r="F315" s="20" t="str">
        <f t="shared" si="2"/>
        <v/>
      </c>
      <c r="G315" s="22"/>
      <c r="H315" s="22"/>
      <c r="I315" s="23"/>
      <c r="J315" s="22">
        <f>SUMIF('ADV - GA4'!A:A,A315,'ADV - GA4'!C:C)</f>
        <v>0</v>
      </c>
      <c r="K315" s="20" t="str">
        <f t="shared" si="58"/>
        <v/>
      </c>
      <c r="L315" s="24" t="str">
        <f t="shared" si="3"/>
        <v/>
      </c>
      <c r="M315" s="25">
        <f t="shared" si="59"/>
        <v>0</v>
      </c>
      <c r="N315" s="26">
        <f t="shared" si="60"/>
        <v>0</v>
      </c>
      <c r="O315" s="20" t="str">
        <f>IFERROR(Planejador!$I$220,"")</f>
        <v/>
      </c>
      <c r="P315" s="20" t="str">
        <f>Planejador!$I$212</f>
        <v/>
      </c>
      <c r="Q315" s="27">
        <f t="shared" si="61"/>
        <v>0</v>
      </c>
      <c r="R315" s="24" t="str">
        <f>Planejador!$I$214</f>
        <v/>
      </c>
      <c r="S315" s="16"/>
      <c r="T315" s="16"/>
      <c r="U315" s="16"/>
      <c r="V315" s="16"/>
      <c r="W315" s="16"/>
      <c r="X315" s="16"/>
      <c r="Y315" s="16"/>
      <c r="Z315" s="16"/>
    </row>
    <row r="316" ht="22.5" customHeight="1" collapsed="1">
      <c r="A316" s="28" t="s">
        <v>35</v>
      </c>
      <c r="B316" s="29">
        <v>30.0</v>
      </c>
      <c r="C316" s="30"/>
      <c r="D316" s="10">
        <f>IFERROR(SUM(D317:D347),"")</f>
        <v>0</v>
      </c>
      <c r="E316" s="11">
        <f>iferror(SUM(E317:E346),"")</f>
        <v>0</v>
      </c>
      <c r="F316" s="14" t="str">
        <f t="shared" si="2"/>
        <v/>
      </c>
      <c r="G316" s="13">
        <f t="shared" ref="G316:I316" si="62">iferror(SUM(G317:G346),"")</f>
        <v>0</v>
      </c>
      <c r="H316" s="13">
        <f t="shared" si="62"/>
        <v>0</v>
      </c>
      <c r="I316" s="10">
        <f t="shared" si="62"/>
        <v>0</v>
      </c>
      <c r="J316" s="13">
        <f>IFERROR(SUM(J317:J346),"")</f>
        <v>0</v>
      </c>
      <c r="K316" s="14" t="str">
        <f>iferror(D316/J316,"")</f>
        <v/>
      </c>
      <c r="L316" s="15" t="str">
        <f t="shared" si="3"/>
        <v/>
      </c>
      <c r="M316" s="10" t="str">
        <f>Planejador!$I$234</f>
        <v/>
      </c>
      <c r="N316" s="13" t="str">
        <f>iferror(Planejador!$I$241,"")</f>
        <v/>
      </c>
      <c r="O316" s="14" t="str">
        <f>iferror(Planejador!$I$243,"")</f>
        <v/>
      </c>
      <c r="P316" s="14" t="str">
        <f>iferror(Planejador!$I$235,"")</f>
        <v/>
      </c>
      <c r="Q316" s="13" t="str">
        <f>iferror(Planejador!$I$240,"")</f>
        <v/>
      </c>
      <c r="R316" s="15" t="str">
        <f>Iferror(Planejador!$I$237,"")</f>
        <v/>
      </c>
      <c r="S316" s="31"/>
      <c r="T316" s="31"/>
      <c r="U316" s="31"/>
      <c r="V316" s="31"/>
      <c r="W316" s="31"/>
      <c r="X316" s="31"/>
      <c r="Y316" s="31"/>
      <c r="Z316" s="31"/>
    </row>
    <row r="317" ht="15.75" hidden="1" customHeight="1" outlineLevel="1">
      <c r="A317" s="17">
        <v>46327.0</v>
      </c>
      <c r="B317" s="18" t="str">
        <f t="shared" ref="B317:B346" si="63">TEXT(A317,"dddd")</f>
        <v>domingo</v>
      </c>
      <c r="C317" s="19"/>
      <c r="D317" s="20">
        <f>SUMIF('ADV - GG'!A:A,A317,'ADV - GG'!C:C)+SUMIF('ADV - FB'!A:A,$A317,'ADV - FB'!E:E)</f>
        <v>0</v>
      </c>
      <c r="E317" s="21">
        <f>SUMIF('ADV - GG'!A:A,A317,'ADV - GG'!H:H)+SUMIF('ADV - FB'!A:A,$A317,'ADV - FB'!I:I)+SUMIF('ADV - FB'!A:A,$A317,'ADV - FB'!J:J)+SUMIF('ADV - FB'!A:A,$A317,'ADV - FB'!K:K)</f>
        <v>0</v>
      </c>
      <c r="F317" s="20" t="str">
        <f t="shared" si="2"/>
        <v/>
      </c>
      <c r="G317" s="22"/>
      <c r="H317" s="22"/>
      <c r="I317" s="23"/>
      <c r="J317" s="22">
        <f>SUMIF('ADV - GA4'!A:A,A317,'ADV - GA4'!C:C)</f>
        <v>0</v>
      </c>
      <c r="K317" s="20" t="str">
        <f t="shared" ref="K317:K346" si="64">IFERROR(D317/J317,"")</f>
        <v/>
      </c>
      <c r="L317" s="24" t="str">
        <f t="shared" si="3"/>
        <v/>
      </c>
      <c r="M317" s="25">
        <f t="shared" ref="M317:M346" si="65">$M$316/$B$316</f>
        <v>0</v>
      </c>
      <c r="N317" s="26">
        <f t="shared" ref="N317:N346" si="66">iferror($N$316/$B$316,"")</f>
        <v>0</v>
      </c>
      <c r="O317" s="20" t="str">
        <f>IFERROR(Planejador!$I$243,"")</f>
        <v/>
      </c>
      <c r="P317" s="20" t="str">
        <f>Planejador!$I$235</f>
        <v/>
      </c>
      <c r="Q317" s="27">
        <f t="shared" ref="Q317:Q346" si="67">$Q$316/$B$316</f>
        <v>0</v>
      </c>
      <c r="R317" s="24" t="str">
        <f>Planejador!$I$237</f>
        <v/>
      </c>
      <c r="S317" s="16"/>
      <c r="T317" s="16"/>
      <c r="U317" s="16"/>
      <c r="V317" s="16"/>
      <c r="W317" s="16"/>
      <c r="X317" s="16"/>
      <c r="Y317" s="16"/>
      <c r="Z317" s="16"/>
    </row>
    <row r="318" ht="15.75" hidden="1" customHeight="1" outlineLevel="1">
      <c r="A318" s="17">
        <v>46328.0</v>
      </c>
      <c r="B318" s="18" t="str">
        <f t="shared" si="63"/>
        <v>segunda-feira</v>
      </c>
      <c r="C318" s="19"/>
      <c r="D318" s="20">
        <f>SUMIF('ADV - GG'!A:A,A318,'ADV - GG'!C:C)+SUMIF('ADV - FB'!A:A,$A318,'ADV - FB'!E:E)</f>
        <v>0</v>
      </c>
      <c r="E318" s="21">
        <f>SUMIF('ADV - GG'!A:A,A318,'ADV - GG'!H:H)+SUMIF('ADV - FB'!A:A,$A318,'ADV - FB'!I:I)+SUMIF('ADV - FB'!A:A,$A318,'ADV - FB'!J:J)+SUMIF('ADV - FB'!A:A,$A318,'ADV - FB'!K:K)</f>
        <v>0</v>
      </c>
      <c r="F318" s="20" t="str">
        <f t="shared" si="2"/>
        <v/>
      </c>
      <c r="G318" s="22"/>
      <c r="H318" s="22"/>
      <c r="I318" s="23"/>
      <c r="J318" s="22">
        <f>SUMIF('ADV - GA4'!A:A,A318,'ADV - GA4'!C:C)</f>
        <v>0</v>
      </c>
      <c r="K318" s="20" t="str">
        <f t="shared" si="64"/>
        <v/>
      </c>
      <c r="L318" s="24" t="str">
        <f t="shared" si="3"/>
        <v/>
      </c>
      <c r="M318" s="25">
        <f t="shared" si="65"/>
        <v>0</v>
      </c>
      <c r="N318" s="26">
        <f t="shared" si="66"/>
        <v>0</v>
      </c>
      <c r="O318" s="20" t="str">
        <f>IFERROR(Planejador!$I$243,"")</f>
        <v/>
      </c>
      <c r="P318" s="20" t="str">
        <f>Planejador!$I$235</f>
        <v/>
      </c>
      <c r="Q318" s="27">
        <f t="shared" si="67"/>
        <v>0</v>
      </c>
      <c r="R318" s="24" t="str">
        <f>Planejador!$I$237</f>
        <v/>
      </c>
      <c r="S318" s="16"/>
      <c r="T318" s="16"/>
      <c r="U318" s="16"/>
      <c r="V318" s="16"/>
      <c r="W318" s="16"/>
      <c r="X318" s="16"/>
      <c r="Y318" s="16"/>
      <c r="Z318" s="16"/>
    </row>
    <row r="319" ht="15.75" hidden="1" customHeight="1" outlineLevel="1">
      <c r="A319" s="17">
        <v>46329.0</v>
      </c>
      <c r="B319" s="18" t="str">
        <f t="shared" si="63"/>
        <v>terça-feira</v>
      </c>
      <c r="C319" s="19"/>
      <c r="D319" s="20">
        <f>SUMIF('ADV - GG'!A:A,A319,'ADV - GG'!C:C)+SUMIF('ADV - FB'!A:A,$A319,'ADV - FB'!E:E)</f>
        <v>0</v>
      </c>
      <c r="E319" s="21">
        <f>SUMIF('ADV - GG'!A:A,A319,'ADV - GG'!H:H)+SUMIF('ADV - FB'!A:A,$A319,'ADV - FB'!I:I)+SUMIF('ADV - FB'!A:A,$A319,'ADV - FB'!J:J)+SUMIF('ADV - FB'!A:A,$A319,'ADV - FB'!K:K)</f>
        <v>0</v>
      </c>
      <c r="F319" s="20" t="str">
        <f t="shared" si="2"/>
        <v/>
      </c>
      <c r="G319" s="22"/>
      <c r="H319" s="22"/>
      <c r="I319" s="23"/>
      <c r="J319" s="22">
        <f>SUMIF('ADV - GA4'!A:A,A319,'ADV - GA4'!C:C)</f>
        <v>0</v>
      </c>
      <c r="K319" s="20" t="str">
        <f t="shared" si="64"/>
        <v/>
      </c>
      <c r="L319" s="24" t="str">
        <f t="shared" si="3"/>
        <v/>
      </c>
      <c r="M319" s="25">
        <f t="shared" si="65"/>
        <v>0</v>
      </c>
      <c r="N319" s="26">
        <f t="shared" si="66"/>
        <v>0</v>
      </c>
      <c r="O319" s="20" t="str">
        <f>IFERROR(Planejador!$I$243,"")</f>
        <v/>
      </c>
      <c r="P319" s="20" t="str">
        <f>Planejador!$I$235</f>
        <v/>
      </c>
      <c r="Q319" s="27">
        <f t="shared" si="67"/>
        <v>0</v>
      </c>
      <c r="R319" s="24" t="str">
        <f>Planejador!$I$237</f>
        <v/>
      </c>
      <c r="S319" s="16"/>
      <c r="T319" s="16"/>
      <c r="U319" s="16"/>
      <c r="V319" s="16"/>
      <c r="W319" s="16"/>
      <c r="X319" s="16"/>
      <c r="Y319" s="16"/>
      <c r="Z319" s="16"/>
    </row>
    <row r="320" ht="15.75" hidden="1" customHeight="1" outlineLevel="1">
      <c r="A320" s="17">
        <v>46330.0</v>
      </c>
      <c r="B320" s="18" t="str">
        <f t="shared" si="63"/>
        <v>quarta-feira</v>
      </c>
      <c r="C320" s="19"/>
      <c r="D320" s="20">
        <f>SUMIF('ADV - GG'!A:A,A320,'ADV - GG'!C:C)+SUMIF('ADV - FB'!A:A,$A320,'ADV - FB'!E:E)</f>
        <v>0</v>
      </c>
      <c r="E320" s="21">
        <f>SUMIF('ADV - GG'!A:A,A320,'ADV - GG'!H:H)+SUMIF('ADV - FB'!A:A,$A320,'ADV - FB'!I:I)+SUMIF('ADV - FB'!A:A,$A320,'ADV - FB'!J:J)+SUMIF('ADV - FB'!A:A,$A320,'ADV - FB'!K:K)</f>
        <v>0</v>
      </c>
      <c r="F320" s="20" t="str">
        <f t="shared" si="2"/>
        <v/>
      </c>
      <c r="G320" s="22"/>
      <c r="H320" s="22"/>
      <c r="I320" s="23"/>
      <c r="J320" s="22">
        <f>SUMIF('ADV - GA4'!A:A,A320,'ADV - GA4'!C:C)</f>
        <v>0</v>
      </c>
      <c r="K320" s="20" t="str">
        <f t="shared" si="64"/>
        <v/>
      </c>
      <c r="L320" s="24" t="str">
        <f t="shared" si="3"/>
        <v/>
      </c>
      <c r="M320" s="25">
        <f t="shared" si="65"/>
        <v>0</v>
      </c>
      <c r="N320" s="26">
        <f t="shared" si="66"/>
        <v>0</v>
      </c>
      <c r="O320" s="20" t="str">
        <f>IFERROR(Planejador!$I$243,"")</f>
        <v/>
      </c>
      <c r="P320" s="20" t="str">
        <f>Planejador!$I$235</f>
        <v/>
      </c>
      <c r="Q320" s="27">
        <f t="shared" si="67"/>
        <v>0</v>
      </c>
      <c r="R320" s="24" t="str">
        <f>Planejador!$I$237</f>
        <v/>
      </c>
      <c r="S320" s="16"/>
      <c r="T320" s="16"/>
      <c r="U320" s="16"/>
      <c r="V320" s="16"/>
      <c r="W320" s="16"/>
      <c r="X320" s="16"/>
      <c r="Y320" s="16"/>
      <c r="Z320" s="16"/>
    </row>
    <row r="321" ht="15.75" hidden="1" customHeight="1" outlineLevel="1">
      <c r="A321" s="17">
        <v>46331.0</v>
      </c>
      <c r="B321" s="18" t="str">
        <f t="shared" si="63"/>
        <v>quinta-feira</v>
      </c>
      <c r="C321" s="19"/>
      <c r="D321" s="20">
        <f>SUMIF('ADV - GG'!A:A,A321,'ADV - GG'!C:C)+SUMIF('ADV - FB'!A:A,$A321,'ADV - FB'!E:E)</f>
        <v>0</v>
      </c>
      <c r="E321" s="21">
        <f>SUMIF('ADV - GG'!A:A,A321,'ADV - GG'!H:H)+SUMIF('ADV - FB'!A:A,$A321,'ADV - FB'!I:I)+SUMIF('ADV - FB'!A:A,$A321,'ADV - FB'!J:J)+SUMIF('ADV - FB'!A:A,$A321,'ADV - FB'!K:K)</f>
        <v>0</v>
      </c>
      <c r="F321" s="20" t="str">
        <f t="shared" si="2"/>
        <v/>
      </c>
      <c r="G321" s="22"/>
      <c r="H321" s="22"/>
      <c r="I321" s="23"/>
      <c r="J321" s="22">
        <f>SUMIF('ADV - GA4'!A:A,A321,'ADV - GA4'!C:C)</f>
        <v>0</v>
      </c>
      <c r="K321" s="20" t="str">
        <f t="shared" si="64"/>
        <v/>
      </c>
      <c r="L321" s="24" t="str">
        <f t="shared" si="3"/>
        <v/>
      </c>
      <c r="M321" s="25">
        <f t="shared" si="65"/>
        <v>0</v>
      </c>
      <c r="N321" s="26">
        <f t="shared" si="66"/>
        <v>0</v>
      </c>
      <c r="O321" s="20" t="str">
        <f>IFERROR(Planejador!$I$243,"")</f>
        <v/>
      </c>
      <c r="P321" s="20" t="str">
        <f>Planejador!$I$235</f>
        <v/>
      </c>
      <c r="Q321" s="27">
        <f t="shared" si="67"/>
        <v>0</v>
      </c>
      <c r="R321" s="24" t="str">
        <f>Planejador!$I$237</f>
        <v/>
      </c>
      <c r="S321" s="16"/>
      <c r="T321" s="16"/>
      <c r="U321" s="16"/>
      <c r="V321" s="16"/>
      <c r="W321" s="16"/>
      <c r="X321" s="16"/>
      <c r="Y321" s="16"/>
      <c r="Z321" s="16"/>
    </row>
    <row r="322" ht="15.75" hidden="1" customHeight="1" outlineLevel="1">
      <c r="A322" s="17">
        <v>46332.0</v>
      </c>
      <c r="B322" s="18" t="str">
        <f t="shared" si="63"/>
        <v>sexta-feira</v>
      </c>
      <c r="C322" s="19"/>
      <c r="D322" s="20">
        <f>SUMIF('ADV - GG'!A:A,A322,'ADV - GG'!C:C)+SUMIF('ADV - FB'!A:A,$A322,'ADV - FB'!E:E)</f>
        <v>0</v>
      </c>
      <c r="E322" s="21">
        <f>SUMIF('ADV - GG'!A:A,A322,'ADV - GG'!H:H)+SUMIF('ADV - FB'!A:A,$A322,'ADV - FB'!I:I)+SUMIF('ADV - FB'!A:A,$A322,'ADV - FB'!J:J)+SUMIF('ADV - FB'!A:A,$A322,'ADV - FB'!K:K)</f>
        <v>0</v>
      </c>
      <c r="F322" s="20" t="str">
        <f t="shared" si="2"/>
        <v/>
      </c>
      <c r="G322" s="22"/>
      <c r="H322" s="22"/>
      <c r="I322" s="23"/>
      <c r="J322" s="22">
        <f>SUMIF('ADV - GA4'!A:A,A322,'ADV - GA4'!C:C)</f>
        <v>0</v>
      </c>
      <c r="K322" s="20" t="str">
        <f t="shared" si="64"/>
        <v/>
      </c>
      <c r="L322" s="24" t="str">
        <f t="shared" si="3"/>
        <v/>
      </c>
      <c r="M322" s="25">
        <f t="shared" si="65"/>
        <v>0</v>
      </c>
      <c r="N322" s="26">
        <f t="shared" si="66"/>
        <v>0</v>
      </c>
      <c r="O322" s="20" t="str">
        <f>IFERROR(Planejador!$I$243,"")</f>
        <v/>
      </c>
      <c r="P322" s="20" t="str">
        <f>Planejador!$I$235</f>
        <v/>
      </c>
      <c r="Q322" s="27">
        <f t="shared" si="67"/>
        <v>0</v>
      </c>
      <c r="R322" s="24" t="str">
        <f>Planejador!$I$237</f>
        <v/>
      </c>
      <c r="S322" s="16"/>
      <c r="T322" s="16"/>
      <c r="U322" s="16"/>
      <c r="V322" s="16"/>
      <c r="W322" s="16"/>
      <c r="X322" s="16"/>
      <c r="Y322" s="16"/>
      <c r="Z322" s="16"/>
    </row>
    <row r="323" ht="15.75" hidden="1" customHeight="1" outlineLevel="1">
      <c r="A323" s="17">
        <v>46333.0</v>
      </c>
      <c r="B323" s="18" t="str">
        <f t="shared" si="63"/>
        <v>sábado</v>
      </c>
      <c r="C323" s="19"/>
      <c r="D323" s="20">
        <f>SUMIF('ADV - GG'!A:A,A323,'ADV - GG'!C:C)+SUMIF('ADV - FB'!A:A,$A323,'ADV - FB'!E:E)</f>
        <v>0</v>
      </c>
      <c r="E323" s="21">
        <f>SUMIF('ADV - GG'!A:A,A323,'ADV - GG'!H:H)+SUMIF('ADV - FB'!A:A,$A323,'ADV - FB'!I:I)+SUMIF('ADV - FB'!A:A,$A323,'ADV - FB'!J:J)+SUMIF('ADV - FB'!A:A,$A323,'ADV - FB'!K:K)</f>
        <v>0</v>
      </c>
      <c r="F323" s="20" t="str">
        <f t="shared" si="2"/>
        <v/>
      </c>
      <c r="G323" s="22"/>
      <c r="H323" s="22"/>
      <c r="I323" s="23"/>
      <c r="J323" s="22">
        <f>SUMIF('ADV - GA4'!A:A,A323,'ADV - GA4'!C:C)</f>
        <v>0</v>
      </c>
      <c r="K323" s="20" t="str">
        <f t="shared" si="64"/>
        <v/>
      </c>
      <c r="L323" s="24" t="str">
        <f t="shared" si="3"/>
        <v/>
      </c>
      <c r="M323" s="25">
        <f t="shared" si="65"/>
        <v>0</v>
      </c>
      <c r="N323" s="26">
        <f t="shared" si="66"/>
        <v>0</v>
      </c>
      <c r="O323" s="20" t="str">
        <f>IFERROR(Planejador!$I$243,"")</f>
        <v/>
      </c>
      <c r="P323" s="20" t="str">
        <f>Planejador!$I$235</f>
        <v/>
      </c>
      <c r="Q323" s="27">
        <f t="shared" si="67"/>
        <v>0</v>
      </c>
      <c r="R323" s="24" t="str">
        <f>Planejador!$I$237</f>
        <v/>
      </c>
      <c r="S323" s="16"/>
      <c r="T323" s="16"/>
      <c r="U323" s="16"/>
      <c r="V323" s="16"/>
      <c r="W323" s="16"/>
      <c r="X323" s="16"/>
      <c r="Y323" s="16"/>
      <c r="Z323" s="16"/>
    </row>
    <row r="324" ht="15.75" hidden="1" customHeight="1" outlineLevel="1">
      <c r="A324" s="17">
        <v>46334.0</v>
      </c>
      <c r="B324" s="18" t="str">
        <f t="shared" si="63"/>
        <v>domingo</v>
      </c>
      <c r="C324" s="19"/>
      <c r="D324" s="20">
        <f>SUMIF('ADV - GG'!A:A,A324,'ADV - GG'!C:C)+SUMIF('ADV - FB'!A:A,$A324,'ADV - FB'!E:E)</f>
        <v>0</v>
      </c>
      <c r="E324" s="21">
        <f>SUMIF('ADV - GG'!A:A,A324,'ADV - GG'!H:H)+SUMIF('ADV - FB'!A:A,$A324,'ADV - FB'!I:I)+SUMIF('ADV - FB'!A:A,$A324,'ADV - FB'!J:J)+SUMIF('ADV - FB'!A:A,$A324,'ADV - FB'!K:K)</f>
        <v>0</v>
      </c>
      <c r="F324" s="20" t="str">
        <f t="shared" si="2"/>
        <v/>
      </c>
      <c r="G324" s="22"/>
      <c r="H324" s="22"/>
      <c r="I324" s="23"/>
      <c r="J324" s="22">
        <f>SUMIF('ADV - GA4'!A:A,A324,'ADV - GA4'!C:C)</f>
        <v>0</v>
      </c>
      <c r="K324" s="20" t="str">
        <f t="shared" si="64"/>
        <v/>
      </c>
      <c r="L324" s="24" t="str">
        <f t="shared" si="3"/>
        <v/>
      </c>
      <c r="M324" s="25">
        <f t="shared" si="65"/>
        <v>0</v>
      </c>
      <c r="N324" s="26">
        <f t="shared" si="66"/>
        <v>0</v>
      </c>
      <c r="O324" s="20" t="str">
        <f>IFERROR(Planejador!$I$243,"")</f>
        <v/>
      </c>
      <c r="P324" s="20" t="str">
        <f>Planejador!$I$235</f>
        <v/>
      </c>
      <c r="Q324" s="27">
        <f t="shared" si="67"/>
        <v>0</v>
      </c>
      <c r="R324" s="24" t="str">
        <f>Planejador!$I$237</f>
        <v/>
      </c>
      <c r="S324" s="16"/>
      <c r="T324" s="16"/>
      <c r="U324" s="16"/>
      <c r="V324" s="16"/>
      <c r="W324" s="16"/>
      <c r="X324" s="16"/>
      <c r="Y324" s="16"/>
      <c r="Z324" s="16"/>
    </row>
    <row r="325" ht="15.75" hidden="1" customHeight="1" outlineLevel="1">
      <c r="A325" s="17">
        <v>46335.0</v>
      </c>
      <c r="B325" s="18" t="str">
        <f t="shared" si="63"/>
        <v>segunda-feira</v>
      </c>
      <c r="C325" s="19"/>
      <c r="D325" s="20">
        <f>SUMIF('ADV - GG'!A:A,A325,'ADV - GG'!C:C)+SUMIF('ADV - FB'!A:A,$A325,'ADV - FB'!E:E)</f>
        <v>0</v>
      </c>
      <c r="E325" s="21">
        <f>SUMIF('ADV - GG'!A:A,A325,'ADV - GG'!H:H)+SUMIF('ADV - FB'!A:A,$A325,'ADV - FB'!I:I)+SUMIF('ADV - FB'!A:A,$A325,'ADV - FB'!J:J)+SUMIF('ADV - FB'!A:A,$A325,'ADV - FB'!K:K)</f>
        <v>0</v>
      </c>
      <c r="F325" s="20" t="str">
        <f t="shared" si="2"/>
        <v/>
      </c>
      <c r="G325" s="22"/>
      <c r="H325" s="22"/>
      <c r="I325" s="23"/>
      <c r="J325" s="22">
        <f>SUMIF('ADV - GA4'!A:A,A325,'ADV - GA4'!C:C)</f>
        <v>0</v>
      </c>
      <c r="K325" s="20" t="str">
        <f t="shared" si="64"/>
        <v/>
      </c>
      <c r="L325" s="24" t="str">
        <f t="shared" si="3"/>
        <v/>
      </c>
      <c r="M325" s="25">
        <f t="shared" si="65"/>
        <v>0</v>
      </c>
      <c r="N325" s="26">
        <f t="shared" si="66"/>
        <v>0</v>
      </c>
      <c r="O325" s="20" t="str">
        <f>IFERROR(Planejador!$I$243,"")</f>
        <v/>
      </c>
      <c r="P325" s="20" t="str">
        <f>Planejador!$I$235</f>
        <v/>
      </c>
      <c r="Q325" s="27">
        <f t="shared" si="67"/>
        <v>0</v>
      </c>
      <c r="R325" s="24" t="str">
        <f>Planejador!$I$237</f>
        <v/>
      </c>
      <c r="S325" s="16"/>
      <c r="T325" s="16"/>
      <c r="U325" s="16"/>
      <c r="V325" s="16"/>
      <c r="W325" s="16"/>
      <c r="X325" s="16"/>
      <c r="Y325" s="16"/>
      <c r="Z325" s="16"/>
    </row>
    <row r="326" ht="15.75" hidden="1" customHeight="1" outlineLevel="1">
      <c r="A326" s="17">
        <v>46336.0</v>
      </c>
      <c r="B326" s="18" t="str">
        <f t="shared" si="63"/>
        <v>terça-feira</v>
      </c>
      <c r="C326" s="19"/>
      <c r="D326" s="20">
        <f>SUMIF('ADV - GG'!A:A,A326,'ADV - GG'!C:C)+SUMIF('ADV - FB'!A:A,$A326,'ADV - FB'!E:E)</f>
        <v>0</v>
      </c>
      <c r="E326" s="21">
        <f>SUMIF('ADV - GG'!A:A,A326,'ADV - GG'!H:H)+SUMIF('ADV - FB'!A:A,$A326,'ADV - FB'!I:I)+SUMIF('ADV - FB'!A:A,$A326,'ADV - FB'!J:J)+SUMIF('ADV - FB'!A:A,$A326,'ADV - FB'!K:K)</f>
        <v>0</v>
      </c>
      <c r="F326" s="20" t="str">
        <f t="shared" si="2"/>
        <v/>
      </c>
      <c r="G326" s="22"/>
      <c r="H326" s="22"/>
      <c r="I326" s="23"/>
      <c r="J326" s="22">
        <f>SUMIF('ADV - GA4'!A:A,A326,'ADV - GA4'!C:C)</f>
        <v>0</v>
      </c>
      <c r="K326" s="20" t="str">
        <f t="shared" si="64"/>
        <v/>
      </c>
      <c r="L326" s="24" t="str">
        <f t="shared" si="3"/>
        <v/>
      </c>
      <c r="M326" s="25">
        <f t="shared" si="65"/>
        <v>0</v>
      </c>
      <c r="N326" s="26">
        <f t="shared" si="66"/>
        <v>0</v>
      </c>
      <c r="O326" s="20" t="str">
        <f>IFERROR(Planejador!$I$243,"")</f>
        <v/>
      </c>
      <c r="P326" s="20" t="str">
        <f>Planejador!$I$235</f>
        <v/>
      </c>
      <c r="Q326" s="27">
        <f t="shared" si="67"/>
        <v>0</v>
      </c>
      <c r="R326" s="24" t="str">
        <f>Planejador!$I$237</f>
        <v/>
      </c>
      <c r="S326" s="16"/>
      <c r="T326" s="16"/>
      <c r="U326" s="16"/>
      <c r="V326" s="16"/>
      <c r="W326" s="16"/>
      <c r="X326" s="16"/>
      <c r="Y326" s="16"/>
      <c r="Z326" s="16"/>
    </row>
    <row r="327" ht="15.75" hidden="1" customHeight="1" outlineLevel="1">
      <c r="A327" s="17">
        <v>46337.0</v>
      </c>
      <c r="B327" s="18" t="str">
        <f t="shared" si="63"/>
        <v>quarta-feira</v>
      </c>
      <c r="C327" s="19"/>
      <c r="D327" s="20">
        <f>SUMIF('ADV - GG'!A:A,A327,'ADV - GG'!C:C)+SUMIF('ADV - FB'!A:A,$A327,'ADV - FB'!E:E)</f>
        <v>0</v>
      </c>
      <c r="E327" s="21">
        <f>SUMIF('ADV - GG'!A:A,A327,'ADV - GG'!H:H)+SUMIF('ADV - FB'!A:A,$A327,'ADV - FB'!I:I)+SUMIF('ADV - FB'!A:A,$A327,'ADV - FB'!J:J)+SUMIF('ADV - FB'!A:A,$A327,'ADV - FB'!K:K)</f>
        <v>0</v>
      </c>
      <c r="F327" s="20" t="str">
        <f t="shared" si="2"/>
        <v/>
      </c>
      <c r="G327" s="22"/>
      <c r="H327" s="22"/>
      <c r="I327" s="23"/>
      <c r="J327" s="22">
        <f>SUMIF('ADV - GA4'!A:A,A327,'ADV - GA4'!C:C)</f>
        <v>0</v>
      </c>
      <c r="K327" s="20" t="str">
        <f t="shared" si="64"/>
        <v/>
      </c>
      <c r="L327" s="24" t="str">
        <f t="shared" si="3"/>
        <v/>
      </c>
      <c r="M327" s="25">
        <f t="shared" si="65"/>
        <v>0</v>
      </c>
      <c r="N327" s="26">
        <f t="shared" si="66"/>
        <v>0</v>
      </c>
      <c r="O327" s="20" t="str">
        <f>IFERROR(Planejador!$I$243,"")</f>
        <v/>
      </c>
      <c r="P327" s="20" t="str">
        <f>Planejador!$I$235</f>
        <v/>
      </c>
      <c r="Q327" s="27">
        <f t="shared" si="67"/>
        <v>0</v>
      </c>
      <c r="R327" s="24" t="str">
        <f>Planejador!$I$237</f>
        <v/>
      </c>
      <c r="S327" s="16"/>
      <c r="T327" s="16"/>
      <c r="U327" s="16"/>
      <c r="V327" s="16"/>
      <c r="W327" s="16"/>
      <c r="X327" s="16"/>
      <c r="Y327" s="16"/>
      <c r="Z327" s="16"/>
    </row>
    <row r="328" ht="15.75" hidden="1" customHeight="1" outlineLevel="1">
      <c r="A328" s="17">
        <v>46338.0</v>
      </c>
      <c r="B328" s="18" t="str">
        <f t="shared" si="63"/>
        <v>quinta-feira</v>
      </c>
      <c r="C328" s="19"/>
      <c r="D328" s="20">
        <f>SUMIF('ADV - GG'!A:A,A328,'ADV - GG'!C:C)+SUMIF('ADV - FB'!A:A,$A328,'ADV - FB'!E:E)</f>
        <v>0</v>
      </c>
      <c r="E328" s="21">
        <f>SUMIF('ADV - GG'!A:A,A328,'ADV - GG'!H:H)+SUMIF('ADV - FB'!A:A,$A328,'ADV - FB'!I:I)+SUMIF('ADV - FB'!A:A,$A328,'ADV - FB'!J:J)+SUMIF('ADV - FB'!A:A,$A328,'ADV - FB'!K:K)</f>
        <v>0</v>
      </c>
      <c r="F328" s="20" t="str">
        <f t="shared" si="2"/>
        <v/>
      </c>
      <c r="G328" s="22"/>
      <c r="H328" s="22"/>
      <c r="I328" s="23"/>
      <c r="J328" s="22">
        <f>SUMIF('ADV - GA4'!A:A,A328,'ADV - GA4'!C:C)</f>
        <v>0</v>
      </c>
      <c r="K328" s="20" t="str">
        <f t="shared" si="64"/>
        <v/>
      </c>
      <c r="L328" s="24" t="str">
        <f t="shared" si="3"/>
        <v/>
      </c>
      <c r="M328" s="25">
        <f t="shared" si="65"/>
        <v>0</v>
      </c>
      <c r="N328" s="26">
        <f t="shared" si="66"/>
        <v>0</v>
      </c>
      <c r="O328" s="20" t="str">
        <f>IFERROR(Planejador!$I$243,"")</f>
        <v/>
      </c>
      <c r="P328" s="20" t="str">
        <f>Planejador!$I$235</f>
        <v/>
      </c>
      <c r="Q328" s="27">
        <f t="shared" si="67"/>
        <v>0</v>
      </c>
      <c r="R328" s="24" t="str">
        <f>Planejador!$I$237</f>
        <v/>
      </c>
      <c r="S328" s="16"/>
      <c r="T328" s="16"/>
      <c r="U328" s="16"/>
      <c r="V328" s="16"/>
      <c r="W328" s="16"/>
      <c r="X328" s="16"/>
      <c r="Y328" s="16"/>
      <c r="Z328" s="16"/>
    </row>
    <row r="329" ht="15.75" hidden="1" customHeight="1" outlineLevel="1">
      <c r="A329" s="17">
        <v>46339.0</v>
      </c>
      <c r="B329" s="18" t="str">
        <f t="shared" si="63"/>
        <v>sexta-feira</v>
      </c>
      <c r="C329" s="19"/>
      <c r="D329" s="20">
        <f>SUMIF('ADV - GG'!A:A,A329,'ADV - GG'!C:C)+SUMIF('ADV - FB'!A:A,$A329,'ADV - FB'!E:E)</f>
        <v>0</v>
      </c>
      <c r="E329" s="21">
        <f>SUMIF('ADV - GG'!A:A,A329,'ADV - GG'!H:H)+SUMIF('ADV - FB'!A:A,$A329,'ADV - FB'!I:I)+SUMIF('ADV - FB'!A:A,$A329,'ADV - FB'!J:J)+SUMIF('ADV - FB'!A:A,$A329,'ADV - FB'!K:K)</f>
        <v>0</v>
      </c>
      <c r="F329" s="20" t="str">
        <f t="shared" si="2"/>
        <v/>
      </c>
      <c r="G329" s="22"/>
      <c r="H329" s="22"/>
      <c r="I329" s="23"/>
      <c r="J329" s="22">
        <f>SUMIF('ADV - GA4'!A:A,A329,'ADV - GA4'!C:C)</f>
        <v>0</v>
      </c>
      <c r="K329" s="20" t="str">
        <f t="shared" si="64"/>
        <v/>
      </c>
      <c r="L329" s="24" t="str">
        <f t="shared" si="3"/>
        <v/>
      </c>
      <c r="M329" s="25">
        <f t="shared" si="65"/>
        <v>0</v>
      </c>
      <c r="N329" s="26">
        <f t="shared" si="66"/>
        <v>0</v>
      </c>
      <c r="O329" s="20" t="str">
        <f>IFERROR(Planejador!$I$243,"")</f>
        <v/>
      </c>
      <c r="P329" s="20" t="str">
        <f>Planejador!$I$235</f>
        <v/>
      </c>
      <c r="Q329" s="27">
        <f t="shared" si="67"/>
        <v>0</v>
      </c>
      <c r="R329" s="24" t="str">
        <f>Planejador!$I$237</f>
        <v/>
      </c>
      <c r="S329" s="16"/>
      <c r="T329" s="16"/>
      <c r="U329" s="16"/>
      <c r="V329" s="16"/>
      <c r="W329" s="16"/>
      <c r="X329" s="16"/>
      <c r="Y329" s="16"/>
      <c r="Z329" s="16"/>
    </row>
    <row r="330" ht="15.75" hidden="1" customHeight="1" outlineLevel="1">
      <c r="A330" s="17">
        <v>46340.0</v>
      </c>
      <c r="B330" s="18" t="str">
        <f t="shared" si="63"/>
        <v>sábado</v>
      </c>
      <c r="C330" s="19"/>
      <c r="D330" s="20">
        <f>SUMIF('ADV - GG'!A:A,A330,'ADV - GG'!C:C)+SUMIF('ADV - FB'!A:A,$A330,'ADV - FB'!E:E)</f>
        <v>0</v>
      </c>
      <c r="E330" s="21">
        <f>SUMIF('ADV - GG'!A:A,A330,'ADV - GG'!H:H)+SUMIF('ADV - FB'!A:A,$A330,'ADV - FB'!I:I)+SUMIF('ADV - FB'!A:A,$A330,'ADV - FB'!J:J)+SUMIF('ADV - FB'!A:A,$A330,'ADV - FB'!K:K)</f>
        <v>0</v>
      </c>
      <c r="F330" s="20" t="str">
        <f t="shared" si="2"/>
        <v/>
      </c>
      <c r="G330" s="22"/>
      <c r="H330" s="22"/>
      <c r="I330" s="23"/>
      <c r="J330" s="22">
        <f>SUMIF('ADV - GA4'!A:A,A330,'ADV - GA4'!C:C)</f>
        <v>0</v>
      </c>
      <c r="K330" s="20" t="str">
        <f t="shared" si="64"/>
        <v/>
      </c>
      <c r="L330" s="24" t="str">
        <f t="shared" si="3"/>
        <v/>
      </c>
      <c r="M330" s="25">
        <f t="shared" si="65"/>
        <v>0</v>
      </c>
      <c r="N330" s="26">
        <f t="shared" si="66"/>
        <v>0</v>
      </c>
      <c r="O330" s="20" t="str">
        <f>IFERROR(Planejador!$I$243,"")</f>
        <v/>
      </c>
      <c r="P330" s="20" t="str">
        <f>Planejador!$I$235</f>
        <v/>
      </c>
      <c r="Q330" s="27">
        <f t="shared" si="67"/>
        <v>0</v>
      </c>
      <c r="R330" s="24" t="str">
        <f>Planejador!$I$237</f>
        <v/>
      </c>
      <c r="S330" s="16"/>
      <c r="T330" s="16"/>
      <c r="U330" s="16"/>
      <c r="V330" s="16"/>
      <c r="W330" s="16"/>
      <c r="X330" s="16"/>
      <c r="Y330" s="16"/>
      <c r="Z330" s="16"/>
    </row>
    <row r="331" ht="15.75" hidden="1" customHeight="1" outlineLevel="1">
      <c r="A331" s="17">
        <v>46341.0</v>
      </c>
      <c r="B331" s="18" t="str">
        <f t="shared" si="63"/>
        <v>domingo</v>
      </c>
      <c r="C331" s="19"/>
      <c r="D331" s="20">
        <f>SUMIF('ADV - GG'!A:A,A331,'ADV - GG'!C:C)+SUMIF('ADV - FB'!A:A,$A331,'ADV - FB'!E:E)</f>
        <v>0</v>
      </c>
      <c r="E331" s="21">
        <f>SUMIF('ADV - GG'!A:A,A331,'ADV - GG'!H:H)+SUMIF('ADV - FB'!A:A,$A331,'ADV - FB'!I:I)+SUMIF('ADV - FB'!A:A,$A331,'ADV - FB'!J:J)+SUMIF('ADV - FB'!A:A,$A331,'ADV - FB'!K:K)</f>
        <v>0</v>
      </c>
      <c r="F331" s="20" t="str">
        <f t="shared" si="2"/>
        <v/>
      </c>
      <c r="G331" s="22"/>
      <c r="H331" s="22"/>
      <c r="I331" s="23"/>
      <c r="J331" s="22">
        <f>SUMIF('ADV - GA4'!A:A,A331,'ADV - GA4'!C:C)</f>
        <v>0</v>
      </c>
      <c r="K331" s="20" t="str">
        <f t="shared" si="64"/>
        <v/>
      </c>
      <c r="L331" s="24" t="str">
        <f t="shared" si="3"/>
        <v/>
      </c>
      <c r="M331" s="25">
        <f t="shared" si="65"/>
        <v>0</v>
      </c>
      <c r="N331" s="26">
        <f t="shared" si="66"/>
        <v>0</v>
      </c>
      <c r="O331" s="20" t="str">
        <f>IFERROR(Planejador!$I$243,"")</f>
        <v/>
      </c>
      <c r="P331" s="20" t="str">
        <f>Planejador!$I$235</f>
        <v/>
      </c>
      <c r="Q331" s="27">
        <f t="shared" si="67"/>
        <v>0</v>
      </c>
      <c r="R331" s="24" t="str">
        <f>Planejador!$I$237</f>
        <v/>
      </c>
      <c r="S331" s="16"/>
      <c r="T331" s="16"/>
      <c r="U331" s="16"/>
      <c r="V331" s="16"/>
      <c r="W331" s="16"/>
      <c r="X331" s="16"/>
      <c r="Y331" s="16"/>
      <c r="Z331" s="16"/>
    </row>
    <row r="332" ht="15.75" hidden="1" customHeight="1" outlineLevel="1">
      <c r="A332" s="17">
        <v>46342.0</v>
      </c>
      <c r="B332" s="18" t="str">
        <f t="shared" si="63"/>
        <v>segunda-feira</v>
      </c>
      <c r="C332" s="19"/>
      <c r="D332" s="20">
        <f>SUMIF('ADV - GG'!A:A,A332,'ADV - GG'!C:C)+SUMIF('ADV - FB'!A:A,$A332,'ADV - FB'!E:E)</f>
        <v>0</v>
      </c>
      <c r="E332" s="21">
        <f>SUMIF('ADV - GG'!A:A,A332,'ADV - GG'!H:H)+SUMIF('ADV - FB'!A:A,$A332,'ADV - FB'!I:I)+SUMIF('ADV - FB'!A:A,$A332,'ADV - FB'!J:J)+SUMIF('ADV - FB'!A:A,$A332,'ADV - FB'!K:K)</f>
        <v>0</v>
      </c>
      <c r="F332" s="20" t="str">
        <f t="shared" si="2"/>
        <v/>
      </c>
      <c r="G332" s="22"/>
      <c r="H332" s="22"/>
      <c r="I332" s="23"/>
      <c r="J332" s="22">
        <f>SUMIF('ADV - GA4'!A:A,A332,'ADV - GA4'!C:C)</f>
        <v>0</v>
      </c>
      <c r="K332" s="20" t="str">
        <f t="shared" si="64"/>
        <v/>
      </c>
      <c r="L332" s="24" t="str">
        <f t="shared" si="3"/>
        <v/>
      </c>
      <c r="M332" s="25">
        <f t="shared" si="65"/>
        <v>0</v>
      </c>
      <c r="N332" s="26">
        <f t="shared" si="66"/>
        <v>0</v>
      </c>
      <c r="O332" s="20" t="str">
        <f>IFERROR(Planejador!$I$243,"")</f>
        <v/>
      </c>
      <c r="P332" s="20" t="str">
        <f>Planejador!$I$235</f>
        <v/>
      </c>
      <c r="Q332" s="27">
        <f t="shared" si="67"/>
        <v>0</v>
      </c>
      <c r="R332" s="24" t="str">
        <f>Planejador!$I$237</f>
        <v/>
      </c>
      <c r="S332" s="16"/>
      <c r="T332" s="16"/>
      <c r="U332" s="16"/>
      <c r="V332" s="16"/>
      <c r="W332" s="16"/>
      <c r="X332" s="16"/>
      <c r="Y332" s="16"/>
      <c r="Z332" s="16"/>
    </row>
    <row r="333" ht="15.75" hidden="1" customHeight="1" outlineLevel="1">
      <c r="A333" s="17">
        <v>46343.0</v>
      </c>
      <c r="B333" s="18" t="str">
        <f t="shared" si="63"/>
        <v>terça-feira</v>
      </c>
      <c r="C333" s="19"/>
      <c r="D333" s="20">
        <f>SUMIF('ADV - GG'!A:A,A333,'ADV - GG'!C:C)+SUMIF('ADV - FB'!A:A,$A333,'ADV - FB'!E:E)</f>
        <v>0</v>
      </c>
      <c r="E333" s="21">
        <f>SUMIF('ADV - GG'!A:A,A333,'ADV - GG'!H:H)+SUMIF('ADV - FB'!A:A,$A333,'ADV - FB'!I:I)+SUMIF('ADV - FB'!A:A,$A333,'ADV - FB'!J:J)+SUMIF('ADV - FB'!A:A,$A333,'ADV - FB'!K:K)</f>
        <v>0</v>
      </c>
      <c r="F333" s="20" t="str">
        <f t="shared" si="2"/>
        <v/>
      </c>
      <c r="G333" s="22"/>
      <c r="H333" s="22"/>
      <c r="I333" s="23"/>
      <c r="J333" s="22">
        <f>SUMIF('ADV - GA4'!A:A,A333,'ADV - GA4'!C:C)</f>
        <v>0</v>
      </c>
      <c r="K333" s="20" t="str">
        <f t="shared" si="64"/>
        <v/>
      </c>
      <c r="L333" s="24" t="str">
        <f t="shared" si="3"/>
        <v/>
      </c>
      <c r="M333" s="25">
        <f t="shared" si="65"/>
        <v>0</v>
      </c>
      <c r="N333" s="26">
        <f t="shared" si="66"/>
        <v>0</v>
      </c>
      <c r="O333" s="20" t="str">
        <f>IFERROR(Planejador!$I$243,"")</f>
        <v/>
      </c>
      <c r="P333" s="20" t="str">
        <f>Planejador!$I$235</f>
        <v/>
      </c>
      <c r="Q333" s="27">
        <f t="shared" si="67"/>
        <v>0</v>
      </c>
      <c r="R333" s="24" t="str">
        <f>Planejador!$I$237</f>
        <v/>
      </c>
      <c r="S333" s="16"/>
      <c r="T333" s="16"/>
      <c r="U333" s="16"/>
      <c r="V333" s="16"/>
      <c r="W333" s="16"/>
      <c r="X333" s="16"/>
      <c r="Y333" s="16"/>
      <c r="Z333" s="16"/>
    </row>
    <row r="334" ht="15.75" hidden="1" customHeight="1" outlineLevel="1">
      <c r="A334" s="17">
        <v>46344.0</v>
      </c>
      <c r="B334" s="18" t="str">
        <f t="shared" si="63"/>
        <v>quarta-feira</v>
      </c>
      <c r="C334" s="19"/>
      <c r="D334" s="20">
        <f>SUMIF('ADV - GG'!A:A,A334,'ADV - GG'!C:C)+SUMIF('ADV - FB'!A:A,$A334,'ADV - FB'!E:E)</f>
        <v>0</v>
      </c>
      <c r="E334" s="21">
        <f>SUMIF('ADV - GG'!A:A,A334,'ADV - GG'!H:H)+SUMIF('ADV - FB'!A:A,$A334,'ADV - FB'!I:I)+SUMIF('ADV - FB'!A:A,$A334,'ADV - FB'!J:J)+SUMIF('ADV - FB'!A:A,$A334,'ADV - FB'!K:K)</f>
        <v>0</v>
      </c>
      <c r="F334" s="20" t="str">
        <f t="shared" si="2"/>
        <v/>
      </c>
      <c r="G334" s="22"/>
      <c r="H334" s="22"/>
      <c r="I334" s="23"/>
      <c r="J334" s="22">
        <f>SUMIF('ADV - GA4'!A:A,A334,'ADV - GA4'!C:C)</f>
        <v>0</v>
      </c>
      <c r="K334" s="20" t="str">
        <f t="shared" si="64"/>
        <v/>
      </c>
      <c r="L334" s="24" t="str">
        <f t="shared" si="3"/>
        <v/>
      </c>
      <c r="M334" s="25">
        <f t="shared" si="65"/>
        <v>0</v>
      </c>
      <c r="N334" s="26">
        <f t="shared" si="66"/>
        <v>0</v>
      </c>
      <c r="O334" s="20" t="str">
        <f>IFERROR(Planejador!$I$243,"")</f>
        <v/>
      </c>
      <c r="P334" s="20" t="str">
        <f>Planejador!$I$235</f>
        <v/>
      </c>
      <c r="Q334" s="27">
        <f t="shared" si="67"/>
        <v>0</v>
      </c>
      <c r="R334" s="24" t="str">
        <f>Planejador!$I$237</f>
        <v/>
      </c>
      <c r="S334" s="16"/>
      <c r="T334" s="16"/>
      <c r="U334" s="16"/>
      <c r="V334" s="16"/>
      <c r="W334" s="16"/>
      <c r="X334" s="16"/>
      <c r="Y334" s="16"/>
      <c r="Z334" s="16"/>
    </row>
    <row r="335" ht="15.75" hidden="1" customHeight="1" outlineLevel="1">
      <c r="A335" s="17">
        <v>46345.0</v>
      </c>
      <c r="B335" s="18" t="str">
        <f t="shared" si="63"/>
        <v>quinta-feira</v>
      </c>
      <c r="C335" s="19"/>
      <c r="D335" s="20">
        <f>SUMIF('ADV - GG'!A:A,A335,'ADV - GG'!C:C)+SUMIF('ADV - FB'!A:A,$A335,'ADV - FB'!E:E)</f>
        <v>0</v>
      </c>
      <c r="E335" s="21">
        <f>SUMIF('ADV - GG'!A:A,A335,'ADV - GG'!H:H)+SUMIF('ADV - FB'!A:A,$A335,'ADV - FB'!I:I)+SUMIF('ADV - FB'!A:A,$A335,'ADV - FB'!J:J)+SUMIF('ADV - FB'!A:A,$A335,'ADV - FB'!K:K)</f>
        <v>0</v>
      </c>
      <c r="F335" s="20" t="str">
        <f t="shared" si="2"/>
        <v/>
      </c>
      <c r="G335" s="22"/>
      <c r="H335" s="22"/>
      <c r="I335" s="23"/>
      <c r="J335" s="22">
        <f>SUMIF('ADV - GA4'!A:A,A335,'ADV - GA4'!C:C)</f>
        <v>0</v>
      </c>
      <c r="K335" s="20" t="str">
        <f t="shared" si="64"/>
        <v/>
      </c>
      <c r="L335" s="24" t="str">
        <f t="shared" si="3"/>
        <v/>
      </c>
      <c r="M335" s="25">
        <f t="shared" si="65"/>
        <v>0</v>
      </c>
      <c r="N335" s="26">
        <f t="shared" si="66"/>
        <v>0</v>
      </c>
      <c r="O335" s="20" t="str">
        <f>IFERROR(Planejador!$I$243,"")</f>
        <v/>
      </c>
      <c r="P335" s="20" t="str">
        <f>Planejador!$I$235</f>
        <v/>
      </c>
      <c r="Q335" s="27">
        <f t="shared" si="67"/>
        <v>0</v>
      </c>
      <c r="R335" s="24" t="str">
        <f>Planejador!$I$237</f>
        <v/>
      </c>
      <c r="S335" s="16"/>
      <c r="T335" s="16"/>
      <c r="U335" s="16"/>
      <c r="V335" s="16"/>
      <c r="W335" s="16"/>
      <c r="X335" s="16"/>
      <c r="Y335" s="16"/>
      <c r="Z335" s="16"/>
    </row>
    <row r="336" ht="15.75" hidden="1" customHeight="1" outlineLevel="1">
      <c r="A336" s="17">
        <v>46346.0</v>
      </c>
      <c r="B336" s="18" t="str">
        <f t="shared" si="63"/>
        <v>sexta-feira</v>
      </c>
      <c r="C336" s="19"/>
      <c r="D336" s="20">
        <f>SUMIF('ADV - GG'!A:A,A336,'ADV - GG'!C:C)+SUMIF('ADV - FB'!A:A,$A336,'ADV - FB'!E:E)</f>
        <v>0</v>
      </c>
      <c r="E336" s="21">
        <f>SUMIF('ADV - GG'!A:A,A336,'ADV - GG'!H:H)+SUMIF('ADV - FB'!A:A,$A336,'ADV - FB'!I:I)+SUMIF('ADV - FB'!A:A,$A336,'ADV - FB'!J:J)+SUMIF('ADV - FB'!A:A,$A336,'ADV - FB'!K:K)</f>
        <v>0</v>
      </c>
      <c r="F336" s="20" t="str">
        <f t="shared" si="2"/>
        <v/>
      </c>
      <c r="G336" s="22"/>
      <c r="H336" s="22"/>
      <c r="I336" s="23"/>
      <c r="J336" s="22">
        <f>SUMIF('ADV - GA4'!A:A,A336,'ADV - GA4'!C:C)</f>
        <v>0</v>
      </c>
      <c r="K336" s="20" t="str">
        <f t="shared" si="64"/>
        <v/>
      </c>
      <c r="L336" s="24" t="str">
        <f t="shared" si="3"/>
        <v/>
      </c>
      <c r="M336" s="25">
        <f t="shared" si="65"/>
        <v>0</v>
      </c>
      <c r="N336" s="26">
        <f t="shared" si="66"/>
        <v>0</v>
      </c>
      <c r="O336" s="20" t="str">
        <f>IFERROR(Planejador!$I$243,"")</f>
        <v/>
      </c>
      <c r="P336" s="20" t="str">
        <f>Planejador!$I$235</f>
        <v/>
      </c>
      <c r="Q336" s="27">
        <f t="shared" si="67"/>
        <v>0</v>
      </c>
      <c r="R336" s="24" t="str">
        <f>Planejador!$I$237</f>
        <v/>
      </c>
      <c r="S336" s="16"/>
      <c r="T336" s="16"/>
      <c r="U336" s="16"/>
      <c r="V336" s="16"/>
      <c r="W336" s="16"/>
      <c r="X336" s="16"/>
      <c r="Y336" s="16"/>
      <c r="Z336" s="16"/>
    </row>
    <row r="337" ht="15.75" hidden="1" customHeight="1" outlineLevel="1">
      <c r="A337" s="17">
        <v>46347.0</v>
      </c>
      <c r="B337" s="18" t="str">
        <f t="shared" si="63"/>
        <v>sábado</v>
      </c>
      <c r="C337" s="19"/>
      <c r="D337" s="20">
        <f>SUMIF('ADV - GG'!A:A,A337,'ADV - GG'!C:C)+SUMIF('ADV - FB'!A:A,$A337,'ADV - FB'!E:E)</f>
        <v>0</v>
      </c>
      <c r="E337" s="21">
        <f>SUMIF('ADV - GG'!A:A,A337,'ADV - GG'!H:H)+SUMIF('ADV - FB'!A:A,$A337,'ADV - FB'!I:I)+SUMIF('ADV - FB'!A:A,$A337,'ADV - FB'!J:J)+SUMIF('ADV - FB'!A:A,$A337,'ADV - FB'!K:K)</f>
        <v>0</v>
      </c>
      <c r="F337" s="20" t="str">
        <f t="shared" si="2"/>
        <v/>
      </c>
      <c r="G337" s="22"/>
      <c r="H337" s="22"/>
      <c r="I337" s="23"/>
      <c r="J337" s="22">
        <f>SUMIF('ADV - GA4'!A:A,A337,'ADV - GA4'!C:C)</f>
        <v>0</v>
      </c>
      <c r="K337" s="20" t="str">
        <f t="shared" si="64"/>
        <v/>
      </c>
      <c r="L337" s="24" t="str">
        <f t="shared" si="3"/>
        <v/>
      </c>
      <c r="M337" s="25">
        <f t="shared" si="65"/>
        <v>0</v>
      </c>
      <c r="N337" s="26">
        <f t="shared" si="66"/>
        <v>0</v>
      </c>
      <c r="O337" s="20" t="str">
        <f>IFERROR(Planejador!$I$243,"")</f>
        <v/>
      </c>
      <c r="P337" s="20" t="str">
        <f>Planejador!$I$235</f>
        <v/>
      </c>
      <c r="Q337" s="27">
        <f t="shared" si="67"/>
        <v>0</v>
      </c>
      <c r="R337" s="24" t="str">
        <f>Planejador!$I$237</f>
        <v/>
      </c>
      <c r="S337" s="16"/>
      <c r="T337" s="16"/>
      <c r="U337" s="16"/>
      <c r="V337" s="16"/>
      <c r="W337" s="16"/>
      <c r="X337" s="16"/>
      <c r="Y337" s="16"/>
      <c r="Z337" s="16"/>
    </row>
    <row r="338" ht="15.75" hidden="1" customHeight="1" outlineLevel="1">
      <c r="A338" s="17">
        <v>46348.0</v>
      </c>
      <c r="B338" s="18" t="str">
        <f t="shared" si="63"/>
        <v>domingo</v>
      </c>
      <c r="C338" s="19"/>
      <c r="D338" s="20">
        <f>SUMIF('ADV - GG'!A:A,A338,'ADV - GG'!C:C)+SUMIF('ADV - FB'!A:A,$A338,'ADV - FB'!E:E)</f>
        <v>0</v>
      </c>
      <c r="E338" s="21">
        <f>SUMIF('ADV - GG'!A:A,A338,'ADV - GG'!H:H)+SUMIF('ADV - FB'!A:A,$A338,'ADV - FB'!I:I)+SUMIF('ADV - FB'!A:A,$A338,'ADV - FB'!J:J)+SUMIF('ADV - FB'!A:A,$A338,'ADV - FB'!K:K)</f>
        <v>0</v>
      </c>
      <c r="F338" s="20" t="str">
        <f t="shared" si="2"/>
        <v/>
      </c>
      <c r="G338" s="22"/>
      <c r="H338" s="22"/>
      <c r="I338" s="23"/>
      <c r="J338" s="22">
        <f>SUMIF('ADV - GA4'!A:A,A338,'ADV - GA4'!C:C)</f>
        <v>0</v>
      </c>
      <c r="K338" s="20" t="str">
        <f t="shared" si="64"/>
        <v/>
      </c>
      <c r="L338" s="24" t="str">
        <f t="shared" si="3"/>
        <v/>
      </c>
      <c r="M338" s="25">
        <f t="shared" si="65"/>
        <v>0</v>
      </c>
      <c r="N338" s="26">
        <f t="shared" si="66"/>
        <v>0</v>
      </c>
      <c r="O338" s="20" t="str">
        <f>IFERROR(Planejador!$I$243,"")</f>
        <v/>
      </c>
      <c r="P338" s="20" t="str">
        <f>Planejador!$I$235</f>
        <v/>
      </c>
      <c r="Q338" s="27">
        <f t="shared" si="67"/>
        <v>0</v>
      </c>
      <c r="R338" s="24" t="str">
        <f>Planejador!$I$237</f>
        <v/>
      </c>
      <c r="S338" s="16"/>
      <c r="T338" s="16"/>
      <c r="U338" s="16"/>
      <c r="V338" s="16"/>
      <c r="W338" s="16"/>
      <c r="X338" s="16"/>
      <c r="Y338" s="16"/>
      <c r="Z338" s="16"/>
    </row>
    <row r="339" ht="15.75" hidden="1" customHeight="1" outlineLevel="1">
      <c r="A339" s="17">
        <v>46349.0</v>
      </c>
      <c r="B339" s="18" t="str">
        <f t="shared" si="63"/>
        <v>segunda-feira</v>
      </c>
      <c r="C339" s="19"/>
      <c r="D339" s="20">
        <f>SUMIF('ADV - GG'!A:A,A339,'ADV - GG'!C:C)+SUMIF('ADV - FB'!A:A,$A339,'ADV - FB'!E:E)</f>
        <v>0</v>
      </c>
      <c r="E339" s="21">
        <f>SUMIF('ADV - GG'!A:A,A339,'ADV - GG'!H:H)+SUMIF('ADV - FB'!A:A,$A339,'ADV - FB'!I:I)+SUMIF('ADV - FB'!A:A,$A339,'ADV - FB'!J:J)+SUMIF('ADV - FB'!A:A,$A339,'ADV - FB'!K:K)</f>
        <v>0</v>
      </c>
      <c r="F339" s="20" t="str">
        <f t="shared" si="2"/>
        <v/>
      </c>
      <c r="G339" s="22"/>
      <c r="H339" s="22"/>
      <c r="I339" s="23"/>
      <c r="J339" s="22">
        <f>SUMIF('ADV - GA4'!A:A,A339,'ADV - GA4'!C:C)</f>
        <v>0</v>
      </c>
      <c r="K339" s="20" t="str">
        <f t="shared" si="64"/>
        <v/>
      </c>
      <c r="L339" s="24" t="str">
        <f t="shared" si="3"/>
        <v/>
      </c>
      <c r="M339" s="25">
        <f t="shared" si="65"/>
        <v>0</v>
      </c>
      <c r="N339" s="26">
        <f t="shared" si="66"/>
        <v>0</v>
      </c>
      <c r="O339" s="20" t="str">
        <f>IFERROR(Planejador!$I$243,"")</f>
        <v/>
      </c>
      <c r="P339" s="20" t="str">
        <f>Planejador!$I$235</f>
        <v/>
      </c>
      <c r="Q339" s="27">
        <f t="shared" si="67"/>
        <v>0</v>
      </c>
      <c r="R339" s="24" t="str">
        <f>Planejador!$I$237</f>
        <v/>
      </c>
      <c r="S339" s="16"/>
      <c r="T339" s="16"/>
      <c r="U339" s="16"/>
      <c r="V339" s="16"/>
      <c r="W339" s="16"/>
      <c r="X339" s="16"/>
      <c r="Y339" s="16"/>
      <c r="Z339" s="16"/>
    </row>
    <row r="340" ht="15.75" hidden="1" customHeight="1" outlineLevel="1">
      <c r="A340" s="17">
        <v>46350.0</v>
      </c>
      <c r="B340" s="18" t="str">
        <f t="shared" si="63"/>
        <v>terça-feira</v>
      </c>
      <c r="C340" s="19"/>
      <c r="D340" s="20">
        <f>SUMIF('ADV - GG'!A:A,A340,'ADV - GG'!C:C)+SUMIF('ADV - FB'!A:A,$A340,'ADV - FB'!E:E)</f>
        <v>0</v>
      </c>
      <c r="E340" s="21">
        <f>SUMIF('ADV - GG'!A:A,A340,'ADV - GG'!H:H)+SUMIF('ADV - FB'!A:A,$A340,'ADV - FB'!I:I)+SUMIF('ADV - FB'!A:A,$A340,'ADV - FB'!J:J)+SUMIF('ADV - FB'!A:A,$A340,'ADV - FB'!K:K)</f>
        <v>0</v>
      </c>
      <c r="F340" s="20" t="str">
        <f t="shared" si="2"/>
        <v/>
      </c>
      <c r="G340" s="22"/>
      <c r="H340" s="22"/>
      <c r="I340" s="23"/>
      <c r="J340" s="22">
        <f>SUMIF('ADV - GA4'!A:A,A340,'ADV - GA4'!C:C)</f>
        <v>0</v>
      </c>
      <c r="K340" s="20" t="str">
        <f t="shared" si="64"/>
        <v/>
      </c>
      <c r="L340" s="24" t="str">
        <f t="shared" si="3"/>
        <v/>
      </c>
      <c r="M340" s="25">
        <f t="shared" si="65"/>
        <v>0</v>
      </c>
      <c r="N340" s="26">
        <f t="shared" si="66"/>
        <v>0</v>
      </c>
      <c r="O340" s="20" t="str">
        <f>IFERROR(Planejador!$I$243,"")</f>
        <v/>
      </c>
      <c r="P340" s="20" t="str">
        <f>Planejador!$I$235</f>
        <v/>
      </c>
      <c r="Q340" s="27">
        <f t="shared" si="67"/>
        <v>0</v>
      </c>
      <c r="R340" s="24" t="str">
        <f>Planejador!$I$237</f>
        <v/>
      </c>
      <c r="S340" s="16"/>
      <c r="T340" s="16"/>
      <c r="U340" s="16"/>
      <c r="V340" s="16"/>
      <c r="W340" s="16"/>
      <c r="X340" s="16"/>
      <c r="Y340" s="16"/>
      <c r="Z340" s="16"/>
    </row>
    <row r="341" ht="15.75" hidden="1" customHeight="1" outlineLevel="1">
      <c r="A341" s="17">
        <v>46351.0</v>
      </c>
      <c r="B341" s="18" t="str">
        <f t="shared" si="63"/>
        <v>quarta-feira</v>
      </c>
      <c r="C341" s="19"/>
      <c r="D341" s="20">
        <f>SUMIF('ADV - GG'!A:A,A341,'ADV - GG'!C:C)+SUMIF('ADV - FB'!A:A,$A341,'ADV - FB'!E:E)</f>
        <v>0</v>
      </c>
      <c r="E341" s="21">
        <f>SUMIF('ADV - GG'!A:A,A341,'ADV - GG'!H:H)+SUMIF('ADV - FB'!A:A,$A341,'ADV - FB'!I:I)+SUMIF('ADV - FB'!A:A,$A341,'ADV - FB'!J:J)+SUMIF('ADV - FB'!A:A,$A341,'ADV - FB'!K:K)</f>
        <v>0</v>
      </c>
      <c r="F341" s="20" t="str">
        <f t="shared" si="2"/>
        <v/>
      </c>
      <c r="G341" s="22"/>
      <c r="H341" s="22"/>
      <c r="I341" s="23"/>
      <c r="J341" s="22">
        <f>SUMIF('ADV - GA4'!A:A,A341,'ADV - GA4'!C:C)</f>
        <v>0</v>
      </c>
      <c r="K341" s="20" t="str">
        <f t="shared" si="64"/>
        <v/>
      </c>
      <c r="L341" s="24" t="str">
        <f t="shared" si="3"/>
        <v/>
      </c>
      <c r="M341" s="25">
        <f t="shared" si="65"/>
        <v>0</v>
      </c>
      <c r="N341" s="26">
        <f t="shared" si="66"/>
        <v>0</v>
      </c>
      <c r="O341" s="20" t="str">
        <f>IFERROR(Planejador!$I$243,"")</f>
        <v/>
      </c>
      <c r="P341" s="20" t="str">
        <f>Planejador!$I$235</f>
        <v/>
      </c>
      <c r="Q341" s="27">
        <f t="shared" si="67"/>
        <v>0</v>
      </c>
      <c r="R341" s="24" t="str">
        <f>Planejador!$I$237</f>
        <v/>
      </c>
      <c r="S341" s="16"/>
      <c r="T341" s="16"/>
      <c r="U341" s="16"/>
      <c r="V341" s="16"/>
      <c r="W341" s="16"/>
      <c r="X341" s="16"/>
      <c r="Y341" s="16"/>
      <c r="Z341" s="16"/>
    </row>
    <row r="342" ht="15.75" hidden="1" customHeight="1" outlineLevel="1">
      <c r="A342" s="17">
        <v>46352.0</v>
      </c>
      <c r="B342" s="18" t="str">
        <f t="shared" si="63"/>
        <v>quinta-feira</v>
      </c>
      <c r="C342" s="19"/>
      <c r="D342" s="20">
        <f>SUMIF('ADV - GG'!A:A,A342,'ADV - GG'!C:C)+SUMIF('ADV - FB'!A:A,$A342,'ADV - FB'!E:E)</f>
        <v>0</v>
      </c>
      <c r="E342" s="21">
        <f>SUMIF('ADV - GG'!A:A,A342,'ADV - GG'!H:H)+SUMIF('ADV - FB'!A:A,$A342,'ADV - FB'!I:I)+SUMIF('ADV - FB'!A:A,$A342,'ADV - FB'!J:J)+SUMIF('ADV - FB'!A:A,$A342,'ADV - FB'!K:K)</f>
        <v>0</v>
      </c>
      <c r="F342" s="20" t="str">
        <f t="shared" si="2"/>
        <v/>
      </c>
      <c r="G342" s="22"/>
      <c r="H342" s="22"/>
      <c r="I342" s="23"/>
      <c r="J342" s="22">
        <f>SUMIF('ADV - GA4'!A:A,A342,'ADV - GA4'!C:C)</f>
        <v>0</v>
      </c>
      <c r="K342" s="20" t="str">
        <f t="shared" si="64"/>
        <v/>
      </c>
      <c r="L342" s="24" t="str">
        <f t="shared" si="3"/>
        <v/>
      </c>
      <c r="M342" s="25">
        <f t="shared" si="65"/>
        <v>0</v>
      </c>
      <c r="N342" s="26">
        <f t="shared" si="66"/>
        <v>0</v>
      </c>
      <c r="O342" s="20" t="str">
        <f>IFERROR(Planejador!$I$243,"")</f>
        <v/>
      </c>
      <c r="P342" s="20" t="str">
        <f>Planejador!$I$235</f>
        <v/>
      </c>
      <c r="Q342" s="27">
        <f t="shared" si="67"/>
        <v>0</v>
      </c>
      <c r="R342" s="24" t="str">
        <f>Planejador!$I$237</f>
        <v/>
      </c>
      <c r="S342" s="16"/>
      <c r="T342" s="16"/>
      <c r="U342" s="16"/>
      <c r="V342" s="16"/>
      <c r="W342" s="16"/>
      <c r="X342" s="16"/>
      <c r="Y342" s="16"/>
      <c r="Z342" s="16"/>
    </row>
    <row r="343" ht="15.75" hidden="1" customHeight="1" outlineLevel="1">
      <c r="A343" s="17">
        <v>46353.0</v>
      </c>
      <c r="B343" s="18" t="str">
        <f t="shared" si="63"/>
        <v>sexta-feira</v>
      </c>
      <c r="C343" s="19"/>
      <c r="D343" s="20">
        <f>SUMIF('ADV - GG'!A:A,A343,'ADV - GG'!C:C)+SUMIF('ADV - FB'!A:A,$A343,'ADV - FB'!E:E)</f>
        <v>0</v>
      </c>
      <c r="E343" s="21">
        <f>SUMIF('ADV - GG'!A:A,A343,'ADV - GG'!H:H)+SUMIF('ADV - FB'!A:A,$A343,'ADV - FB'!I:I)+SUMIF('ADV - FB'!A:A,$A343,'ADV - FB'!J:J)+SUMIF('ADV - FB'!A:A,$A343,'ADV - FB'!K:K)</f>
        <v>0</v>
      </c>
      <c r="F343" s="20" t="str">
        <f t="shared" si="2"/>
        <v/>
      </c>
      <c r="G343" s="22"/>
      <c r="H343" s="22"/>
      <c r="I343" s="23"/>
      <c r="J343" s="22">
        <f>SUMIF('ADV - GA4'!A:A,A343,'ADV - GA4'!C:C)</f>
        <v>0</v>
      </c>
      <c r="K343" s="20" t="str">
        <f t="shared" si="64"/>
        <v/>
      </c>
      <c r="L343" s="24" t="str">
        <f t="shared" si="3"/>
        <v/>
      </c>
      <c r="M343" s="25">
        <f t="shared" si="65"/>
        <v>0</v>
      </c>
      <c r="N343" s="26">
        <f t="shared" si="66"/>
        <v>0</v>
      </c>
      <c r="O343" s="20" t="str">
        <f>IFERROR(Planejador!$I$243,"")</f>
        <v/>
      </c>
      <c r="P343" s="20" t="str">
        <f>Planejador!$I$235</f>
        <v/>
      </c>
      <c r="Q343" s="27">
        <f t="shared" si="67"/>
        <v>0</v>
      </c>
      <c r="R343" s="24" t="str">
        <f>Planejador!$I$237</f>
        <v/>
      </c>
      <c r="S343" s="16"/>
      <c r="T343" s="16"/>
      <c r="U343" s="16"/>
      <c r="V343" s="16"/>
      <c r="W343" s="16"/>
      <c r="X343" s="16"/>
      <c r="Y343" s="16"/>
      <c r="Z343" s="16"/>
    </row>
    <row r="344" ht="15.75" hidden="1" customHeight="1" outlineLevel="1">
      <c r="A344" s="17">
        <v>46354.0</v>
      </c>
      <c r="B344" s="18" t="str">
        <f t="shared" si="63"/>
        <v>sábado</v>
      </c>
      <c r="C344" s="19"/>
      <c r="D344" s="20">
        <f>SUMIF('ADV - GG'!A:A,A344,'ADV - GG'!C:C)+SUMIF('ADV - FB'!A:A,$A344,'ADV - FB'!E:E)</f>
        <v>0</v>
      </c>
      <c r="E344" s="21">
        <f>SUMIF('ADV - GG'!A:A,A344,'ADV - GG'!H:H)+SUMIF('ADV - FB'!A:A,$A344,'ADV - FB'!I:I)+SUMIF('ADV - FB'!A:A,$A344,'ADV - FB'!J:J)+SUMIF('ADV - FB'!A:A,$A344,'ADV - FB'!K:K)</f>
        <v>0</v>
      </c>
      <c r="F344" s="20" t="str">
        <f t="shared" si="2"/>
        <v/>
      </c>
      <c r="G344" s="22"/>
      <c r="H344" s="22"/>
      <c r="I344" s="23"/>
      <c r="J344" s="22">
        <f>SUMIF('ADV - GA4'!A:A,A344,'ADV - GA4'!C:C)</f>
        <v>0</v>
      </c>
      <c r="K344" s="20" t="str">
        <f t="shared" si="64"/>
        <v/>
      </c>
      <c r="L344" s="24" t="str">
        <f t="shared" si="3"/>
        <v/>
      </c>
      <c r="M344" s="25">
        <f t="shared" si="65"/>
        <v>0</v>
      </c>
      <c r="N344" s="26">
        <f t="shared" si="66"/>
        <v>0</v>
      </c>
      <c r="O344" s="20" t="str">
        <f>IFERROR(Planejador!$I$243,"")</f>
        <v/>
      </c>
      <c r="P344" s="20" t="str">
        <f>Planejador!$I$235</f>
        <v/>
      </c>
      <c r="Q344" s="27">
        <f t="shared" si="67"/>
        <v>0</v>
      </c>
      <c r="R344" s="24" t="str">
        <f>Planejador!$I$237</f>
        <v/>
      </c>
      <c r="S344" s="16"/>
      <c r="T344" s="16"/>
      <c r="U344" s="16"/>
      <c r="V344" s="16"/>
      <c r="W344" s="16"/>
      <c r="X344" s="16"/>
      <c r="Y344" s="16"/>
      <c r="Z344" s="16"/>
    </row>
    <row r="345" ht="15.75" hidden="1" customHeight="1" outlineLevel="1">
      <c r="A345" s="17">
        <v>46355.0</v>
      </c>
      <c r="B345" s="18" t="str">
        <f t="shared" si="63"/>
        <v>domingo</v>
      </c>
      <c r="C345" s="19"/>
      <c r="D345" s="20">
        <f>SUMIF('ADV - GG'!A:A,A345,'ADV - GG'!C:C)+SUMIF('ADV - FB'!A:A,$A345,'ADV - FB'!E:E)</f>
        <v>0</v>
      </c>
      <c r="E345" s="21">
        <f>SUMIF('ADV - GG'!A:A,A345,'ADV - GG'!H:H)+SUMIF('ADV - FB'!A:A,$A345,'ADV - FB'!I:I)+SUMIF('ADV - FB'!A:A,$A345,'ADV - FB'!J:J)+SUMIF('ADV - FB'!A:A,$A345,'ADV - FB'!K:K)</f>
        <v>0</v>
      </c>
      <c r="F345" s="20" t="str">
        <f t="shared" si="2"/>
        <v/>
      </c>
      <c r="G345" s="22"/>
      <c r="H345" s="22"/>
      <c r="I345" s="23"/>
      <c r="J345" s="22">
        <f>SUMIF('ADV - GA4'!A:A,A345,'ADV - GA4'!C:C)</f>
        <v>0</v>
      </c>
      <c r="K345" s="20" t="str">
        <f t="shared" si="64"/>
        <v/>
      </c>
      <c r="L345" s="24" t="str">
        <f t="shared" si="3"/>
        <v/>
      </c>
      <c r="M345" s="25">
        <f t="shared" si="65"/>
        <v>0</v>
      </c>
      <c r="N345" s="26">
        <f t="shared" si="66"/>
        <v>0</v>
      </c>
      <c r="O345" s="20" t="str">
        <f>IFERROR(Planejador!$I$243,"")</f>
        <v/>
      </c>
      <c r="P345" s="20" t="str">
        <f>Planejador!$I$235</f>
        <v/>
      </c>
      <c r="Q345" s="27">
        <f t="shared" si="67"/>
        <v>0</v>
      </c>
      <c r="R345" s="24" t="str">
        <f>Planejador!$I$237</f>
        <v/>
      </c>
      <c r="S345" s="16"/>
      <c r="T345" s="16"/>
      <c r="U345" s="16"/>
      <c r="V345" s="16"/>
      <c r="W345" s="16"/>
      <c r="X345" s="16"/>
      <c r="Y345" s="16"/>
      <c r="Z345" s="16"/>
    </row>
    <row r="346" ht="15.75" hidden="1" customHeight="1" outlineLevel="1">
      <c r="A346" s="17">
        <v>46356.0</v>
      </c>
      <c r="B346" s="18" t="str">
        <f t="shared" si="63"/>
        <v>segunda-feira</v>
      </c>
      <c r="C346" s="19"/>
      <c r="D346" s="20">
        <f>SUMIF('ADV - GG'!A:A,A346,'ADV - GG'!C:C)+SUMIF('ADV - FB'!A:A,$A346,'ADV - FB'!E:E)</f>
        <v>0</v>
      </c>
      <c r="E346" s="21">
        <f>SUMIF('ADV - GG'!A:A,A346,'ADV - GG'!H:H)+SUMIF('ADV - FB'!A:A,$A346,'ADV - FB'!I:I)+SUMIF('ADV - FB'!A:A,$A346,'ADV - FB'!J:J)+SUMIF('ADV - FB'!A:A,$A346,'ADV - FB'!K:K)</f>
        <v>0</v>
      </c>
      <c r="F346" s="20" t="str">
        <f t="shared" si="2"/>
        <v/>
      </c>
      <c r="G346" s="22"/>
      <c r="H346" s="22"/>
      <c r="I346" s="23"/>
      <c r="J346" s="22">
        <f>SUMIF('ADV - GA4'!A:A,A346,'ADV - GA4'!C:C)</f>
        <v>0</v>
      </c>
      <c r="K346" s="20" t="str">
        <f t="shared" si="64"/>
        <v/>
      </c>
      <c r="L346" s="24" t="str">
        <f t="shared" si="3"/>
        <v/>
      </c>
      <c r="M346" s="25">
        <f t="shared" si="65"/>
        <v>0</v>
      </c>
      <c r="N346" s="26">
        <f t="shared" si="66"/>
        <v>0</v>
      </c>
      <c r="O346" s="20" t="str">
        <f>IFERROR(Planejador!$I$243,"")</f>
        <v/>
      </c>
      <c r="P346" s="20" t="str">
        <f>Planejador!$I$235</f>
        <v/>
      </c>
      <c r="Q346" s="27">
        <f t="shared" si="67"/>
        <v>0</v>
      </c>
      <c r="R346" s="24" t="str">
        <f>Planejador!$I$237</f>
        <v/>
      </c>
      <c r="S346" s="16"/>
      <c r="T346" s="16"/>
      <c r="U346" s="16"/>
      <c r="V346" s="16"/>
      <c r="W346" s="16"/>
      <c r="X346" s="16"/>
      <c r="Y346" s="16"/>
      <c r="Z346" s="16"/>
    </row>
    <row r="347" ht="22.5" customHeight="1" collapsed="1">
      <c r="A347" s="28" t="s">
        <v>36</v>
      </c>
      <c r="B347" s="29">
        <v>31.0</v>
      </c>
      <c r="C347" s="30"/>
      <c r="D347" s="10">
        <f>IFERROR(SUM(D348:D378),"")</f>
        <v>0</v>
      </c>
      <c r="E347" s="11">
        <f>iferror(SUM(E348:E378),"")</f>
        <v>0</v>
      </c>
      <c r="F347" s="14" t="str">
        <f t="shared" si="2"/>
        <v/>
      </c>
      <c r="G347" s="13">
        <f t="shared" ref="G347:I347" si="68">iferror(SUM(G348:G378),"")</f>
        <v>0</v>
      </c>
      <c r="H347" s="13">
        <f t="shared" si="68"/>
        <v>0</v>
      </c>
      <c r="I347" s="10">
        <f t="shared" si="68"/>
        <v>0</v>
      </c>
      <c r="J347" s="13">
        <f>IFERROR(SUM(J348:J378),"")</f>
        <v>0</v>
      </c>
      <c r="K347" s="14" t="str">
        <f>iferror(D347/J347,"")</f>
        <v/>
      </c>
      <c r="L347" s="15" t="str">
        <f t="shared" si="3"/>
        <v/>
      </c>
      <c r="M347" s="10" t="str">
        <f>Planejador!$I$257</f>
        <v/>
      </c>
      <c r="N347" s="13" t="str">
        <f>iferror(Planejador!$I$264,"")</f>
        <v/>
      </c>
      <c r="O347" s="14" t="str">
        <f>iferror(Planejador!$I$266,"")</f>
        <v/>
      </c>
      <c r="P347" s="14" t="str">
        <f>iferror(Planejador!$I$258,"")</f>
        <v/>
      </c>
      <c r="Q347" s="13" t="str">
        <f>iferror(Planejador!$I$263,"")</f>
        <v/>
      </c>
      <c r="R347" s="15" t="str">
        <f>Iferror(Planejador!$I$260,"")</f>
        <v/>
      </c>
      <c r="S347" s="31"/>
      <c r="T347" s="31"/>
      <c r="U347" s="31"/>
      <c r="V347" s="31"/>
      <c r="W347" s="31"/>
      <c r="X347" s="31"/>
      <c r="Y347" s="31"/>
      <c r="Z347" s="31"/>
    </row>
    <row r="348" ht="15.75" hidden="1" customHeight="1" outlineLevel="1">
      <c r="A348" s="17">
        <v>46357.0</v>
      </c>
      <c r="B348" s="18" t="str">
        <f t="shared" ref="B348:B378" si="69">TEXT(A348,"dddd")</f>
        <v>terça-feira</v>
      </c>
      <c r="C348" s="32"/>
      <c r="D348" s="20">
        <f>SUMIF('ADV - GG'!A:A,A348,'ADV - GG'!C:C)+SUMIF('ADV - FB'!A:A,$A348,'ADV - FB'!E:E)</f>
        <v>0</v>
      </c>
      <c r="E348" s="33">
        <f>SUMIF('ADV - GG'!A:A,A348,'ADV - GG'!H:H)+SUMIF('ADV - FB'!A:A,$A348,'ADV - FB'!I:I)+SUMIF('ADV - FB'!A:A,$A348,'ADV - FB'!J:J)+SUMIF('ADV - FB'!A:A,$A348,'ADV - FB'!K:K)</f>
        <v>0</v>
      </c>
      <c r="F348" s="20" t="str">
        <f t="shared" ref="F348:F378" si="70">IFERROR(E348/D348,"")</f>
        <v/>
      </c>
      <c r="G348" s="34"/>
      <c r="H348" s="34"/>
      <c r="I348" s="35"/>
      <c r="J348" s="22">
        <f>SUMIF('ADV - GA4'!A:A,A348,'ADV - GA4'!C:C)</f>
        <v>0</v>
      </c>
      <c r="K348" s="20" t="str">
        <f t="shared" ref="K348:K378" si="71">IFERROR(D348/J348,"")</f>
        <v/>
      </c>
      <c r="L348" s="24" t="str">
        <f t="shared" si="3"/>
        <v/>
      </c>
      <c r="M348" s="36">
        <f t="shared" ref="M348:M378" si="72">$M$347/$B$347</f>
        <v>0</v>
      </c>
      <c r="N348" s="26">
        <f t="shared" ref="N348:N378" si="73">iferror($N$347/$B$347,"")</f>
        <v>0</v>
      </c>
      <c r="O348" s="37" t="str">
        <f>IFERROR(Planejador!$I$266,"")</f>
        <v/>
      </c>
      <c r="P348" s="37" t="str">
        <f>Planejador!$I$258</f>
        <v/>
      </c>
      <c r="Q348" s="38">
        <f t="shared" ref="Q348:Q378" si="74">$Q$347/$B$347</f>
        <v>0</v>
      </c>
      <c r="R348" s="39" t="str">
        <f>Planejador!$I$260</f>
        <v/>
      </c>
      <c r="S348" s="16"/>
      <c r="T348" s="16"/>
      <c r="U348" s="16"/>
      <c r="V348" s="16"/>
      <c r="W348" s="16"/>
      <c r="X348" s="16"/>
      <c r="Y348" s="16"/>
      <c r="Z348" s="16"/>
    </row>
    <row r="349" ht="15.75" hidden="1" customHeight="1" outlineLevel="1">
      <c r="A349" s="17">
        <v>46358.0</v>
      </c>
      <c r="B349" s="18" t="str">
        <f t="shared" si="69"/>
        <v>quarta-feira</v>
      </c>
      <c r="C349" s="32"/>
      <c r="D349" s="20">
        <f>SUMIF('ADV - GG'!A:A,A349,'ADV - GG'!C:C)+SUMIF('ADV - FB'!A:A,$A349,'ADV - FB'!E:E)</f>
        <v>0</v>
      </c>
      <c r="E349" s="33">
        <f>SUMIF('ADV - GG'!A:A,A349,'ADV - GG'!H:H)+SUMIF('ADV - FB'!A:A,$A349,'ADV - FB'!I:I)+SUMIF('ADV - FB'!A:A,$A349,'ADV - FB'!J:J)+SUMIF('ADV - FB'!A:A,$A349,'ADV - FB'!K:K)</f>
        <v>0</v>
      </c>
      <c r="F349" s="20" t="str">
        <f t="shared" si="70"/>
        <v/>
      </c>
      <c r="G349" s="34"/>
      <c r="H349" s="34"/>
      <c r="I349" s="35"/>
      <c r="J349" s="22">
        <f>SUMIF('ADV - GA4'!A:A,A349,'ADV - GA4'!C:C)</f>
        <v>0</v>
      </c>
      <c r="K349" s="20" t="str">
        <f t="shared" si="71"/>
        <v/>
      </c>
      <c r="L349" s="24" t="str">
        <f t="shared" si="3"/>
        <v/>
      </c>
      <c r="M349" s="36">
        <f t="shared" si="72"/>
        <v>0</v>
      </c>
      <c r="N349" s="26">
        <f t="shared" si="73"/>
        <v>0</v>
      </c>
      <c r="O349" s="37" t="str">
        <f>IFERROR(Planejador!$I$266,"")</f>
        <v/>
      </c>
      <c r="P349" s="37" t="str">
        <f>Planejador!$I$258</f>
        <v/>
      </c>
      <c r="Q349" s="38">
        <f t="shared" si="74"/>
        <v>0</v>
      </c>
      <c r="R349" s="39" t="str">
        <f>Planejador!$I$260</f>
        <v/>
      </c>
      <c r="S349" s="16"/>
      <c r="T349" s="16"/>
      <c r="U349" s="16"/>
      <c r="V349" s="16"/>
      <c r="W349" s="16"/>
      <c r="X349" s="16"/>
      <c r="Y349" s="16"/>
      <c r="Z349" s="16"/>
    </row>
    <row r="350" ht="15.75" hidden="1" customHeight="1" outlineLevel="1">
      <c r="A350" s="17">
        <v>46359.0</v>
      </c>
      <c r="B350" s="18" t="str">
        <f t="shared" si="69"/>
        <v>quinta-feira</v>
      </c>
      <c r="C350" s="32"/>
      <c r="D350" s="20">
        <f>SUMIF('ADV - GG'!A:A,A350,'ADV - GG'!C:C)+SUMIF('ADV - FB'!A:A,$A350,'ADV - FB'!E:E)</f>
        <v>0</v>
      </c>
      <c r="E350" s="33">
        <f>SUMIF('ADV - GG'!A:A,A350,'ADV - GG'!H:H)+SUMIF('ADV - FB'!A:A,$A350,'ADV - FB'!I:I)+SUMIF('ADV - FB'!A:A,$A350,'ADV - FB'!J:J)+SUMIF('ADV - FB'!A:A,$A350,'ADV - FB'!K:K)</f>
        <v>0</v>
      </c>
      <c r="F350" s="20" t="str">
        <f t="shared" si="70"/>
        <v/>
      </c>
      <c r="G350" s="34"/>
      <c r="H350" s="34"/>
      <c r="I350" s="35"/>
      <c r="J350" s="22">
        <f>SUMIF('ADV - GA4'!A:A,A350,'ADV - GA4'!C:C)</f>
        <v>0</v>
      </c>
      <c r="K350" s="20" t="str">
        <f t="shared" si="71"/>
        <v/>
      </c>
      <c r="L350" s="24" t="str">
        <f t="shared" si="3"/>
        <v/>
      </c>
      <c r="M350" s="36">
        <f t="shared" si="72"/>
        <v>0</v>
      </c>
      <c r="N350" s="26">
        <f t="shared" si="73"/>
        <v>0</v>
      </c>
      <c r="O350" s="37" t="str">
        <f>IFERROR(Planejador!$I$266,"")</f>
        <v/>
      </c>
      <c r="P350" s="37" t="str">
        <f>Planejador!$I$258</f>
        <v/>
      </c>
      <c r="Q350" s="38">
        <f t="shared" si="74"/>
        <v>0</v>
      </c>
      <c r="R350" s="39" t="str">
        <f>Planejador!$I$260</f>
        <v/>
      </c>
      <c r="S350" s="16"/>
      <c r="T350" s="16"/>
      <c r="U350" s="16"/>
      <c r="V350" s="16"/>
      <c r="W350" s="16"/>
      <c r="X350" s="16"/>
      <c r="Y350" s="16"/>
      <c r="Z350" s="16"/>
    </row>
    <row r="351" ht="15.75" hidden="1" customHeight="1" outlineLevel="1">
      <c r="A351" s="17">
        <v>46360.0</v>
      </c>
      <c r="B351" s="18" t="str">
        <f t="shared" si="69"/>
        <v>sexta-feira</v>
      </c>
      <c r="C351" s="32"/>
      <c r="D351" s="20">
        <f>SUMIF('ADV - GG'!A:A,A351,'ADV - GG'!C:C)+SUMIF('ADV - FB'!A:A,$A351,'ADV - FB'!E:E)</f>
        <v>0</v>
      </c>
      <c r="E351" s="33">
        <f>SUMIF('ADV - GG'!A:A,A351,'ADV - GG'!H:H)+SUMIF('ADV - FB'!A:A,$A351,'ADV - FB'!I:I)+SUMIF('ADV - FB'!A:A,$A351,'ADV - FB'!J:J)+SUMIF('ADV - FB'!A:A,$A351,'ADV - FB'!K:K)</f>
        <v>0</v>
      </c>
      <c r="F351" s="20" t="str">
        <f t="shared" si="70"/>
        <v/>
      </c>
      <c r="G351" s="34"/>
      <c r="H351" s="34"/>
      <c r="I351" s="35"/>
      <c r="J351" s="22">
        <f>SUMIF('ADV - GA4'!A:A,A351,'ADV - GA4'!C:C)</f>
        <v>0</v>
      </c>
      <c r="K351" s="20" t="str">
        <f t="shared" si="71"/>
        <v/>
      </c>
      <c r="L351" s="24" t="str">
        <f t="shared" si="3"/>
        <v/>
      </c>
      <c r="M351" s="36">
        <f t="shared" si="72"/>
        <v>0</v>
      </c>
      <c r="N351" s="26">
        <f t="shared" si="73"/>
        <v>0</v>
      </c>
      <c r="O351" s="37" t="str">
        <f>IFERROR(Planejador!$I$266,"")</f>
        <v/>
      </c>
      <c r="P351" s="37" t="str">
        <f>Planejador!$I$258</f>
        <v/>
      </c>
      <c r="Q351" s="38">
        <f t="shared" si="74"/>
        <v>0</v>
      </c>
      <c r="R351" s="39" t="str">
        <f>Planejador!$I$260</f>
        <v/>
      </c>
      <c r="S351" s="16"/>
      <c r="T351" s="16"/>
      <c r="U351" s="16"/>
      <c r="V351" s="16"/>
      <c r="W351" s="16"/>
      <c r="X351" s="16"/>
      <c r="Y351" s="16"/>
      <c r="Z351" s="16"/>
    </row>
    <row r="352" ht="15.75" hidden="1" customHeight="1" outlineLevel="1">
      <c r="A352" s="17">
        <v>46361.0</v>
      </c>
      <c r="B352" s="18" t="str">
        <f t="shared" si="69"/>
        <v>sábado</v>
      </c>
      <c r="C352" s="32"/>
      <c r="D352" s="20">
        <f>SUMIF('ADV - GG'!A:A,A352,'ADV - GG'!C:C)+SUMIF('ADV - FB'!A:A,$A352,'ADV - FB'!E:E)</f>
        <v>0</v>
      </c>
      <c r="E352" s="33">
        <f>SUMIF('ADV - GG'!A:A,A352,'ADV - GG'!H:H)+SUMIF('ADV - FB'!A:A,$A352,'ADV - FB'!I:I)+SUMIF('ADV - FB'!A:A,$A352,'ADV - FB'!J:J)+SUMIF('ADV - FB'!A:A,$A352,'ADV - FB'!K:K)</f>
        <v>0</v>
      </c>
      <c r="F352" s="20" t="str">
        <f t="shared" si="70"/>
        <v/>
      </c>
      <c r="G352" s="34"/>
      <c r="H352" s="34"/>
      <c r="I352" s="35"/>
      <c r="J352" s="22">
        <f>SUMIF('ADV - GA4'!A:A,A352,'ADV - GA4'!C:C)</f>
        <v>0</v>
      </c>
      <c r="K352" s="20" t="str">
        <f t="shared" si="71"/>
        <v/>
      </c>
      <c r="L352" s="24" t="str">
        <f t="shared" si="3"/>
        <v/>
      </c>
      <c r="M352" s="36">
        <f t="shared" si="72"/>
        <v>0</v>
      </c>
      <c r="N352" s="26">
        <f t="shared" si="73"/>
        <v>0</v>
      </c>
      <c r="O352" s="37" t="str">
        <f>IFERROR(Planejador!$I$266,"")</f>
        <v/>
      </c>
      <c r="P352" s="37" t="str">
        <f>Planejador!$I$258</f>
        <v/>
      </c>
      <c r="Q352" s="38">
        <f t="shared" si="74"/>
        <v>0</v>
      </c>
      <c r="R352" s="39" t="str">
        <f>Planejador!$I$260</f>
        <v/>
      </c>
      <c r="S352" s="16"/>
      <c r="T352" s="16"/>
      <c r="U352" s="16"/>
      <c r="V352" s="16"/>
      <c r="W352" s="16"/>
      <c r="X352" s="16"/>
      <c r="Y352" s="16"/>
      <c r="Z352" s="16"/>
    </row>
    <row r="353" ht="15.75" hidden="1" customHeight="1" outlineLevel="1">
      <c r="A353" s="17">
        <v>46362.0</v>
      </c>
      <c r="B353" s="18" t="str">
        <f t="shared" si="69"/>
        <v>domingo</v>
      </c>
      <c r="C353" s="32"/>
      <c r="D353" s="20">
        <f>SUMIF('ADV - GG'!A:A,A353,'ADV - GG'!C:C)+SUMIF('ADV - FB'!A:A,$A353,'ADV - FB'!E:E)</f>
        <v>0</v>
      </c>
      <c r="E353" s="33">
        <f>SUMIF('ADV - GG'!A:A,A353,'ADV - GG'!H:H)+SUMIF('ADV - FB'!A:A,$A353,'ADV - FB'!I:I)+SUMIF('ADV - FB'!A:A,$A353,'ADV - FB'!J:J)+SUMIF('ADV - FB'!A:A,$A353,'ADV - FB'!K:K)</f>
        <v>0</v>
      </c>
      <c r="F353" s="20" t="str">
        <f t="shared" si="70"/>
        <v/>
      </c>
      <c r="G353" s="34"/>
      <c r="H353" s="34"/>
      <c r="I353" s="35"/>
      <c r="J353" s="22">
        <f>SUMIF('ADV - GA4'!A:A,A353,'ADV - GA4'!C:C)</f>
        <v>0</v>
      </c>
      <c r="K353" s="20" t="str">
        <f t="shared" si="71"/>
        <v/>
      </c>
      <c r="L353" s="24" t="str">
        <f t="shared" si="3"/>
        <v/>
      </c>
      <c r="M353" s="36">
        <f t="shared" si="72"/>
        <v>0</v>
      </c>
      <c r="N353" s="26">
        <f t="shared" si="73"/>
        <v>0</v>
      </c>
      <c r="O353" s="37" t="str">
        <f>IFERROR(Planejador!$I$266,"")</f>
        <v/>
      </c>
      <c r="P353" s="37" t="str">
        <f>Planejador!$I$258</f>
        <v/>
      </c>
      <c r="Q353" s="38">
        <f t="shared" si="74"/>
        <v>0</v>
      </c>
      <c r="R353" s="39" t="str">
        <f>Planejador!$I$260</f>
        <v/>
      </c>
      <c r="S353" s="16"/>
      <c r="T353" s="16"/>
      <c r="U353" s="16"/>
      <c r="V353" s="16"/>
      <c r="W353" s="16"/>
      <c r="X353" s="16"/>
      <c r="Y353" s="16"/>
      <c r="Z353" s="16"/>
    </row>
    <row r="354" ht="15.75" hidden="1" customHeight="1" outlineLevel="1">
      <c r="A354" s="17">
        <v>46363.0</v>
      </c>
      <c r="B354" s="18" t="str">
        <f t="shared" si="69"/>
        <v>segunda-feira</v>
      </c>
      <c r="C354" s="32"/>
      <c r="D354" s="20">
        <f>SUMIF('ADV - GG'!A:A,A354,'ADV - GG'!C:C)+SUMIF('ADV - FB'!A:A,$A354,'ADV - FB'!E:E)</f>
        <v>0</v>
      </c>
      <c r="E354" s="33">
        <f>SUMIF('ADV - GG'!A:A,A354,'ADV - GG'!H:H)+SUMIF('ADV - FB'!A:A,$A354,'ADV - FB'!I:I)+SUMIF('ADV - FB'!A:A,$A354,'ADV - FB'!J:J)+SUMIF('ADV - FB'!A:A,$A354,'ADV - FB'!K:K)</f>
        <v>0</v>
      </c>
      <c r="F354" s="20" t="str">
        <f t="shared" si="70"/>
        <v/>
      </c>
      <c r="G354" s="34"/>
      <c r="H354" s="34"/>
      <c r="I354" s="35"/>
      <c r="J354" s="22">
        <f>SUMIF('ADV - GA4'!A:A,A354,'ADV - GA4'!C:C)</f>
        <v>0</v>
      </c>
      <c r="K354" s="20" t="str">
        <f t="shared" si="71"/>
        <v/>
      </c>
      <c r="L354" s="24" t="str">
        <f t="shared" si="3"/>
        <v/>
      </c>
      <c r="M354" s="36">
        <f t="shared" si="72"/>
        <v>0</v>
      </c>
      <c r="N354" s="26">
        <f t="shared" si="73"/>
        <v>0</v>
      </c>
      <c r="O354" s="37" t="str">
        <f>IFERROR(Planejador!$I$266,"")</f>
        <v/>
      </c>
      <c r="P354" s="37" t="str">
        <f>Planejador!$I$258</f>
        <v/>
      </c>
      <c r="Q354" s="38">
        <f t="shared" si="74"/>
        <v>0</v>
      </c>
      <c r="R354" s="39" t="str">
        <f>Planejador!$I$260</f>
        <v/>
      </c>
      <c r="S354" s="16"/>
      <c r="T354" s="16"/>
      <c r="U354" s="16"/>
      <c r="V354" s="16"/>
      <c r="W354" s="16"/>
      <c r="X354" s="16"/>
      <c r="Y354" s="16"/>
      <c r="Z354" s="16"/>
    </row>
    <row r="355" ht="15.75" hidden="1" customHeight="1" outlineLevel="1">
      <c r="A355" s="17">
        <v>46364.0</v>
      </c>
      <c r="B355" s="18" t="str">
        <f t="shared" si="69"/>
        <v>terça-feira</v>
      </c>
      <c r="C355" s="32"/>
      <c r="D355" s="20">
        <f>SUMIF('ADV - GG'!A:A,A355,'ADV - GG'!C:C)+SUMIF('ADV - FB'!A:A,$A355,'ADV - FB'!E:E)</f>
        <v>0</v>
      </c>
      <c r="E355" s="33">
        <f>SUMIF('ADV - GG'!A:A,A355,'ADV - GG'!H:H)+SUMIF('ADV - FB'!A:A,$A355,'ADV - FB'!I:I)+SUMIF('ADV - FB'!A:A,$A355,'ADV - FB'!J:J)+SUMIF('ADV - FB'!A:A,$A355,'ADV - FB'!K:K)</f>
        <v>0</v>
      </c>
      <c r="F355" s="20" t="str">
        <f t="shared" si="70"/>
        <v/>
      </c>
      <c r="G355" s="34"/>
      <c r="H355" s="34"/>
      <c r="I355" s="35"/>
      <c r="J355" s="22">
        <f>SUMIF('ADV - GA4'!A:A,A355,'ADV - GA4'!C:C)</f>
        <v>0</v>
      </c>
      <c r="K355" s="20" t="str">
        <f t="shared" si="71"/>
        <v/>
      </c>
      <c r="L355" s="24" t="str">
        <f t="shared" si="3"/>
        <v/>
      </c>
      <c r="M355" s="36">
        <f t="shared" si="72"/>
        <v>0</v>
      </c>
      <c r="N355" s="26">
        <f t="shared" si="73"/>
        <v>0</v>
      </c>
      <c r="O355" s="37" t="str">
        <f>IFERROR(Planejador!$I$266,"")</f>
        <v/>
      </c>
      <c r="P355" s="37" t="str">
        <f>Planejador!$I$258</f>
        <v/>
      </c>
      <c r="Q355" s="38">
        <f t="shared" si="74"/>
        <v>0</v>
      </c>
      <c r="R355" s="39" t="str">
        <f>Planejador!$I$260</f>
        <v/>
      </c>
      <c r="S355" s="16"/>
      <c r="T355" s="16"/>
      <c r="U355" s="16"/>
      <c r="V355" s="16"/>
      <c r="W355" s="16"/>
      <c r="X355" s="16"/>
      <c r="Y355" s="16"/>
      <c r="Z355" s="16"/>
    </row>
    <row r="356" ht="15.75" hidden="1" customHeight="1" outlineLevel="1">
      <c r="A356" s="17">
        <v>46365.0</v>
      </c>
      <c r="B356" s="18" t="str">
        <f t="shared" si="69"/>
        <v>quarta-feira</v>
      </c>
      <c r="C356" s="32"/>
      <c r="D356" s="20">
        <f>SUMIF('ADV - GG'!A:A,A356,'ADV - GG'!C:C)+SUMIF('ADV - FB'!A:A,$A356,'ADV - FB'!E:E)</f>
        <v>0</v>
      </c>
      <c r="E356" s="33">
        <f>SUMIF('ADV - GG'!A:A,A356,'ADV - GG'!H:H)+SUMIF('ADV - FB'!A:A,$A356,'ADV - FB'!I:I)+SUMIF('ADV - FB'!A:A,$A356,'ADV - FB'!J:J)+SUMIF('ADV - FB'!A:A,$A356,'ADV - FB'!K:K)</f>
        <v>0</v>
      </c>
      <c r="F356" s="20" t="str">
        <f t="shared" si="70"/>
        <v/>
      </c>
      <c r="G356" s="34"/>
      <c r="H356" s="34"/>
      <c r="I356" s="35"/>
      <c r="J356" s="22">
        <f>SUMIF('ADV - GA4'!A:A,A356,'ADV - GA4'!C:C)</f>
        <v>0</v>
      </c>
      <c r="K356" s="20" t="str">
        <f t="shared" si="71"/>
        <v/>
      </c>
      <c r="L356" s="24" t="str">
        <f t="shared" si="3"/>
        <v/>
      </c>
      <c r="M356" s="36">
        <f t="shared" si="72"/>
        <v>0</v>
      </c>
      <c r="N356" s="26">
        <f t="shared" si="73"/>
        <v>0</v>
      </c>
      <c r="O356" s="37" t="str">
        <f>IFERROR(Planejador!$I$266,"")</f>
        <v/>
      </c>
      <c r="P356" s="37" t="str">
        <f>Planejador!$I$258</f>
        <v/>
      </c>
      <c r="Q356" s="38">
        <f t="shared" si="74"/>
        <v>0</v>
      </c>
      <c r="R356" s="39" t="str">
        <f>Planejador!$I$260</f>
        <v/>
      </c>
      <c r="S356" s="16"/>
      <c r="T356" s="16"/>
      <c r="U356" s="16"/>
      <c r="V356" s="16"/>
      <c r="W356" s="16"/>
      <c r="X356" s="16"/>
      <c r="Y356" s="16"/>
      <c r="Z356" s="16"/>
    </row>
    <row r="357" ht="15.75" hidden="1" customHeight="1" outlineLevel="1">
      <c r="A357" s="17">
        <v>46366.0</v>
      </c>
      <c r="B357" s="18" t="str">
        <f t="shared" si="69"/>
        <v>quinta-feira</v>
      </c>
      <c r="C357" s="32"/>
      <c r="D357" s="20">
        <f>SUMIF('ADV - GG'!A:A,A357,'ADV - GG'!C:C)+SUMIF('ADV - FB'!A:A,$A357,'ADV - FB'!E:E)</f>
        <v>0</v>
      </c>
      <c r="E357" s="33">
        <f>SUMIF('ADV - GG'!A:A,A357,'ADV - GG'!H:H)+SUMIF('ADV - FB'!A:A,$A357,'ADV - FB'!I:I)+SUMIF('ADV - FB'!A:A,$A357,'ADV - FB'!J:J)+SUMIF('ADV - FB'!A:A,$A357,'ADV - FB'!K:K)</f>
        <v>0</v>
      </c>
      <c r="F357" s="20" t="str">
        <f t="shared" si="70"/>
        <v/>
      </c>
      <c r="G357" s="34"/>
      <c r="H357" s="34"/>
      <c r="I357" s="35"/>
      <c r="J357" s="22">
        <f>SUMIF('ADV - GA4'!A:A,A357,'ADV - GA4'!C:C)</f>
        <v>0</v>
      </c>
      <c r="K357" s="20" t="str">
        <f t="shared" si="71"/>
        <v/>
      </c>
      <c r="L357" s="24" t="str">
        <f t="shared" si="3"/>
        <v/>
      </c>
      <c r="M357" s="36">
        <f t="shared" si="72"/>
        <v>0</v>
      </c>
      <c r="N357" s="26">
        <f t="shared" si="73"/>
        <v>0</v>
      </c>
      <c r="O357" s="37" t="str">
        <f>IFERROR(Planejador!$I$266,"")</f>
        <v/>
      </c>
      <c r="P357" s="37" t="str">
        <f>Planejador!$I$258</f>
        <v/>
      </c>
      <c r="Q357" s="38">
        <f t="shared" si="74"/>
        <v>0</v>
      </c>
      <c r="R357" s="39" t="str">
        <f>Planejador!$I$260</f>
        <v/>
      </c>
      <c r="S357" s="16"/>
      <c r="T357" s="16"/>
      <c r="U357" s="16"/>
      <c r="V357" s="16"/>
      <c r="W357" s="16"/>
      <c r="X357" s="16"/>
      <c r="Y357" s="16"/>
      <c r="Z357" s="16"/>
    </row>
    <row r="358" ht="15.75" hidden="1" customHeight="1" outlineLevel="1">
      <c r="A358" s="17">
        <v>46367.0</v>
      </c>
      <c r="B358" s="18" t="str">
        <f t="shared" si="69"/>
        <v>sexta-feira</v>
      </c>
      <c r="C358" s="32"/>
      <c r="D358" s="20">
        <f>SUMIF('ADV - GG'!A:A,A358,'ADV - GG'!C:C)+SUMIF('ADV - FB'!A:A,$A358,'ADV - FB'!E:E)</f>
        <v>0</v>
      </c>
      <c r="E358" s="33">
        <f>SUMIF('ADV - GG'!A:A,A358,'ADV - GG'!H:H)+SUMIF('ADV - FB'!A:A,$A358,'ADV - FB'!I:I)+SUMIF('ADV - FB'!A:A,$A358,'ADV - FB'!J:J)+SUMIF('ADV - FB'!A:A,$A358,'ADV - FB'!K:K)</f>
        <v>0</v>
      </c>
      <c r="F358" s="20" t="str">
        <f t="shared" si="70"/>
        <v/>
      </c>
      <c r="G358" s="34"/>
      <c r="H358" s="34"/>
      <c r="I358" s="35"/>
      <c r="J358" s="22">
        <f>SUMIF('ADV - GA4'!A:A,A358,'ADV - GA4'!C:C)</f>
        <v>0</v>
      </c>
      <c r="K358" s="20" t="str">
        <f t="shared" si="71"/>
        <v/>
      </c>
      <c r="L358" s="24" t="str">
        <f t="shared" si="3"/>
        <v/>
      </c>
      <c r="M358" s="36">
        <f t="shared" si="72"/>
        <v>0</v>
      </c>
      <c r="N358" s="26">
        <f t="shared" si="73"/>
        <v>0</v>
      </c>
      <c r="O358" s="37" t="str">
        <f>IFERROR(Planejador!$I$266,"")</f>
        <v/>
      </c>
      <c r="P358" s="37" t="str">
        <f>Planejador!$I$258</f>
        <v/>
      </c>
      <c r="Q358" s="38">
        <f t="shared" si="74"/>
        <v>0</v>
      </c>
      <c r="R358" s="39" t="str">
        <f>Planejador!$I$260</f>
        <v/>
      </c>
      <c r="S358" s="16"/>
      <c r="T358" s="16"/>
      <c r="U358" s="16"/>
      <c r="V358" s="16"/>
      <c r="W358" s="16"/>
      <c r="X358" s="16"/>
      <c r="Y358" s="16"/>
      <c r="Z358" s="16"/>
    </row>
    <row r="359" ht="15.75" hidden="1" customHeight="1" outlineLevel="1">
      <c r="A359" s="17">
        <v>46368.0</v>
      </c>
      <c r="B359" s="18" t="str">
        <f t="shared" si="69"/>
        <v>sábado</v>
      </c>
      <c r="C359" s="32"/>
      <c r="D359" s="20">
        <f>SUMIF('ADV - GG'!A:A,A359,'ADV - GG'!C:C)+SUMIF('ADV - FB'!A:A,$A359,'ADV - FB'!E:E)</f>
        <v>0</v>
      </c>
      <c r="E359" s="33">
        <f>SUMIF('ADV - GG'!A:A,A359,'ADV - GG'!H:H)+SUMIF('ADV - FB'!A:A,$A359,'ADV - FB'!I:I)+SUMIF('ADV - FB'!A:A,$A359,'ADV - FB'!J:J)+SUMIF('ADV - FB'!A:A,$A359,'ADV - FB'!K:K)</f>
        <v>0</v>
      </c>
      <c r="F359" s="20" t="str">
        <f t="shared" si="70"/>
        <v/>
      </c>
      <c r="G359" s="34"/>
      <c r="H359" s="34"/>
      <c r="I359" s="35"/>
      <c r="J359" s="22">
        <f>SUMIF('ADV - GA4'!A:A,A359,'ADV - GA4'!C:C)</f>
        <v>0</v>
      </c>
      <c r="K359" s="20" t="str">
        <f t="shared" si="71"/>
        <v/>
      </c>
      <c r="L359" s="24" t="str">
        <f t="shared" si="3"/>
        <v/>
      </c>
      <c r="M359" s="36">
        <f t="shared" si="72"/>
        <v>0</v>
      </c>
      <c r="N359" s="26">
        <f t="shared" si="73"/>
        <v>0</v>
      </c>
      <c r="O359" s="37" t="str">
        <f>IFERROR(Planejador!$I$266,"")</f>
        <v/>
      </c>
      <c r="P359" s="37" t="str">
        <f>Planejador!$I$258</f>
        <v/>
      </c>
      <c r="Q359" s="38">
        <f t="shared" si="74"/>
        <v>0</v>
      </c>
      <c r="R359" s="39" t="str">
        <f>Planejador!$I$260</f>
        <v/>
      </c>
      <c r="S359" s="16"/>
      <c r="T359" s="16"/>
      <c r="U359" s="16"/>
      <c r="V359" s="16"/>
      <c r="W359" s="16"/>
      <c r="X359" s="16"/>
      <c r="Y359" s="16"/>
      <c r="Z359" s="16"/>
    </row>
    <row r="360" ht="15.75" hidden="1" customHeight="1" outlineLevel="1">
      <c r="A360" s="17">
        <v>46369.0</v>
      </c>
      <c r="B360" s="18" t="str">
        <f t="shared" si="69"/>
        <v>domingo</v>
      </c>
      <c r="C360" s="32"/>
      <c r="D360" s="20">
        <f>SUMIF('ADV - GG'!A:A,A360,'ADV - GG'!C:C)+SUMIF('ADV - FB'!A:A,$A360,'ADV - FB'!E:E)</f>
        <v>0</v>
      </c>
      <c r="E360" s="33">
        <f>SUMIF('ADV - GG'!A:A,A360,'ADV - GG'!H:H)+SUMIF('ADV - FB'!A:A,$A360,'ADV - FB'!I:I)+SUMIF('ADV - FB'!A:A,$A360,'ADV - FB'!J:J)+SUMIF('ADV - FB'!A:A,$A360,'ADV - FB'!K:K)</f>
        <v>0</v>
      </c>
      <c r="F360" s="20" t="str">
        <f t="shared" si="70"/>
        <v/>
      </c>
      <c r="G360" s="34"/>
      <c r="H360" s="34"/>
      <c r="I360" s="35"/>
      <c r="J360" s="22">
        <f>SUMIF('ADV - GA4'!A:A,A360,'ADV - GA4'!C:C)</f>
        <v>0</v>
      </c>
      <c r="K360" s="20" t="str">
        <f t="shared" si="71"/>
        <v/>
      </c>
      <c r="L360" s="24" t="str">
        <f t="shared" si="3"/>
        <v/>
      </c>
      <c r="M360" s="36">
        <f t="shared" si="72"/>
        <v>0</v>
      </c>
      <c r="N360" s="26">
        <f t="shared" si="73"/>
        <v>0</v>
      </c>
      <c r="O360" s="37" t="str">
        <f>IFERROR(Planejador!$I$266,"")</f>
        <v/>
      </c>
      <c r="P360" s="37" t="str">
        <f>Planejador!$I$258</f>
        <v/>
      </c>
      <c r="Q360" s="38">
        <f t="shared" si="74"/>
        <v>0</v>
      </c>
      <c r="R360" s="39" t="str">
        <f>Planejador!$I$260</f>
        <v/>
      </c>
      <c r="S360" s="16"/>
      <c r="T360" s="16"/>
      <c r="U360" s="16"/>
      <c r="V360" s="16"/>
      <c r="W360" s="16"/>
      <c r="X360" s="16"/>
      <c r="Y360" s="16"/>
      <c r="Z360" s="16"/>
    </row>
    <row r="361" ht="15.75" hidden="1" customHeight="1" outlineLevel="1">
      <c r="A361" s="17">
        <v>46370.0</v>
      </c>
      <c r="B361" s="18" t="str">
        <f t="shared" si="69"/>
        <v>segunda-feira</v>
      </c>
      <c r="C361" s="32"/>
      <c r="D361" s="20">
        <f>SUMIF('ADV - GG'!A:A,A361,'ADV - GG'!C:C)+SUMIF('ADV - FB'!A:A,$A361,'ADV - FB'!E:E)</f>
        <v>0</v>
      </c>
      <c r="E361" s="33">
        <f>SUMIF('ADV - GG'!A:A,A361,'ADV - GG'!H:H)+SUMIF('ADV - FB'!A:A,$A361,'ADV - FB'!I:I)+SUMIF('ADV - FB'!A:A,$A361,'ADV - FB'!J:J)+SUMIF('ADV - FB'!A:A,$A361,'ADV - FB'!K:K)</f>
        <v>0</v>
      </c>
      <c r="F361" s="20" t="str">
        <f t="shared" si="70"/>
        <v/>
      </c>
      <c r="G361" s="34"/>
      <c r="H361" s="34"/>
      <c r="I361" s="35"/>
      <c r="J361" s="22">
        <f>SUMIF('ADV - GA4'!A:A,A361,'ADV - GA4'!C:C)</f>
        <v>0</v>
      </c>
      <c r="K361" s="20" t="str">
        <f t="shared" si="71"/>
        <v/>
      </c>
      <c r="L361" s="24" t="str">
        <f t="shared" si="3"/>
        <v/>
      </c>
      <c r="M361" s="36">
        <f t="shared" si="72"/>
        <v>0</v>
      </c>
      <c r="N361" s="26">
        <f t="shared" si="73"/>
        <v>0</v>
      </c>
      <c r="O361" s="37" t="str">
        <f>IFERROR(Planejador!$I$266,"")</f>
        <v/>
      </c>
      <c r="P361" s="37" t="str">
        <f>Planejador!$I$258</f>
        <v/>
      </c>
      <c r="Q361" s="38">
        <f t="shared" si="74"/>
        <v>0</v>
      </c>
      <c r="R361" s="39" t="str">
        <f>Planejador!$I$260</f>
        <v/>
      </c>
      <c r="S361" s="16"/>
      <c r="T361" s="16"/>
      <c r="U361" s="16"/>
      <c r="V361" s="16"/>
      <c r="W361" s="16"/>
      <c r="X361" s="16"/>
      <c r="Y361" s="16"/>
      <c r="Z361" s="16"/>
    </row>
    <row r="362" ht="15.75" hidden="1" customHeight="1" outlineLevel="1">
      <c r="A362" s="17">
        <v>46371.0</v>
      </c>
      <c r="B362" s="18" t="str">
        <f t="shared" si="69"/>
        <v>terça-feira</v>
      </c>
      <c r="C362" s="32"/>
      <c r="D362" s="20">
        <f>SUMIF('ADV - GG'!A:A,A362,'ADV - GG'!C:C)+SUMIF('ADV - FB'!A:A,$A362,'ADV - FB'!E:E)</f>
        <v>0</v>
      </c>
      <c r="E362" s="33">
        <f>SUMIF('ADV - GG'!A:A,A362,'ADV - GG'!H:H)+SUMIF('ADV - FB'!A:A,$A362,'ADV - FB'!I:I)+SUMIF('ADV - FB'!A:A,$A362,'ADV - FB'!J:J)+SUMIF('ADV - FB'!A:A,$A362,'ADV - FB'!K:K)</f>
        <v>0</v>
      </c>
      <c r="F362" s="20" t="str">
        <f t="shared" si="70"/>
        <v/>
      </c>
      <c r="G362" s="34"/>
      <c r="H362" s="34"/>
      <c r="I362" s="35"/>
      <c r="J362" s="22">
        <f>SUMIF('ADV - GA4'!A:A,A362,'ADV - GA4'!C:C)</f>
        <v>0</v>
      </c>
      <c r="K362" s="20" t="str">
        <f t="shared" si="71"/>
        <v/>
      </c>
      <c r="L362" s="24" t="str">
        <f t="shared" si="3"/>
        <v/>
      </c>
      <c r="M362" s="36">
        <f t="shared" si="72"/>
        <v>0</v>
      </c>
      <c r="N362" s="26">
        <f t="shared" si="73"/>
        <v>0</v>
      </c>
      <c r="O362" s="37" t="str">
        <f>IFERROR(Planejador!$I$266,"")</f>
        <v/>
      </c>
      <c r="P362" s="37" t="str">
        <f>Planejador!$I$258</f>
        <v/>
      </c>
      <c r="Q362" s="38">
        <f t="shared" si="74"/>
        <v>0</v>
      </c>
      <c r="R362" s="39" t="str">
        <f>Planejador!$I$260</f>
        <v/>
      </c>
      <c r="S362" s="16"/>
      <c r="T362" s="16"/>
      <c r="U362" s="16"/>
      <c r="V362" s="16"/>
      <c r="W362" s="16"/>
      <c r="X362" s="16"/>
      <c r="Y362" s="16"/>
      <c r="Z362" s="16"/>
    </row>
    <row r="363" ht="15.75" hidden="1" customHeight="1" outlineLevel="1">
      <c r="A363" s="17">
        <v>46372.0</v>
      </c>
      <c r="B363" s="18" t="str">
        <f t="shared" si="69"/>
        <v>quarta-feira</v>
      </c>
      <c r="C363" s="32"/>
      <c r="D363" s="20">
        <f>SUMIF('ADV - GG'!A:A,A363,'ADV - GG'!C:C)+SUMIF('ADV - FB'!A:A,$A363,'ADV - FB'!E:E)</f>
        <v>0</v>
      </c>
      <c r="E363" s="33">
        <f>SUMIF('ADV - GG'!A:A,A363,'ADV - GG'!H:H)+SUMIF('ADV - FB'!A:A,$A363,'ADV - FB'!I:I)+SUMIF('ADV - FB'!A:A,$A363,'ADV - FB'!J:J)+SUMIF('ADV - FB'!A:A,$A363,'ADV - FB'!K:K)</f>
        <v>0</v>
      </c>
      <c r="F363" s="20" t="str">
        <f t="shared" si="70"/>
        <v/>
      </c>
      <c r="G363" s="34"/>
      <c r="H363" s="34"/>
      <c r="I363" s="35"/>
      <c r="J363" s="22">
        <f>SUMIF('ADV - GA4'!A:A,A363,'ADV - GA4'!C:C)</f>
        <v>0</v>
      </c>
      <c r="K363" s="20" t="str">
        <f t="shared" si="71"/>
        <v/>
      </c>
      <c r="L363" s="24" t="str">
        <f t="shared" si="3"/>
        <v/>
      </c>
      <c r="M363" s="36">
        <f t="shared" si="72"/>
        <v>0</v>
      </c>
      <c r="N363" s="26">
        <f t="shared" si="73"/>
        <v>0</v>
      </c>
      <c r="O363" s="37" t="str">
        <f>IFERROR(Planejador!$I$266,"")</f>
        <v/>
      </c>
      <c r="P363" s="37" t="str">
        <f>Planejador!$I$258</f>
        <v/>
      </c>
      <c r="Q363" s="38">
        <f t="shared" si="74"/>
        <v>0</v>
      </c>
      <c r="R363" s="39" t="str">
        <f>Planejador!$I$260</f>
        <v/>
      </c>
      <c r="S363" s="16"/>
      <c r="T363" s="16"/>
      <c r="U363" s="16"/>
      <c r="V363" s="16"/>
      <c r="W363" s="16"/>
      <c r="X363" s="16"/>
      <c r="Y363" s="16"/>
      <c r="Z363" s="16"/>
    </row>
    <row r="364" ht="15.75" hidden="1" customHeight="1" outlineLevel="1">
      <c r="A364" s="17">
        <v>46373.0</v>
      </c>
      <c r="B364" s="18" t="str">
        <f t="shared" si="69"/>
        <v>quinta-feira</v>
      </c>
      <c r="C364" s="32"/>
      <c r="D364" s="20">
        <f>SUMIF('ADV - GG'!A:A,A364,'ADV - GG'!C:C)+SUMIF('ADV - FB'!A:A,$A364,'ADV - FB'!E:E)</f>
        <v>0</v>
      </c>
      <c r="E364" s="33">
        <f>SUMIF('ADV - GG'!A:A,A364,'ADV - GG'!H:H)+SUMIF('ADV - FB'!A:A,$A364,'ADV - FB'!I:I)+SUMIF('ADV - FB'!A:A,$A364,'ADV - FB'!J:J)+SUMIF('ADV - FB'!A:A,$A364,'ADV - FB'!K:K)</f>
        <v>0</v>
      </c>
      <c r="F364" s="20" t="str">
        <f t="shared" si="70"/>
        <v/>
      </c>
      <c r="G364" s="34"/>
      <c r="H364" s="34"/>
      <c r="I364" s="35"/>
      <c r="J364" s="22">
        <f>SUMIF('ADV - GA4'!A:A,A364,'ADV - GA4'!C:C)</f>
        <v>0</v>
      </c>
      <c r="K364" s="20" t="str">
        <f t="shared" si="71"/>
        <v/>
      </c>
      <c r="L364" s="24" t="str">
        <f t="shared" si="3"/>
        <v/>
      </c>
      <c r="M364" s="36">
        <f t="shared" si="72"/>
        <v>0</v>
      </c>
      <c r="N364" s="26">
        <f t="shared" si="73"/>
        <v>0</v>
      </c>
      <c r="O364" s="37" t="str">
        <f>IFERROR(Planejador!$I$266,"")</f>
        <v/>
      </c>
      <c r="P364" s="37" t="str">
        <f>Planejador!$I$258</f>
        <v/>
      </c>
      <c r="Q364" s="38">
        <f t="shared" si="74"/>
        <v>0</v>
      </c>
      <c r="R364" s="39" t="str">
        <f>Planejador!$I$260</f>
        <v/>
      </c>
      <c r="S364" s="16"/>
      <c r="T364" s="16"/>
      <c r="U364" s="16"/>
      <c r="V364" s="16"/>
      <c r="W364" s="16"/>
      <c r="X364" s="16"/>
      <c r="Y364" s="16"/>
      <c r="Z364" s="16"/>
    </row>
    <row r="365" ht="15.75" hidden="1" customHeight="1" outlineLevel="1">
      <c r="A365" s="17">
        <v>46374.0</v>
      </c>
      <c r="B365" s="18" t="str">
        <f t="shared" si="69"/>
        <v>sexta-feira</v>
      </c>
      <c r="C365" s="32"/>
      <c r="D365" s="20">
        <f>SUMIF('ADV - GG'!A:A,A365,'ADV - GG'!C:C)+SUMIF('ADV - FB'!A:A,$A365,'ADV - FB'!E:E)</f>
        <v>0</v>
      </c>
      <c r="E365" s="33">
        <f>SUMIF('ADV - GG'!A:A,A365,'ADV - GG'!H:H)+SUMIF('ADV - FB'!A:A,$A365,'ADV - FB'!I:I)+SUMIF('ADV - FB'!A:A,$A365,'ADV - FB'!J:J)+SUMIF('ADV - FB'!A:A,$A365,'ADV - FB'!K:K)</f>
        <v>0</v>
      </c>
      <c r="F365" s="20" t="str">
        <f t="shared" si="70"/>
        <v/>
      </c>
      <c r="G365" s="34"/>
      <c r="H365" s="34"/>
      <c r="I365" s="35"/>
      <c r="J365" s="22">
        <f>SUMIF('ADV - GA4'!A:A,A365,'ADV - GA4'!C:C)</f>
        <v>0</v>
      </c>
      <c r="K365" s="20" t="str">
        <f t="shared" si="71"/>
        <v/>
      </c>
      <c r="L365" s="24" t="str">
        <f t="shared" si="3"/>
        <v/>
      </c>
      <c r="M365" s="36">
        <f t="shared" si="72"/>
        <v>0</v>
      </c>
      <c r="N365" s="26">
        <f t="shared" si="73"/>
        <v>0</v>
      </c>
      <c r="O365" s="37" t="str">
        <f>IFERROR(Planejador!$I$266,"")</f>
        <v/>
      </c>
      <c r="P365" s="37" t="str">
        <f>Planejador!$I$258</f>
        <v/>
      </c>
      <c r="Q365" s="38">
        <f t="shared" si="74"/>
        <v>0</v>
      </c>
      <c r="R365" s="39" t="str">
        <f>Planejador!$I$260</f>
        <v/>
      </c>
      <c r="S365" s="16"/>
      <c r="T365" s="16"/>
      <c r="U365" s="16"/>
      <c r="V365" s="16"/>
      <c r="W365" s="16"/>
      <c r="X365" s="16"/>
      <c r="Y365" s="16"/>
      <c r="Z365" s="16"/>
    </row>
    <row r="366" ht="15.75" hidden="1" customHeight="1" outlineLevel="1">
      <c r="A366" s="17">
        <v>46375.0</v>
      </c>
      <c r="B366" s="18" t="str">
        <f t="shared" si="69"/>
        <v>sábado</v>
      </c>
      <c r="C366" s="32"/>
      <c r="D366" s="20">
        <f>SUMIF('ADV - GG'!A:A,A366,'ADV - GG'!C:C)+SUMIF('ADV - FB'!A:A,$A366,'ADV - FB'!E:E)</f>
        <v>0</v>
      </c>
      <c r="E366" s="33">
        <f>SUMIF('ADV - GG'!A:A,A366,'ADV - GG'!H:H)+SUMIF('ADV - FB'!A:A,$A366,'ADV - FB'!I:I)+SUMIF('ADV - FB'!A:A,$A366,'ADV - FB'!J:J)+SUMIF('ADV - FB'!A:A,$A366,'ADV - FB'!K:K)</f>
        <v>0</v>
      </c>
      <c r="F366" s="20" t="str">
        <f t="shared" si="70"/>
        <v/>
      </c>
      <c r="G366" s="34"/>
      <c r="H366" s="34"/>
      <c r="I366" s="35"/>
      <c r="J366" s="22">
        <f>SUMIF('ADV - GA4'!A:A,A366,'ADV - GA4'!C:C)</f>
        <v>0</v>
      </c>
      <c r="K366" s="20" t="str">
        <f t="shared" si="71"/>
        <v/>
      </c>
      <c r="L366" s="24" t="str">
        <f t="shared" si="3"/>
        <v/>
      </c>
      <c r="M366" s="36">
        <f t="shared" si="72"/>
        <v>0</v>
      </c>
      <c r="N366" s="26">
        <f t="shared" si="73"/>
        <v>0</v>
      </c>
      <c r="O366" s="37" t="str">
        <f>IFERROR(Planejador!$I$266,"")</f>
        <v/>
      </c>
      <c r="P366" s="37" t="str">
        <f>Planejador!$I$258</f>
        <v/>
      </c>
      <c r="Q366" s="38">
        <f t="shared" si="74"/>
        <v>0</v>
      </c>
      <c r="R366" s="39" t="str">
        <f>Planejador!$I$260</f>
        <v/>
      </c>
      <c r="S366" s="16"/>
      <c r="T366" s="16"/>
      <c r="U366" s="16"/>
      <c r="V366" s="16"/>
      <c r="W366" s="16"/>
      <c r="X366" s="16"/>
      <c r="Y366" s="16"/>
      <c r="Z366" s="16"/>
    </row>
    <row r="367" ht="15.75" hidden="1" customHeight="1" outlineLevel="1">
      <c r="A367" s="17">
        <v>46376.0</v>
      </c>
      <c r="B367" s="18" t="str">
        <f t="shared" si="69"/>
        <v>domingo</v>
      </c>
      <c r="C367" s="32"/>
      <c r="D367" s="20">
        <f>SUMIF('ADV - GG'!A:A,A367,'ADV - GG'!C:C)+SUMIF('ADV - FB'!A:A,$A367,'ADV - FB'!E:E)</f>
        <v>0</v>
      </c>
      <c r="E367" s="33">
        <f>SUMIF('ADV - GG'!A:A,A367,'ADV - GG'!H:H)+SUMIF('ADV - FB'!A:A,$A367,'ADV - FB'!I:I)+SUMIF('ADV - FB'!A:A,$A367,'ADV - FB'!J:J)+SUMIF('ADV - FB'!A:A,$A367,'ADV - FB'!K:K)</f>
        <v>0</v>
      </c>
      <c r="F367" s="20" t="str">
        <f t="shared" si="70"/>
        <v/>
      </c>
      <c r="G367" s="34"/>
      <c r="H367" s="34"/>
      <c r="I367" s="35"/>
      <c r="J367" s="22">
        <f>SUMIF('ADV - GA4'!A:A,A367,'ADV - GA4'!C:C)</f>
        <v>0</v>
      </c>
      <c r="K367" s="20" t="str">
        <f t="shared" si="71"/>
        <v/>
      </c>
      <c r="L367" s="24" t="str">
        <f t="shared" si="3"/>
        <v/>
      </c>
      <c r="M367" s="36">
        <f t="shared" si="72"/>
        <v>0</v>
      </c>
      <c r="N367" s="26">
        <f t="shared" si="73"/>
        <v>0</v>
      </c>
      <c r="O367" s="37" t="str">
        <f>IFERROR(Planejador!$I$266,"")</f>
        <v/>
      </c>
      <c r="P367" s="37" t="str">
        <f>Planejador!$I$258</f>
        <v/>
      </c>
      <c r="Q367" s="38">
        <f t="shared" si="74"/>
        <v>0</v>
      </c>
      <c r="R367" s="39" t="str">
        <f>Planejador!$I$260</f>
        <v/>
      </c>
      <c r="S367" s="16"/>
      <c r="T367" s="16"/>
      <c r="U367" s="16"/>
      <c r="V367" s="16"/>
      <c r="W367" s="16"/>
      <c r="X367" s="16"/>
      <c r="Y367" s="16"/>
      <c r="Z367" s="16"/>
    </row>
    <row r="368" ht="15.75" hidden="1" customHeight="1" outlineLevel="1">
      <c r="A368" s="17">
        <v>46377.0</v>
      </c>
      <c r="B368" s="18" t="str">
        <f t="shared" si="69"/>
        <v>segunda-feira</v>
      </c>
      <c r="C368" s="32"/>
      <c r="D368" s="20">
        <f>SUMIF('ADV - GG'!A:A,A368,'ADV - GG'!C:C)+SUMIF('ADV - FB'!A:A,$A368,'ADV - FB'!E:E)</f>
        <v>0</v>
      </c>
      <c r="E368" s="33">
        <f>SUMIF('ADV - GG'!A:A,A368,'ADV - GG'!H:H)+SUMIF('ADV - FB'!A:A,$A368,'ADV - FB'!I:I)+SUMIF('ADV - FB'!A:A,$A368,'ADV - FB'!J:J)+SUMIF('ADV - FB'!A:A,$A368,'ADV - FB'!K:K)</f>
        <v>0</v>
      </c>
      <c r="F368" s="20" t="str">
        <f t="shared" si="70"/>
        <v/>
      </c>
      <c r="G368" s="34"/>
      <c r="H368" s="34"/>
      <c r="I368" s="35"/>
      <c r="J368" s="22">
        <f>SUMIF('ADV - GA4'!A:A,A368,'ADV - GA4'!C:C)</f>
        <v>0</v>
      </c>
      <c r="K368" s="20" t="str">
        <f t="shared" si="71"/>
        <v/>
      </c>
      <c r="L368" s="24" t="str">
        <f t="shared" si="3"/>
        <v/>
      </c>
      <c r="M368" s="36">
        <f t="shared" si="72"/>
        <v>0</v>
      </c>
      <c r="N368" s="26">
        <f t="shared" si="73"/>
        <v>0</v>
      </c>
      <c r="O368" s="37" t="str">
        <f>IFERROR(Planejador!$I$266,"")</f>
        <v/>
      </c>
      <c r="P368" s="37" t="str">
        <f>Planejador!$I$258</f>
        <v/>
      </c>
      <c r="Q368" s="38">
        <f t="shared" si="74"/>
        <v>0</v>
      </c>
      <c r="R368" s="39" t="str">
        <f>Planejador!$I$260</f>
        <v/>
      </c>
      <c r="S368" s="16"/>
      <c r="T368" s="16"/>
      <c r="U368" s="16"/>
      <c r="V368" s="16"/>
      <c r="W368" s="16"/>
      <c r="X368" s="16"/>
      <c r="Y368" s="16"/>
      <c r="Z368" s="16"/>
    </row>
    <row r="369" ht="15.75" hidden="1" customHeight="1" outlineLevel="1">
      <c r="A369" s="17">
        <v>46378.0</v>
      </c>
      <c r="B369" s="18" t="str">
        <f t="shared" si="69"/>
        <v>terça-feira</v>
      </c>
      <c r="C369" s="32"/>
      <c r="D369" s="20">
        <f>SUMIF('ADV - GG'!A:A,A369,'ADV - GG'!C:C)+SUMIF('ADV - FB'!A:A,$A369,'ADV - FB'!E:E)</f>
        <v>0</v>
      </c>
      <c r="E369" s="33">
        <f>SUMIF('ADV - GG'!A:A,A369,'ADV - GG'!H:H)+SUMIF('ADV - FB'!A:A,$A369,'ADV - FB'!I:I)+SUMIF('ADV - FB'!A:A,$A369,'ADV - FB'!J:J)+SUMIF('ADV - FB'!A:A,$A369,'ADV - FB'!K:K)</f>
        <v>0</v>
      </c>
      <c r="F369" s="20" t="str">
        <f t="shared" si="70"/>
        <v/>
      </c>
      <c r="G369" s="34"/>
      <c r="H369" s="34"/>
      <c r="I369" s="35"/>
      <c r="J369" s="22">
        <f>SUMIF('ADV - GA4'!A:A,A369,'ADV - GA4'!C:C)</f>
        <v>0</v>
      </c>
      <c r="K369" s="20" t="str">
        <f t="shared" si="71"/>
        <v/>
      </c>
      <c r="L369" s="24" t="str">
        <f t="shared" si="3"/>
        <v/>
      </c>
      <c r="M369" s="36">
        <f t="shared" si="72"/>
        <v>0</v>
      </c>
      <c r="N369" s="26">
        <f t="shared" si="73"/>
        <v>0</v>
      </c>
      <c r="O369" s="37" t="str">
        <f>IFERROR(Planejador!$I$266,"")</f>
        <v/>
      </c>
      <c r="P369" s="37" t="str">
        <f>Planejador!$I$258</f>
        <v/>
      </c>
      <c r="Q369" s="38">
        <f t="shared" si="74"/>
        <v>0</v>
      </c>
      <c r="R369" s="39" t="str">
        <f>Planejador!$I$260</f>
        <v/>
      </c>
      <c r="S369" s="16"/>
      <c r="T369" s="16"/>
      <c r="U369" s="16"/>
      <c r="V369" s="16"/>
      <c r="W369" s="16"/>
      <c r="X369" s="16"/>
      <c r="Y369" s="16"/>
      <c r="Z369" s="16"/>
    </row>
    <row r="370" ht="15.75" hidden="1" customHeight="1" outlineLevel="1">
      <c r="A370" s="17">
        <v>46379.0</v>
      </c>
      <c r="B370" s="18" t="str">
        <f t="shared" si="69"/>
        <v>quarta-feira</v>
      </c>
      <c r="C370" s="32"/>
      <c r="D370" s="20">
        <f>SUMIF('ADV - GG'!A:A,A370,'ADV - GG'!C:C)+SUMIF('ADV - FB'!A:A,$A370,'ADV - FB'!E:E)</f>
        <v>0</v>
      </c>
      <c r="E370" s="33">
        <f>SUMIF('ADV - GG'!A:A,A370,'ADV - GG'!H:H)+SUMIF('ADV - FB'!A:A,$A370,'ADV - FB'!I:I)+SUMIF('ADV - FB'!A:A,$A370,'ADV - FB'!J:J)+SUMIF('ADV - FB'!A:A,$A370,'ADV - FB'!K:K)</f>
        <v>0</v>
      </c>
      <c r="F370" s="20" t="str">
        <f t="shared" si="70"/>
        <v/>
      </c>
      <c r="G370" s="34"/>
      <c r="H370" s="34"/>
      <c r="I370" s="35"/>
      <c r="J370" s="22">
        <f>SUMIF('ADV - GA4'!A:A,A370,'ADV - GA4'!C:C)</f>
        <v>0</v>
      </c>
      <c r="K370" s="20" t="str">
        <f t="shared" si="71"/>
        <v/>
      </c>
      <c r="L370" s="24" t="str">
        <f t="shared" si="3"/>
        <v/>
      </c>
      <c r="M370" s="36">
        <f t="shared" si="72"/>
        <v>0</v>
      </c>
      <c r="N370" s="26">
        <f t="shared" si="73"/>
        <v>0</v>
      </c>
      <c r="O370" s="37" t="str">
        <f>IFERROR(Planejador!$I$266,"")</f>
        <v/>
      </c>
      <c r="P370" s="37" t="str">
        <f>Planejador!$I$258</f>
        <v/>
      </c>
      <c r="Q370" s="38">
        <f t="shared" si="74"/>
        <v>0</v>
      </c>
      <c r="R370" s="39" t="str">
        <f>Planejador!$I$260</f>
        <v/>
      </c>
      <c r="S370" s="16"/>
      <c r="T370" s="16"/>
      <c r="U370" s="16"/>
      <c r="V370" s="16"/>
      <c r="W370" s="16"/>
      <c r="X370" s="16"/>
      <c r="Y370" s="16"/>
      <c r="Z370" s="16"/>
    </row>
    <row r="371" ht="15.75" hidden="1" customHeight="1" outlineLevel="1">
      <c r="A371" s="17">
        <v>46380.0</v>
      </c>
      <c r="B371" s="18" t="str">
        <f t="shared" si="69"/>
        <v>quinta-feira</v>
      </c>
      <c r="C371" s="32"/>
      <c r="D371" s="20">
        <f>SUMIF('ADV - GG'!A:A,A371,'ADV - GG'!C:C)+SUMIF('ADV - FB'!A:A,$A371,'ADV - FB'!E:E)</f>
        <v>0</v>
      </c>
      <c r="E371" s="33">
        <f>SUMIF('ADV - GG'!A:A,A371,'ADV - GG'!H:H)+SUMIF('ADV - FB'!A:A,$A371,'ADV - FB'!I:I)+SUMIF('ADV - FB'!A:A,$A371,'ADV - FB'!J:J)+SUMIF('ADV - FB'!A:A,$A371,'ADV - FB'!K:K)</f>
        <v>0</v>
      </c>
      <c r="F371" s="20" t="str">
        <f t="shared" si="70"/>
        <v/>
      </c>
      <c r="G371" s="34"/>
      <c r="H371" s="34"/>
      <c r="I371" s="35"/>
      <c r="J371" s="22">
        <f>SUMIF('ADV - GA4'!A:A,A371,'ADV - GA4'!C:C)</f>
        <v>0</v>
      </c>
      <c r="K371" s="20" t="str">
        <f t="shared" si="71"/>
        <v/>
      </c>
      <c r="L371" s="24" t="str">
        <f t="shared" si="3"/>
        <v/>
      </c>
      <c r="M371" s="36">
        <f t="shared" si="72"/>
        <v>0</v>
      </c>
      <c r="N371" s="26">
        <f t="shared" si="73"/>
        <v>0</v>
      </c>
      <c r="O371" s="37" t="str">
        <f>IFERROR(Planejador!$I$266,"")</f>
        <v/>
      </c>
      <c r="P371" s="37" t="str">
        <f>Planejador!$I$258</f>
        <v/>
      </c>
      <c r="Q371" s="38">
        <f t="shared" si="74"/>
        <v>0</v>
      </c>
      <c r="R371" s="39" t="str">
        <f>Planejador!$I$260</f>
        <v/>
      </c>
      <c r="S371" s="16"/>
      <c r="T371" s="16"/>
      <c r="U371" s="16"/>
      <c r="V371" s="16"/>
      <c r="W371" s="16"/>
      <c r="X371" s="16"/>
      <c r="Y371" s="16"/>
      <c r="Z371" s="16"/>
    </row>
    <row r="372" ht="15.75" hidden="1" customHeight="1" outlineLevel="1">
      <c r="A372" s="17">
        <v>46381.0</v>
      </c>
      <c r="B372" s="18" t="str">
        <f t="shared" si="69"/>
        <v>sexta-feira</v>
      </c>
      <c r="C372" s="32"/>
      <c r="D372" s="20">
        <f>SUMIF('ADV - GG'!A:A,A372,'ADV - GG'!C:C)+SUMIF('ADV - FB'!A:A,$A372,'ADV - FB'!E:E)</f>
        <v>0</v>
      </c>
      <c r="E372" s="33">
        <f>SUMIF('ADV - GG'!A:A,A372,'ADV - GG'!H:H)+SUMIF('ADV - FB'!A:A,$A372,'ADV - FB'!I:I)+SUMIF('ADV - FB'!A:A,$A372,'ADV - FB'!J:J)+SUMIF('ADV - FB'!A:A,$A372,'ADV - FB'!K:K)</f>
        <v>0</v>
      </c>
      <c r="F372" s="20" t="str">
        <f t="shared" si="70"/>
        <v/>
      </c>
      <c r="G372" s="34"/>
      <c r="H372" s="34"/>
      <c r="I372" s="35"/>
      <c r="J372" s="22">
        <f>SUMIF('ADV - GA4'!A:A,A372,'ADV - GA4'!C:C)</f>
        <v>0</v>
      </c>
      <c r="K372" s="20" t="str">
        <f t="shared" si="71"/>
        <v/>
      </c>
      <c r="L372" s="24" t="str">
        <f t="shared" si="3"/>
        <v/>
      </c>
      <c r="M372" s="36">
        <f t="shared" si="72"/>
        <v>0</v>
      </c>
      <c r="N372" s="26">
        <f t="shared" si="73"/>
        <v>0</v>
      </c>
      <c r="O372" s="37" t="str">
        <f>IFERROR(Planejador!$I$266,"")</f>
        <v/>
      </c>
      <c r="P372" s="37" t="str">
        <f>Planejador!$I$258</f>
        <v/>
      </c>
      <c r="Q372" s="38">
        <f t="shared" si="74"/>
        <v>0</v>
      </c>
      <c r="R372" s="39" t="str">
        <f>Planejador!$I$260</f>
        <v/>
      </c>
      <c r="S372" s="16"/>
      <c r="T372" s="16"/>
      <c r="U372" s="16"/>
      <c r="V372" s="16"/>
      <c r="W372" s="16"/>
      <c r="X372" s="16"/>
      <c r="Y372" s="16"/>
      <c r="Z372" s="16"/>
    </row>
    <row r="373" ht="15.75" hidden="1" customHeight="1" outlineLevel="1">
      <c r="A373" s="17">
        <v>46382.0</v>
      </c>
      <c r="B373" s="18" t="str">
        <f t="shared" si="69"/>
        <v>sábado</v>
      </c>
      <c r="C373" s="32"/>
      <c r="D373" s="20">
        <f>SUMIF('ADV - GG'!A:A,A373,'ADV - GG'!C:C)+SUMIF('ADV - FB'!A:A,$A373,'ADV - FB'!E:E)</f>
        <v>0</v>
      </c>
      <c r="E373" s="33">
        <f>SUMIF('ADV - GG'!A:A,A373,'ADV - GG'!H:H)+SUMIF('ADV - FB'!A:A,$A373,'ADV - FB'!I:I)+SUMIF('ADV - FB'!A:A,$A373,'ADV - FB'!J:J)+SUMIF('ADV - FB'!A:A,$A373,'ADV - FB'!K:K)</f>
        <v>0</v>
      </c>
      <c r="F373" s="20" t="str">
        <f t="shared" si="70"/>
        <v/>
      </c>
      <c r="G373" s="34"/>
      <c r="H373" s="34"/>
      <c r="I373" s="35"/>
      <c r="J373" s="22">
        <f>SUMIF('ADV - GA4'!A:A,A373,'ADV - GA4'!C:C)</f>
        <v>0</v>
      </c>
      <c r="K373" s="20" t="str">
        <f t="shared" si="71"/>
        <v/>
      </c>
      <c r="L373" s="24" t="str">
        <f t="shared" si="3"/>
        <v/>
      </c>
      <c r="M373" s="36">
        <f t="shared" si="72"/>
        <v>0</v>
      </c>
      <c r="N373" s="26">
        <f t="shared" si="73"/>
        <v>0</v>
      </c>
      <c r="O373" s="37" t="str">
        <f>IFERROR(Planejador!$I$266,"")</f>
        <v/>
      </c>
      <c r="P373" s="37" t="str">
        <f>Planejador!$I$258</f>
        <v/>
      </c>
      <c r="Q373" s="38">
        <f t="shared" si="74"/>
        <v>0</v>
      </c>
      <c r="R373" s="39" t="str">
        <f>Planejador!$I$260</f>
        <v/>
      </c>
      <c r="S373" s="16"/>
      <c r="T373" s="16"/>
      <c r="U373" s="16"/>
      <c r="V373" s="16"/>
      <c r="W373" s="16"/>
      <c r="X373" s="16"/>
      <c r="Y373" s="16"/>
      <c r="Z373" s="16"/>
    </row>
    <row r="374" ht="15.75" hidden="1" customHeight="1" outlineLevel="1">
      <c r="A374" s="17">
        <v>46383.0</v>
      </c>
      <c r="B374" s="18" t="str">
        <f t="shared" si="69"/>
        <v>domingo</v>
      </c>
      <c r="C374" s="32"/>
      <c r="D374" s="20">
        <f>SUMIF('ADV - GG'!A:A,A374,'ADV - GG'!C:C)+SUMIF('ADV - FB'!A:A,$A374,'ADV - FB'!E:E)</f>
        <v>0</v>
      </c>
      <c r="E374" s="33">
        <f>SUMIF('ADV - GG'!A:A,A374,'ADV - GG'!H:H)+SUMIF('ADV - FB'!A:A,$A374,'ADV - FB'!I:I)+SUMIF('ADV - FB'!A:A,$A374,'ADV - FB'!J:J)+SUMIF('ADV - FB'!A:A,$A374,'ADV - FB'!K:K)</f>
        <v>0</v>
      </c>
      <c r="F374" s="20" t="str">
        <f t="shared" si="70"/>
        <v/>
      </c>
      <c r="G374" s="34"/>
      <c r="H374" s="34"/>
      <c r="I374" s="35"/>
      <c r="J374" s="22">
        <f>SUMIF('ADV - GA4'!A:A,A374,'ADV - GA4'!C:C)</f>
        <v>0</v>
      </c>
      <c r="K374" s="20" t="str">
        <f t="shared" si="71"/>
        <v/>
      </c>
      <c r="L374" s="24" t="str">
        <f t="shared" si="3"/>
        <v/>
      </c>
      <c r="M374" s="36">
        <f t="shared" si="72"/>
        <v>0</v>
      </c>
      <c r="N374" s="26">
        <f t="shared" si="73"/>
        <v>0</v>
      </c>
      <c r="O374" s="37" t="str">
        <f>IFERROR(Planejador!$I$266,"")</f>
        <v/>
      </c>
      <c r="P374" s="37" t="str">
        <f>Planejador!$I$258</f>
        <v/>
      </c>
      <c r="Q374" s="38">
        <f t="shared" si="74"/>
        <v>0</v>
      </c>
      <c r="R374" s="39" t="str">
        <f>Planejador!$I$260</f>
        <v/>
      </c>
      <c r="S374" s="16"/>
      <c r="T374" s="16"/>
      <c r="U374" s="16"/>
      <c r="V374" s="16"/>
      <c r="W374" s="16"/>
      <c r="X374" s="16"/>
      <c r="Y374" s="16"/>
      <c r="Z374" s="16"/>
    </row>
    <row r="375" ht="15.75" hidden="1" customHeight="1" outlineLevel="1">
      <c r="A375" s="17">
        <v>46384.0</v>
      </c>
      <c r="B375" s="18" t="str">
        <f t="shared" si="69"/>
        <v>segunda-feira</v>
      </c>
      <c r="C375" s="32"/>
      <c r="D375" s="20">
        <f>SUMIF('ADV - GG'!A:A,A375,'ADV - GG'!C:C)+SUMIF('ADV - FB'!A:A,$A375,'ADV - FB'!E:E)</f>
        <v>0</v>
      </c>
      <c r="E375" s="33">
        <f>SUMIF('ADV - GG'!A:A,A375,'ADV - GG'!H:H)+SUMIF('ADV - FB'!A:A,$A375,'ADV - FB'!I:I)+SUMIF('ADV - FB'!A:A,$A375,'ADV - FB'!J:J)+SUMIF('ADV - FB'!A:A,$A375,'ADV - FB'!K:K)</f>
        <v>0</v>
      </c>
      <c r="F375" s="20" t="str">
        <f t="shared" si="70"/>
        <v/>
      </c>
      <c r="G375" s="34"/>
      <c r="H375" s="34"/>
      <c r="I375" s="35"/>
      <c r="J375" s="22">
        <f>SUMIF('ADV - GA4'!A:A,A375,'ADV - GA4'!C:C)</f>
        <v>0</v>
      </c>
      <c r="K375" s="20" t="str">
        <f t="shared" si="71"/>
        <v/>
      </c>
      <c r="L375" s="24" t="str">
        <f t="shared" si="3"/>
        <v/>
      </c>
      <c r="M375" s="36">
        <f t="shared" si="72"/>
        <v>0</v>
      </c>
      <c r="N375" s="26">
        <f t="shared" si="73"/>
        <v>0</v>
      </c>
      <c r="O375" s="37" t="str">
        <f>IFERROR(Planejador!$I$266,"")</f>
        <v/>
      </c>
      <c r="P375" s="37" t="str">
        <f>Planejador!$I$258</f>
        <v/>
      </c>
      <c r="Q375" s="38">
        <f t="shared" si="74"/>
        <v>0</v>
      </c>
      <c r="R375" s="39" t="str">
        <f>Planejador!$I$260</f>
        <v/>
      </c>
      <c r="S375" s="16"/>
      <c r="T375" s="16"/>
      <c r="U375" s="16"/>
      <c r="V375" s="16"/>
      <c r="W375" s="16"/>
      <c r="X375" s="16"/>
      <c r="Y375" s="16"/>
      <c r="Z375" s="16"/>
    </row>
    <row r="376" ht="15.75" hidden="1" customHeight="1" outlineLevel="1">
      <c r="A376" s="17">
        <v>46385.0</v>
      </c>
      <c r="B376" s="18" t="str">
        <f t="shared" si="69"/>
        <v>terça-feira</v>
      </c>
      <c r="C376" s="32"/>
      <c r="D376" s="20">
        <f>SUMIF('ADV - GG'!A:A,A376,'ADV - GG'!C:C)+SUMIF('ADV - FB'!A:A,$A376,'ADV - FB'!E:E)</f>
        <v>0</v>
      </c>
      <c r="E376" s="33">
        <f>SUMIF('ADV - GG'!A:A,A376,'ADV - GG'!H:H)+SUMIF('ADV - FB'!A:A,$A376,'ADV - FB'!I:I)+SUMIF('ADV - FB'!A:A,$A376,'ADV - FB'!J:J)+SUMIF('ADV - FB'!A:A,$A376,'ADV - FB'!K:K)</f>
        <v>0</v>
      </c>
      <c r="F376" s="20" t="str">
        <f t="shared" si="70"/>
        <v/>
      </c>
      <c r="G376" s="34"/>
      <c r="H376" s="34"/>
      <c r="I376" s="35"/>
      <c r="J376" s="22">
        <f>SUMIF('ADV - GA4'!A:A,A376,'ADV - GA4'!C:C)</f>
        <v>0</v>
      </c>
      <c r="K376" s="20" t="str">
        <f t="shared" si="71"/>
        <v/>
      </c>
      <c r="L376" s="24" t="str">
        <f t="shared" si="3"/>
        <v/>
      </c>
      <c r="M376" s="36">
        <f t="shared" si="72"/>
        <v>0</v>
      </c>
      <c r="N376" s="26">
        <f t="shared" si="73"/>
        <v>0</v>
      </c>
      <c r="O376" s="37" t="str">
        <f>IFERROR(Planejador!$I$266,"")</f>
        <v/>
      </c>
      <c r="P376" s="37" t="str">
        <f>Planejador!$I$258</f>
        <v/>
      </c>
      <c r="Q376" s="38">
        <f t="shared" si="74"/>
        <v>0</v>
      </c>
      <c r="R376" s="39" t="str">
        <f>Planejador!$I$260</f>
        <v/>
      </c>
      <c r="S376" s="16"/>
      <c r="T376" s="16"/>
      <c r="U376" s="16"/>
      <c r="V376" s="16"/>
      <c r="W376" s="16"/>
      <c r="X376" s="16"/>
      <c r="Y376" s="16"/>
      <c r="Z376" s="16"/>
    </row>
    <row r="377" ht="15.75" hidden="1" customHeight="1" outlineLevel="1">
      <c r="A377" s="17">
        <v>46386.0</v>
      </c>
      <c r="B377" s="18" t="str">
        <f t="shared" si="69"/>
        <v>quarta-feira</v>
      </c>
      <c r="C377" s="32"/>
      <c r="D377" s="20">
        <f>SUMIF('ADV - GG'!A:A,A377,'ADV - GG'!C:C)+SUMIF('ADV - FB'!A:A,$A377,'ADV - FB'!E:E)</f>
        <v>0</v>
      </c>
      <c r="E377" s="33">
        <f>SUMIF('ADV - GG'!A:A,A377,'ADV - GG'!H:H)+SUMIF('ADV - FB'!A:A,$A377,'ADV - FB'!I:I)+SUMIF('ADV - FB'!A:A,$A377,'ADV - FB'!J:J)+SUMIF('ADV - FB'!A:A,$A377,'ADV - FB'!K:K)</f>
        <v>0</v>
      </c>
      <c r="F377" s="20" t="str">
        <f t="shared" si="70"/>
        <v/>
      </c>
      <c r="G377" s="34"/>
      <c r="H377" s="34"/>
      <c r="I377" s="35"/>
      <c r="J377" s="22">
        <f>SUMIF('ADV - GA4'!A:A,A377,'ADV - GA4'!C:C)</f>
        <v>0</v>
      </c>
      <c r="K377" s="20" t="str">
        <f t="shared" si="71"/>
        <v/>
      </c>
      <c r="L377" s="24" t="str">
        <f t="shared" si="3"/>
        <v/>
      </c>
      <c r="M377" s="36">
        <f t="shared" si="72"/>
        <v>0</v>
      </c>
      <c r="N377" s="26">
        <f t="shared" si="73"/>
        <v>0</v>
      </c>
      <c r="O377" s="37" t="str">
        <f>IFERROR(Planejador!$I$266,"")</f>
        <v/>
      </c>
      <c r="P377" s="37" t="str">
        <f>Planejador!$I$258</f>
        <v/>
      </c>
      <c r="Q377" s="38">
        <f t="shared" si="74"/>
        <v>0</v>
      </c>
      <c r="R377" s="39" t="str">
        <f>Planejador!$I$260</f>
        <v/>
      </c>
      <c r="S377" s="16"/>
      <c r="T377" s="16"/>
      <c r="U377" s="16"/>
      <c r="V377" s="16"/>
      <c r="W377" s="16"/>
      <c r="X377" s="16"/>
      <c r="Y377" s="16"/>
      <c r="Z377" s="16"/>
    </row>
    <row r="378" ht="15.75" hidden="1" customHeight="1" outlineLevel="1">
      <c r="A378" s="17">
        <v>46387.0</v>
      </c>
      <c r="B378" s="18" t="str">
        <f t="shared" si="69"/>
        <v>quinta-feira</v>
      </c>
      <c r="C378" s="32"/>
      <c r="D378" s="20">
        <f>SUMIF('ADV - GG'!A:A,A378,'ADV - GG'!C:C)+SUMIF('ADV - FB'!A:A,$A378,'ADV - FB'!E:E)</f>
        <v>0</v>
      </c>
      <c r="E378" s="33">
        <f>SUMIF('ADV - GG'!A:A,A378,'ADV - GG'!H:H)+SUMIF('ADV - FB'!A:A,$A378,'ADV - FB'!I:I)+SUMIF('ADV - FB'!A:A,$A378,'ADV - FB'!J:J)+SUMIF('ADV - FB'!A:A,$A378,'ADV - FB'!K:K)</f>
        <v>0</v>
      </c>
      <c r="F378" s="20" t="str">
        <f t="shared" si="70"/>
        <v/>
      </c>
      <c r="G378" s="34"/>
      <c r="H378" s="34"/>
      <c r="I378" s="35"/>
      <c r="J378" s="22">
        <f>SUMIF('ADV - GA4'!A:A,A378,'ADV - GA4'!C:C)</f>
        <v>0</v>
      </c>
      <c r="K378" s="20" t="str">
        <f t="shared" si="71"/>
        <v/>
      </c>
      <c r="L378" s="24" t="str">
        <f t="shared" si="3"/>
        <v/>
      </c>
      <c r="M378" s="36">
        <f t="shared" si="72"/>
        <v>0</v>
      </c>
      <c r="N378" s="26">
        <f t="shared" si="73"/>
        <v>0</v>
      </c>
      <c r="O378" s="37" t="str">
        <f>IFERROR(Planejador!$I$266,"")</f>
        <v/>
      </c>
      <c r="P378" s="37" t="str">
        <f>Planejador!$I$258</f>
        <v/>
      </c>
      <c r="Q378" s="38">
        <f t="shared" si="74"/>
        <v>0</v>
      </c>
      <c r="R378" s="39" t="str">
        <f>Planejador!$I$260</f>
        <v/>
      </c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40" t="s">
        <v>37</v>
      </c>
      <c r="B379" s="41"/>
      <c r="C379" s="42"/>
      <c r="D379" s="43">
        <f t="shared" ref="D379:E379" si="75">D2+D34+D63+D95+D126+D158+D189+D221+D253+D284+D316+D347</f>
        <v>7201.75</v>
      </c>
      <c r="E379" s="44">
        <f t="shared" si="75"/>
        <v>935</v>
      </c>
      <c r="F379" s="45">
        <f>IFERROR(AVERAGE(F2:F378),"")</f>
        <v>11.35104924</v>
      </c>
      <c r="G379" s="46">
        <f t="shared" ref="G379:J379" si="76">G2+G34+G63+G95+G126+G158+G189+G221+G253+G284+G316+G347</f>
        <v>0</v>
      </c>
      <c r="H379" s="46">
        <f t="shared" si="76"/>
        <v>0</v>
      </c>
      <c r="I379" s="43">
        <f t="shared" si="76"/>
        <v>0</v>
      </c>
      <c r="J379" s="47">
        <f t="shared" si="76"/>
        <v>0</v>
      </c>
      <c r="K379" s="45" t="str">
        <f t="shared" ref="K379:R379" si="77">IFERROR(AVERAGE(K2:K378),"")</f>
        <v/>
      </c>
      <c r="L379" s="45" t="str">
        <f t="shared" si="77"/>
        <v/>
      </c>
      <c r="M379" s="45">
        <f t="shared" si="77"/>
        <v>0</v>
      </c>
      <c r="N379" s="45">
        <f t="shared" si="77"/>
        <v>0</v>
      </c>
      <c r="O379" s="45" t="str">
        <f t="shared" si="77"/>
        <v/>
      </c>
      <c r="P379" s="45" t="str">
        <f t="shared" si="77"/>
        <v/>
      </c>
      <c r="Q379" s="45">
        <f t="shared" si="77"/>
        <v>0</v>
      </c>
      <c r="R379" s="45" t="str">
        <f t="shared" si="77"/>
        <v/>
      </c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48"/>
      <c r="F380" s="49"/>
      <c r="G380" s="50"/>
      <c r="H380" s="50"/>
      <c r="I380" s="51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48"/>
      <c r="F381" s="49"/>
      <c r="G381" s="50"/>
      <c r="H381" s="50"/>
      <c r="I381" s="51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48"/>
      <c r="F382" s="49"/>
      <c r="G382" s="50"/>
      <c r="H382" s="50"/>
      <c r="I382" s="51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48"/>
      <c r="F383" s="49"/>
      <c r="G383" s="50"/>
      <c r="H383" s="50"/>
      <c r="I383" s="51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48"/>
      <c r="F384" s="49"/>
      <c r="G384" s="50"/>
      <c r="H384" s="50"/>
      <c r="I384" s="51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48"/>
      <c r="F385" s="49"/>
      <c r="G385" s="50"/>
      <c r="H385" s="50"/>
      <c r="I385" s="51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48"/>
      <c r="F386" s="49"/>
      <c r="G386" s="50"/>
      <c r="H386" s="50"/>
      <c r="I386" s="51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48"/>
      <c r="F387" s="49"/>
      <c r="G387" s="50"/>
      <c r="H387" s="50"/>
      <c r="I387" s="51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48"/>
      <c r="F388" s="49"/>
      <c r="G388" s="50"/>
      <c r="H388" s="50"/>
      <c r="I388" s="51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48"/>
      <c r="F389" s="49"/>
      <c r="G389" s="50"/>
      <c r="H389" s="50"/>
      <c r="I389" s="51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48"/>
      <c r="F390" s="49"/>
      <c r="G390" s="50"/>
      <c r="H390" s="50"/>
      <c r="I390" s="51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48"/>
      <c r="F391" s="49"/>
      <c r="G391" s="50"/>
      <c r="H391" s="50"/>
      <c r="I391" s="51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48"/>
      <c r="F392" s="49"/>
      <c r="G392" s="50"/>
      <c r="H392" s="50"/>
      <c r="I392" s="51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48"/>
      <c r="F393" s="49"/>
      <c r="G393" s="50"/>
      <c r="H393" s="50"/>
      <c r="I393" s="51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48"/>
      <c r="F394" s="49"/>
      <c r="G394" s="50"/>
      <c r="H394" s="50"/>
      <c r="I394" s="51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48"/>
      <c r="F395" s="49"/>
      <c r="G395" s="50"/>
      <c r="H395" s="50"/>
      <c r="I395" s="51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48"/>
      <c r="F396" s="49"/>
      <c r="G396" s="50"/>
      <c r="H396" s="50"/>
      <c r="I396" s="51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48"/>
      <c r="F397" s="49"/>
      <c r="G397" s="50"/>
      <c r="H397" s="50"/>
      <c r="I397" s="51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48"/>
      <c r="F398" s="49"/>
      <c r="G398" s="50"/>
      <c r="H398" s="50"/>
      <c r="I398" s="51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48"/>
      <c r="F399" s="49"/>
      <c r="G399" s="50"/>
      <c r="H399" s="50"/>
      <c r="I399" s="51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48"/>
      <c r="F400" s="49"/>
      <c r="G400" s="50"/>
      <c r="H400" s="50"/>
      <c r="I400" s="51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48"/>
      <c r="F401" s="49"/>
      <c r="G401" s="50"/>
      <c r="H401" s="50"/>
      <c r="I401" s="51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48"/>
      <c r="F402" s="49"/>
      <c r="G402" s="50"/>
      <c r="H402" s="50"/>
      <c r="I402" s="51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48"/>
      <c r="F403" s="49"/>
      <c r="G403" s="50"/>
      <c r="H403" s="50"/>
      <c r="I403" s="51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48"/>
      <c r="F404" s="49"/>
      <c r="G404" s="50"/>
      <c r="H404" s="50"/>
      <c r="I404" s="51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48"/>
      <c r="F405" s="49"/>
      <c r="G405" s="50"/>
      <c r="H405" s="50"/>
      <c r="I405" s="51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48"/>
      <c r="F406" s="49"/>
      <c r="G406" s="50"/>
      <c r="H406" s="50"/>
      <c r="I406" s="51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48"/>
      <c r="F407" s="49"/>
      <c r="G407" s="50"/>
      <c r="H407" s="50"/>
      <c r="I407" s="51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48"/>
      <c r="F408" s="49"/>
      <c r="G408" s="50"/>
      <c r="H408" s="50"/>
      <c r="I408" s="51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48"/>
      <c r="F409" s="49"/>
      <c r="G409" s="50"/>
      <c r="H409" s="50"/>
      <c r="I409" s="51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48"/>
      <c r="F410" s="49"/>
      <c r="G410" s="50"/>
      <c r="H410" s="50"/>
      <c r="I410" s="51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48"/>
      <c r="F411" s="49"/>
      <c r="G411" s="50"/>
      <c r="H411" s="50"/>
      <c r="I411" s="51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48"/>
      <c r="F412" s="49"/>
      <c r="G412" s="50"/>
      <c r="H412" s="50"/>
      <c r="I412" s="51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48"/>
      <c r="F413" s="49"/>
      <c r="G413" s="50"/>
      <c r="H413" s="50"/>
      <c r="I413" s="51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48"/>
      <c r="F414" s="49"/>
      <c r="G414" s="50"/>
      <c r="H414" s="50"/>
      <c r="I414" s="51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48"/>
      <c r="F415" s="49"/>
      <c r="G415" s="50"/>
      <c r="H415" s="50"/>
      <c r="I415" s="51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48"/>
      <c r="F416" s="49"/>
      <c r="G416" s="50"/>
      <c r="H416" s="50"/>
      <c r="I416" s="51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48"/>
      <c r="F417" s="49"/>
      <c r="G417" s="50"/>
      <c r="H417" s="50"/>
      <c r="I417" s="51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48"/>
      <c r="F418" s="49"/>
      <c r="G418" s="50"/>
      <c r="H418" s="50"/>
      <c r="I418" s="51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48"/>
      <c r="F419" s="49"/>
      <c r="G419" s="50"/>
      <c r="H419" s="50"/>
      <c r="I419" s="51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48"/>
      <c r="F420" s="49"/>
      <c r="G420" s="50"/>
      <c r="H420" s="50"/>
      <c r="I420" s="51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48"/>
      <c r="F421" s="49"/>
      <c r="G421" s="50"/>
      <c r="H421" s="50"/>
      <c r="I421" s="51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48"/>
      <c r="F422" s="49"/>
      <c r="G422" s="50"/>
      <c r="H422" s="50"/>
      <c r="I422" s="51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48"/>
      <c r="F423" s="49"/>
      <c r="G423" s="50"/>
      <c r="H423" s="50"/>
      <c r="I423" s="51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48"/>
      <c r="F424" s="49"/>
      <c r="G424" s="50"/>
      <c r="H424" s="50"/>
      <c r="I424" s="51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48"/>
      <c r="F425" s="49"/>
      <c r="G425" s="50"/>
      <c r="H425" s="50"/>
      <c r="I425" s="51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48"/>
      <c r="F426" s="49"/>
      <c r="G426" s="50"/>
      <c r="H426" s="50"/>
      <c r="I426" s="51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48"/>
      <c r="F427" s="49"/>
      <c r="G427" s="50"/>
      <c r="H427" s="50"/>
      <c r="I427" s="51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48"/>
      <c r="F428" s="49"/>
      <c r="G428" s="50"/>
      <c r="H428" s="50"/>
      <c r="I428" s="51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48"/>
      <c r="F429" s="49"/>
      <c r="G429" s="50"/>
      <c r="H429" s="50"/>
      <c r="I429" s="51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48"/>
      <c r="F430" s="49"/>
      <c r="G430" s="50"/>
      <c r="H430" s="50"/>
      <c r="I430" s="51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48"/>
      <c r="F431" s="49"/>
      <c r="G431" s="50"/>
      <c r="H431" s="50"/>
      <c r="I431" s="51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48"/>
      <c r="F432" s="49"/>
      <c r="G432" s="50"/>
      <c r="H432" s="50"/>
      <c r="I432" s="51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48"/>
      <c r="F433" s="49"/>
      <c r="G433" s="50"/>
      <c r="H433" s="50"/>
      <c r="I433" s="51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48"/>
      <c r="F434" s="49"/>
      <c r="G434" s="50"/>
      <c r="H434" s="50"/>
      <c r="I434" s="51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48"/>
      <c r="F435" s="49"/>
      <c r="G435" s="50"/>
      <c r="H435" s="50"/>
      <c r="I435" s="51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48"/>
      <c r="F436" s="49"/>
      <c r="G436" s="50"/>
      <c r="H436" s="50"/>
      <c r="I436" s="51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48"/>
      <c r="F437" s="49"/>
      <c r="G437" s="50"/>
      <c r="H437" s="50"/>
      <c r="I437" s="51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48"/>
      <c r="F438" s="49"/>
      <c r="G438" s="50"/>
      <c r="H438" s="50"/>
      <c r="I438" s="51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48"/>
      <c r="F439" s="49"/>
      <c r="G439" s="50"/>
      <c r="H439" s="50"/>
      <c r="I439" s="51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48"/>
      <c r="F440" s="49"/>
      <c r="G440" s="50"/>
      <c r="H440" s="50"/>
      <c r="I440" s="51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48"/>
      <c r="F441" s="49"/>
      <c r="G441" s="50"/>
      <c r="H441" s="50"/>
      <c r="I441" s="51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48"/>
      <c r="F442" s="49"/>
      <c r="G442" s="50"/>
      <c r="H442" s="50"/>
      <c r="I442" s="51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48"/>
      <c r="F443" s="49"/>
      <c r="G443" s="50"/>
      <c r="H443" s="50"/>
      <c r="I443" s="51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48"/>
      <c r="F444" s="49"/>
      <c r="G444" s="50"/>
      <c r="H444" s="50"/>
      <c r="I444" s="51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48"/>
      <c r="F445" s="49"/>
      <c r="G445" s="50"/>
      <c r="H445" s="50"/>
      <c r="I445" s="51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48"/>
      <c r="F446" s="49"/>
      <c r="G446" s="50"/>
      <c r="H446" s="50"/>
      <c r="I446" s="51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48"/>
      <c r="F447" s="49"/>
      <c r="G447" s="50"/>
      <c r="H447" s="50"/>
      <c r="I447" s="51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48"/>
      <c r="F448" s="49"/>
      <c r="G448" s="50"/>
      <c r="H448" s="50"/>
      <c r="I448" s="51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48"/>
      <c r="F449" s="49"/>
      <c r="G449" s="50"/>
      <c r="H449" s="50"/>
      <c r="I449" s="51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48"/>
      <c r="F450" s="49"/>
      <c r="G450" s="50"/>
      <c r="H450" s="50"/>
      <c r="I450" s="51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48"/>
      <c r="F451" s="49"/>
      <c r="G451" s="50"/>
      <c r="H451" s="50"/>
      <c r="I451" s="51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48"/>
      <c r="F452" s="49"/>
      <c r="G452" s="50"/>
      <c r="H452" s="50"/>
      <c r="I452" s="51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48"/>
      <c r="F453" s="49"/>
      <c r="G453" s="50"/>
      <c r="H453" s="50"/>
      <c r="I453" s="51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48"/>
      <c r="F454" s="49"/>
      <c r="G454" s="50"/>
      <c r="H454" s="50"/>
      <c r="I454" s="51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48"/>
      <c r="F455" s="49"/>
      <c r="G455" s="50"/>
      <c r="H455" s="50"/>
      <c r="I455" s="51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48"/>
      <c r="F456" s="49"/>
      <c r="G456" s="50"/>
      <c r="H456" s="50"/>
      <c r="I456" s="51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48"/>
      <c r="F457" s="49"/>
      <c r="G457" s="50"/>
      <c r="H457" s="50"/>
      <c r="I457" s="51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48"/>
      <c r="F458" s="49"/>
      <c r="G458" s="50"/>
      <c r="H458" s="50"/>
      <c r="I458" s="51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48"/>
      <c r="F459" s="49"/>
      <c r="G459" s="50"/>
      <c r="H459" s="50"/>
      <c r="I459" s="51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48"/>
      <c r="F460" s="49"/>
      <c r="G460" s="50"/>
      <c r="H460" s="50"/>
      <c r="I460" s="51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48"/>
      <c r="F461" s="49"/>
      <c r="G461" s="50"/>
      <c r="H461" s="50"/>
      <c r="I461" s="51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48"/>
      <c r="F462" s="49"/>
      <c r="G462" s="50"/>
      <c r="H462" s="50"/>
      <c r="I462" s="51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48"/>
      <c r="F463" s="49"/>
      <c r="G463" s="50"/>
      <c r="H463" s="50"/>
      <c r="I463" s="51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48"/>
      <c r="F464" s="49"/>
      <c r="G464" s="50"/>
      <c r="H464" s="50"/>
      <c r="I464" s="51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48"/>
      <c r="F465" s="49"/>
      <c r="G465" s="50"/>
      <c r="H465" s="50"/>
      <c r="I465" s="51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48"/>
      <c r="F466" s="49"/>
      <c r="G466" s="50"/>
      <c r="H466" s="50"/>
      <c r="I466" s="51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48"/>
      <c r="F467" s="49"/>
      <c r="G467" s="50"/>
      <c r="H467" s="50"/>
      <c r="I467" s="51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48"/>
      <c r="F468" s="49"/>
      <c r="G468" s="50"/>
      <c r="H468" s="50"/>
      <c r="I468" s="51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48"/>
      <c r="F469" s="49"/>
      <c r="G469" s="50"/>
      <c r="H469" s="50"/>
      <c r="I469" s="51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48"/>
      <c r="F470" s="49"/>
      <c r="G470" s="50"/>
      <c r="H470" s="50"/>
      <c r="I470" s="51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48"/>
      <c r="F471" s="49"/>
      <c r="G471" s="50"/>
      <c r="H471" s="50"/>
      <c r="I471" s="51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48"/>
      <c r="F472" s="49"/>
      <c r="G472" s="50"/>
      <c r="H472" s="50"/>
      <c r="I472" s="51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48"/>
      <c r="F473" s="49"/>
      <c r="G473" s="50"/>
      <c r="H473" s="50"/>
      <c r="I473" s="51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48"/>
      <c r="F474" s="49"/>
      <c r="G474" s="50"/>
      <c r="H474" s="50"/>
      <c r="I474" s="51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48"/>
      <c r="F475" s="49"/>
      <c r="G475" s="50"/>
      <c r="H475" s="50"/>
      <c r="I475" s="51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48"/>
      <c r="F476" s="49"/>
      <c r="G476" s="50"/>
      <c r="H476" s="50"/>
      <c r="I476" s="51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48"/>
      <c r="F477" s="49"/>
      <c r="G477" s="50"/>
      <c r="H477" s="50"/>
      <c r="I477" s="51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48"/>
      <c r="F478" s="49"/>
      <c r="G478" s="50"/>
      <c r="H478" s="50"/>
      <c r="I478" s="51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48"/>
      <c r="F479" s="49"/>
      <c r="G479" s="50"/>
      <c r="H479" s="50"/>
      <c r="I479" s="51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48"/>
      <c r="F480" s="49"/>
      <c r="G480" s="50"/>
      <c r="H480" s="50"/>
      <c r="I480" s="51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48"/>
      <c r="F481" s="49"/>
      <c r="G481" s="50"/>
      <c r="H481" s="50"/>
      <c r="I481" s="51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48"/>
      <c r="F482" s="49"/>
      <c r="G482" s="50"/>
      <c r="H482" s="50"/>
      <c r="I482" s="51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48"/>
      <c r="F483" s="49"/>
      <c r="G483" s="50"/>
      <c r="H483" s="50"/>
      <c r="I483" s="51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48"/>
      <c r="F484" s="49"/>
      <c r="G484" s="50"/>
      <c r="H484" s="50"/>
      <c r="I484" s="51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48"/>
      <c r="F485" s="49"/>
      <c r="G485" s="50"/>
      <c r="H485" s="50"/>
      <c r="I485" s="51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48"/>
      <c r="F486" s="49"/>
      <c r="G486" s="50"/>
      <c r="H486" s="50"/>
      <c r="I486" s="51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48"/>
      <c r="F487" s="49"/>
      <c r="G487" s="50"/>
      <c r="H487" s="50"/>
      <c r="I487" s="51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48"/>
      <c r="F488" s="49"/>
      <c r="G488" s="50"/>
      <c r="H488" s="50"/>
      <c r="I488" s="51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48"/>
      <c r="F489" s="49"/>
      <c r="G489" s="50"/>
      <c r="H489" s="50"/>
      <c r="I489" s="51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48"/>
      <c r="F490" s="49"/>
      <c r="G490" s="50"/>
      <c r="H490" s="50"/>
      <c r="I490" s="51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48"/>
      <c r="F491" s="49"/>
      <c r="G491" s="50"/>
      <c r="H491" s="50"/>
      <c r="I491" s="51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48"/>
      <c r="F492" s="49"/>
      <c r="G492" s="50"/>
      <c r="H492" s="50"/>
      <c r="I492" s="51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48"/>
      <c r="F493" s="49"/>
      <c r="G493" s="50"/>
      <c r="H493" s="50"/>
      <c r="I493" s="51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48"/>
      <c r="F494" s="49"/>
      <c r="G494" s="50"/>
      <c r="H494" s="50"/>
      <c r="I494" s="51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48"/>
      <c r="F495" s="49"/>
      <c r="G495" s="50"/>
      <c r="H495" s="50"/>
      <c r="I495" s="51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48"/>
      <c r="F496" s="49"/>
      <c r="G496" s="50"/>
      <c r="H496" s="50"/>
      <c r="I496" s="51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48"/>
      <c r="F497" s="49"/>
      <c r="G497" s="50"/>
      <c r="H497" s="50"/>
      <c r="I497" s="51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48"/>
      <c r="F498" s="49"/>
      <c r="G498" s="50"/>
      <c r="H498" s="50"/>
      <c r="I498" s="51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48"/>
      <c r="F499" s="49"/>
      <c r="G499" s="50"/>
      <c r="H499" s="50"/>
      <c r="I499" s="51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48"/>
      <c r="F500" s="49"/>
      <c r="G500" s="50"/>
      <c r="H500" s="50"/>
      <c r="I500" s="51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48"/>
      <c r="F501" s="49"/>
      <c r="G501" s="50"/>
      <c r="H501" s="50"/>
      <c r="I501" s="51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48"/>
      <c r="F502" s="49"/>
      <c r="G502" s="50"/>
      <c r="H502" s="50"/>
      <c r="I502" s="51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48"/>
      <c r="F503" s="49"/>
      <c r="G503" s="50"/>
      <c r="H503" s="50"/>
      <c r="I503" s="51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48"/>
      <c r="F504" s="49"/>
      <c r="G504" s="50"/>
      <c r="H504" s="50"/>
      <c r="I504" s="51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48"/>
      <c r="F505" s="49"/>
      <c r="G505" s="50"/>
      <c r="H505" s="50"/>
      <c r="I505" s="51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48"/>
      <c r="F506" s="49"/>
      <c r="G506" s="50"/>
      <c r="H506" s="50"/>
      <c r="I506" s="51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48"/>
      <c r="F507" s="49"/>
      <c r="G507" s="50"/>
      <c r="H507" s="50"/>
      <c r="I507" s="51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48"/>
      <c r="F508" s="49"/>
      <c r="G508" s="50"/>
      <c r="H508" s="50"/>
      <c r="I508" s="51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48"/>
      <c r="F509" s="49"/>
      <c r="G509" s="50"/>
      <c r="H509" s="50"/>
      <c r="I509" s="51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48"/>
      <c r="F510" s="49"/>
      <c r="G510" s="50"/>
      <c r="H510" s="50"/>
      <c r="I510" s="51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48"/>
      <c r="F511" s="49"/>
      <c r="G511" s="50"/>
      <c r="H511" s="50"/>
      <c r="I511" s="51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48"/>
      <c r="F512" s="49"/>
      <c r="G512" s="50"/>
      <c r="H512" s="50"/>
      <c r="I512" s="51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48"/>
      <c r="F513" s="49"/>
      <c r="G513" s="50"/>
      <c r="H513" s="50"/>
      <c r="I513" s="51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48"/>
      <c r="F514" s="49"/>
      <c r="G514" s="50"/>
      <c r="H514" s="50"/>
      <c r="I514" s="51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48"/>
      <c r="F515" s="49"/>
      <c r="G515" s="50"/>
      <c r="H515" s="50"/>
      <c r="I515" s="51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48"/>
      <c r="F516" s="49"/>
      <c r="G516" s="50"/>
      <c r="H516" s="50"/>
      <c r="I516" s="51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48"/>
      <c r="F517" s="49"/>
      <c r="G517" s="50"/>
      <c r="H517" s="50"/>
      <c r="I517" s="51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48"/>
      <c r="F518" s="49"/>
      <c r="G518" s="50"/>
      <c r="H518" s="50"/>
      <c r="I518" s="51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48"/>
      <c r="F519" s="49"/>
      <c r="G519" s="50"/>
      <c r="H519" s="50"/>
      <c r="I519" s="51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48"/>
      <c r="F520" s="49"/>
      <c r="G520" s="50"/>
      <c r="H520" s="50"/>
      <c r="I520" s="51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48"/>
      <c r="F521" s="49"/>
      <c r="G521" s="50"/>
      <c r="H521" s="50"/>
      <c r="I521" s="51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48"/>
      <c r="F522" s="49"/>
      <c r="G522" s="50"/>
      <c r="H522" s="50"/>
      <c r="I522" s="51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48"/>
      <c r="F523" s="49"/>
      <c r="G523" s="50"/>
      <c r="H523" s="50"/>
      <c r="I523" s="51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48"/>
      <c r="F524" s="49"/>
      <c r="G524" s="50"/>
      <c r="H524" s="50"/>
      <c r="I524" s="51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48"/>
      <c r="F525" s="49"/>
      <c r="G525" s="50"/>
      <c r="H525" s="50"/>
      <c r="I525" s="51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48"/>
      <c r="F526" s="49"/>
      <c r="G526" s="50"/>
      <c r="H526" s="50"/>
      <c r="I526" s="51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48"/>
      <c r="F527" s="49"/>
      <c r="G527" s="50"/>
      <c r="H527" s="50"/>
      <c r="I527" s="51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48"/>
      <c r="F528" s="49"/>
      <c r="G528" s="50"/>
      <c r="H528" s="50"/>
      <c r="I528" s="51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48"/>
      <c r="F529" s="49"/>
      <c r="G529" s="50"/>
      <c r="H529" s="50"/>
      <c r="I529" s="51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48"/>
      <c r="F530" s="49"/>
      <c r="G530" s="50"/>
      <c r="H530" s="50"/>
      <c r="I530" s="51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48"/>
      <c r="F531" s="49"/>
      <c r="G531" s="50"/>
      <c r="H531" s="50"/>
      <c r="I531" s="51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48"/>
      <c r="F532" s="49"/>
      <c r="G532" s="50"/>
      <c r="H532" s="50"/>
      <c r="I532" s="51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48"/>
      <c r="F533" s="49"/>
      <c r="G533" s="50"/>
      <c r="H533" s="50"/>
      <c r="I533" s="51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48"/>
      <c r="F534" s="49"/>
      <c r="G534" s="50"/>
      <c r="H534" s="50"/>
      <c r="I534" s="51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48"/>
      <c r="F535" s="49"/>
      <c r="G535" s="50"/>
      <c r="H535" s="50"/>
      <c r="I535" s="51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48"/>
      <c r="F536" s="49"/>
      <c r="G536" s="50"/>
      <c r="H536" s="50"/>
      <c r="I536" s="51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48"/>
      <c r="F537" s="49"/>
      <c r="G537" s="50"/>
      <c r="H537" s="50"/>
      <c r="I537" s="51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48"/>
      <c r="F538" s="49"/>
      <c r="G538" s="50"/>
      <c r="H538" s="50"/>
      <c r="I538" s="51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48"/>
      <c r="F539" s="49"/>
      <c r="G539" s="50"/>
      <c r="H539" s="50"/>
      <c r="I539" s="51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48"/>
      <c r="F540" s="49"/>
      <c r="G540" s="50"/>
      <c r="H540" s="50"/>
      <c r="I540" s="51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48"/>
      <c r="F541" s="49"/>
      <c r="G541" s="50"/>
      <c r="H541" s="50"/>
      <c r="I541" s="51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48"/>
      <c r="F542" s="49"/>
      <c r="G542" s="50"/>
      <c r="H542" s="50"/>
      <c r="I542" s="51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48"/>
      <c r="F543" s="49"/>
      <c r="G543" s="50"/>
      <c r="H543" s="50"/>
      <c r="I543" s="51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48"/>
      <c r="F544" s="49"/>
      <c r="G544" s="50"/>
      <c r="H544" s="50"/>
      <c r="I544" s="51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48"/>
      <c r="F545" s="49"/>
      <c r="G545" s="50"/>
      <c r="H545" s="50"/>
      <c r="I545" s="51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48"/>
      <c r="F546" s="49"/>
      <c r="G546" s="50"/>
      <c r="H546" s="50"/>
      <c r="I546" s="51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48"/>
      <c r="F547" s="49"/>
      <c r="G547" s="50"/>
      <c r="H547" s="50"/>
      <c r="I547" s="51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48"/>
      <c r="F548" s="49"/>
      <c r="G548" s="50"/>
      <c r="H548" s="50"/>
      <c r="I548" s="51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48"/>
      <c r="F549" s="49"/>
      <c r="G549" s="50"/>
      <c r="H549" s="50"/>
      <c r="I549" s="51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48"/>
      <c r="F550" s="49"/>
      <c r="G550" s="50"/>
      <c r="H550" s="50"/>
      <c r="I550" s="51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48"/>
      <c r="F551" s="49"/>
      <c r="G551" s="50"/>
      <c r="H551" s="50"/>
      <c r="I551" s="51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48"/>
      <c r="F552" s="49"/>
      <c r="G552" s="50"/>
      <c r="H552" s="50"/>
      <c r="I552" s="51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48"/>
      <c r="F553" s="49"/>
      <c r="G553" s="50"/>
      <c r="H553" s="50"/>
      <c r="I553" s="51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48"/>
      <c r="F554" s="49"/>
      <c r="G554" s="50"/>
      <c r="H554" s="50"/>
      <c r="I554" s="51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48"/>
      <c r="F555" s="49"/>
      <c r="G555" s="50"/>
      <c r="H555" s="50"/>
      <c r="I555" s="51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48"/>
      <c r="F556" s="49"/>
      <c r="G556" s="50"/>
      <c r="H556" s="50"/>
      <c r="I556" s="51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48"/>
      <c r="F557" s="49"/>
      <c r="G557" s="50"/>
      <c r="H557" s="50"/>
      <c r="I557" s="51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48"/>
      <c r="F558" s="49"/>
      <c r="G558" s="50"/>
      <c r="H558" s="50"/>
      <c r="I558" s="51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48"/>
      <c r="F559" s="49"/>
      <c r="G559" s="50"/>
      <c r="H559" s="50"/>
      <c r="I559" s="51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48"/>
      <c r="F560" s="49"/>
      <c r="G560" s="50"/>
      <c r="H560" s="50"/>
      <c r="I560" s="51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48"/>
      <c r="F561" s="49"/>
      <c r="G561" s="50"/>
      <c r="H561" s="50"/>
      <c r="I561" s="51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48"/>
      <c r="F562" s="49"/>
      <c r="G562" s="50"/>
      <c r="H562" s="50"/>
      <c r="I562" s="51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48"/>
      <c r="F563" s="49"/>
      <c r="G563" s="50"/>
      <c r="H563" s="50"/>
      <c r="I563" s="51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48"/>
      <c r="F564" s="49"/>
      <c r="G564" s="50"/>
      <c r="H564" s="50"/>
      <c r="I564" s="51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48"/>
      <c r="F565" s="49"/>
      <c r="G565" s="50"/>
      <c r="H565" s="50"/>
      <c r="I565" s="51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48"/>
      <c r="F566" s="49"/>
      <c r="G566" s="50"/>
      <c r="H566" s="50"/>
      <c r="I566" s="51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48"/>
      <c r="F567" s="49"/>
      <c r="G567" s="50"/>
      <c r="H567" s="50"/>
      <c r="I567" s="51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48"/>
      <c r="F568" s="49"/>
      <c r="G568" s="50"/>
      <c r="H568" s="50"/>
      <c r="I568" s="51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48"/>
      <c r="F569" s="49"/>
      <c r="G569" s="50"/>
      <c r="H569" s="50"/>
      <c r="I569" s="51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48"/>
      <c r="F570" s="49"/>
      <c r="G570" s="50"/>
      <c r="H570" s="50"/>
      <c r="I570" s="51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48"/>
      <c r="F571" s="49"/>
      <c r="G571" s="50"/>
      <c r="H571" s="50"/>
      <c r="I571" s="51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48"/>
      <c r="F572" s="49"/>
      <c r="G572" s="50"/>
      <c r="H572" s="50"/>
      <c r="I572" s="51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48"/>
      <c r="F573" s="49"/>
      <c r="G573" s="50"/>
      <c r="H573" s="50"/>
      <c r="I573" s="51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48"/>
      <c r="F574" s="49"/>
      <c r="G574" s="50"/>
      <c r="H574" s="50"/>
      <c r="I574" s="51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48"/>
      <c r="F575" s="49"/>
      <c r="G575" s="50"/>
      <c r="H575" s="50"/>
      <c r="I575" s="51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48"/>
      <c r="F576" s="49"/>
      <c r="G576" s="50"/>
      <c r="H576" s="50"/>
      <c r="I576" s="51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48"/>
      <c r="F577" s="49"/>
      <c r="G577" s="50"/>
      <c r="H577" s="50"/>
      <c r="I577" s="51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48"/>
      <c r="F578" s="49"/>
      <c r="G578" s="50"/>
      <c r="H578" s="50"/>
      <c r="I578" s="51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48"/>
      <c r="F579" s="49"/>
      <c r="G579" s="50"/>
      <c r="H579" s="50"/>
      <c r="I579" s="51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379:B37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7" width="6.25"/>
    <col customWidth="1" min="8" max="9" width="3.0"/>
    <col customWidth="1" min="10" max="12" width="2.63"/>
    <col customWidth="1" min="13" max="17" width="6.25"/>
    <col customWidth="1" min="18" max="20" width="2.63"/>
    <col customWidth="1" min="21" max="21" width="6.25"/>
    <col customWidth="1" min="22" max="23" width="8.88"/>
    <col customWidth="1" min="24" max="24" width="6.25"/>
    <col customWidth="1" min="25" max="26" width="8.88"/>
    <col customWidth="1" min="27" max="27" width="12.38"/>
    <col customWidth="1" min="28" max="28" width="11.38"/>
    <col customWidth="1" min="29" max="29" width="3.0"/>
  </cols>
  <sheetData>
    <row r="1" ht="45.0" customHeight="1">
      <c r="A1" s="52"/>
      <c r="B1" s="53"/>
      <c r="H1" s="52"/>
      <c r="I1" s="53" t="s">
        <v>38</v>
      </c>
    </row>
    <row r="2" ht="15.75" customHeight="1">
      <c r="A2" s="54"/>
      <c r="B2" s="55" t="s">
        <v>39</v>
      </c>
      <c r="H2" s="54"/>
      <c r="I2" s="54"/>
      <c r="J2" s="56"/>
      <c r="W2" s="54"/>
      <c r="X2" s="54"/>
      <c r="Y2" s="54"/>
      <c r="Z2" s="54"/>
      <c r="AA2" s="54"/>
      <c r="AB2" s="54"/>
      <c r="AC2" s="54"/>
    </row>
    <row r="3" ht="15.75" customHeight="1">
      <c r="A3" s="54"/>
      <c r="H3" s="57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22.5" customHeight="1">
      <c r="A4" s="54"/>
      <c r="B4" s="58"/>
      <c r="C4" s="58"/>
      <c r="D4" s="58"/>
      <c r="E4" s="58"/>
      <c r="F4" s="58"/>
      <c r="G4" s="58"/>
      <c r="H4" s="57"/>
      <c r="I4" s="54"/>
      <c r="J4" s="54"/>
      <c r="K4" s="54"/>
      <c r="L4" s="54"/>
      <c r="M4" s="59" t="s">
        <v>40</v>
      </c>
      <c r="R4" s="54"/>
      <c r="S4" s="54"/>
      <c r="T4" s="54"/>
      <c r="U4" s="54"/>
      <c r="V4" s="59" t="s">
        <v>41</v>
      </c>
      <c r="X4" s="54"/>
      <c r="Y4" s="59" t="s">
        <v>42</v>
      </c>
      <c r="AA4" s="54"/>
      <c r="AB4" s="59" t="s">
        <v>43</v>
      </c>
      <c r="AC4" s="54"/>
    </row>
    <row r="5" ht="18.0" customHeight="1">
      <c r="A5" s="54"/>
      <c r="B5" s="55" t="s">
        <v>44</v>
      </c>
      <c r="H5" s="57"/>
      <c r="I5" s="54"/>
      <c r="J5" s="54"/>
      <c r="K5" s="54"/>
      <c r="L5" s="54"/>
      <c r="R5" s="54"/>
      <c r="S5" s="54"/>
      <c r="T5" s="54"/>
      <c r="U5" s="54"/>
      <c r="X5" s="54"/>
      <c r="AA5" s="54"/>
      <c r="AC5" s="54"/>
    </row>
    <row r="6" ht="20.25" customHeight="1">
      <c r="A6" s="54"/>
      <c r="H6" s="57"/>
      <c r="I6" s="54"/>
      <c r="J6" s="60"/>
      <c r="K6" s="60"/>
      <c r="L6" s="60"/>
      <c r="M6" s="61" t="s">
        <v>45</v>
      </c>
      <c r="R6" s="60"/>
      <c r="S6" s="60"/>
      <c r="T6" s="60"/>
      <c r="U6" s="57"/>
      <c r="V6" s="62">
        <f>IF(AB8=0,0,ROUNDDOWN(V9/AB8,0))</f>
        <v>2719</v>
      </c>
      <c r="W6" s="63"/>
      <c r="X6" s="57"/>
      <c r="Y6" s="62">
        <f>IF(B31="",0,ROUNDDOWN(B31,0))</f>
        <v>1000</v>
      </c>
      <c r="Z6" s="63"/>
      <c r="AA6" s="54"/>
      <c r="AB6" s="54"/>
      <c r="AC6" s="54"/>
    </row>
    <row r="7" ht="15.75" customHeight="1">
      <c r="A7" s="54"/>
      <c r="B7" s="64" t="s">
        <v>46</v>
      </c>
      <c r="H7" s="57"/>
      <c r="I7" s="54"/>
      <c r="J7" s="60"/>
      <c r="K7" s="60"/>
      <c r="L7" s="60"/>
      <c r="R7" s="60"/>
      <c r="S7" s="60"/>
      <c r="T7" s="60"/>
      <c r="U7" s="57"/>
      <c r="W7" s="63"/>
      <c r="X7" s="63"/>
      <c r="Z7" s="63"/>
      <c r="AA7" s="54"/>
      <c r="AB7" s="54"/>
      <c r="AC7" s="54"/>
    </row>
    <row r="8" ht="15.75" customHeight="1">
      <c r="A8" s="54"/>
      <c r="B8" s="54"/>
      <c r="C8" s="54"/>
      <c r="D8" s="54"/>
      <c r="E8" s="54"/>
      <c r="F8" s="54"/>
      <c r="G8" s="54"/>
      <c r="H8" s="57"/>
      <c r="I8" s="54"/>
      <c r="J8" s="65"/>
      <c r="K8" s="65"/>
      <c r="L8" s="65"/>
      <c r="M8" s="66"/>
      <c r="N8" s="66"/>
      <c r="O8" s="66"/>
      <c r="P8" s="66"/>
      <c r="Q8" s="66"/>
      <c r="R8" s="65"/>
      <c r="S8" s="65"/>
      <c r="T8" s="65"/>
      <c r="U8" s="57"/>
      <c r="V8" s="58"/>
      <c r="W8" s="67"/>
      <c r="X8" s="63"/>
      <c r="Y8" s="58"/>
      <c r="Z8" s="67"/>
      <c r="AA8" s="68"/>
      <c r="AB8" s="69">
        <f>VLOOKUP($B$7,'Benchmark de Taxas'!$A$4:$D34,2,FALSE)</f>
        <v>0.057</v>
      </c>
      <c r="AC8" s="54"/>
    </row>
    <row r="9" ht="15.75" customHeight="1">
      <c r="A9" s="54"/>
      <c r="B9" s="55" t="s">
        <v>47</v>
      </c>
      <c r="H9" s="57"/>
      <c r="I9" s="54"/>
      <c r="J9" s="54"/>
      <c r="K9" s="70"/>
      <c r="L9" s="70"/>
      <c r="M9" s="71" t="s">
        <v>48</v>
      </c>
      <c r="R9" s="70"/>
      <c r="S9" s="70"/>
      <c r="T9" s="54"/>
      <c r="U9" s="57"/>
      <c r="V9" s="72">
        <f>IF(AB11=0,0,ROUNDDOWN(V12/AB11,0))</f>
        <v>155</v>
      </c>
      <c r="W9" s="63"/>
      <c r="X9" s="57"/>
      <c r="Y9" s="72">
        <f>ROUNDUP(Y6*AB8,0)</f>
        <v>57</v>
      </c>
      <c r="Z9" s="63"/>
      <c r="AA9" s="54"/>
      <c r="AC9" s="54"/>
    </row>
    <row r="10" ht="15.75" customHeight="1">
      <c r="A10" s="54"/>
      <c r="H10" s="57"/>
      <c r="I10" s="54"/>
      <c r="J10" s="54"/>
      <c r="K10" s="70"/>
      <c r="L10" s="70"/>
      <c r="R10" s="70"/>
      <c r="S10" s="70"/>
      <c r="T10" s="54"/>
      <c r="U10" s="57"/>
      <c r="W10" s="63"/>
      <c r="X10" s="63"/>
      <c r="Z10" s="63"/>
      <c r="AA10" s="54"/>
      <c r="AB10" s="54"/>
      <c r="AC10" s="54"/>
    </row>
    <row r="11" ht="15.75" customHeight="1">
      <c r="A11" s="54"/>
      <c r="B11" s="73">
        <v>30000.0</v>
      </c>
      <c r="H11" s="57"/>
      <c r="I11" s="54"/>
      <c r="J11" s="54"/>
      <c r="K11" s="74"/>
      <c r="L11" s="74"/>
      <c r="M11" s="66"/>
      <c r="N11" s="66"/>
      <c r="O11" s="66"/>
      <c r="P11" s="66"/>
      <c r="Q11" s="66"/>
      <c r="R11" s="74"/>
      <c r="S11" s="74"/>
      <c r="T11" s="54"/>
      <c r="U11" s="57"/>
      <c r="V11" s="58"/>
      <c r="W11" s="67"/>
      <c r="X11" s="63"/>
      <c r="Y11" s="58"/>
      <c r="Z11" s="67"/>
      <c r="AA11" s="68"/>
      <c r="AB11" s="69">
        <f>VLOOKUP($B$7,'Benchmark de Taxas'!$A$4:$D34,3,FALSE)</f>
        <v>0.436</v>
      </c>
      <c r="AC11" s="54"/>
    </row>
    <row r="12" ht="15.75" customHeight="1">
      <c r="A12" s="54"/>
      <c r="H12" s="57"/>
      <c r="I12" s="54"/>
      <c r="J12" s="54"/>
      <c r="K12" s="54"/>
      <c r="L12" s="75"/>
      <c r="M12" s="76" t="s">
        <v>49</v>
      </c>
      <c r="R12" s="75"/>
      <c r="S12" s="54"/>
      <c r="T12" s="54"/>
      <c r="U12" s="57"/>
      <c r="V12" s="72">
        <f>IF(AB14=0,0,ROUNDDOWN(V15/AB14,0))</f>
        <v>68</v>
      </c>
      <c r="W12" s="63"/>
      <c r="X12" s="57"/>
      <c r="Y12" s="72">
        <f>ROUNDUP(Y9*AB11,0)</f>
        <v>25</v>
      </c>
      <c r="Z12" s="63"/>
      <c r="AA12" s="54"/>
      <c r="AC12" s="54"/>
    </row>
    <row r="13" ht="15.75" customHeight="1">
      <c r="A13" s="54"/>
      <c r="B13" s="54"/>
      <c r="C13" s="54"/>
      <c r="D13" s="54"/>
      <c r="E13" s="54"/>
      <c r="F13" s="54"/>
      <c r="G13" s="54"/>
      <c r="H13" s="57"/>
      <c r="I13" s="54"/>
      <c r="J13" s="54"/>
      <c r="K13" s="54"/>
      <c r="L13" s="75"/>
      <c r="R13" s="75"/>
      <c r="S13" s="54"/>
      <c r="T13" s="54"/>
      <c r="U13" s="57"/>
      <c r="W13" s="63"/>
      <c r="X13" s="63"/>
      <c r="Z13" s="63"/>
      <c r="AA13" s="54"/>
      <c r="AB13" s="54"/>
      <c r="AC13" s="54"/>
    </row>
    <row r="14" ht="15.75" customHeight="1">
      <c r="A14" s="54"/>
      <c r="B14" s="55" t="s">
        <v>50</v>
      </c>
      <c r="H14" s="57"/>
      <c r="I14" s="54"/>
      <c r="J14" s="54"/>
      <c r="K14" s="54"/>
      <c r="L14" s="77"/>
      <c r="M14" s="66"/>
      <c r="N14" s="66"/>
      <c r="O14" s="66"/>
      <c r="P14" s="66"/>
      <c r="Q14" s="66"/>
      <c r="R14" s="77"/>
      <c r="S14" s="54"/>
      <c r="T14" s="54"/>
      <c r="U14" s="57"/>
      <c r="V14" s="58"/>
      <c r="W14" s="67"/>
      <c r="X14" s="63"/>
      <c r="Y14" s="58"/>
      <c r="Z14" s="67"/>
      <c r="AA14" s="68"/>
      <c r="AB14" s="69">
        <f>VLOOKUP($B$7,'Benchmark de Taxas'!$A$4:$D34,4,FALSE)</f>
        <v>0.147</v>
      </c>
      <c r="AC14" s="54"/>
    </row>
    <row r="15" ht="15.75" customHeight="1">
      <c r="A15" s="54"/>
      <c r="H15" s="57"/>
      <c r="I15" s="54"/>
      <c r="J15" s="54"/>
      <c r="K15" s="54"/>
      <c r="L15" s="54"/>
      <c r="M15" s="78" t="s">
        <v>51</v>
      </c>
      <c r="R15" s="54"/>
      <c r="S15" s="54"/>
      <c r="T15" s="54"/>
      <c r="U15" s="57"/>
      <c r="V15" s="62">
        <f>V23</f>
        <v>10</v>
      </c>
      <c r="W15" s="63"/>
      <c r="X15" s="57"/>
      <c r="Y15" s="72">
        <f>ROUNDUP(Y12*AB14,0)</f>
        <v>4</v>
      </c>
      <c r="Z15" s="63"/>
      <c r="AA15" s="79"/>
      <c r="AC15" s="54"/>
    </row>
    <row r="16" ht="15.75" customHeight="1">
      <c r="A16" s="54"/>
      <c r="B16" s="73">
        <v>3000.0</v>
      </c>
      <c r="H16" s="57"/>
      <c r="I16" s="54"/>
      <c r="J16" s="54"/>
      <c r="K16" s="54"/>
      <c r="L16" s="54"/>
      <c r="R16" s="54"/>
      <c r="S16" s="54"/>
      <c r="T16" s="54"/>
      <c r="U16" s="57"/>
      <c r="W16" s="63"/>
      <c r="X16" s="63"/>
      <c r="Z16" s="63"/>
      <c r="AA16" s="79"/>
      <c r="AB16" s="54"/>
      <c r="AC16" s="54"/>
    </row>
    <row r="17" ht="15.75" customHeight="1">
      <c r="A17" s="54"/>
      <c r="H17" s="57"/>
      <c r="I17" s="54"/>
      <c r="J17" s="54"/>
      <c r="K17" s="54"/>
      <c r="L17" s="54"/>
      <c r="R17" s="54"/>
      <c r="S17" s="54"/>
      <c r="T17" s="54"/>
      <c r="U17" s="57"/>
      <c r="V17" s="58"/>
      <c r="W17" s="67"/>
      <c r="X17" s="63"/>
      <c r="Y17" s="58"/>
      <c r="Z17" s="67"/>
      <c r="AA17" s="79"/>
      <c r="AB17" s="54"/>
      <c r="AC17" s="54"/>
    </row>
    <row r="18" ht="15.75" customHeight="1">
      <c r="A18" s="54"/>
      <c r="B18" s="54"/>
      <c r="C18" s="54"/>
      <c r="D18" s="54"/>
      <c r="E18" s="54"/>
      <c r="F18" s="54"/>
      <c r="G18" s="54"/>
      <c r="H18" s="57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80"/>
      <c r="W18" s="79"/>
      <c r="X18" s="79"/>
      <c r="Y18" s="80"/>
      <c r="Z18" s="79"/>
      <c r="AA18" s="79"/>
      <c r="AB18" s="54"/>
      <c r="AC18" s="54"/>
    </row>
    <row r="19" ht="15.75" customHeight="1">
      <c r="A19" s="54"/>
      <c r="B19" s="55" t="s">
        <v>52</v>
      </c>
      <c r="H19" s="57"/>
      <c r="I19" s="54"/>
      <c r="J19" s="54"/>
      <c r="K19" s="54"/>
      <c r="L19" s="54"/>
      <c r="M19" s="55" t="s">
        <v>53</v>
      </c>
      <c r="R19" s="54"/>
      <c r="S19" s="54"/>
      <c r="T19" s="54"/>
      <c r="U19" s="54"/>
      <c r="V19" s="63"/>
      <c r="W19" s="79"/>
      <c r="X19" s="79"/>
      <c r="Y19" s="63"/>
      <c r="Z19" s="81"/>
      <c r="AA19" s="81"/>
      <c r="AB19" s="68"/>
      <c r="AC19" s="54"/>
    </row>
    <row r="20" ht="15.75" customHeight="1">
      <c r="A20" s="54"/>
      <c r="H20" s="57"/>
      <c r="I20" s="54"/>
      <c r="J20" s="68"/>
      <c r="K20" s="68"/>
      <c r="L20" s="68"/>
      <c r="M20" s="58"/>
      <c r="N20" s="58"/>
      <c r="O20" s="58"/>
      <c r="P20" s="58"/>
      <c r="Q20" s="58"/>
      <c r="R20" s="68"/>
      <c r="S20" s="68"/>
      <c r="T20" s="68"/>
      <c r="U20" s="68"/>
      <c r="V20" s="69">
        <f>IFERROR(IF(V15=0,0,V15/V6),0)</f>
        <v>0.003677822729</v>
      </c>
      <c r="X20" s="82"/>
      <c r="Y20" s="83" t="str">
        <f>IF(AB6=0,"Preencha todos os campos corretamente para visualizar o resultado.",(IF(Y6=AB6,"_______________PARABÉNS 😊_______________ Sua empresa tem o número de visitantes únicos suficiente para atingir seus objetivos comerciais. Para obter resultados ainda melhores, tente otimizar a média de vendas da sua equipe e avalie aumentar seu investime"&amp;"nto em mídia e/ou otimizar suas campanhas. A equipe da TURBO terá prazer em acompanhar sua jornada de sucesso.",IF(AB6&gt;Y6,"_______________PARABÉNS 😊_______________ Sua empresa tem mais visitantes únicos do que a média do seu setor, o que é um bom sinal. No entanto, é importante lembrar que o número de visitantes não é o único fator que determina o sucesso de uma empresa. Se "&amp;"você não estiver atingindo seus resultados, pode ser necessário investir em treinamentos para sua equipe de vendas ou rever seus processos internos. Além disso, é importante avaliar se o investimento em mídia pode ser otimizado para obter resultados ainda"&amp;" melhores. A equipe da TURBO terá prazer em acompanhar sua jornada de sucesso.","_______________ATENÇÃO ⚠️_______________ Sua empresa não tem um número de visitantes únicos suficiente para atingir suas metas comerciais. Para alcançar seus objetivos, é importante reavaliar seu investimento em mídia e procurar um de nossos especialistas"&amp;" para que possamos juntos traçar uma estratégia realista e eficaz. A equipe da TURBO terá prazer em acompanhar sua jornada de sucesso."))))</f>
        <v>Preencha todos os campos corretamente para visualizar o resultado.</v>
      </c>
      <c r="AB20" s="63"/>
      <c r="AC20" s="54"/>
    </row>
    <row r="21" ht="15.75" customHeight="1">
      <c r="A21" s="54"/>
      <c r="B21" s="84">
        <v>50.0</v>
      </c>
      <c r="H21" s="57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X21" s="82"/>
      <c r="AB21" s="63"/>
      <c r="AC21" s="54"/>
    </row>
    <row r="22" ht="15.75" customHeight="1">
      <c r="A22" s="54"/>
      <c r="H22" s="57"/>
      <c r="I22" s="54"/>
      <c r="J22" s="54"/>
      <c r="K22" s="54"/>
      <c r="L22" s="54"/>
      <c r="M22" s="55" t="s">
        <v>54</v>
      </c>
      <c r="R22" s="54"/>
      <c r="S22" s="54"/>
      <c r="T22" s="54"/>
      <c r="U22" s="54"/>
      <c r="V22" s="57"/>
      <c r="W22" s="79"/>
      <c r="X22" s="82"/>
      <c r="AB22" s="63"/>
      <c r="AC22" s="54"/>
    </row>
    <row r="23" ht="15.75" customHeight="1">
      <c r="A23" s="54"/>
      <c r="B23" s="54"/>
      <c r="C23" s="54"/>
      <c r="D23" s="54"/>
      <c r="E23" s="54"/>
      <c r="F23" s="54"/>
      <c r="G23" s="54"/>
      <c r="H23" s="57"/>
      <c r="I23" s="54"/>
      <c r="J23" s="68"/>
      <c r="K23" s="68"/>
      <c r="L23" s="68"/>
      <c r="M23" s="58"/>
      <c r="N23" s="58"/>
      <c r="O23" s="58"/>
      <c r="P23" s="58"/>
      <c r="Q23" s="58"/>
      <c r="R23" s="68"/>
      <c r="S23" s="68"/>
      <c r="T23" s="68"/>
      <c r="U23" s="68"/>
      <c r="V23" s="85">
        <f>IF(B16=0,0,ROUNDUP(B11/B16,0))</f>
        <v>10</v>
      </c>
      <c r="X23" s="82"/>
      <c r="AB23" s="63"/>
      <c r="AC23" s="54"/>
    </row>
    <row r="24" ht="15.75" customHeight="1">
      <c r="A24" s="54"/>
      <c r="B24" s="55" t="s">
        <v>55</v>
      </c>
      <c r="H24" s="57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X24" s="82"/>
      <c r="AB24" s="63"/>
      <c r="AC24" s="54"/>
    </row>
    <row r="25" ht="15.75" customHeight="1">
      <c r="A25" s="54"/>
      <c r="H25" s="57"/>
      <c r="I25" s="54"/>
      <c r="J25" s="54"/>
      <c r="K25" s="54"/>
      <c r="L25" s="54"/>
      <c r="M25" s="55" t="s">
        <v>56</v>
      </c>
      <c r="R25" s="54"/>
      <c r="S25" s="54"/>
      <c r="T25" s="54"/>
      <c r="U25" s="54"/>
      <c r="V25" s="57"/>
      <c r="W25" s="79"/>
      <c r="X25" s="82"/>
      <c r="AB25" s="63"/>
      <c r="AC25" s="54"/>
    </row>
    <row r="26" ht="15.75" customHeight="1">
      <c r="A26" s="54"/>
      <c r="B26" s="84">
        <v>10.0</v>
      </c>
      <c r="H26" s="57"/>
      <c r="I26" s="54"/>
      <c r="J26" s="68"/>
      <c r="K26" s="68"/>
      <c r="L26" s="68"/>
      <c r="M26" s="58"/>
      <c r="N26" s="58"/>
      <c r="O26" s="58"/>
      <c r="P26" s="58"/>
      <c r="Q26" s="58"/>
      <c r="R26" s="68"/>
      <c r="S26" s="68"/>
      <c r="T26" s="68"/>
      <c r="U26" s="68"/>
      <c r="V26" s="85">
        <f>IFERROR(ROUNDUP(V12/((B21+B26)/2),0),0)</f>
        <v>3</v>
      </c>
      <c r="X26" s="82"/>
      <c r="AB26" s="63"/>
      <c r="AC26" s="54"/>
    </row>
    <row r="27" ht="15.75" customHeight="1">
      <c r="A27" s="54"/>
      <c r="H27" s="57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X27" s="82"/>
      <c r="AB27" s="63"/>
      <c r="AC27" s="54"/>
    </row>
    <row r="28" ht="15.75" customHeight="1">
      <c r="A28" s="54"/>
      <c r="B28" s="54"/>
      <c r="C28" s="54"/>
      <c r="D28" s="54"/>
      <c r="E28" s="54"/>
      <c r="F28" s="54"/>
      <c r="G28" s="54"/>
      <c r="H28" s="57"/>
      <c r="I28" s="54"/>
      <c r="J28" s="54"/>
      <c r="K28" s="54"/>
      <c r="L28" s="54"/>
      <c r="M28" s="55" t="s">
        <v>57</v>
      </c>
      <c r="R28" s="54"/>
      <c r="S28" s="54"/>
      <c r="T28" s="54"/>
      <c r="U28" s="54"/>
      <c r="V28" s="82"/>
      <c r="W28" s="79"/>
      <c r="X28" s="82"/>
      <c r="AB28" s="63"/>
      <c r="AC28" s="54"/>
    </row>
    <row r="29" ht="15.75" customHeight="1">
      <c r="A29" s="54"/>
      <c r="B29" s="55" t="s">
        <v>58</v>
      </c>
      <c r="H29" s="57"/>
      <c r="I29" s="54"/>
      <c r="J29" s="68"/>
      <c r="K29" s="68"/>
      <c r="L29" s="68"/>
      <c r="M29" s="58"/>
      <c r="N29" s="58"/>
      <c r="O29" s="58"/>
      <c r="P29" s="58"/>
      <c r="Q29" s="58"/>
      <c r="R29" s="68"/>
      <c r="S29" s="68"/>
      <c r="T29" s="68"/>
      <c r="U29" s="68"/>
      <c r="V29" s="85">
        <f>IFERROR(IF($V$26=0,0,ROUNDUP(V12/$V$26,0)),0)</f>
        <v>23</v>
      </c>
      <c r="X29" s="82"/>
      <c r="AB29" s="63"/>
      <c r="AC29" s="54"/>
    </row>
    <row r="30" ht="15.75" customHeight="1">
      <c r="A30" s="54"/>
      <c r="H30" s="57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X30" s="82"/>
      <c r="Y30" s="58"/>
      <c r="Z30" s="58"/>
      <c r="AA30" s="58"/>
      <c r="AB30" s="67"/>
      <c r="AC30" s="54"/>
    </row>
    <row r="31" ht="15.75" customHeight="1">
      <c r="A31" s="54"/>
      <c r="B31" s="86">
        <v>1000.0</v>
      </c>
      <c r="H31" s="57"/>
      <c r="I31" s="54"/>
      <c r="J31" s="54"/>
      <c r="K31" s="54"/>
      <c r="L31" s="54"/>
      <c r="M31" s="55" t="s">
        <v>59</v>
      </c>
      <c r="R31" s="54"/>
      <c r="S31" s="54"/>
      <c r="T31" s="54"/>
      <c r="U31" s="54"/>
      <c r="V31" s="57"/>
      <c r="W31" s="54"/>
      <c r="X31" s="82"/>
      <c r="Y31" s="87"/>
      <c r="AB31" s="63"/>
      <c r="AC31" s="54"/>
    </row>
    <row r="32" ht="15.75" customHeight="1">
      <c r="A32" s="54"/>
      <c r="H32" s="57"/>
      <c r="I32" s="54"/>
      <c r="J32" s="68"/>
      <c r="K32" s="68"/>
      <c r="L32" s="68"/>
      <c r="M32" s="58"/>
      <c r="N32" s="58"/>
      <c r="O32" s="58"/>
      <c r="P32" s="58"/>
      <c r="Q32" s="58"/>
      <c r="R32" s="68"/>
      <c r="S32" s="68"/>
      <c r="T32" s="68"/>
      <c r="U32" s="68"/>
      <c r="V32" s="85">
        <f>IFERROR(IF($V$26=0,0,ROUNDUP(V15/$V$26,0)),0)</f>
        <v>4</v>
      </c>
      <c r="X32" s="82"/>
      <c r="Y32" s="88"/>
      <c r="AB32" s="63"/>
      <c r="AC32" s="54"/>
    </row>
    <row r="33" ht="15.75" customHeight="1">
      <c r="A33" s="54"/>
      <c r="B33" s="54"/>
      <c r="C33" s="54"/>
      <c r="D33" s="54"/>
      <c r="E33" s="54"/>
      <c r="F33" s="54"/>
      <c r="G33" s="54"/>
      <c r="H33" s="57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X33" s="82"/>
      <c r="Y33" s="89"/>
      <c r="Z33" s="58"/>
      <c r="AA33" s="58"/>
      <c r="AB33" s="67"/>
      <c r="AC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79"/>
      <c r="Y34" s="79"/>
      <c r="Z34" s="79"/>
      <c r="AA34" s="79"/>
      <c r="AB34" s="54"/>
      <c r="AC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V26:W27"/>
    <mergeCell ref="V29:W30"/>
    <mergeCell ref="V6:W8"/>
    <mergeCell ref="V9:W11"/>
    <mergeCell ref="V15:W17"/>
    <mergeCell ref="X15:X17"/>
    <mergeCell ref="V18:V19"/>
    <mergeCell ref="V20:W21"/>
    <mergeCell ref="V23:W24"/>
    <mergeCell ref="B1:G1"/>
    <mergeCell ref="I1:AC1"/>
    <mergeCell ref="J2:V2"/>
    <mergeCell ref="M4:Q5"/>
    <mergeCell ref="V4:W5"/>
    <mergeCell ref="Y4:Z5"/>
    <mergeCell ref="AB4:AB5"/>
    <mergeCell ref="B2:G4"/>
    <mergeCell ref="B5:G6"/>
    <mergeCell ref="M6:Q8"/>
    <mergeCell ref="X6:X8"/>
    <mergeCell ref="Y6:Z8"/>
    <mergeCell ref="AB8:AB9"/>
    <mergeCell ref="M9:Q11"/>
    <mergeCell ref="M12:Q14"/>
    <mergeCell ref="M15:Q17"/>
    <mergeCell ref="M19:Q20"/>
    <mergeCell ref="M22:Q23"/>
    <mergeCell ref="M25:Q26"/>
    <mergeCell ref="M28:Q29"/>
    <mergeCell ref="M31:Q32"/>
    <mergeCell ref="Y15:Z17"/>
    <mergeCell ref="Y18:Y19"/>
    <mergeCell ref="Y20:AB30"/>
    <mergeCell ref="Y31:AB33"/>
    <mergeCell ref="V32:W33"/>
    <mergeCell ref="X9:X11"/>
    <mergeCell ref="Y9:Z11"/>
    <mergeCell ref="AB11:AB12"/>
    <mergeCell ref="V12:W14"/>
    <mergeCell ref="X12:X14"/>
    <mergeCell ref="Y12:Z14"/>
    <mergeCell ref="AB14:AB15"/>
    <mergeCell ref="B24:G25"/>
    <mergeCell ref="B26:G27"/>
    <mergeCell ref="B29:G30"/>
    <mergeCell ref="B31:G32"/>
    <mergeCell ref="B7:G7"/>
    <mergeCell ref="B9:G10"/>
    <mergeCell ref="B11:G12"/>
    <mergeCell ref="B14:G15"/>
    <mergeCell ref="B16:G17"/>
    <mergeCell ref="B19:G20"/>
    <mergeCell ref="B21:G22"/>
  </mergeCells>
  <conditionalFormatting sqref="Y20:Y30 Z20:AB30">
    <cfRule type="expression" dxfId="0" priority="1">
      <formula>V6&lt;Y6</formula>
    </cfRule>
  </conditionalFormatting>
  <conditionalFormatting sqref="Y20:Y30 Z20:AB30">
    <cfRule type="expression" dxfId="1" priority="2">
      <formula>V6&gt;Y6</formula>
    </cfRule>
  </conditionalFormatting>
  <conditionalFormatting sqref="Y20:Y30 Z20:AB30">
    <cfRule type="expression" dxfId="2" priority="3">
      <formula>Y6=V6</formula>
    </cfRule>
  </conditionalFormatting>
  <dataValidations>
    <dataValidation type="list" allowBlank="1" sqref="B7">
      <formula1>'Benchmark de Taxas'!$A$4:$A34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39.5"/>
    <col customWidth="1" min="3" max="3" width="2.88"/>
    <col customWidth="1" min="4" max="4" width="39.5"/>
    <col customWidth="1" min="5" max="5" width="5.0"/>
    <col customWidth="1" min="6" max="6" width="33.0"/>
  </cols>
  <sheetData>
    <row r="1" ht="33.0" customHeight="1">
      <c r="A1" s="90"/>
      <c r="B1" s="91"/>
      <c r="C1" s="91"/>
      <c r="D1" s="92" t="s">
        <v>60</v>
      </c>
      <c r="E1" s="90"/>
      <c r="F1" s="93"/>
      <c r="G1" s="93"/>
      <c r="H1" s="93"/>
      <c r="I1" s="93"/>
      <c r="J1" s="90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0.5" customHeight="1">
      <c r="A2" s="94"/>
      <c r="B2" s="16"/>
      <c r="C2" s="16"/>
      <c r="D2" s="16"/>
      <c r="E2" s="94"/>
      <c r="F2" s="94"/>
      <c r="G2" s="95"/>
      <c r="H2" s="95"/>
      <c r="I2" s="95"/>
      <c r="J2" s="9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94"/>
      <c r="B3" s="96" t="s">
        <v>61</v>
      </c>
      <c r="C3" s="94"/>
      <c r="D3" s="96" t="s">
        <v>10</v>
      </c>
      <c r="E3" s="94"/>
      <c r="G3" s="97" t="s">
        <v>62</v>
      </c>
      <c r="H3" s="97" t="s">
        <v>63</v>
      </c>
      <c r="I3" s="97" t="s">
        <v>64</v>
      </c>
      <c r="J3" s="97" t="s">
        <v>65</v>
      </c>
      <c r="K3" s="9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94"/>
      <c r="B4" s="98">
        <v>10000.0</v>
      </c>
      <c r="D4" s="99">
        <v>0.1</v>
      </c>
      <c r="E4" s="94"/>
      <c r="G4" s="97" t="s">
        <v>66</v>
      </c>
      <c r="H4" s="100">
        <v>0.7</v>
      </c>
      <c r="I4" s="100">
        <v>0.4</v>
      </c>
      <c r="J4" s="100">
        <v>0.0</v>
      </c>
      <c r="K4" s="9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94"/>
      <c r="B5" s="94"/>
      <c r="D5" s="94"/>
      <c r="E5" s="94"/>
      <c r="G5" s="101" t="s">
        <v>67</v>
      </c>
      <c r="H5" s="102">
        <f t="shared" ref="H5:J5" si="1">H4*$B$4</f>
        <v>7000</v>
      </c>
      <c r="I5" s="102">
        <f t="shared" si="1"/>
        <v>4000</v>
      </c>
      <c r="J5" s="102">
        <f t="shared" si="1"/>
        <v>0</v>
      </c>
      <c r="K5" s="9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94"/>
      <c r="B6" s="96" t="s">
        <v>68</v>
      </c>
      <c r="D6" s="96" t="s">
        <v>69</v>
      </c>
      <c r="E6" s="94"/>
      <c r="G6" s="101" t="s">
        <v>70</v>
      </c>
      <c r="H6" s="102">
        <f>ROUNDUP((B4*H4)/30,0)</f>
        <v>234</v>
      </c>
      <c r="I6" s="102">
        <f>ROUNDUP((B4*I4)/30,0)</f>
        <v>134</v>
      </c>
      <c r="J6" s="102">
        <f>ROUNDUP((B4*J4)/30,0)</f>
        <v>0</v>
      </c>
      <c r="K6" s="103">
        <f>SUM(H6:J6)</f>
        <v>368</v>
      </c>
      <c r="L6" s="16"/>
      <c r="M6" s="10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94"/>
      <c r="B7" s="105">
        <v>100.0</v>
      </c>
      <c r="D7" s="106">
        <v>0.5</v>
      </c>
      <c r="E7" s="94"/>
      <c r="F7" s="16"/>
      <c r="G7" s="16"/>
      <c r="H7" s="16"/>
      <c r="I7" s="16"/>
      <c r="J7" s="94"/>
      <c r="K7" s="16"/>
      <c r="L7" s="16"/>
      <c r="M7" s="10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94"/>
      <c r="B8" s="94"/>
      <c r="D8" s="94"/>
      <c r="E8" s="94"/>
      <c r="F8" s="16"/>
      <c r="G8" s="16"/>
      <c r="H8" s="16"/>
      <c r="I8" s="16"/>
      <c r="J8" s="94"/>
      <c r="K8" s="16"/>
      <c r="L8" s="16"/>
      <c r="M8" s="10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94"/>
      <c r="B9" s="96" t="s">
        <v>71</v>
      </c>
      <c r="D9" s="96" t="s">
        <v>72</v>
      </c>
      <c r="E9" s="94"/>
      <c r="F9" s="16"/>
      <c r="G9" s="16"/>
      <c r="H9" s="16"/>
      <c r="I9" s="16"/>
      <c r="J9" s="94"/>
      <c r="K9" s="16"/>
      <c r="L9" s="16"/>
      <c r="M9" s="109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94"/>
      <c r="B10" s="106">
        <v>0.3</v>
      </c>
      <c r="D10" s="106">
        <v>0.1</v>
      </c>
      <c r="E10" s="94"/>
      <c r="F10" s="16"/>
      <c r="G10" s="16"/>
      <c r="H10" s="16"/>
      <c r="I10" s="16"/>
      <c r="J10" s="94"/>
      <c r="K10" s="16"/>
      <c r="L10" s="16"/>
      <c r="M10" s="110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94"/>
      <c r="B11" s="94"/>
      <c r="D11" s="94"/>
      <c r="E11" s="94"/>
      <c r="F11" s="94"/>
      <c r="G11" s="94"/>
      <c r="H11" s="94"/>
      <c r="I11" s="16"/>
      <c r="J11" s="94"/>
      <c r="K11" s="16"/>
      <c r="L11" s="16"/>
      <c r="M11" s="111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1.75" customHeight="1">
      <c r="A12" s="94"/>
      <c r="B12" s="112" t="s">
        <v>4</v>
      </c>
      <c r="D12" s="112" t="s">
        <v>6</v>
      </c>
      <c r="E12" s="94"/>
      <c r="F12" s="94"/>
      <c r="G12" s="94"/>
      <c r="H12" s="94"/>
      <c r="I12" s="16"/>
      <c r="J12" s="16"/>
      <c r="K12" s="16"/>
      <c r="L12" s="16"/>
      <c r="M12" s="113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7.0" customHeight="1">
      <c r="A13" s="94"/>
      <c r="B13" s="114">
        <f>(B4/D4)*D7</f>
        <v>50000</v>
      </c>
      <c r="D13" s="114">
        <f>B13*B10</f>
        <v>15000</v>
      </c>
      <c r="E13" s="94"/>
      <c r="F13" s="94"/>
      <c r="G13" s="94"/>
      <c r="H13" s="94"/>
      <c r="I13" s="16"/>
      <c r="J13" s="16"/>
      <c r="K13" s="16"/>
      <c r="L13" s="16"/>
      <c r="M13" s="1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5"/>
      <c r="B14" s="116"/>
      <c r="D14" s="116"/>
      <c r="E14" s="115"/>
      <c r="F14" s="115"/>
      <c r="G14" s="115"/>
      <c r="H14" s="115"/>
      <c r="I14" s="117"/>
      <c r="J14" s="117"/>
      <c r="K14" s="117"/>
      <c r="L14" s="117"/>
      <c r="M14" s="118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94"/>
      <c r="B15" s="112" t="s">
        <v>5</v>
      </c>
      <c r="D15" s="112" t="s">
        <v>7</v>
      </c>
      <c r="E15" s="94"/>
      <c r="F15" s="94"/>
      <c r="G15" s="94"/>
      <c r="H15" s="94"/>
      <c r="I15" s="16"/>
      <c r="J15" s="16"/>
      <c r="K15" s="16"/>
      <c r="L15" s="16"/>
      <c r="M15" s="113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94"/>
      <c r="B16" s="119">
        <f>B4/B13</f>
        <v>0.2</v>
      </c>
      <c r="D16" s="114">
        <f>B13*D10</f>
        <v>5000</v>
      </c>
      <c r="E16" s="94"/>
      <c r="F16" s="94"/>
      <c r="G16" s="94"/>
      <c r="H16" s="94"/>
      <c r="I16" s="16"/>
      <c r="J16" s="94"/>
      <c r="K16" s="16"/>
      <c r="L16" s="16"/>
      <c r="M16" s="120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4"/>
      <c r="B17" s="94"/>
      <c r="D17" s="94"/>
      <c r="E17" s="94"/>
      <c r="F17" s="94"/>
      <c r="G17" s="94"/>
      <c r="H17" s="94"/>
      <c r="I17" s="16"/>
      <c r="J17" s="9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94"/>
      <c r="B18" s="121" t="s">
        <v>73</v>
      </c>
      <c r="C18" s="122"/>
      <c r="D18" s="41"/>
      <c r="E18" s="94"/>
      <c r="F18" s="94"/>
      <c r="G18" s="94"/>
      <c r="H18" s="94"/>
      <c r="I18" s="16"/>
      <c r="J18" s="9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94"/>
      <c r="B19" s="123">
        <f>D16*B7</f>
        <v>500000</v>
      </c>
      <c r="C19" s="122"/>
      <c r="D19" s="41"/>
      <c r="E19" s="94"/>
      <c r="F19" s="94"/>
      <c r="G19" s="94"/>
      <c r="H19" s="94"/>
      <c r="I19" s="16"/>
      <c r="J19" s="9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94"/>
      <c r="B20" s="16"/>
      <c r="E20" s="94"/>
      <c r="F20" s="94"/>
      <c r="G20" s="94"/>
      <c r="H20" s="94"/>
      <c r="I20" s="94"/>
      <c r="J20" s="9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94"/>
      <c r="B21" s="124" t="s">
        <v>74</v>
      </c>
      <c r="C21" s="94"/>
      <c r="D21" s="124" t="s">
        <v>75</v>
      </c>
      <c r="E21" s="94"/>
      <c r="F21" s="125" t="s">
        <v>76</v>
      </c>
      <c r="G21" s="122"/>
      <c r="H21" s="122"/>
      <c r="I21" s="41"/>
      <c r="J21" s="9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26"/>
      <c r="B22" s="127" t="s">
        <v>77</v>
      </c>
      <c r="C22" s="126"/>
      <c r="D22" s="127" t="s">
        <v>78</v>
      </c>
      <c r="E22" s="94"/>
      <c r="F22" s="128" t="s">
        <v>79</v>
      </c>
      <c r="G22" s="128" t="s">
        <v>48</v>
      </c>
      <c r="H22" s="128" t="s">
        <v>49</v>
      </c>
      <c r="I22" s="128" t="s">
        <v>51</v>
      </c>
      <c r="J22" s="9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26"/>
      <c r="B23" s="129" t="s">
        <v>80</v>
      </c>
      <c r="C23" s="126"/>
      <c r="D23" s="130" t="s">
        <v>81</v>
      </c>
      <c r="E23" s="94"/>
      <c r="F23" s="131" t="s">
        <v>82</v>
      </c>
      <c r="G23" s="132">
        <v>0.04</v>
      </c>
      <c r="H23" s="132">
        <v>0.135</v>
      </c>
      <c r="I23" s="132">
        <v>0.24</v>
      </c>
      <c r="J23" s="9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26"/>
      <c r="B24" s="129" t="s">
        <v>83</v>
      </c>
      <c r="C24" s="126"/>
      <c r="D24" s="130" t="s">
        <v>84</v>
      </c>
      <c r="E24" s="94"/>
      <c r="F24" s="131" t="s">
        <v>85</v>
      </c>
      <c r="G24" s="132">
        <v>0.045</v>
      </c>
      <c r="H24" s="132">
        <v>0.123</v>
      </c>
      <c r="I24" s="132">
        <v>0.379</v>
      </c>
      <c r="J24" s="9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26"/>
      <c r="B25" s="130" t="s">
        <v>86</v>
      </c>
      <c r="C25" s="126"/>
      <c r="D25" s="130" t="s">
        <v>87</v>
      </c>
      <c r="E25" s="94"/>
      <c r="F25" s="131" t="s">
        <v>88</v>
      </c>
      <c r="G25" s="132">
        <v>0.03</v>
      </c>
      <c r="H25" s="132">
        <v>0.211</v>
      </c>
      <c r="I25" s="132">
        <v>0.614</v>
      </c>
      <c r="J25" s="9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26"/>
      <c r="B26" s="129" t="s">
        <v>89</v>
      </c>
      <c r="C26" s="126"/>
      <c r="D26" s="130" t="s">
        <v>90</v>
      </c>
      <c r="E26" s="94"/>
      <c r="F26" s="131" t="s">
        <v>91</v>
      </c>
      <c r="G26" s="132">
        <v>0.063</v>
      </c>
      <c r="H26" s="132">
        <v>0.121</v>
      </c>
      <c r="I26" s="132">
        <v>0.321</v>
      </c>
      <c r="J26" s="9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26"/>
      <c r="B27" s="129" t="s">
        <v>92</v>
      </c>
      <c r="C27" s="126"/>
      <c r="D27" s="130" t="s">
        <v>93</v>
      </c>
      <c r="E27" s="94"/>
      <c r="F27" s="131" t="s">
        <v>94</v>
      </c>
      <c r="G27" s="132">
        <v>0.038</v>
      </c>
      <c r="H27" s="132">
        <v>0.176</v>
      </c>
      <c r="I27" s="132">
        <v>0.373</v>
      </c>
      <c r="J27" s="9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26"/>
      <c r="B28" s="133" t="s">
        <v>95</v>
      </c>
      <c r="C28" s="126"/>
      <c r="D28" s="133" t="s">
        <v>96</v>
      </c>
      <c r="E28" s="94"/>
      <c r="F28" s="131" t="s">
        <v>97</v>
      </c>
      <c r="G28" s="132">
        <v>0.043</v>
      </c>
      <c r="H28" s="132">
        <v>0.102</v>
      </c>
      <c r="I28" s="132">
        <v>0.572</v>
      </c>
      <c r="J28" s="9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94"/>
      <c r="B29" s="133" t="s">
        <v>98</v>
      </c>
      <c r="C29" s="94"/>
      <c r="D29" s="16"/>
      <c r="E29" s="94"/>
      <c r="F29" s="131" t="s">
        <v>99</v>
      </c>
      <c r="G29" s="132">
        <v>0.046</v>
      </c>
      <c r="H29" s="132">
        <v>0.148</v>
      </c>
      <c r="I29" s="132">
        <v>0.239</v>
      </c>
      <c r="J29" s="9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94"/>
      <c r="B30" s="94"/>
      <c r="C30" s="94"/>
      <c r="D30" s="94"/>
      <c r="E30" s="94"/>
      <c r="F30" s="131" t="s">
        <v>100</v>
      </c>
      <c r="G30" s="132">
        <v>0.055</v>
      </c>
      <c r="H30" s="132">
        <v>0.116</v>
      </c>
      <c r="I30" s="132">
        <v>0.607</v>
      </c>
      <c r="J30" s="9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F31" s="131" t="s">
        <v>101</v>
      </c>
      <c r="G31" s="132">
        <v>0.029</v>
      </c>
      <c r="H31" s="132">
        <v>0.131</v>
      </c>
      <c r="I31" s="132">
        <v>0.383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F32" s="131" t="s">
        <v>102</v>
      </c>
      <c r="G32" s="132">
        <v>0.038</v>
      </c>
      <c r="H32" s="132">
        <v>0.108</v>
      </c>
      <c r="I32" s="132">
        <v>0.268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F33" s="131" t="s">
        <v>103</v>
      </c>
      <c r="G33" s="132">
        <v>0.047</v>
      </c>
      <c r="H33" s="132">
        <v>0.126</v>
      </c>
      <c r="I33" s="132">
        <v>0.244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F34" s="131" t="s">
        <v>104</v>
      </c>
      <c r="G34" s="132">
        <v>0.051</v>
      </c>
      <c r="H34" s="132">
        <v>0.224</v>
      </c>
      <c r="I34" s="132">
        <v>0.363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F35" s="131" t="s">
        <v>105</v>
      </c>
      <c r="G35" s="132">
        <v>0.041</v>
      </c>
      <c r="H35" s="132">
        <v>0.227</v>
      </c>
      <c r="I35" s="132">
        <v>0.358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F36" s="131" t="s">
        <v>106</v>
      </c>
      <c r="G36" s="132">
        <v>0.05</v>
      </c>
      <c r="H36" s="132">
        <v>0.162</v>
      </c>
      <c r="I36" s="132">
        <v>0.209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F37" s="131" t="s">
        <v>107</v>
      </c>
      <c r="G37" s="132">
        <v>0.057</v>
      </c>
      <c r="H37" s="132">
        <v>0.122</v>
      </c>
      <c r="I37" s="132">
        <v>0.148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F38" s="131" t="s">
        <v>46</v>
      </c>
      <c r="G38" s="132">
        <v>0.057</v>
      </c>
      <c r="H38" s="132">
        <v>0.436</v>
      </c>
      <c r="I38" s="132">
        <v>0.147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F39" s="131" t="s">
        <v>108</v>
      </c>
      <c r="G39" s="132">
        <v>0.051</v>
      </c>
      <c r="H39" s="132">
        <v>0.239</v>
      </c>
      <c r="I39" s="132">
        <v>0.252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F40" s="131" t="s">
        <v>109</v>
      </c>
      <c r="G40" s="132">
        <v>0.026</v>
      </c>
      <c r="H40" s="132">
        <v>0.217</v>
      </c>
      <c r="I40" s="132">
        <v>0.169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3:C17"/>
    <mergeCell ref="B18:D18"/>
    <mergeCell ref="B19:D19"/>
    <mergeCell ref="B20:D20"/>
    <mergeCell ref="F21:I2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27.63"/>
    <col customWidth="1" min="3" max="3" width="22.63"/>
    <col customWidth="1" min="4" max="4" width="1.63"/>
    <col customWidth="1" min="5" max="5" width="27.63"/>
    <col customWidth="1" min="6" max="6" width="22.63"/>
    <col customWidth="1" min="7" max="7" width="1.63"/>
    <col customWidth="1" min="8" max="8" width="27.63"/>
    <col customWidth="1" min="9" max="9" width="22.63"/>
    <col customWidth="1" min="10" max="12" width="15.75"/>
    <col customWidth="1" min="13" max="13" width="17.63"/>
  </cols>
  <sheetData>
    <row r="1" ht="30.0" customHeight="1" collapsed="1">
      <c r="A1" s="134"/>
      <c r="B1" s="135" t="s">
        <v>18</v>
      </c>
      <c r="D1" s="136"/>
      <c r="E1" s="136"/>
      <c r="F1" s="136"/>
      <c r="G1" s="137"/>
      <c r="H1" s="136"/>
      <c r="I1" s="136"/>
      <c r="J1" s="138"/>
      <c r="K1" s="138"/>
      <c r="L1" s="138"/>
      <c r="M1" s="139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ht="11.25" hidden="1" customHeight="1" outlineLevel="1">
      <c r="A2" s="141"/>
      <c r="B2" s="141"/>
      <c r="C2" s="141"/>
      <c r="D2" s="142"/>
      <c r="E2" s="141"/>
      <c r="F2" s="141"/>
      <c r="G2" s="143"/>
      <c r="H2" s="141"/>
      <c r="I2" s="141"/>
      <c r="J2" s="141"/>
      <c r="K2" s="141"/>
      <c r="L2" s="141"/>
      <c r="M2" s="144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 ht="22.5" hidden="1" customHeight="1" outlineLevel="1">
      <c r="A3" s="145"/>
      <c r="B3" s="146" t="s">
        <v>110</v>
      </c>
      <c r="C3" s="41"/>
      <c r="D3" s="147"/>
      <c r="E3" s="148" t="s">
        <v>111</v>
      </c>
      <c r="F3" s="149"/>
      <c r="G3" s="150"/>
      <c r="H3" s="146" t="s">
        <v>112</v>
      </c>
      <c r="I3" s="41"/>
      <c r="J3" s="148" t="s">
        <v>113</v>
      </c>
      <c r="K3" s="151" t="s">
        <v>114</v>
      </c>
      <c r="L3" s="151" t="s">
        <v>115</v>
      </c>
      <c r="M3" s="152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5.75" hidden="1" customHeight="1" outlineLevel="1">
      <c r="A4" s="153"/>
      <c r="B4" s="154" t="s">
        <v>116</v>
      </c>
      <c r="C4" s="155"/>
      <c r="D4" s="147"/>
      <c r="E4" s="156" t="s">
        <v>117</v>
      </c>
      <c r="F4" s="157"/>
      <c r="G4" s="150"/>
      <c r="H4" s="156" t="s">
        <v>118</v>
      </c>
      <c r="I4" s="155"/>
      <c r="J4" s="155"/>
      <c r="K4" s="158" t="str">
        <f t="shared" ref="K4:K8" si="1">(I4-J4)/J4*1</f>
        <v>#DIV/0!</v>
      </c>
      <c r="L4" s="159">
        <v>0.4</v>
      </c>
      <c r="M4" s="160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75" hidden="1" customHeight="1" outlineLevel="1">
      <c r="A5" s="153"/>
      <c r="B5" s="154" t="s">
        <v>119</v>
      </c>
      <c r="C5" s="161"/>
      <c r="D5" s="147"/>
      <c r="E5" s="162" t="s">
        <v>120</v>
      </c>
      <c r="F5" s="163" t="str">
        <f t="shared" ref="F5:F8" si="2">C5</f>
        <v/>
      </c>
      <c r="G5" s="150"/>
      <c r="H5" s="154" t="s">
        <v>121</v>
      </c>
      <c r="I5" s="161"/>
      <c r="J5" s="161"/>
      <c r="K5" s="164" t="str">
        <f t="shared" si="1"/>
        <v>#DIV/0!</v>
      </c>
      <c r="L5" s="159">
        <v>-0.1</v>
      </c>
      <c r="M5" s="152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5.75" hidden="1" customHeight="1" outlineLevel="1">
      <c r="A6" s="153"/>
      <c r="B6" s="154" t="s">
        <v>68</v>
      </c>
      <c r="C6" s="161"/>
      <c r="D6" s="147"/>
      <c r="E6" s="162" t="s">
        <v>68</v>
      </c>
      <c r="F6" s="165" t="str">
        <f t="shared" si="2"/>
        <v/>
      </c>
      <c r="G6" s="150"/>
      <c r="H6" s="154" t="s">
        <v>122</v>
      </c>
      <c r="I6" s="161"/>
      <c r="J6" s="161"/>
      <c r="K6" s="164" t="str">
        <f t="shared" si="1"/>
        <v>#DIV/0!</v>
      </c>
      <c r="L6" s="159">
        <v>0.15</v>
      </c>
      <c r="M6" s="152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5.75" hidden="1" customHeight="1" outlineLevel="1">
      <c r="A7" s="153"/>
      <c r="B7" s="154" t="s">
        <v>123</v>
      </c>
      <c r="C7" s="166"/>
      <c r="D7" s="147"/>
      <c r="E7" s="162" t="s">
        <v>123</v>
      </c>
      <c r="F7" s="167" t="str">
        <f t="shared" si="2"/>
        <v/>
      </c>
      <c r="G7" s="150"/>
      <c r="H7" s="154" t="s">
        <v>124</v>
      </c>
      <c r="I7" s="166"/>
      <c r="J7" s="166"/>
      <c r="K7" s="164" t="str">
        <f t="shared" si="1"/>
        <v>#DIV/0!</v>
      </c>
      <c r="L7" s="159">
        <v>0.15</v>
      </c>
      <c r="M7" s="152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5.75" hidden="1" customHeight="1" outlineLevel="1">
      <c r="A8" s="153"/>
      <c r="B8" s="154" t="s">
        <v>125</v>
      </c>
      <c r="C8" s="166"/>
      <c r="D8" s="147"/>
      <c r="E8" s="162" t="s">
        <v>125</v>
      </c>
      <c r="F8" s="167" t="str">
        <f t="shared" si="2"/>
        <v/>
      </c>
      <c r="G8" s="150"/>
      <c r="H8" s="154" t="s">
        <v>126</v>
      </c>
      <c r="I8" s="166"/>
      <c r="J8" s="166"/>
      <c r="K8" s="164" t="str">
        <f t="shared" si="1"/>
        <v>#DIV/0!</v>
      </c>
      <c r="L8" s="159">
        <v>0.1</v>
      </c>
      <c r="M8" s="15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.75" hidden="1" customHeight="1" outlineLevel="1">
      <c r="A9" s="168"/>
      <c r="B9" s="168"/>
      <c r="C9" s="168"/>
      <c r="D9" s="147"/>
      <c r="E9" s="168"/>
      <c r="G9" s="150"/>
      <c r="H9" s="168"/>
      <c r="I9" s="168"/>
      <c r="J9" s="168"/>
      <c r="K9" s="168"/>
      <c r="L9" s="168"/>
      <c r="M9" s="152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5.75" hidden="1" customHeight="1" outlineLevel="1">
      <c r="A10" s="153"/>
      <c r="B10" s="162" t="s">
        <v>127</v>
      </c>
      <c r="C10" s="169" t="str">
        <f>C4/C5</f>
        <v>#DIV/0!</v>
      </c>
      <c r="D10" s="147"/>
      <c r="E10" s="162" t="s">
        <v>128</v>
      </c>
      <c r="F10" s="169" t="str">
        <f>(F12/F7)/F8</f>
        <v>#DIV/0!</v>
      </c>
      <c r="G10" s="150"/>
      <c r="H10" s="162" t="s">
        <v>128</v>
      </c>
      <c r="I10" s="169" t="str">
        <f>I4/I5</f>
        <v>#DIV/0!</v>
      </c>
      <c r="J10" s="168"/>
      <c r="K10" s="170" t="s">
        <v>129</v>
      </c>
      <c r="L10" s="171" t="s">
        <v>66</v>
      </c>
      <c r="M10" s="172" t="s">
        <v>73</v>
      </c>
      <c r="N10" s="171" t="s">
        <v>130</v>
      </c>
      <c r="O10" s="16"/>
      <c r="Q10" s="173"/>
      <c r="R10" s="173"/>
      <c r="S10" s="173"/>
      <c r="T10" s="173"/>
      <c r="U10" s="173"/>
      <c r="V10" s="173"/>
      <c r="W10" s="16"/>
      <c r="X10" s="16"/>
      <c r="Y10" s="16"/>
      <c r="Z10" s="16"/>
      <c r="AA10" s="16"/>
      <c r="AB10" s="16"/>
    </row>
    <row r="11" ht="15.75" hidden="1" customHeight="1" outlineLevel="1">
      <c r="A11" s="153"/>
      <c r="B11" s="162" t="s">
        <v>48</v>
      </c>
      <c r="C11" s="169" t="str">
        <f t="shared" ref="C11:C12" si="3">C10*C7</f>
        <v>#DIV/0!</v>
      </c>
      <c r="D11" s="147"/>
      <c r="E11" s="162" t="s">
        <v>131</v>
      </c>
      <c r="F11" s="169" t="str">
        <f>F10*F7</f>
        <v>#DIV/0!</v>
      </c>
      <c r="G11" s="150"/>
      <c r="H11" s="162" t="s">
        <v>131</v>
      </c>
      <c r="I11" s="169" t="str">
        <f>I10*I7</f>
        <v>#DIV/0!</v>
      </c>
      <c r="J11" s="168"/>
      <c r="K11" s="162" t="s">
        <v>132</v>
      </c>
      <c r="L11" s="174">
        <v>0.2</v>
      </c>
      <c r="M11" s="165" t="str">
        <f>I15/100*L11*100</f>
        <v>#DIV/0!</v>
      </c>
      <c r="N11" s="175" t="str">
        <f>M11/I6</f>
        <v>#DIV/0!</v>
      </c>
      <c r="O11" s="16"/>
      <c r="Q11" s="173"/>
      <c r="R11" s="176"/>
      <c r="S11" s="177"/>
      <c r="T11" s="178"/>
      <c r="U11" s="179"/>
      <c r="V11" s="179"/>
      <c r="W11" s="16"/>
      <c r="X11" s="16"/>
      <c r="Y11" s="16"/>
      <c r="Z11" s="16"/>
      <c r="AA11" s="16"/>
      <c r="AB11" s="16"/>
    </row>
    <row r="12" ht="15.75" hidden="1" customHeight="1" outlineLevel="1">
      <c r="A12" s="153"/>
      <c r="B12" s="162" t="s">
        <v>51</v>
      </c>
      <c r="C12" s="180" t="str">
        <f t="shared" si="3"/>
        <v>#DIV/0!</v>
      </c>
      <c r="D12" s="147"/>
      <c r="E12" s="162" t="s">
        <v>51</v>
      </c>
      <c r="F12" s="180" t="str">
        <f>F4/F6</f>
        <v>#DIV/0!</v>
      </c>
      <c r="G12" s="150"/>
      <c r="H12" s="162" t="s">
        <v>51</v>
      </c>
      <c r="I12" s="180" t="str">
        <f>I15/I6</f>
        <v>#DIV/0!</v>
      </c>
      <c r="J12" s="168"/>
      <c r="K12" s="162" t="s">
        <v>133</v>
      </c>
      <c r="L12" s="181">
        <v>0.2</v>
      </c>
      <c r="M12" s="165" t="str">
        <f>I15/100*L12*100</f>
        <v>#DIV/0!</v>
      </c>
      <c r="N12" s="175" t="str">
        <f>M12/I6</f>
        <v>#DIV/0!</v>
      </c>
      <c r="O12" s="16"/>
      <c r="R12" s="176"/>
      <c r="S12" s="177"/>
      <c r="T12" s="178"/>
      <c r="U12" s="179"/>
      <c r="V12" s="179"/>
      <c r="W12" s="16"/>
      <c r="X12" s="16"/>
      <c r="Y12" s="16"/>
      <c r="Z12" s="16"/>
      <c r="AA12" s="16"/>
      <c r="AB12" s="16"/>
    </row>
    <row r="13" ht="15.75" hidden="1" customHeight="1" outlineLevel="1">
      <c r="A13" s="153"/>
      <c r="B13" s="162" t="s">
        <v>5</v>
      </c>
      <c r="C13" s="165" t="str">
        <f>C4/C11</f>
        <v>#DIV/0!</v>
      </c>
      <c r="D13" s="147"/>
      <c r="E13" s="162" t="s">
        <v>134</v>
      </c>
      <c r="F13" s="165" t="str">
        <f>F15/F11</f>
        <v>#DIV/0!</v>
      </c>
      <c r="G13" s="150"/>
      <c r="H13" s="162" t="s">
        <v>134</v>
      </c>
      <c r="I13" s="165" t="str">
        <f>I4/I11</f>
        <v>#DIV/0!</v>
      </c>
      <c r="J13" s="168"/>
      <c r="K13" s="162" t="s">
        <v>135</v>
      </c>
      <c r="L13" s="181">
        <v>0.3</v>
      </c>
      <c r="M13" s="165" t="str">
        <f>I15/100*L13*100</f>
        <v>#DIV/0!</v>
      </c>
      <c r="N13" s="175" t="str">
        <f>M13/I6</f>
        <v>#DIV/0!</v>
      </c>
      <c r="O13" s="16"/>
      <c r="R13" s="176"/>
      <c r="S13" s="177"/>
      <c r="T13" s="178"/>
      <c r="U13" s="179"/>
      <c r="V13" s="179"/>
      <c r="W13" s="16"/>
      <c r="X13" s="16"/>
      <c r="Y13" s="16"/>
      <c r="Z13" s="16"/>
      <c r="AA13" s="16"/>
      <c r="AB13" s="16"/>
    </row>
    <row r="14" ht="15.75" hidden="1" customHeight="1" outlineLevel="1">
      <c r="A14" s="153"/>
      <c r="B14" s="162" t="s">
        <v>136</v>
      </c>
      <c r="C14" s="165" t="str">
        <f>C4/C12</f>
        <v>#DIV/0!</v>
      </c>
      <c r="D14" s="147"/>
      <c r="E14" s="162" t="s">
        <v>136</v>
      </c>
      <c r="F14" s="165" t="str">
        <f>F15/F12</f>
        <v>#DIV/0!</v>
      </c>
      <c r="G14" s="150"/>
      <c r="H14" s="162" t="s">
        <v>136</v>
      </c>
      <c r="I14" s="165" t="str">
        <f>I4/I12</f>
        <v>#DIV/0!</v>
      </c>
      <c r="J14" s="168"/>
      <c r="K14" s="162" t="s">
        <v>137</v>
      </c>
      <c r="L14" s="181">
        <v>0.15</v>
      </c>
      <c r="M14" s="165" t="str">
        <f>I15/100*L14*100</f>
        <v>#DIV/0!</v>
      </c>
      <c r="N14" s="175" t="str">
        <f>M14/I6</f>
        <v>#DIV/0!</v>
      </c>
      <c r="O14" s="16"/>
      <c r="R14" s="176"/>
      <c r="S14" s="177"/>
      <c r="T14" s="178"/>
      <c r="U14" s="179"/>
      <c r="V14" s="179"/>
      <c r="W14" s="16"/>
      <c r="X14" s="16"/>
      <c r="Y14" s="16"/>
      <c r="Z14" s="16"/>
      <c r="AA14" s="16"/>
      <c r="AB14" s="16"/>
    </row>
    <row r="15" ht="15.75" hidden="1" customHeight="1" outlineLevel="1">
      <c r="A15" s="153"/>
      <c r="B15" s="156" t="s">
        <v>138</v>
      </c>
      <c r="C15" s="182" t="str">
        <f>C12*C6</f>
        <v>#DIV/0!</v>
      </c>
      <c r="D15" s="147"/>
      <c r="E15" s="156" t="s">
        <v>139</v>
      </c>
      <c r="F15" s="182" t="str">
        <f>F10*F5</f>
        <v>#DIV/0!</v>
      </c>
      <c r="G15" s="150"/>
      <c r="H15" s="156" t="s">
        <v>117</v>
      </c>
      <c r="I15" s="183" t="str">
        <f>(I10*I7*I8)*I6</f>
        <v>#DIV/0!</v>
      </c>
      <c r="J15" s="168"/>
      <c r="K15" s="162" t="s">
        <v>140</v>
      </c>
      <c r="L15" s="184">
        <v>0.15</v>
      </c>
      <c r="M15" s="165" t="str">
        <f>I15/100*L15*100</f>
        <v>#DIV/0!</v>
      </c>
      <c r="N15" s="175" t="str">
        <f>M15/I6</f>
        <v>#DIV/0!</v>
      </c>
      <c r="O15" s="16"/>
      <c r="Q15" s="173"/>
      <c r="R15" s="176"/>
      <c r="S15" s="177"/>
      <c r="T15" s="178"/>
      <c r="U15" s="179"/>
      <c r="V15" s="179"/>
      <c r="W15" s="16"/>
      <c r="X15" s="16"/>
      <c r="Y15" s="16"/>
      <c r="Z15" s="16"/>
      <c r="AA15" s="16"/>
      <c r="AB15" s="16"/>
    </row>
    <row r="16" ht="15.75" hidden="1" customHeight="1" outlineLevel="1">
      <c r="A16" s="153"/>
      <c r="B16" s="162" t="s">
        <v>141</v>
      </c>
      <c r="C16" s="185" t="str">
        <f>C15/C4</f>
        <v>#DIV/0!</v>
      </c>
      <c r="D16" s="147"/>
      <c r="E16" s="162" t="s">
        <v>141</v>
      </c>
      <c r="F16" s="185" t="str">
        <f>F4/F15</f>
        <v>#DIV/0!</v>
      </c>
      <c r="G16" s="150"/>
      <c r="H16" s="162" t="s">
        <v>141</v>
      </c>
      <c r="I16" s="186" t="str">
        <f>I15/I4</f>
        <v>#DIV/0!</v>
      </c>
      <c r="J16" s="168"/>
      <c r="K16" s="168"/>
      <c r="L16" s="187">
        <f>SUM(L11:L15)</f>
        <v>1</v>
      </c>
      <c r="N16" s="188" t="str">
        <f>SUM(N11:N15)</f>
        <v>#DIV/0!</v>
      </c>
      <c r="O16" s="16"/>
      <c r="R16" s="176"/>
      <c r="S16" s="177"/>
      <c r="T16" s="178"/>
      <c r="U16" s="179"/>
      <c r="V16" s="179"/>
      <c r="W16" s="16"/>
      <c r="X16" s="16"/>
      <c r="Y16" s="16"/>
      <c r="Z16" s="16"/>
      <c r="AA16" s="16"/>
      <c r="AB16" s="16"/>
    </row>
    <row r="17" ht="15.75" hidden="1" customHeight="1" outlineLevel="1">
      <c r="A17" s="168"/>
      <c r="B17" s="168"/>
      <c r="C17" s="168"/>
      <c r="D17" s="147"/>
      <c r="E17" s="147"/>
      <c r="F17" s="147"/>
      <c r="G17" s="150"/>
      <c r="H17" s="168"/>
      <c r="I17" s="168"/>
      <c r="J17" s="168"/>
      <c r="O17" s="16"/>
      <c r="R17" s="176"/>
      <c r="S17" s="177"/>
      <c r="T17" s="178"/>
      <c r="U17" s="179"/>
      <c r="V17" s="179"/>
      <c r="W17" s="16"/>
      <c r="X17" s="16"/>
      <c r="Y17" s="16"/>
      <c r="Z17" s="16"/>
      <c r="AA17" s="16"/>
      <c r="AB17" s="16"/>
    </row>
    <row r="18" ht="15.75" hidden="1" customHeight="1" outlineLevel="1">
      <c r="A18" s="145"/>
      <c r="B18" s="189" t="s">
        <v>142</v>
      </c>
      <c r="C18" s="41"/>
      <c r="D18" s="147"/>
      <c r="E18" s="189" t="s">
        <v>143</v>
      </c>
      <c r="F18" s="41"/>
      <c r="G18" s="150"/>
      <c r="H18" s="189" t="s">
        <v>144</v>
      </c>
      <c r="I18" s="41"/>
      <c r="J18" s="168"/>
      <c r="K18" s="171" t="s">
        <v>62</v>
      </c>
      <c r="L18" s="171" t="s">
        <v>63</v>
      </c>
      <c r="M18" s="171" t="s">
        <v>64</v>
      </c>
      <c r="N18" s="171" t="s">
        <v>65</v>
      </c>
      <c r="O18" s="171" t="s">
        <v>145</v>
      </c>
      <c r="R18" s="176"/>
      <c r="S18" s="177"/>
      <c r="T18" s="178"/>
      <c r="U18" s="179"/>
      <c r="V18" s="179"/>
      <c r="W18" s="16"/>
      <c r="X18" s="16"/>
      <c r="Y18" s="16"/>
      <c r="Z18" s="16"/>
      <c r="AA18" s="16"/>
      <c r="AB18" s="16"/>
    </row>
    <row r="19" ht="15.75" hidden="1" customHeight="1" outlineLevel="1">
      <c r="A19" s="153"/>
      <c r="B19" s="162" t="s">
        <v>146</v>
      </c>
      <c r="C19" s="165">
        <f>C4/30</f>
        <v>0</v>
      </c>
      <c r="D19" s="147"/>
      <c r="E19" s="162" t="s">
        <v>146</v>
      </c>
      <c r="F19" s="165">
        <f>F4/30</f>
        <v>0</v>
      </c>
      <c r="G19" s="150"/>
      <c r="H19" s="162" t="s">
        <v>146</v>
      </c>
      <c r="I19" s="165">
        <f>I4/'Acompanhamento Geral'!B2</f>
        <v>0</v>
      </c>
      <c r="J19" s="168"/>
      <c r="K19" s="171" t="s">
        <v>66</v>
      </c>
      <c r="L19" s="190">
        <v>0.1</v>
      </c>
      <c r="M19" s="191">
        <v>0.9</v>
      </c>
      <c r="N19" s="192">
        <v>0.0</v>
      </c>
      <c r="O19" s="193">
        <f t="shared" ref="O19:O20" si="4">sum(L19:N19)</f>
        <v>1</v>
      </c>
      <c r="Q19" s="16"/>
      <c r="R19" s="16"/>
      <c r="S19" s="194"/>
      <c r="T19" s="195"/>
      <c r="U19" s="16"/>
      <c r="V19" s="196"/>
      <c r="W19" s="16"/>
      <c r="X19" s="16"/>
      <c r="Y19" s="16"/>
      <c r="Z19" s="16"/>
      <c r="AA19" s="16"/>
      <c r="AB19" s="16"/>
    </row>
    <row r="20" ht="15.75" hidden="1" customHeight="1" outlineLevel="1">
      <c r="A20" s="153"/>
      <c r="B20" s="162" t="s">
        <v>147</v>
      </c>
      <c r="C20" s="180" t="str">
        <f>C10/30</f>
        <v>#DIV/0!</v>
      </c>
      <c r="D20" s="147"/>
      <c r="E20" s="162" t="s">
        <v>147</v>
      </c>
      <c r="F20" s="180" t="str">
        <f>F10/30</f>
        <v>#DIV/0!</v>
      </c>
      <c r="G20" s="150"/>
      <c r="H20" s="162" t="s">
        <v>147</v>
      </c>
      <c r="I20" s="180" t="str">
        <f>I10/'Acompanhamento Geral'!B2</f>
        <v>#DIV/0!</v>
      </c>
      <c r="J20" s="168"/>
      <c r="K20" s="197" t="s">
        <v>67</v>
      </c>
      <c r="L20" s="198">
        <f>I4*L19</f>
        <v>0</v>
      </c>
      <c r="M20" s="198">
        <f>I4*M19</f>
        <v>0</v>
      </c>
      <c r="N20" s="198">
        <f>I4*N19</f>
        <v>0</v>
      </c>
      <c r="O20" s="103">
        <f t="shared" si="4"/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hidden="1" customHeight="1" outlineLevel="1">
      <c r="A21" s="153"/>
      <c r="B21" s="162" t="s">
        <v>148</v>
      </c>
      <c r="C21" s="199" t="str">
        <f>C12/30</f>
        <v>#DIV/0!</v>
      </c>
      <c r="D21" s="147"/>
      <c r="E21" s="162" t="s">
        <v>148</v>
      </c>
      <c r="F21" s="199" t="str">
        <f>F12/30</f>
        <v>#DIV/0!</v>
      </c>
      <c r="G21" s="150"/>
      <c r="H21" s="162" t="s">
        <v>148</v>
      </c>
      <c r="I21" s="199" t="str">
        <f>I12/'Acompanhamento Geral'!B2</f>
        <v>#DIV/0!</v>
      </c>
      <c r="J21" s="168"/>
      <c r="K21" s="197" t="s">
        <v>70</v>
      </c>
      <c r="L21" s="102">
        <f>L20/'Acompanhamento Geral'!B2</f>
        <v>0</v>
      </c>
      <c r="M21" s="102">
        <f>M20/'Acompanhamento Geral'!B2</f>
        <v>0</v>
      </c>
      <c r="N21" s="102">
        <f>iferror(N20/'Acompanhamento Geral'!B2,"")</f>
        <v>0</v>
      </c>
      <c r="O21" s="103">
        <f>SUM(L21:N21)</f>
        <v>0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hidden="1" customHeight="1" outlineLevel="1">
      <c r="A22" s="153"/>
      <c r="B22" s="162" t="s">
        <v>149</v>
      </c>
      <c r="C22" s="165" t="str">
        <f>C15/30</f>
        <v>#DIV/0!</v>
      </c>
      <c r="D22" s="147"/>
      <c r="E22" s="162" t="s">
        <v>149</v>
      </c>
      <c r="F22" s="165">
        <f>F4/30</f>
        <v>0</v>
      </c>
      <c r="G22" s="150"/>
      <c r="H22" s="162" t="s">
        <v>149</v>
      </c>
      <c r="I22" s="165" t="str">
        <f>I15/'Acompanhamento Geral'!B2</f>
        <v>#DIV/0!</v>
      </c>
      <c r="J22" s="168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hidden="1" customHeight="1" outlineLevel="1">
      <c r="A23" s="16"/>
      <c r="B23" s="16"/>
      <c r="C23" s="16"/>
      <c r="D23" s="16"/>
      <c r="E23" s="16"/>
      <c r="F23" s="168"/>
      <c r="G23" s="168"/>
      <c r="H23" s="16"/>
      <c r="I23" s="16"/>
      <c r="J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30.0" customHeight="1" collapsed="1">
      <c r="A24" s="200"/>
      <c r="B24" s="201" t="s">
        <v>26</v>
      </c>
      <c r="D24" s="202"/>
      <c r="E24" s="202"/>
      <c r="F24" s="202"/>
      <c r="G24" s="203"/>
      <c r="H24" s="202"/>
      <c r="I24" s="202"/>
      <c r="J24" s="204"/>
      <c r="K24" s="204"/>
      <c r="L24" s="204"/>
      <c r="M24" s="205"/>
      <c r="N24" s="206"/>
      <c r="O24" s="206"/>
      <c r="P24" s="206"/>
      <c r="Q24" s="207"/>
      <c r="R24" s="207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</row>
    <row r="25" ht="11.25" hidden="1" customHeight="1" outlineLevel="1">
      <c r="A25" s="141"/>
      <c r="B25" s="141"/>
      <c r="C25" s="141"/>
      <c r="D25" s="142"/>
      <c r="E25" s="141"/>
      <c r="F25" s="141"/>
      <c r="G25" s="143"/>
      <c r="H25" s="141"/>
      <c r="I25" s="141"/>
      <c r="J25" s="141"/>
      <c r="K25" s="141"/>
      <c r="L25" s="141"/>
      <c r="M25" s="144"/>
      <c r="N25" s="117"/>
      <c r="O25" s="117"/>
      <c r="P25" s="117"/>
      <c r="Q25" s="208"/>
      <c r="R25" s="208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 ht="22.5" hidden="1" customHeight="1" outlineLevel="1">
      <c r="A26" s="145"/>
      <c r="B26" s="209" t="s">
        <v>110</v>
      </c>
      <c r="C26" s="210"/>
      <c r="D26" s="147"/>
      <c r="E26" s="148" t="s">
        <v>111</v>
      </c>
      <c r="F26" s="149"/>
      <c r="G26" s="150"/>
      <c r="H26" s="148" t="s">
        <v>112</v>
      </c>
      <c r="I26" s="149"/>
      <c r="J26" s="148" t="s">
        <v>113</v>
      </c>
      <c r="K26" s="151" t="s">
        <v>114</v>
      </c>
      <c r="L26" s="151" t="s">
        <v>115</v>
      </c>
      <c r="M26" s="152"/>
      <c r="N26" s="16"/>
      <c r="O26" s="16"/>
      <c r="P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hidden="1" customHeight="1" outlineLevel="1">
      <c r="A27" s="153"/>
      <c r="B27" s="154" t="s">
        <v>116</v>
      </c>
      <c r="C27" s="161"/>
      <c r="D27" s="147"/>
      <c r="E27" s="156" t="s">
        <v>117</v>
      </c>
      <c r="F27" s="157"/>
      <c r="G27" s="150"/>
      <c r="H27" s="156" t="s">
        <v>118</v>
      </c>
      <c r="I27" s="211"/>
      <c r="J27" s="212"/>
      <c r="K27" s="158" t="str">
        <f t="shared" ref="K27:K31" si="5">(I27-J27)/J27*1</f>
        <v>#DIV/0!</v>
      </c>
      <c r="L27" s="159">
        <v>0.4</v>
      </c>
      <c r="M27" s="160"/>
      <c r="N27" s="16"/>
      <c r="O27" s="16"/>
      <c r="P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hidden="1" customHeight="1" outlineLevel="1">
      <c r="A28" s="153"/>
      <c r="B28" s="154" t="s">
        <v>119</v>
      </c>
      <c r="C28" s="161"/>
      <c r="D28" s="147"/>
      <c r="E28" s="162" t="s">
        <v>120</v>
      </c>
      <c r="F28" s="163" t="str">
        <f t="shared" ref="F28:F31" si="6">C28</f>
        <v/>
      </c>
      <c r="G28" s="150"/>
      <c r="H28" s="154" t="s">
        <v>121</v>
      </c>
      <c r="I28" s="213"/>
      <c r="J28" s="214"/>
      <c r="K28" s="164" t="str">
        <f t="shared" si="5"/>
        <v>#DIV/0!</v>
      </c>
      <c r="L28" s="159">
        <v>-0.1</v>
      </c>
      <c r="M28" s="152"/>
      <c r="N28" s="16"/>
      <c r="O28" s="16"/>
      <c r="P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hidden="1" customHeight="1" outlineLevel="1">
      <c r="A29" s="153"/>
      <c r="B29" s="154" t="s">
        <v>68</v>
      </c>
      <c r="C29" s="161"/>
      <c r="D29" s="147"/>
      <c r="E29" s="162" t="s">
        <v>68</v>
      </c>
      <c r="F29" s="165" t="str">
        <f t="shared" si="6"/>
        <v/>
      </c>
      <c r="G29" s="150"/>
      <c r="H29" s="154" t="s">
        <v>122</v>
      </c>
      <c r="I29" s="213"/>
      <c r="J29" s="214"/>
      <c r="K29" s="164" t="str">
        <f t="shared" si="5"/>
        <v>#DIV/0!</v>
      </c>
      <c r="L29" s="159">
        <v>0.15</v>
      </c>
      <c r="M29" s="152"/>
      <c r="N29" s="16"/>
      <c r="O29" s="16"/>
      <c r="P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hidden="1" customHeight="1" outlineLevel="1">
      <c r="A30" s="153"/>
      <c r="B30" s="154" t="s">
        <v>123</v>
      </c>
      <c r="C30" s="166"/>
      <c r="D30" s="147"/>
      <c r="E30" s="162" t="s">
        <v>123</v>
      </c>
      <c r="F30" s="167" t="str">
        <f t="shared" si="6"/>
        <v/>
      </c>
      <c r="G30" s="150"/>
      <c r="H30" s="154" t="s">
        <v>124</v>
      </c>
      <c r="I30" s="166"/>
      <c r="J30" s="166"/>
      <c r="K30" s="164" t="str">
        <f t="shared" si="5"/>
        <v>#DIV/0!</v>
      </c>
      <c r="L30" s="159">
        <v>0.1</v>
      </c>
      <c r="M30" s="152"/>
      <c r="N30" s="16"/>
      <c r="O30" s="16"/>
      <c r="P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hidden="1" customHeight="1" outlineLevel="1">
      <c r="A31" s="153"/>
      <c r="B31" s="154" t="s">
        <v>125</v>
      </c>
      <c r="C31" s="166"/>
      <c r="D31" s="147"/>
      <c r="E31" s="162" t="s">
        <v>125</v>
      </c>
      <c r="F31" s="167" t="str">
        <f t="shared" si="6"/>
        <v/>
      </c>
      <c r="G31" s="150"/>
      <c r="H31" s="154" t="s">
        <v>126</v>
      </c>
      <c r="I31" s="166"/>
      <c r="J31" s="166"/>
      <c r="K31" s="164" t="str">
        <f t="shared" si="5"/>
        <v>#DIV/0!</v>
      </c>
      <c r="L31" s="159">
        <v>0.1</v>
      </c>
      <c r="M31" s="152"/>
      <c r="N31" s="16"/>
      <c r="O31" s="16"/>
      <c r="P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hidden="1" customHeight="1" outlineLevel="1">
      <c r="A32" s="168"/>
      <c r="B32" s="168"/>
      <c r="C32" s="168"/>
      <c r="D32" s="147"/>
      <c r="E32" s="168"/>
      <c r="G32" s="150"/>
      <c r="H32" s="168"/>
      <c r="I32" s="168"/>
      <c r="J32" s="168"/>
      <c r="K32" s="168"/>
      <c r="L32" s="168"/>
      <c r="M32" s="152"/>
      <c r="N32" s="16"/>
      <c r="O32" s="16"/>
      <c r="P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hidden="1" customHeight="1" outlineLevel="1">
      <c r="A33" s="153"/>
      <c r="B33" s="162" t="s">
        <v>127</v>
      </c>
      <c r="C33" s="169" t="str">
        <f>C27/C28</f>
        <v>#DIV/0!</v>
      </c>
      <c r="D33" s="147"/>
      <c r="E33" s="162" t="s">
        <v>128</v>
      </c>
      <c r="F33" s="169" t="str">
        <f>(F35/F30)/F31</f>
        <v>#DIV/0!</v>
      </c>
      <c r="G33" s="150"/>
      <c r="H33" s="162" t="s">
        <v>128</v>
      </c>
      <c r="I33" s="169" t="str">
        <f>I27/I28</f>
        <v>#DIV/0!</v>
      </c>
      <c r="J33" s="168"/>
      <c r="K33" s="170" t="s">
        <v>129</v>
      </c>
      <c r="L33" s="171" t="s">
        <v>66</v>
      </c>
      <c r="M33" s="172" t="s">
        <v>73</v>
      </c>
      <c r="N33" s="171" t="s">
        <v>130</v>
      </c>
      <c r="O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hidden="1" customHeight="1" outlineLevel="1">
      <c r="A34" s="153"/>
      <c r="B34" s="162" t="s">
        <v>48</v>
      </c>
      <c r="C34" s="169" t="str">
        <f t="shared" ref="C34:C35" si="7">C33*C30</f>
        <v>#DIV/0!</v>
      </c>
      <c r="D34" s="147"/>
      <c r="E34" s="162" t="s">
        <v>131</v>
      </c>
      <c r="F34" s="169" t="str">
        <f>F33*F30</f>
        <v>#DIV/0!</v>
      </c>
      <c r="G34" s="150"/>
      <c r="H34" s="162" t="s">
        <v>131</v>
      </c>
      <c r="I34" s="169" t="str">
        <f>I33*I30</f>
        <v>#DIV/0!</v>
      </c>
      <c r="J34" s="168"/>
      <c r="K34" s="162" t="s">
        <v>132</v>
      </c>
      <c r="L34" s="174">
        <v>0.2</v>
      </c>
      <c r="M34" s="165" t="str">
        <f>I38/100*L34*100</f>
        <v>#DIV/0!</v>
      </c>
      <c r="N34" s="175" t="str">
        <f>M34/I29</f>
        <v>#DIV/0!</v>
      </c>
      <c r="O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hidden="1" customHeight="1" outlineLevel="1">
      <c r="A35" s="153"/>
      <c r="B35" s="162" t="s">
        <v>51</v>
      </c>
      <c r="C35" s="180" t="str">
        <f t="shared" si="7"/>
        <v>#DIV/0!</v>
      </c>
      <c r="D35" s="147"/>
      <c r="E35" s="162" t="s">
        <v>51</v>
      </c>
      <c r="F35" s="180" t="str">
        <f>F27/F29</f>
        <v>#DIV/0!</v>
      </c>
      <c r="G35" s="150"/>
      <c r="H35" s="162" t="s">
        <v>51</v>
      </c>
      <c r="I35" s="180" t="str">
        <f>I38/I29</f>
        <v>#DIV/0!</v>
      </c>
      <c r="J35" s="168"/>
      <c r="K35" s="162" t="s">
        <v>133</v>
      </c>
      <c r="L35" s="181">
        <v>0.2</v>
      </c>
      <c r="M35" s="165" t="str">
        <f>I38/100*L35*100</f>
        <v>#DIV/0!</v>
      </c>
      <c r="N35" s="175" t="str">
        <f>M35/I29</f>
        <v>#DIV/0!</v>
      </c>
      <c r="O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hidden="1" customHeight="1" outlineLevel="1">
      <c r="A36" s="153"/>
      <c r="B36" s="162" t="s">
        <v>5</v>
      </c>
      <c r="C36" s="165" t="str">
        <f>C27/C34</f>
        <v>#DIV/0!</v>
      </c>
      <c r="D36" s="147"/>
      <c r="E36" s="162" t="s">
        <v>134</v>
      </c>
      <c r="F36" s="165" t="str">
        <f>F38/F34</f>
        <v>#DIV/0!</v>
      </c>
      <c r="G36" s="150"/>
      <c r="H36" s="162" t="s">
        <v>134</v>
      </c>
      <c r="I36" s="165" t="str">
        <f>I27/I34</f>
        <v>#DIV/0!</v>
      </c>
      <c r="J36" s="168"/>
      <c r="K36" s="162" t="s">
        <v>135</v>
      </c>
      <c r="L36" s="181">
        <v>0.3</v>
      </c>
      <c r="M36" s="165" t="str">
        <f>I38/100*L36*100</f>
        <v>#DIV/0!</v>
      </c>
      <c r="N36" s="175" t="str">
        <f>M36/I29</f>
        <v>#DIV/0!</v>
      </c>
      <c r="O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hidden="1" customHeight="1" outlineLevel="1">
      <c r="A37" s="153"/>
      <c r="B37" s="162" t="s">
        <v>136</v>
      </c>
      <c r="C37" s="165" t="str">
        <f>C27/C35</f>
        <v>#DIV/0!</v>
      </c>
      <c r="D37" s="147"/>
      <c r="E37" s="162" t="s">
        <v>136</v>
      </c>
      <c r="F37" s="165" t="str">
        <f>F38/F35</f>
        <v>#DIV/0!</v>
      </c>
      <c r="G37" s="150"/>
      <c r="H37" s="162" t="s">
        <v>136</v>
      </c>
      <c r="I37" s="165" t="str">
        <f>I27/I35</f>
        <v>#DIV/0!</v>
      </c>
      <c r="J37" s="168"/>
      <c r="K37" s="162" t="s">
        <v>137</v>
      </c>
      <c r="L37" s="181">
        <v>0.15</v>
      </c>
      <c r="M37" s="165" t="str">
        <f>I38/100*L37*100</f>
        <v>#DIV/0!</v>
      </c>
      <c r="N37" s="175" t="str">
        <f>M37/I29</f>
        <v>#DIV/0!</v>
      </c>
      <c r="O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hidden="1" customHeight="1" outlineLevel="1">
      <c r="A38" s="153"/>
      <c r="B38" s="156" t="s">
        <v>138</v>
      </c>
      <c r="C38" s="182" t="str">
        <f>C35*C29</f>
        <v>#DIV/0!</v>
      </c>
      <c r="D38" s="147"/>
      <c r="E38" s="156" t="s">
        <v>139</v>
      </c>
      <c r="F38" s="182" t="str">
        <f>F33*F28</f>
        <v>#DIV/0!</v>
      </c>
      <c r="G38" s="150"/>
      <c r="H38" s="156" t="s">
        <v>117</v>
      </c>
      <c r="I38" s="183" t="str">
        <f>(I33*I30*I31)*I29</f>
        <v>#DIV/0!</v>
      </c>
      <c r="J38" s="168"/>
      <c r="K38" s="162" t="s">
        <v>140</v>
      </c>
      <c r="L38" s="184">
        <v>0.15</v>
      </c>
      <c r="M38" s="165" t="str">
        <f>I38/100*L38*100</f>
        <v>#DIV/0!</v>
      </c>
      <c r="N38" s="175" t="str">
        <f>M38/I29</f>
        <v>#DIV/0!</v>
      </c>
      <c r="O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hidden="1" customHeight="1" outlineLevel="1">
      <c r="A39" s="153"/>
      <c r="B39" s="162" t="s">
        <v>141</v>
      </c>
      <c r="C39" s="185" t="str">
        <f>C38/C27</f>
        <v>#DIV/0!</v>
      </c>
      <c r="D39" s="147"/>
      <c r="E39" s="162" t="s">
        <v>141</v>
      </c>
      <c r="F39" s="185" t="str">
        <f>F27/F38</f>
        <v>#DIV/0!</v>
      </c>
      <c r="G39" s="150"/>
      <c r="H39" s="162" t="s">
        <v>141</v>
      </c>
      <c r="I39" s="186" t="str">
        <f>I38/I27</f>
        <v>#DIV/0!</v>
      </c>
      <c r="J39" s="168"/>
      <c r="K39" s="168"/>
      <c r="L39" s="187">
        <f>SUM(L34:L38)</f>
        <v>1</v>
      </c>
      <c r="N39" s="188" t="str">
        <f>SUM(N34:N38)</f>
        <v>#DIV/0!</v>
      </c>
      <c r="O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hidden="1" customHeight="1" outlineLevel="1">
      <c r="A40" s="168"/>
      <c r="B40" s="168"/>
      <c r="C40" s="168"/>
      <c r="D40" s="147"/>
      <c r="E40" s="147"/>
      <c r="F40" s="147"/>
      <c r="G40" s="150"/>
      <c r="H40" s="168"/>
      <c r="I40" s="168"/>
      <c r="J40" s="168"/>
      <c r="O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hidden="1" customHeight="1" outlineLevel="1">
      <c r="A41" s="145"/>
      <c r="B41" s="189" t="s">
        <v>142</v>
      </c>
      <c r="C41" s="41"/>
      <c r="D41" s="147"/>
      <c r="E41" s="189" t="s">
        <v>143</v>
      </c>
      <c r="F41" s="41"/>
      <c r="G41" s="150"/>
      <c r="H41" s="189" t="s">
        <v>144</v>
      </c>
      <c r="I41" s="41"/>
      <c r="J41" s="168"/>
      <c r="K41" s="171" t="s">
        <v>62</v>
      </c>
      <c r="L41" s="171" t="s">
        <v>63</v>
      </c>
      <c r="M41" s="171" t="s">
        <v>64</v>
      </c>
      <c r="N41" s="171" t="s">
        <v>65</v>
      </c>
      <c r="O41" s="171" t="s">
        <v>145</v>
      </c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hidden="1" customHeight="1" outlineLevel="1">
      <c r="A42" s="153"/>
      <c r="B42" s="162" t="s">
        <v>146</v>
      </c>
      <c r="C42" s="165">
        <f>C27/30</f>
        <v>0</v>
      </c>
      <c r="D42" s="147"/>
      <c r="E42" s="162" t="s">
        <v>146</v>
      </c>
      <c r="F42" s="165">
        <f>F27/30</f>
        <v>0</v>
      </c>
      <c r="G42" s="150"/>
      <c r="H42" s="162" t="s">
        <v>146</v>
      </c>
      <c r="I42" s="165" t="str">
        <f>I27/'Acompanhamento Geral'!B25</f>
        <v>#VALUE!</v>
      </c>
      <c r="J42" s="168"/>
      <c r="K42" s="171" t="s">
        <v>66</v>
      </c>
      <c r="L42" s="190">
        <v>0.7</v>
      </c>
      <c r="M42" s="191">
        <v>0.3</v>
      </c>
      <c r="N42" s="192">
        <v>0.0</v>
      </c>
      <c r="O42" s="193">
        <f t="shared" ref="O42:O43" si="8">sum(L42:N42)</f>
        <v>1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hidden="1" customHeight="1" outlineLevel="1">
      <c r="A43" s="153"/>
      <c r="B43" s="162" t="s">
        <v>147</v>
      </c>
      <c r="C43" s="180" t="str">
        <f>C33/30</f>
        <v>#DIV/0!</v>
      </c>
      <c r="D43" s="147"/>
      <c r="E43" s="162" t="s">
        <v>147</v>
      </c>
      <c r="F43" s="180" t="str">
        <f>F33/30</f>
        <v>#DIV/0!</v>
      </c>
      <c r="G43" s="150"/>
      <c r="H43" s="162" t="s">
        <v>147</v>
      </c>
      <c r="I43" s="180" t="str">
        <f>I33/'Acompanhamento Geral'!B25</f>
        <v>#DIV/0!</v>
      </c>
      <c r="J43" s="168"/>
      <c r="K43" s="197" t="s">
        <v>67</v>
      </c>
      <c r="L43" s="198">
        <f>I27*L42</f>
        <v>0</v>
      </c>
      <c r="M43" s="198">
        <f>I27*M42</f>
        <v>0</v>
      </c>
      <c r="N43" s="198">
        <f>I27*N42</f>
        <v>0</v>
      </c>
      <c r="O43" s="103">
        <f t="shared" si="8"/>
        <v>0</v>
      </c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hidden="1" customHeight="1" outlineLevel="1">
      <c r="A44" s="153"/>
      <c r="B44" s="162" t="s">
        <v>148</v>
      </c>
      <c r="C44" s="199" t="str">
        <f>C35/30</f>
        <v>#DIV/0!</v>
      </c>
      <c r="D44" s="147"/>
      <c r="E44" s="162" t="s">
        <v>148</v>
      </c>
      <c r="F44" s="199" t="str">
        <f>F35/30</f>
        <v>#DIV/0!</v>
      </c>
      <c r="G44" s="150"/>
      <c r="H44" s="162" t="s">
        <v>148</v>
      </c>
      <c r="I44" s="199" t="str">
        <f>I35/'Acompanhamento Geral'!B25</f>
        <v>#DIV/0!</v>
      </c>
      <c r="J44" s="168"/>
      <c r="K44" s="197" t="s">
        <v>70</v>
      </c>
      <c r="L44" s="102" t="str">
        <f>L43/'Acompanhamento Geral'!B25</f>
        <v>#VALUE!</v>
      </c>
      <c r="M44" s="102" t="str">
        <f>M43/'Acompanhamento Geral'!B25</f>
        <v>#VALUE!</v>
      </c>
      <c r="N44" s="102" t="str">
        <f>iferror(N43/'Acompanhamento Geral'!B25,"")</f>
        <v/>
      </c>
      <c r="O44" s="215" t="str">
        <f>SUM(L44:N44)</f>
        <v>#VALUE!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hidden="1" customHeight="1" outlineLevel="1">
      <c r="A45" s="153"/>
      <c r="B45" s="162" t="s">
        <v>149</v>
      </c>
      <c r="C45" s="165" t="str">
        <f>C38/30</f>
        <v>#DIV/0!</v>
      </c>
      <c r="D45" s="147"/>
      <c r="E45" s="162" t="s">
        <v>149</v>
      </c>
      <c r="F45" s="165">
        <f>F27/30</f>
        <v>0</v>
      </c>
      <c r="G45" s="150"/>
      <c r="H45" s="162" t="s">
        <v>149</v>
      </c>
      <c r="I45" s="165" t="str">
        <f>I38/'Acompanhamento Geral'!B25</f>
        <v>#DIV/0!</v>
      </c>
      <c r="J45" s="168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hidden="1" customHeight="1" outlineLevel="1">
      <c r="A46" s="16"/>
      <c r="B46" s="16"/>
      <c r="C46" s="216"/>
      <c r="D46" s="16"/>
      <c r="E46" s="16"/>
      <c r="F46" s="2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30.0" customHeight="1" collapsed="1">
      <c r="A47" s="134"/>
      <c r="B47" s="135" t="s">
        <v>27</v>
      </c>
      <c r="D47" s="136"/>
      <c r="E47" s="136"/>
      <c r="F47" s="136"/>
      <c r="G47" s="137"/>
      <c r="H47" s="136"/>
      <c r="I47" s="136"/>
      <c r="J47" s="138"/>
      <c r="K47" s="138"/>
      <c r="L47" s="138"/>
      <c r="M47" s="139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</row>
    <row r="48" ht="15.75" hidden="1" customHeight="1" outlineLevel="1">
      <c r="A48" s="141"/>
      <c r="B48" s="141"/>
      <c r="C48" s="141"/>
      <c r="D48" s="142"/>
      <c r="E48" s="141"/>
      <c r="F48" s="141"/>
      <c r="G48" s="143"/>
      <c r="H48" s="141"/>
      <c r="I48" s="141"/>
      <c r="J48" s="141"/>
      <c r="K48" s="141"/>
      <c r="L48" s="141"/>
      <c r="M48" s="144"/>
      <c r="N48" s="117"/>
      <c r="O48" s="117"/>
      <c r="P48" s="117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hidden="1" customHeight="1" outlineLevel="1">
      <c r="A49" s="145"/>
      <c r="B49" s="209" t="s">
        <v>110</v>
      </c>
      <c r="C49" s="210"/>
      <c r="D49" s="147"/>
      <c r="E49" s="148" t="s">
        <v>111</v>
      </c>
      <c r="F49" s="149"/>
      <c r="G49" s="150"/>
      <c r="H49" s="148" t="s">
        <v>112</v>
      </c>
      <c r="I49" s="149"/>
      <c r="J49" s="148" t="s">
        <v>113</v>
      </c>
      <c r="K49" s="151" t="s">
        <v>114</v>
      </c>
      <c r="L49" s="151" t="s">
        <v>115</v>
      </c>
      <c r="M49" s="152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hidden="1" customHeight="1" outlineLevel="1">
      <c r="A50" s="153"/>
      <c r="B50" s="154" t="s">
        <v>116</v>
      </c>
      <c r="C50" s="161"/>
      <c r="D50" s="147"/>
      <c r="E50" s="156" t="s">
        <v>117</v>
      </c>
      <c r="F50" s="157"/>
      <c r="G50" s="150"/>
      <c r="H50" s="156" t="s">
        <v>118</v>
      </c>
      <c r="I50" s="211"/>
      <c r="J50" s="212"/>
      <c r="K50" s="158" t="str">
        <f t="shared" ref="K50:K54" si="9">(I50-J50)/J50*1</f>
        <v>#DIV/0!</v>
      </c>
      <c r="L50" s="159">
        <v>0.4</v>
      </c>
      <c r="M50" s="160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hidden="1" customHeight="1" outlineLevel="1">
      <c r="A51" s="153"/>
      <c r="B51" s="154" t="s">
        <v>119</v>
      </c>
      <c r="C51" s="161"/>
      <c r="D51" s="147"/>
      <c r="E51" s="162" t="s">
        <v>120</v>
      </c>
      <c r="F51" s="163" t="str">
        <f t="shared" ref="F51:F54" si="10">C51</f>
        <v/>
      </c>
      <c r="G51" s="150"/>
      <c r="H51" s="154" t="s">
        <v>121</v>
      </c>
      <c r="I51" s="213"/>
      <c r="J51" s="214"/>
      <c r="K51" s="164" t="str">
        <f t="shared" si="9"/>
        <v>#DIV/0!</v>
      </c>
      <c r="L51" s="159">
        <v>-0.1</v>
      </c>
      <c r="M51" s="152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hidden="1" customHeight="1" outlineLevel="1">
      <c r="A52" s="153"/>
      <c r="B52" s="154" t="s">
        <v>68</v>
      </c>
      <c r="C52" s="161"/>
      <c r="D52" s="147"/>
      <c r="E52" s="162" t="s">
        <v>68</v>
      </c>
      <c r="F52" s="165" t="str">
        <f t="shared" si="10"/>
        <v/>
      </c>
      <c r="G52" s="150"/>
      <c r="H52" s="154" t="s">
        <v>122</v>
      </c>
      <c r="I52" s="213"/>
      <c r="J52" s="214"/>
      <c r="K52" s="164" t="str">
        <f t="shared" si="9"/>
        <v>#DIV/0!</v>
      </c>
      <c r="L52" s="159">
        <v>0.15</v>
      </c>
      <c r="M52" s="152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hidden="1" customHeight="1" outlineLevel="1">
      <c r="A53" s="153"/>
      <c r="B53" s="154" t="s">
        <v>123</v>
      </c>
      <c r="C53" s="166"/>
      <c r="D53" s="147"/>
      <c r="E53" s="162" t="s">
        <v>123</v>
      </c>
      <c r="F53" s="167" t="str">
        <f t="shared" si="10"/>
        <v/>
      </c>
      <c r="G53" s="150"/>
      <c r="H53" s="154" t="s">
        <v>124</v>
      </c>
      <c r="I53" s="166"/>
      <c r="J53" s="166"/>
      <c r="K53" s="164" t="str">
        <f t="shared" si="9"/>
        <v>#DIV/0!</v>
      </c>
      <c r="L53" s="159">
        <v>0.1</v>
      </c>
      <c r="M53" s="152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hidden="1" customHeight="1" outlineLevel="1">
      <c r="A54" s="153"/>
      <c r="B54" s="154" t="s">
        <v>125</v>
      </c>
      <c r="C54" s="166"/>
      <c r="D54" s="147"/>
      <c r="E54" s="162" t="s">
        <v>125</v>
      </c>
      <c r="F54" s="167" t="str">
        <f t="shared" si="10"/>
        <v/>
      </c>
      <c r="G54" s="150"/>
      <c r="H54" s="154" t="s">
        <v>126</v>
      </c>
      <c r="I54" s="166"/>
      <c r="J54" s="166"/>
      <c r="K54" s="164" t="str">
        <f t="shared" si="9"/>
        <v>#DIV/0!</v>
      </c>
      <c r="L54" s="159">
        <v>0.1</v>
      </c>
      <c r="M54" s="152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hidden="1" customHeight="1" outlineLevel="1">
      <c r="A55" s="168"/>
      <c r="B55" s="168"/>
      <c r="C55" s="168"/>
      <c r="D55" s="147"/>
      <c r="E55" s="168"/>
      <c r="G55" s="150"/>
      <c r="H55" s="168"/>
      <c r="I55" s="168"/>
      <c r="J55" s="168"/>
      <c r="K55" s="168"/>
      <c r="L55" s="168"/>
      <c r="M55" s="152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hidden="1" customHeight="1" outlineLevel="1">
      <c r="A56" s="153"/>
      <c r="B56" s="162" t="s">
        <v>127</v>
      </c>
      <c r="C56" s="169" t="str">
        <f>C50/C51</f>
        <v>#DIV/0!</v>
      </c>
      <c r="D56" s="147"/>
      <c r="E56" s="162" t="s">
        <v>128</v>
      </c>
      <c r="F56" s="169" t="str">
        <f>(F58/F53)/F54</f>
        <v>#DIV/0!</v>
      </c>
      <c r="G56" s="150"/>
      <c r="H56" s="162" t="s">
        <v>128</v>
      </c>
      <c r="I56" s="169" t="str">
        <f>I50/I51</f>
        <v>#DIV/0!</v>
      </c>
      <c r="J56" s="168"/>
      <c r="K56" s="170" t="s">
        <v>129</v>
      </c>
      <c r="L56" s="171" t="s">
        <v>66</v>
      </c>
      <c r="M56" s="172" t="s">
        <v>73</v>
      </c>
      <c r="N56" s="171" t="s">
        <v>130</v>
      </c>
      <c r="O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hidden="1" customHeight="1" outlineLevel="1">
      <c r="A57" s="153"/>
      <c r="B57" s="162" t="s">
        <v>48</v>
      </c>
      <c r="C57" s="169" t="str">
        <f t="shared" ref="C57:C58" si="11">C56*C53</f>
        <v>#DIV/0!</v>
      </c>
      <c r="D57" s="147"/>
      <c r="E57" s="162" t="s">
        <v>131</v>
      </c>
      <c r="F57" s="169" t="str">
        <f>F56*F53</f>
        <v>#DIV/0!</v>
      </c>
      <c r="G57" s="150"/>
      <c r="H57" s="162" t="s">
        <v>131</v>
      </c>
      <c r="I57" s="169" t="str">
        <f>I56*I53</f>
        <v>#DIV/0!</v>
      </c>
      <c r="J57" s="168"/>
      <c r="K57" s="162" t="s">
        <v>132</v>
      </c>
      <c r="L57" s="174">
        <v>0.2</v>
      </c>
      <c r="M57" s="165" t="str">
        <f>I61/100*L57*100</f>
        <v>#DIV/0!</v>
      </c>
      <c r="N57" s="175" t="str">
        <f>M57/I52</f>
        <v>#DIV/0!</v>
      </c>
      <c r="O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hidden="1" customHeight="1" outlineLevel="1">
      <c r="A58" s="153"/>
      <c r="B58" s="162" t="s">
        <v>51</v>
      </c>
      <c r="C58" s="180" t="str">
        <f t="shared" si="11"/>
        <v>#DIV/0!</v>
      </c>
      <c r="D58" s="147"/>
      <c r="E58" s="162" t="s">
        <v>51</v>
      </c>
      <c r="F58" s="180" t="str">
        <f>F50/F52</f>
        <v>#DIV/0!</v>
      </c>
      <c r="G58" s="150"/>
      <c r="H58" s="162" t="s">
        <v>51</v>
      </c>
      <c r="I58" s="180" t="str">
        <f>I61/I52</f>
        <v>#DIV/0!</v>
      </c>
      <c r="J58" s="168"/>
      <c r="K58" s="162" t="s">
        <v>133</v>
      </c>
      <c r="L58" s="181">
        <v>0.2</v>
      </c>
      <c r="M58" s="165" t="str">
        <f>I61/100*L58*100</f>
        <v>#DIV/0!</v>
      </c>
      <c r="N58" s="175" t="str">
        <f>M58/I52</f>
        <v>#DIV/0!</v>
      </c>
      <c r="O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hidden="1" customHeight="1" outlineLevel="1">
      <c r="A59" s="153"/>
      <c r="B59" s="162" t="s">
        <v>5</v>
      </c>
      <c r="C59" s="165" t="str">
        <f>C50/C57</f>
        <v>#DIV/0!</v>
      </c>
      <c r="D59" s="147"/>
      <c r="E59" s="162" t="s">
        <v>134</v>
      </c>
      <c r="F59" s="165" t="str">
        <f>F61/F57</f>
        <v>#DIV/0!</v>
      </c>
      <c r="G59" s="150"/>
      <c r="H59" s="162" t="s">
        <v>134</v>
      </c>
      <c r="I59" s="165" t="str">
        <f>I50/I57</f>
        <v>#DIV/0!</v>
      </c>
      <c r="J59" s="168"/>
      <c r="K59" s="162" t="s">
        <v>135</v>
      </c>
      <c r="L59" s="181">
        <v>0.3</v>
      </c>
      <c r="M59" s="165" t="str">
        <f>I61/100*L59*100</f>
        <v>#DIV/0!</v>
      </c>
      <c r="N59" s="175" t="str">
        <f>M59/I52</f>
        <v>#DIV/0!</v>
      </c>
      <c r="O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hidden="1" customHeight="1" outlineLevel="1">
      <c r="A60" s="153"/>
      <c r="B60" s="162" t="s">
        <v>136</v>
      </c>
      <c r="C60" s="165" t="str">
        <f>C50/C58</f>
        <v>#DIV/0!</v>
      </c>
      <c r="D60" s="147"/>
      <c r="E60" s="162" t="s">
        <v>136</v>
      </c>
      <c r="F60" s="165" t="str">
        <f>F61/F58</f>
        <v>#DIV/0!</v>
      </c>
      <c r="G60" s="150"/>
      <c r="H60" s="162" t="s">
        <v>136</v>
      </c>
      <c r="I60" s="165" t="str">
        <f>I50/I58</f>
        <v>#DIV/0!</v>
      </c>
      <c r="J60" s="168"/>
      <c r="K60" s="162" t="s">
        <v>137</v>
      </c>
      <c r="L60" s="181">
        <v>0.15</v>
      </c>
      <c r="M60" s="165" t="str">
        <f>I61/100*L60*100</f>
        <v>#DIV/0!</v>
      </c>
      <c r="N60" s="175" t="str">
        <f>M60/I52</f>
        <v>#DIV/0!</v>
      </c>
      <c r="O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hidden="1" customHeight="1" outlineLevel="1">
      <c r="A61" s="153"/>
      <c r="B61" s="156" t="s">
        <v>138</v>
      </c>
      <c r="C61" s="182" t="str">
        <f>C58*C52</f>
        <v>#DIV/0!</v>
      </c>
      <c r="D61" s="147"/>
      <c r="E61" s="156" t="s">
        <v>139</v>
      </c>
      <c r="F61" s="182" t="str">
        <f>F56*F51</f>
        <v>#DIV/0!</v>
      </c>
      <c r="G61" s="150"/>
      <c r="H61" s="156" t="s">
        <v>117</v>
      </c>
      <c r="I61" s="183" t="str">
        <f>(I56*I53*I54)*I52</f>
        <v>#DIV/0!</v>
      </c>
      <c r="J61" s="168"/>
      <c r="K61" s="162" t="s">
        <v>140</v>
      </c>
      <c r="L61" s="184">
        <v>0.15</v>
      </c>
      <c r="M61" s="165" t="str">
        <f>I61/100*L61*100</f>
        <v>#DIV/0!</v>
      </c>
      <c r="N61" s="175" t="str">
        <f>M61/I52</f>
        <v>#DIV/0!</v>
      </c>
      <c r="O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hidden="1" customHeight="1" outlineLevel="1">
      <c r="A62" s="153"/>
      <c r="B62" s="162" t="s">
        <v>141</v>
      </c>
      <c r="C62" s="185" t="str">
        <f>C61/C50</f>
        <v>#DIV/0!</v>
      </c>
      <c r="D62" s="147"/>
      <c r="E62" s="162" t="s">
        <v>141</v>
      </c>
      <c r="F62" s="185" t="str">
        <f>F50/F61</f>
        <v>#DIV/0!</v>
      </c>
      <c r="G62" s="150"/>
      <c r="H62" s="162" t="s">
        <v>141</v>
      </c>
      <c r="I62" s="186" t="str">
        <f>I61/I50</f>
        <v>#DIV/0!</v>
      </c>
      <c r="J62" s="168"/>
      <c r="K62" s="168"/>
      <c r="L62" s="187">
        <f>SUM(L57:L61)</f>
        <v>1</v>
      </c>
      <c r="N62" s="188" t="str">
        <f>SUM(N57:N61)</f>
        <v>#DIV/0!</v>
      </c>
      <c r="O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hidden="1" customHeight="1" outlineLevel="1">
      <c r="A63" s="168"/>
      <c r="B63" s="168"/>
      <c r="C63" s="168"/>
      <c r="D63" s="147"/>
      <c r="E63" s="147"/>
      <c r="F63" s="147"/>
      <c r="G63" s="150"/>
      <c r="H63" s="168"/>
      <c r="I63" s="168"/>
      <c r="J63" s="168"/>
      <c r="O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hidden="1" customHeight="1" outlineLevel="1">
      <c r="A64" s="145"/>
      <c r="B64" s="189" t="s">
        <v>142</v>
      </c>
      <c r="C64" s="41"/>
      <c r="D64" s="147"/>
      <c r="E64" s="189" t="s">
        <v>143</v>
      </c>
      <c r="F64" s="41"/>
      <c r="G64" s="150"/>
      <c r="H64" s="189" t="s">
        <v>144</v>
      </c>
      <c r="I64" s="41"/>
      <c r="J64" s="168"/>
      <c r="K64" s="171" t="s">
        <v>62</v>
      </c>
      <c r="L64" s="171" t="s">
        <v>63</v>
      </c>
      <c r="M64" s="171" t="s">
        <v>64</v>
      </c>
      <c r="N64" s="171" t="s">
        <v>65</v>
      </c>
      <c r="O64" s="171" t="s">
        <v>145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hidden="1" customHeight="1" outlineLevel="1">
      <c r="A65" s="153"/>
      <c r="B65" s="162" t="s">
        <v>146</v>
      </c>
      <c r="C65" s="165">
        <f>C50/30</f>
        <v>0</v>
      </c>
      <c r="D65" s="147"/>
      <c r="E65" s="162" t="s">
        <v>146</v>
      </c>
      <c r="F65" s="165">
        <f>F50/30</f>
        <v>0</v>
      </c>
      <c r="G65" s="150"/>
      <c r="H65" s="162" t="s">
        <v>146</v>
      </c>
      <c r="I65" s="165" t="str">
        <f>I50/'Acompanhamento Geral'!B48</f>
        <v>#VALUE!</v>
      </c>
      <c r="J65" s="168"/>
      <c r="K65" s="171" t="s">
        <v>66</v>
      </c>
      <c r="L65" s="190">
        <v>0.7</v>
      </c>
      <c r="M65" s="191">
        <v>0.3</v>
      </c>
      <c r="N65" s="192">
        <v>0.0</v>
      </c>
      <c r="O65" s="193">
        <f t="shared" ref="O65:O66" si="12">sum(L65:N65)</f>
        <v>1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hidden="1" customHeight="1" outlineLevel="1">
      <c r="A66" s="153"/>
      <c r="B66" s="162" t="s">
        <v>147</v>
      </c>
      <c r="C66" s="180" t="str">
        <f>C56/30</f>
        <v>#DIV/0!</v>
      </c>
      <c r="D66" s="147"/>
      <c r="E66" s="162" t="s">
        <v>147</v>
      </c>
      <c r="F66" s="180" t="str">
        <f>F56/30</f>
        <v>#DIV/0!</v>
      </c>
      <c r="G66" s="150"/>
      <c r="H66" s="162" t="s">
        <v>147</v>
      </c>
      <c r="I66" s="180" t="str">
        <f>I56/'Acompanhamento Geral'!B48</f>
        <v>#DIV/0!</v>
      </c>
      <c r="J66" s="168"/>
      <c r="K66" s="197" t="s">
        <v>67</v>
      </c>
      <c r="L66" s="198">
        <f>I50*L65</f>
        <v>0</v>
      </c>
      <c r="M66" s="198">
        <f>I50*M65</f>
        <v>0</v>
      </c>
      <c r="N66" s="198">
        <f>I50*N65</f>
        <v>0</v>
      </c>
      <c r="O66" s="103">
        <f t="shared" si="12"/>
        <v>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hidden="1" customHeight="1" outlineLevel="1">
      <c r="A67" s="153"/>
      <c r="B67" s="162" t="s">
        <v>148</v>
      </c>
      <c r="C67" s="199" t="str">
        <f>C58/30</f>
        <v>#DIV/0!</v>
      </c>
      <c r="D67" s="147"/>
      <c r="E67" s="162" t="s">
        <v>148</v>
      </c>
      <c r="F67" s="199" t="str">
        <f>F58/30</f>
        <v>#DIV/0!</v>
      </c>
      <c r="G67" s="150"/>
      <c r="H67" s="162" t="s">
        <v>148</v>
      </c>
      <c r="I67" s="199" t="str">
        <f>I58/'Acompanhamento Geral'!B48</f>
        <v>#DIV/0!</v>
      </c>
      <c r="J67" s="168"/>
      <c r="K67" s="197" t="s">
        <v>70</v>
      </c>
      <c r="L67" s="102" t="str">
        <f>L66/'Acompanhamento Geral'!B48</f>
        <v>#VALUE!</v>
      </c>
      <c r="M67" s="102" t="str">
        <f>M66/'Acompanhamento Geral'!B48</f>
        <v>#VALUE!</v>
      </c>
      <c r="N67" s="102" t="str">
        <f>iferror(N66/'Acompanhamento Geral'!B48,"")</f>
        <v/>
      </c>
      <c r="O67" s="215" t="str">
        <f>SUM(L67:N67)</f>
        <v>#VALUE!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hidden="1" customHeight="1" outlineLevel="1">
      <c r="A68" s="153"/>
      <c r="B68" s="162" t="s">
        <v>149</v>
      </c>
      <c r="C68" s="165" t="str">
        <f>C61/30</f>
        <v>#DIV/0!</v>
      </c>
      <c r="D68" s="147"/>
      <c r="E68" s="162" t="s">
        <v>149</v>
      </c>
      <c r="F68" s="165">
        <f>F50/30</f>
        <v>0</v>
      </c>
      <c r="G68" s="150"/>
      <c r="H68" s="162" t="s">
        <v>149</v>
      </c>
      <c r="I68" s="165" t="str">
        <f>I61/'Acompanhamento Geral'!B48</f>
        <v>#DIV/0!</v>
      </c>
      <c r="J68" s="168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hidden="1" customHeight="1" outlineLevel="1">
      <c r="A69" s="16"/>
      <c r="B69" s="16"/>
      <c r="C69" s="216"/>
      <c r="D69" s="16"/>
      <c r="E69" s="16"/>
      <c r="F69" s="2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30.0" customHeight="1" collapsed="1">
      <c r="A70" s="200"/>
      <c r="B70" s="201" t="s">
        <v>28</v>
      </c>
      <c r="D70" s="202"/>
      <c r="E70" s="202"/>
      <c r="F70" s="202"/>
      <c r="G70" s="203"/>
      <c r="H70" s="202"/>
      <c r="I70" s="202"/>
      <c r="J70" s="204"/>
      <c r="K70" s="204"/>
      <c r="L70" s="204"/>
      <c r="M70" s="205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</row>
    <row r="71" ht="15.75" hidden="1" customHeight="1" outlineLevel="1">
      <c r="A71" s="141"/>
      <c r="B71" s="141"/>
      <c r="C71" s="141"/>
      <c r="D71" s="142"/>
      <c r="E71" s="141"/>
      <c r="F71" s="141"/>
      <c r="G71" s="143"/>
      <c r="H71" s="141"/>
      <c r="I71" s="141"/>
      <c r="J71" s="141"/>
      <c r="K71" s="141"/>
      <c r="L71" s="141"/>
      <c r="M71" s="144"/>
      <c r="N71" s="117"/>
      <c r="O71" s="117"/>
      <c r="P71" s="117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hidden="1" customHeight="1" outlineLevel="1">
      <c r="A72" s="145"/>
      <c r="B72" s="209" t="s">
        <v>110</v>
      </c>
      <c r="C72" s="210"/>
      <c r="D72" s="147"/>
      <c r="E72" s="148" t="s">
        <v>111</v>
      </c>
      <c r="F72" s="149"/>
      <c r="G72" s="150"/>
      <c r="H72" s="148" t="s">
        <v>112</v>
      </c>
      <c r="I72" s="149"/>
      <c r="J72" s="148" t="s">
        <v>113</v>
      </c>
      <c r="K72" s="151" t="s">
        <v>114</v>
      </c>
      <c r="L72" s="151" t="s">
        <v>115</v>
      </c>
      <c r="M72" s="152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hidden="1" customHeight="1" outlineLevel="1">
      <c r="A73" s="153"/>
      <c r="B73" s="154" t="s">
        <v>116</v>
      </c>
      <c r="C73" s="161"/>
      <c r="D73" s="147"/>
      <c r="E73" s="156" t="s">
        <v>117</v>
      </c>
      <c r="F73" s="157"/>
      <c r="G73" s="150"/>
      <c r="H73" s="156" t="s">
        <v>118</v>
      </c>
      <c r="I73" s="211"/>
      <c r="J73" s="212"/>
      <c r="K73" s="158" t="str">
        <f t="shared" ref="K73:K77" si="13">(I73-J73)/J73*1</f>
        <v>#DIV/0!</v>
      </c>
      <c r="L73" s="159">
        <v>0.4</v>
      </c>
      <c r="M73" s="160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hidden="1" customHeight="1" outlineLevel="1">
      <c r="A74" s="153"/>
      <c r="B74" s="154" t="s">
        <v>119</v>
      </c>
      <c r="C74" s="161"/>
      <c r="D74" s="147"/>
      <c r="E74" s="162" t="s">
        <v>120</v>
      </c>
      <c r="F74" s="163" t="str">
        <f t="shared" ref="F74:F77" si="14">C74</f>
        <v/>
      </c>
      <c r="G74" s="150"/>
      <c r="H74" s="154" t="s">
        <v>121</v>
      </c>
      <c r="I74" s="213"/>
      <c r="J74" s="214"/>
      <c r="K74" s="164" t="str">
        <f t="shared" si="13"/>
        <v>#DIV/0!</v>
      </c>
      <c r="L74" s="159">
        <v>-0.1</v>
      </c>
      <c r="M74" s="152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hidden="1" customHeight="1" outlineLevel="1">
      <c r="A75" s="153"/>
      <c r="B75" s="154" t="s">
        <v>68</v>
      </c>
      <c r="C75" s="161"/>
      <c r="D75" s="147"/>
      <c r="E75" s="162" t="s">
        <v>68</v>
      </c>
      <c r="F75" s="165" t="str">
        <f t="shared" si="14"/>
        <v/>
      </c>
      <c r="G75" s="150"/>
      <c r="H75" s="154" t="s">
        <v>122</v>
      </c>
      <c r="I75" s="213"/>
      <c r="J75" s="214"/>
      <c r="K75" s="164" t="str">
        <f t="shared" si="13"/>
        <v>#DIV/0!</v>
      </c>
      <c r="L75" s="159">
        <v>0.15</v>
      </c>
      <c r="M75" s="152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hidden="1" customHeight="1" outlineLevel="1">
      <c r="A76" s="153"/>
      <c r="B76" s="154" t="s">
        <v>123</v>
      </c>
      <c r="C76" s="166"/>
      <c r="D76" s="147"/>
      <c r="E76" s="162" t="s">
        <v>123</v>
      </c>
      <c r="F76" s="167" t="str">
        <f t="shared" si="14"/>
        <v/>
      </c>
      <c r="G76" s="150"/>
      <c r="H76" s="154" t="s">
        <v>124</v>
      </c>
      <c r="I76" s="166"/>
      <c r="J76" s="166"/>
      <c r="K76" s="164" t="str">
        <f t="shared" si="13"/>
        <v>#DIV/0!</v>
      </c>
      <c r="L76" s="159">
        <v>0.1</v>
      </c>
      <c r="M76" s="152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hidden="1" customHeight="1" outlineLevel="1">
      <c r="A77" s="153"/>
      <c r="B77" s="154" t="s">
        <v>125</v>
      </c>
      <c r="C77" s="166"/>
      <c r="D77" s="147"/>
      <c r="E77" s="162" t="s">
        <v>125</v>
      </c>
      <c r="F77" s="167" t="str">
        <f t="shared" si="14"/>
        <v/>
      </c>
      <c r="G77" s="150"/>
      <c r="H77" s="154" t="s">
        <v>126</v>
      </c>
      <c r="I77" s="166"/>
      <c r="J77" s="166"/>
      <c r="K77" s="164" t="str">
        <f t="shared" si="13"/>
        <v>#DIV/0!</v>
      </c>
      <c r="L77" s="159">
        <v>0.1</v>
      </c>
      <c r="M77" s="152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hidden="1" customHeight="1" outlineLevel="1">
      <c r="A78" s="168"/>
      <c r="B78" s="168"/>
      <c r="C78" s="168"/>
      <c r="D78" s="147"/>
      <c r="E78" s="168"/>
      <c r="G78" s="150"/>
      <c r="H78" s="168"/>
      <c r="I78" s="168"/>
      <c r="J78" s="168"/>
      <c r="K78" s="168"/>
      <c r="L78" s="168"/>
      <c r="M78" s="152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hidden="1" customHeight="1" outlineLevel="1">
      <c r="A79" s="153"/>
      <c r="B79" s="162" t="s">
        <v>127</v>
      </c>
      <c r="C79" s="169" t="str">
        <f>C73/C74</f>
        <v>#DIV/0!</v>
      </c>
      <c r="D79" s="147"/>
      <c r="E79" s="162" t="s">
        <v>128</v>
      </c>
      <c r="F79" s="169" t="str">
        <f>(F81/F76)/F77</f>
        <v>#DIV/0!</v>
      </c>
      <c r="G79" s="150"/>
      <c r="H79" s="162" t="s">
        <v>128</v>
      </c>
      <c r="I79" s="169" t="str">
        <f>I73/I74</f>
        <v>#DIV/0!</v>
      </c>
      <c r="J79" s="168"/>
      <c r="K79" s="170" t="s">
        <v>129</v>
      </c>
      <c r="L79" s="171" t="s">
        <v>66</v>
      </c>
      <c r="M79" s="172" t="s">
        <v>73</v>
      </c>
      <c r="N79" s="171" t="s">
        <v>130</v>
      </c>
      <c r="O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hidden="1" customHeight="1" outlineLevel="1">
      <c r="A80" s="153"/>
      <c r="B80" s="162" t="s">
        <v>48</v>
      </c>
      <c r="C80" s="169" t="str">
        <f t="shared" ref="C80:C81" si="15">C79*C76</f>
        <v>#DIV/0!</v>
      </c>
      <c r="D80" s="147"/>
      <c r="E80" s="162" t="s">
        <v>131</v>
      </c>
      <c r="F80" s="169" t="str">
        <f>F79*F76</f>
        <v>#DIV/0!</v>
      </c>
      <c r="G80" s="150"/>
      <c r="H80" s="162" t="s">
        <v>131</v>
      </c>
      <c r="I80" s="169" t="str">
        <f>I79*I76</f>
        <v>#DIV/0!</v>
      </c>
      <c r="J80" s="168"/>
      <c r="K80" s="162" t="s">
        <v>132</v>
      </c>
      <c r="L80" s="174">
        <v>0.2</v>
      </c>
      <c r="M80" s="165" t="str">
        <f>I84/100*L80*100</f>
        <v>#DIV/0!</v>
      </c>
      <c r="N80" s="175" t="str">
        <f>M80/I75</f>
        <v>#DIV/0!</v>
      </c>
      <c r="O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hidden="1" customHeight="1" outlineLevel="1">
      <c r="A81" s="153"/>
      <c r="B81" s="162" t="s">
        <v>51</v>
      </c>
      <c r="C81" s="180" t="str">
        <f t="shared" si="15"/>
        <v>#DIV/0!</v>
      </c>
      <c r="D81" s="147"/>
      <c r="E81" s="162" t="s">
        <v>51</v>
      </c>
      <c r="F81" s="180" t="str">
        <f>F73/F75</f>
        <v>#DIV/0!</v>
      </c>
      <c r="G81" s="150"/>
      <c r="H81" s="162" t="s">
        <v>51</v>
      </c>
      <c r="I81" s="180" t="str">
        <f>I84/I75</f>
        <v>#DIV/0!</v>
      </c>
      <c r="J81" s="168"/>
      <c r="K81" s="162" t="s">
        <v>133</v>
      </c>
      <c r="L81" s="181">
        <v>0.2</v>
      </c>
      <c r="M81" s="165" t="str">
        <f>I84/100*L81*100</f>
        <v>#DIV/0!</v>
      </c>
      <c r="N81" s="175" t="str">
        <f>M81/I75</f>
        <v>#DIV/0!</v>
      </c>
      <c r="O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hidden="1" customHeight="1" outlineLevel="1">
      <c r="A82" s="153"/>
      <c r="B82" s="162" t="s">
        <v>5</v>
      </c>
      <c r="C82" s="165" t="str">
        <f>C73/C80</f>
        <v>#DIV/0!</v>
      </c>
      <c r="D82" s="147"/>
      <c r="E82" s="162" t="s">
        <v>134</v>
      </c>
      <c r="F82" s="165" t="str">
        <f>F84/F80</f>
        <v>#DIV/0!</v>
      </c>
      <c r="G82" s="150"/>
      <c r="H82" s="162" t="s">
        <v>134</v>
      </c>
      <c r="I82" s="165" t="str">
        <f>I73/I80</f>
        <v>#DIV/0!</v>
      </c>
      <c r="J82" s="168"/>
      <c r="K82" s="162" t="s">
        <v>135</v>
      </c>
      <c r="L82" s="181">
        <v>0.3</v>
      </c>
      <c r="M82" s="165" t="str">
        <f>I84/100*L82*100</f>
        <v>#DIV/0!</v>
      </c>
      <c r="N82" s="175" t="str">
        <f>M82/I75</f>
        <v>#DIV/0!</v>
      </c>
      <c r="O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hidden="1" customHeight="1" outlineLevel="1">
      <c r="A83" s="153"/>
      <c r="B83" s="162" t="s">
        <v>136</v>
      </c>
      <c r="C83" s="165" t="str">
        <f>C73/C81</f>
        <v>#DIV/0!</v>
      </c>
      <c r="D83" s="147"/>
      <c r="E83" s="162" t="s">
        <v>136</v>
      </c>
      <c r="F83" s="165" t="str">
        <f>F84/F81</f>
        <v>#DIV/0!</v>
      </c>
      <c r="G83" s="150"/>
      <c r="H83" s="162" t="s">
        <v>136</v>
      </c>
      <c r="I83" s="165" t="str">
        <f>I73/I81</f>
        <v>#DIV/0!</v>
      </c>
      <c r="J83" s="168"/>
      <c r="K83" s="162" t="s">
        <v>137</v>
      </c>
      <c r="L83" s="181">
        <v>0.15</v>
      </c>
      <c r="M83" s="165" t="str">
        <f>I84/100*L83*100</f>
        <v>#DIV/0!</v>
      </c>
      <c r="N83" s="175" t="str">
        <f>M83/I75</f>
        <v>#DIV/0!</v>
      </c>
      <c r="O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hidden="1" customHeight="1" outlineLevel="1">
      <c r="A84" s="153"/>
      <c r="B84" s="156" t="s">
        <v>138</v>
      </c>
      <c r="C84" s="182" t="str">
        <f>C81*C75</f>
        <v>#DIV/0!</v>
      </c>
      <c r="D84" s="147"/>
      <c r="E84" s="156" t="s">
        <v>139</v>
      </c>
      <c r="F84" s="182" t="str">
        <f>F79*F74</f>
        <v>#DIV/0!</v>
      </c>
      <c r="G84" s="150"/>
      <c r="H84" s="156" t="s">
        <v>117</v>
      </c>
      <c r="I84" s="183" t="str">
        <f>(I79*I76*I77)*I75</f>
        <v>#DIV/0!</v>
      </c>
      <c r="J84" s="168"/>
      <c r="K84" s="162" t="s">
        <v>140</v>
      </c>
      <c r="L84" s="184">
        <v>0.15</v>
      </c>
      <c r="M84" s="165" t="str">
        <f>I84/100*L84*100</f>
        <v>#DIV/0!</v>
      </c>
      <c r="N84" s="175" t="str">
        <f>M84/I75</f>
        <v>#DIV/0!</v>
      </c>
      <c r="O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hidden="1" customHeight="1" outlineLevel="1">
      <c r="A85" s="153"/>
      <c r="B85" s="162" t="s">
        <v>141</v>
      </c>
      <c r="C85" s="185" t="str">
        <f>C84/C73</f>
        <v>#DIV/0!</v>
      </c>
      <c r="D85" s="147"/>
      <c r="E85" s="162" t="s">
        <v>141</v>
      </c>
      <c r="F85" s="185" t="str">
        <f>F73/F84</f>
        <v>#DIV/0!</v>
      </c>
      <c r="G85" s="150"/>
      <c r="H85" s="162" t="s">
        <v>141</v>
      </c>
      <c r="I85" s="186" t="str">
        <f>I84/I73</f>
        <v>#DIV/0!</v>
      </c>
      <c r="J85" s="168"/>
      <c r="K85" s="168"/>
      <c r="L85" s="187">
        <f>SUM(L80:L84)</f>
        <v>1</v>
      </c>
      <c r="N85" s="188" t="str">
        <f>SUM(N80:N84)</f>
        <v>#DIV/0!</v>
      </c>
      <c r="O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hidden="1" customHeight="1" outlineLevel="1">
      <c r="A86" s="168"/>
      <c r="B86" s="168"/>
      <c r="C86" s="168"/>
      <c r="D86" s="147"/>
      <c r="E86" s="147"/>
      <c r="F86" s="147"/>
      <c r="G86" s="150"/>
      <c r="H86" s="168"/>
      <c r="I86" s="168"/>
      <c r="J86" s="168"/>
      <c r="O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hidden="1" customHeight="1" outlineLevel="1">
      <c r="A87" s="145"/>
      <c r="B87" s="189" t="s">
        <v>142</v>
      </c>
      <c r="C87" s="41"/>
      <c r="D87" s="147"/>
      <c r="E87" s="189" t="s">
        <v>143</v>
      </c>
      <c r="F87" s="41"/>
      <c r="G87" s="150"/>
      <c r="H87" s="189" t="s">
        <v>144</v>
      </c>
      <c r="I87" s="41"/>
      <c r="J87" s="168"/>
      <c r="K87" s="171" t="s">
        <v>62</v>
      </c>
      <c r="L87" s="171" t="s">
        <v>63</v>
      </c>
      <c r="M87" s="171" t="s">
        <v>64</v>
      </c>
      <c r="N87" s="171" t="s">
        <v>65</v>
      </c>
      <c r="O87" s="171" t="s">
        <v>145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hidden="1" customHeight="1" outlineLevel="1">
      <c r="A88" s="153"/>
      <c r="B88" s="162" t="s">
        <v>146</v>
      </c>
      <c r="C88" s="165">
        <f>C73/30</f>
        <v>0</v>
      </c>
      <c r="D88" s="147"/>
      <c r="E88" s="162" t="s">
        <v>146</v>
      </c>
      <c r="F88" s="165">
        <f>F73/30</f>
        <v>0</v>
      </c>
      <c r="G88" s="150"/>
      <c r="H88" s="162" t="s">
        <v>146</v>
      </c>
      <c r="I88" s="165" t="str">
        <f>I73/'Acompanhamento Geral'!B70</f>
        <v>#VALUE!</v>
      </c>
      <c r="J88" s="168"/>
      <c r="K88" s="171" t="s">
        <v>66</v>
      </c>
      <c r="L88" s="190">
        <v>0.7</v>
      </c>
      <c r="M88" s="191">
        <v>0.3</v>
      </c>
      <c r="N88" s="192">
        <v>0.0</v>
      </c>
      <c r="O88" s="193">
        <f t="shared" ref="O88:O89" si="16">sum(L88:N88)</f>
        <v>1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hidden="1" customHeight="1" outlineLevel="1">
      <c r="A89" s="153"/>
      <c r="B89" s="162" t="s">
        <v>147</v>
      </c>
      <c r="C89" s="180" t="str">
        <f>C79/30</f>
        <v>#DIV/0!</v>
      </c>
      <c r="D89" s="147"/>
      <c r="E89" s="162" t="s">
        <v>147</v>
      </c>
      <c r="F89" s="180" t="str">
        <f>F79/30</f>
        <v>#DIV/0!</v>
      </c>
      <c r="G89" s="150"/>
      <c r="H89" s="162" t="s">
        <v>147</v>
      </c>
      <c r="I89" s="180" t="str">
        <f>I79/'Acompanhamento Geral'!B70</f>
        <v>#DIV/0!</v>
      </c>
      <c r="J89" s="168"/>
      <c r="K89" s="197" t="s">
        <v>67</v>
      </c>
      <c r="L89" s="198">
        <f>I73*L88</f>
        <v>0</v>
      </c>
      <c r="M89" s="198">
        <f>I73*M88</f>
        <v>0</v>
      </c>
      <c r="N89" s="198">
        <f>I73*N88</f>
        <v>0</v>
      </c>
      <c r="O89" s="103">
        <f t="shared" si="16"/>
        <v>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hidden="1" customHeight="1" outlineLevel="1">
      <c r="A90" s="153"/>
      <c r="B90" s="162" t="s">
        <v>148</v>
      </c>
      <c r="C90" s="199" t="str">
        <f>C81/30</f>
        <v>#DIV/0!</v>
      </c>
      <c r="D90" s="147"/>
      <c r="E90" s="162" t="s">
        <v>148</v>
      </c>
      <c r="F90" s="199" t="str">
        <f>F81/30</f>
        <v>#DIV/0!</v>
      </c>
      <c r="G90" s="150"/>
      <c r="H90" s="162" t="s">
        <v>148</v>
      </c>
      <c r="I90" s="199" t="str">
        <f>I81/'Acompanhamento Geral'!B70</f>
        <v>#DIV/0!</v>
      </c>
      <c r="J90" s="168"/>
      <c r="K90" s="197" t="s">
        <v>70</v>
      </c>
      <c r="L90" s="102" t="str">
        <f>L89/'Acompanhamento Geral'!B70</f>
        <v>#VALUE!</v>
      </c>
      <c r="M90" s="102" t="str">
        <f>M89/'Acompanhamento Geral'!B70</f>
        <v>#VALUE!</v>
      </c>
      <c r="N90" s="102" t="str">
        <f>iferror(N89/'Acompanhamento Geral'!B70,"")</f>
        <v/>
      </c>
      <c r="O90" s="215" t="str">
        <f>SUM(L90:N90)</f>
        <v>#VALUE!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hidden="1" customHeight="1" outlineLevel="1">
      <c r="A91" s="153"/>
      <c r="B91" s="162" t="s">
        <v>149</v>
      </c>
      <c r="C91" s="165" t="str">
        <f>C84/30</f>
        <v>#DIV/0!</v>
      </c>
      <c r="D91" s="147"/>
      <c r="E91" s="162" t="s">
        <v>149</v>
      </c>
      <c r="F91" s="165">
        <f>F73/30</f>
        <v>0</v>
      </c>
      <c r="G91" s="150"/>
      <c r="H91" s="162" t="s">
        <v>149</v>
      </c>
      <c r="I91" s="165" t="str">
        <f>I84/'Acompanhamento Geral'!B70</f>
        <v>#DIV/0!</v>
      </c>
      <c r="J91" s="168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hidden="1" customHeight="1" outlineLevel="1">
      <c r="A92" s="16"/>
      <c r="B92" s="16"/>
      <c r="C92" s="216"/>
      <c r="D92" s="16"/>
      <c r="E92" s="16"/>
      <c r="F92" s="2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30.0" customHeight="1" collapsed="1">
      <c r="A93" s="134"/>
      <c r="B93" s="135" t="s">
        <v>29</v>
      </c>
      <c r="D93" s="136"/>
      <c r="E93" s="136"/>
      <c r="F93" s="136"/>
      <c r="G93" s="137"/>
      <c r="H93" s="136"/>
      <c r="I93" s="136"/>
      <c r="J93" s="138"/>
      <c r="K93" s="138"/>
      <c r="L93" s="138"/>
      <c r="M93" s="139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</row>
    <row r="94" ht="15.75" hidden="1" customHeight="1" outlineLevel="1">
      <c r="A94" s="141"/>
      <c r="B94" s="141"/>
      <c r="C94" s="141"/>
      <c r="D94" s="142"/>
      <c r="E94" s="141"/>
      <c r="F94" s="141"/>
      <c r="G94" s="143"/>
      <c r="H94" s="141"/>
      <c r="I94" s="141"/>
      <c r="J94" s="141"/>
      <c r="K94" s="141"/>
      <c r="L94" s="141"/>
      <c r="M94" s="144"/>
      <c r="N94" s="117"/>
      <c r="O94" s="117"/>
      <c r="P94" s="117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hidden="1" customHeight="1" outlineLevel="1">
      <c r="A95" s="145"/>
      <c r="B95" s="209" t="s">
        <v>110</v>
      </c>
      <c r="C95" s="210"/>
      <c r="D95" s="147"/>
      <c r="E95" s="148" t="s">
        <v>111</v>
      </c>
      <c r="F95" s="149"/>
      <c r="G95" s="150"/>
      <c r="H95" s="148" t="s">
        <v>112</v>
      </c>
      <c r="I95" s="149"/>
      <c r="J95" s="148" t="s">
        <v>113</v>
      </c>
      <c r="K95" s="151" t="s">
        <v>114</v>
      </c>
      <c r="L95" s="151" t="s">
        <v>115</v>
      </c>
      <c r="M95" s="152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hidden="1" customHeight="1" outlineLevel="1">
      <c r="A96" s="153"/>
      <c r="B96" s="154" t="s">
        <v>116</v>
      </c>
      <c r="C96" s="161"/>
      <c r="D96" s="147"/>
      <c r="E96" s="156" t="s">
        <v>117</v>
      </c>
      <c r="F96" s="157"/>
      <c r="G96" s="150"/>
      <c r="H96" s="156" t="s">
        <v>118</v>
      </c>
      <c r="I96" s="211"/>
      <c r="J96" s="212"/>
      <c r="K96" s="158" t="str">
        <f t="shared" ref="K96:K100" si="17">(I96-J96)/J96*1</f>
        <v>#DIV/0!</v>
      </c>
      <c r="L96" s="159">
        <v>0.4</v>
      </c>
      <c r="M96" s="160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hidden="1" customHeight="1" outlineLevel="1">
      <c r="A97" s="153"/>
      <c r="B97" s="154" t="s">
        <v>119</v>
      </c>
      <c r="C97" s="161"/>
      <c r="D97" s="147"/>
      <c r="E97" s="162" t="s">
        <v>120</v>
      </c>
      <c r="F97" s="163" t="str">
        <f t="shared" ref="F97:F100" si="18">C97</f>
        <v/>
      </c>
      <c r="G97" s="150"/>
      <c r="H97" s="154" t="s">
        <v>121</v>
      </c>
      <c r="I97" s="213"/>
      <c r="J97" s="214"/>
      <c r="K97" s="164" t="str">
        <f t="shared" si="17"/>
        <v>#DIV/0!</v>
      </c>
      <c r="L97" s="159">
        <v>-0.1</v>
      </c>
      <c r="M97" s="152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hidden="1" customHeight="1" outlineLevel="1">
      <c r="A98" s="153"/>
      <c r="B98" s="154" t="s">
        <v>68</v>
      </c>
      <c r="C98" s="161"/>
      <c r="D98" s="147"/>
      <c r="E98" s="162" t="s">
        <v>68</v>
      </c>
      <c r="F98" s="165" t="str">
        <f t="shared" si="18"/>
        <v/>
      </c>
      <c r="G98" s="150"/>
      <c r="H98" s="154" t="s">
        <v>122</v>
      </c>
      <c r="I98" s="213"/>
      <c r="J98" s="214"/>
      <c r="K98" s="164" t="str">
        <f t="shared" si="17"/>
        <v>#DIV/0!</v>
      </c>
      <c r="L98" s="159">
        <v>0.15</v>
      </c>
      <c r="M98" s="152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hidden="1" customHeight="1" outlineLevel="1">
      <c r="A99" s="153"/>
      <c r="B99" s="154" t="s">
        <v>123</v>
      </c>
      <c r="C99" s="166"/>
      <c r="D99" s="147"/>
      <c r="E99" s="162" t="s">
        <v>123</v>
      </c>
      <c r="F99" s="167" t="str">
        <f t="shared" si="18"/>
        <v/>
      </c>
      <c r="G99" s="150"/>
      <c r="H99" s="154" t="s">
        <v>124</v>
      </c>
      <c r="I99" s="166"/>
      <c r="J99" s="166"/>
      <c r="K99" s="164" t="str">
        <f t="shared" si="17"/>
        <v>#DIV/0!</v>
      </c>
      <c r="L99" s="159">
        <v>0.1</v>
      </c>
      <c r="M99" s="152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hidden="1" customHeight="1" outlineLevel="1">
      <c r="A100" s="153"/>
      <c r="B100" s="154" t="s">
        <v>125</v>
      </c>
      <c r="C100" s="166"/>
      <c r="D100" s="147"/>
      <c r="E100" s="162" t="s">
        <v>125</v>
      </c>
      <c r="F100" s="167" t="str">
        <f t="shared" si="18"/>
        <v/>
      </c>
      <c r="G100" s="150"/>
      <c r="H100" s="154" t="s">
        <v>126</v>
      </c>
      <c r="I100" s="166"/>
      <c r="J100" s="166"/>
      <c r="K100" s="164" t="str">
        <f t="shared" si="17"/>
        <v>#DIV/0!</v>
      </c>
      <c r="L100" s="159">
        <v>0.1</v>
      </c>
      <c r="M100" s="152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hidden="1" customHeight="1" outlineLevel="1">
      <c r="A101" s="168"/>
      <c r="B101" s="168"/>
      <c r="C101" s="168"/>
      <c r="D101" s="147"/>
      <c r="E101" s="168"/>
      <c r="G101" s="150"/>
      <c r="H101" s="168"/>
      <c r="I101" s="168"/>
      <c r="J101" s="168"/>
      <c r="K101" s="168"/>
      <c r="L101" s="168"/>
      <c r="M101" s="152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hidden="1" customHeight="1" outlineLevel="1">
      <c r="A102" s="153"/>
      <c r="B102" s="162" t="s">
        <v>127</v>
      </c>
      <c r="C102" s="169" t="str">
        <f>C96/C97</f>
        <v>#DIV/0!</v>
      </c>
      <c r="D102" s="147"/>
      <c r="E102" s="162" t="s">
        <v>128</v>
      </c>
      <c r="F102" s="169" t="str">
        <f>(F104/F99)/F100</f>
        <v>#DIV/0!</v>
      </c>
      <c r="G102" s="150"/>
      <c r="H102" s="162" t="s">
        <v>128</v>
      </c>
      <c r="I102" s="169" t="str">
        <f>I96/I97</f>
        <v>#DIV/0!</v>
      </c>
      <c r="J102" s="168"/>
      <c r="K102" s="170" t="s">
        <v>129</v>
      </c>
      <c r="L102" s="171" t="s">
        <v>66</v>
      </c>
      <c r="M102" s="172" t="s">
        <v>73</v>
      </c>
      <c r="N102" s="171" t="s">
        <v>130</v>
      </c>
      <c r="O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hidden="1" customHeight="1" outlineLevel="1">
      <c r="A103" s="153"/>
      <c r="B103" s="162" t="s">
        <v>48</v>
      </c>
      <c r="C103" s="169" t="str">
        <f t="shared" ref="C103:C104" si="19">C102*C99</f>
        <v>#DIV/0!</v>
      </c>
      <c r="D103" s="147"/>
      <c r="E103" s="162" t="s">
        <v>131</v>
      </c>
      <c r="F103" s="169" t="str">
        <f>F102*F99</f>
        <v>#DIV/0!</v>
      </c>
      <c r="G103" s="150"/>
      <c r="H103" s="162" t="s">
        <v>131</v>
      </c>
      <c r="I103" s="169" t="str">
        <f>I102*I99</f>
        <v>#DIV/0!</v>
      </c>
      <c r="J103" s="168"/>
      <c r="K103" s="162" t="s">
        <v>132</v>
      </c>
      <c r="L103" s="174">
        <v>0.2</v>
      </c>
      <c r="M103" s="165" t="str">
        <f>I107/100*L103*100</f>
        <v>#DIV/0!</v>
      </c>
      <c r="N103" s="175" t="str">
        <f>M103/I98</f>
        <v>#DIV/0!</v>
      </c>
      <c r="O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hidden="1" customHeight="1" outlineLevel="1">
      <c r="A104" s="153"/>
      <c r="B104" s="162" t="s">
        <v>51</v>
      </c>
      <c r="C104" s="180" t="str">
        <f t="shared" si="19"/>
        <v>#DIV/0!</v>
      </c>
      <c r="D104" s="147"/>
      <c r="E104" s="162" t="s">
        <v>51</v>
      </c>
      <c r="F104" s="180" t="str">
        <f>F96/F98</f>
        <v>#DIV/0!</v>
      </c>
      <c r="G104" s="150"/>
      <c r="H104" s="162" t="s">
        <v>51</v>
      </c>
      <c r="I104" s="180" t="str">
        <f>I107/I98</f>
        <v>#DIV/0!</v>
      </c>
      <c r="J104" s="168"/>
      <c r="K104" s="162" t="s">
        <v>133</v>
      </c>
      <c r="L104" s="181">
        <v>0.2</v>
      </c>
      <c r="M104" s="165" t="str">
        <f>I107/100*L104*100</f>
        <v>#DIV/0!</v>
      </c>
      <c r="N104" s="175" t="str">
        <f>M104/I98</f>
        <v>#DIV/0!</v>
      </c>
      <c r="O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hidden="1" customHeight="1" outlineLevel="1">
      <c r="A105" s="153"/>
      <c r="B105" s="162" t="s">
        <v>5</v>
      </c>
      <c r="C105" s="165" t="str">
        <f>C96/C103</f>
        <v>#DIV/0!</v>
      </c>
      <c r="D105" s="147"/>
      <c r="E105" s="162" t="s">
        <v>134</v>
      </c>
      <c r="F105" s="165" t="str">
        <f>F107/F103</f>
        <v>#DIV/0!</v>
      </c>
      <c r="G105" s="150"/>
      <c r="H105" s="162" t="s">
        <v>134</v>
      </c>
      <c r="I105" s="165" t="str">
        <f>I96/I103</f>
        <v>#DIV/0!</v>
      </c>
      <c r="J105" s="168"/>
      <c r="K105" s="162" t="s">
        <v>135</v>
      </c>
      <c r="L105" s="181">
        <v>0.3</v>
      </c>
      <c r="M105" s="165" t="str">
        <f>I107/100*L105*100</f>
        <v>#DIV/0!</v>
      </c>
      <c r="N105" s="175" t="str">
        <f>M105/I98</f>
        <v>#DIV/0!</v>
      </c>
      <c r="O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hidden="1" customHeight="1" outlineLevel="1">
      <c r="A106" s="153"/>
      <c r="B106" s="162" t="s">
        <v>136</v>
      </c>
      <c r="C106" s="165" t="str">
        <f>C96/C104</f>
        <v>#DIV/0!</v>
      </c>
      <c r="D106" s="147"/>
      <c r="E106" s="162" t="s">
        <v>136</v>
      </c>
      <c r="F106" s="165" t="str">
        <f>F107/F104</f>
        <v>#DIV/0!</v>
      </c>
      <c r="G106" s="150"/>
      <c r="H106" s="162" t="s">
        <v>136</v>
      </c>
      <c r="I106" s="165" t="str">
        <f>I96/I104</f>
        <v>#DIV/0!</v>
      </c>
      <c r="J106" s="168"/>
      <c r="K106" s="162" t="s">
        <v>137</v>
      </c>
      <c r="L106" s="181">
        <v>0.15</v>
      </c>
      <c r="M106" s="165" t="str">
        <f>I107/100*L106*100</f>
        <v>#DIV/0!</v>
      </c>
      <c r="N106" s="175" t="str">
        <f>M106/I98</f>
        <v>#DIV/0!</v>
      </c>
      <c r="O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hidden="1" customHeight="1" outlineLevel="1">
      <c r="A107" s="153"/>
      <c r="B107" s="156" t="s">
        <v>138</v>
      </c>
      <c r="C107" s="182" t="str">
        <f>C104*C98</f>
        <v>#DIV/0!</v>
      </c>
      <c r="D107" s="147"/>
      <c r="E107" s="156" t="s">
        <v>139</v>
      </c>
      <c r="F107" s="182" t="str">
        <f>F102*F97</f>
        <v>#DIV/0!</v>
      </c>
      <c r="G107" s="150"/>
      <c r="H107" s="156" t="s">
        <v>117</v>
      </c>
      <c r="I107" s="183" t="str">
        <f>(I102*I99*I100)*I98</f>
        <v>#DIV/0!</v>
      </c>
      <c r="J107" s="168"/>
      <c r="K107" s="162" t="s">
        <v>140</v>
      </c>
      <c r="L107" s="184">
        <v>0.15</v>
      </c>
      <c r="M107" s="165" t="str">
        <f>I107/100*L107*100</f>
        <v>#DIV/0!</v>
      </c>
      <c r="N107" s="175" t="str">
        <f>M107/I98</f>
        <v>#DIV/0!</v>
      </c>
      <c r="O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hidden="1" customHeight="1" outlineLevel="1">
      <c r="A108" s="153"/>
      <c r="B108" s="162" t="s">
        <v>141</v>
      </c>
      <c r="C108" s="185" t="str">
        <f>C107/C96</f>
        <v>#DIV/0!</v>
      </c>
      <c r="D108" s="147"/>
      <c r="E108" s="162" t="s">
        <v>141</v>
      </c>
      <c r="F108" s="185" t="str">
        <f>F96/F107</f>
        <v>#DIV/0!</v>
      </c>
      <c r="G108" s="150"/>
      <c r="H108" s="162" t="s">
        <v>141</v>
      </c>
      <c r="I108" s="186" t="str">
        <f>I107/I96</f>
        <v>#DIV/0!</v>
      </c>
      <c r="J108" s="168"/>
      <c r="K108" s="168"/>
      <c r="L108" s="187">
        <f>SUM(L103:L107)</f>
        <v>1</v>
      </c>
      <c r="N108" s="188" t="str">
        <f>SUM(N103:N107)</f>
        <v>#DIV/0!</v>
      </c>
      <c r="O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hidden="1" customHeight="1" outlineLevel="1">
      <c r="A109" s="168"/>
      <c r="B109" s="168"/>
      <c r="C109" s="168"/>
      <c r="D109" s="147"/>
      <c r="E109" s="147"/>
      <c r="F109" s="147"/>
      <c r="G109" s="150"/>
      <c r="H109" s="168"/>
      <c r="I109" s="168"/>
      <c r="J109" s="168"/>
      <c r="O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hidden="1" customHeight="1" outlineLevel="1">
      <c r="A110" s="145"/>
      <c r="B110" s="189" t="s">
        <v>142</v>
      </c>
      <c r="C110" s="41"/>
      <c r="D110" s="147"/>
      <c r="E110" s="189" t="s">
        <v>143</v>
      </c>
      <c r="F110" s="41"/>
      <c r="G110" s="150"/>
      <c r="H110" s="189" t="s">
        <v>144</v>
      </c>
      <c r="I110" s="41"/>
      <c r="J110" s="168"/>
      <c r="K110" s="171" t="s">
        <v>62</v>
      </c>
      <c r="L110" s="171" t="s">
        <v>63</v>
      </c>
      <c r="M110" s="171" t="s">
        <v>64</v>
      </c>
      <c r="N110" s="171" t="s">
        <v>65</v>
      </c>
      <c r="O110" s="171" t="s">
        <v>145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hidden="1" customHeight="1" outlineLevel="1">
      <c r="A111" s="153"/>
      <c r="B111" s="162" t="s">
        <v>146</v>
      </c>
      <c r="C111" s="165">
        <f>C96/30</f>
        <v>0</v>
      </c>
      <c r="D111" s="147"/>
      <c r="E111" s="162" t="s">
        <v>146</v>
      </c>
      <c r="F111" s="165">
        <f>F96/30</f>
        <v>0</v>
      </c>
      <c r="G111" s="150"/>
      <c r="H111" s="162" t="s">
        <v>146</v>
      </c>
      <c r="I111" s="165" t="str">
        <f>I96/'Acompanhamento Geral'!B93</f>
        <v>#VALUE!</v>
      </c>
      <c r="J111" s="168"/>
      <c r="K111" s="171" t="s">
        <v>66</v>
      </c>
      <c r="L111" s="190">
        <v>0.7</v>
      </c>
      <c r="M111" s="191">
        <v>0.3</v>
      </c>
      <c r="N111" s="192">
        <v>0.0</v>
      </c>
      <c r="O111" s="193">
        <f t="shared" ref="O111:O112" si="20">sum(L111:N111)</f>
        <v>1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hidden="1" customHeight="1" outlineLevel="1">
      <c r="A112" s="153"/>
      <c r="B112" s="162" t="s">
        <v>147</v>
      </c>
      <c r="C112" s="180" t="str">
        <f>C102/30</f>
        <v>#DIV/0!</v>
      </c>
      <c r="D112" s="147"/>
      <c r="E112" s="162" t="s">
        <v>147</v>
      </c>
      <c r="F112" s="180" t="str">
        <f>F102/30</f>
        <v>#DIV/0!</v>
      </c>
      <c r="G112" s="150"/>
      <c r="H112" s="162" t="s">
        <v>147</v>
      </c>
      <c r="I112" s="180" t="str">
        <f>I102/'Acompanhamento Geral'!B93</f>
        <v>#DIV/0!</v>
      </c>
      <c r="J112" s="168"/>
      <c r="K112" s="197" t="s">
        <v>67</v>
      </c>
      <c r="L112" s="198">
        <f>I96*L111</f>
        <v>0</v>
      </c>
      <c r="M112" s="198">
        <f>I96*M111</f>
        <v>0</v>
      </c>
      <c r="N112" s="198">
        <f>I96*N111</f>
        <v>0</v>
      </c>
      <c r="O112" s="103">
        <f t="shared" si="20"/>
        <v>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hidden="1" customHeight="1" outlineLevel="1">
      <c r="A113" s="153"/>
      <c r="B113" s="162" t="s">
        <v>148</v>
      </c>
      <c r="C113" s="199" t="str">
        <f>C104/30</f>
        <v>#DIV/0!</v>
      </c>
      <c r="D113" s="147"/>
      <c r="E113" s="162" t="s">
        <v>148</v>
      </c>
      <c r="F113" s="199" t="str">
        <f>F104/30</f>
        <v>#DIV/0!</v>
      </c>
      <c r="G113" s="150"/>
      <c r="H113" s="162" t="s">
        <v>148</v>
      </c>
      <c r="I113" s="199" t="str">
        <f>I104/'Acompanhamento Geral'!B93</f>
        <v>#DIV/0!</v>
      </c>
      <c r="J113" s="168"/>
      <c r="K113" s="197" t="s">
        <v>70</v>
      </c>
      <c r="L113" s="102" t="str">
        <f>L112/'Acompanhamento Geral'!B93</f>
        <v>#VALUE!</v>
      </c>
      <c r="M113" s="102" t="str">
        <f>M112/'Acompanhamento Geral'!B93</f>
        <v>#VALUE!</v>
      </c>
      <c r="N113" s="102" t="str">
        <f>iferror(N112/'Acompanhamento Geral'!B93,"")</f>
        <v/>
      </c>
      <c r="O113" s="215" t="str">
        <f>SUM(L113:N113)</f>
        <v>#VALUE!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hidden="1" customHeight="1" outlineLevel="1">
      <c r="A114" s="153"/>
      <c r="B114" s="162" t="s">
        <v>149</v>
      </c>
      <c r="C114" s="165" t="str">
        <f>C107/30</f>
        <v>#DIV/0!</v>
      </c>
      <c r="D114" s="147"/>
      <c r="E114" s="162" t="s">
        <v>149</v>
      </c>
      <c r="F114" s="165">
        <f>F96/30</f>
        <v>0</v>
      </c>
      <c r="G114" s="150"/>
      <c r="H114" s="162" t="s">
        <v>149</v>
      </c>
      <c r="I114" s="165" t="str">
        <f>I107/'Acompanhamento Geral'!B93</f>
        <v>#DIV/0!</v>
      </c>
      <c r="J114" s="168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hidden="1" customHeight="1" outlineLevel="1">
      <c r="A115" s="16"/>
      <c r="B115" s="16"/>
      <c r="C115" s="216"/>
      <c r="D115" s="16"/>
      <c r="E115" s="16"/>
      <c r="F115" s="2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30.0" customHeight="1" collapsed="1">
      <c r="A116" s="200"/>
      <c r="B116" s="201" t="s">
        <v>30</v>
      </c>
      <c r="D116" s="202"/>
      <c r="E116" s="202"/>
      <c r="F116" s="202"/>
      <c r="G116" s="203"/>
      <c r="H116" s="202"/>
      <c r="I116" s="202"/>
      <c r="J116" s="204"/>
      <c r="K116" s="204"/>
      <c r="L116" s="204"/>
      <c r="M116" s="205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</row>
    <row r="117" ht="15.75" hidden="1" customHeight="1" outlineLevel="1">
      <c r="A117" s="141"/>
      <c r="B117" s="141"/>
      <c r="C117" s="141"/>
      <c r="D117" s="142"/>
      <c r="E117" s="141"/>
      <c r="F117" s="141"/>
      <c r="G117" s="143"/>
      <c r="H117" s="141"/>
      <c r="I117" s="141"/>
      <c r="J117" s="141"/>
      <c r="K117" s="141"/>
      <c r="L117" s="141"/>
      <c r="M117" s="144"/>
      <c r="N117" s="117"/>
      <c r="O117" s="117"/>
      <c r="P117" s="117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hidden="1" customHeight="1" outlineLevel="1">
      <c r="A118" s="145"/>
      <c r="B118" s="209" t="s">
        <v>110</v>
      </c>
      <c r="C118" s="210"/>
      <c r="D118" s="147"/>
      <c r="E118" s="148" t="s">
        <v>111</v>
      </c>
      <c r="F118" s="149"/>
      <c r="G118" s="150"/>
      <c r="H118" s="148" t="s">
        <v>112</v>
      </c>
      <c r="I118" s="149"/>
      <c r="J118" s="148" t="s">
        <v>113</v>
      </c>
      <c r="K118" s="151" t="s">
        <v>114</v>
      </c>
      <c r="L118" s="151" t="s">
        <v>115</v>
      </c>
      <c r="M118" s="152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hidden="1" customHeight="1" outlineLevel="1">
      <c r="A119" s="153"/>
      <c r="B119" s="154" t="s">
        <v>116</v>
      </c>
      <c r="C119" s="161"/>
      <c r="D119" s="147"/>
      <c r="E119" s="156" t="s">
        <v>117</v>
      </c>
      <c r="F119" s="157"/>
      <c r="G119" s="150"/>
      <c r="H119" s="156" t="s">
        <v>118</v>
      </c>
      <c r="I119" s="211"/>
      <c r="J119" s="212"/>
      <c r="K119" s="158" t="str">
        <f t="shared" ref="K119:K123" si="21">(I119-J119)/J119*1</f>
        <v>#DIV/0!</v>
      </c>
      <c r="L119" s="159">
        <v>0.4</v>
      </c>
      <c r="M119" s="160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hidden="1" customHeight="1" outlineLevel="1">
      <c r="A120" s="153"/>
      <c r="B120" s="154" t="s">
        <v>119</v>
      </c>
      <c r="C120" s="161"/>
      <c r="D120" s="147"/>
      <c r="E120" s="162" t="s">
        <v>120</v>
      </c>
      <c r="F120" s="163" t="str">
        <f t="shared" ref="F120:F123" si="22">C120</f>
        <v/>
      </c>
      <c r="G120" s="150"/>
      <c r="H120" s="154" t="s">
        <v>121</v>
      </c>
      <c r="I120" s="213"/>
      <c r="J120" s="214"/>
      <c r="K120" s="164" t="str">
        <f t="shared" si="21"/>
        <v>#DIV/0!</v>
      </c>
      <c r="L120" s="159">
        <v>-0.1</v>
      </c>
      <c r="M120" s="152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hidden="1" customHeight="1" outlineLevel="1">
      <c r="A121" s="153"/>
      <c r="B121" s="154" t="s">
        <v>68</v>
      </c>
      <c r="C121" s="161"/>
      <c r="D121" s="147"/>
      <c r="E121" s="162" t="s">
        <v>68</v>
      </c>
      <c r="F121" s="165" t="str">
        <f t="shared" si="22"/>
        <v/>
      </c>
      <c r="G121" s="150"/>
      <c r="H121" s="154" t="s">
        <v>122</v>
      </c>
      <c r="I121" s="213"/>
      <c r="J121" s="214"/>
      <c r="K121" s="164" t="str">
        <f t="shared" si="21"/>
        <v>#DIV/0!</v>
      </c>
      <c r="L121" s="159">
        <v>0.15</v>
      </c>
      <c r="M121" s="152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hidden="1" customHeight="1" outlineLevel="1">
      <c r="A122" s="153"/>
      <c r="B122" s="154" t="s">
        <v>123</v>
      </c>
      <c r="C122" s="166"/>
      <c r="D122" s="147"/>
      <c r="E122" s="162" t="s">
        <v>123</v>
      </c>
      <c r="F122" s="167" t="str">
        <f t="shared" si="22"/>
        <v/>
      </c>
      <c r="G122" s="150"/>
      <c r="H122" s="154" t="s">
        <v>124</v>
      </c>
      <c r="I122" s="166"/>
      <c r="J122" s="166"/>
      <c r="K122" s="164" t="str">
        <f t="shared" si="21"/>
        <v>#DIV/0!</v>
      </c>
      <c r="L122" s="159">
        <v>0.1</v>
      </c>
      <c r="M122" s="152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hidden="1" customHeight="1" outlineLevel="1">
      <c r="A123" s="153"/>
      <c r="B123" s="154" t="s">
        <v>125</v>
      </c>
      <c r="C123" s="166"/>
      <c r="D123" s="147"/>
      <c r="E123" s="162" t="s">
        <v>125</v>
      </c>
      <c r="F123" s="167" t="str">
        <f t="shared" si="22"/>
        <v/>
      </c>
      <c r="G123" s="150"/>
      <c r="H123" s="154" t="s">
        <v>126</v>
      </c>
      <c r="I123" s="166"/>
      <c r="J123" s="166"/>
      <c r="K123" s="164" t="str">
        <f t="shared" si="21"/>
        <v>#DIV/0!</v>
      </c>
      <c r="L123" s="159">
        <v>0.1</v>
      </c>
      <c r="M123" s="152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hidden="1" customHeight="1" outlineLevel="1">
      <c r="A124" s="168"/>
      <c r="B124" s="168"/>
      <c r="C124" s="168"/>
      <c r="D124" s="147"/>
      <c r="E124" s="168"/>
      <c r="G124" s="150"/>
      <c r="H124" s="168"/>
      <c r="I124" s="168"/>
      <c r="J124" s="168"/>
      <c r="K124" s="168"/>
      <c r="L124" s="168"/>
      <c r="M124" s="152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hidden="1" customHeight="1" outlineLevel="1">
      <c r="A125" s="153"/>
      <c r="B125" s="162" t="s">
        <v>127</v>
      </c>
      <c r="C125" s="169" t="str">
        <f>C119/C120</f>
        <v>#DIV/0!</v>
      </c>
      <c r="D125" s="147"/>
      <c r="E125" s="162" t="s">
        <v>128</v>
      </c>
      <c r="F125" s="169" t="str">
        <f>(F127/F122)/F123</f>
        <v>#DIV/0!</v>
      </c>
      <c r="G125" s="150"/>
      <c r="H125" s="162" t="s">
        <v>128</v>
      </c>
      <c r="I125" s="169" t="str">
        <f>I119/I120</f>
        <v>#DIV/0!</v>
      </c>
      <c r="J125" s="168"/>
      <c r="K125" s="170" t="s">
        <v>129</v>
      </c>
      <c r="L125" s="171" t="s">
        <v>66</v>
      </c>
      <c r="M125" s="172" t="s">
        <v>73</v>
      </c>
      <c r="N125" s="171" t="s">
        <v>130</v>
      </c>
      <c r="O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hidden="1" customHeight="1" outlineLevel="1">
      <c r="A126" s="153"/>
      <c r="B126" s="162" t="s">
        <v>48</v>
      </c>
      <c r="C126" s="169" t="str">
        <f t="shared" ref="C126:C127" si="23">C125*C122</f>
        <v>#DIV/0!</v>
      </c>
      <c r="D126" s="147"/>
      <c r="E126" s="162" t="s">
        <v>131</v>
      </c>
      <c r="F126" s="169" t="str">
        <f>F125*F122</f>
        <v>#DIV/0!</v>
      </c>
      <c r="G126" s="150"/>
      <c r="H126" s="162" t="s">
        <v>131</v>
      </c>
      <c r="I126" s="169" t="str">
        <f>I125*I122</f>
        <v>#DIV/0!</v>
      </c>
      <c r="J126" s="168"/>
      <c r="K126" s="162" t="s">
        <v>132</v>
      </c>
      <c r="L126" s="174">
        <v>0.2</v>
      </c>
      <c r="M126" s="165" t="str">
        <f>I130/100*L126*100</f>
        <v>#DIV/0!</v>
      </c>
      <c r="N126" s="175" t="str">
        <f>M126/I121</f>
        <v>#DIV/0!</v>
      </c>
      <c r="O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hidden="1" customHeight="1" outlineLevel="1">
      <c r="A127" s="153"/>
      <c r="B127" s="162" t="s">
        <v>51</v>
      </c>
      <c r="C127" s="180" t="str">
        <f t="shared" si="23"/>
        <v>#DIV/0!</v>
      </c>
      <c r="D127" s="147"/>
      <c r="E127" s="162" t="s">
        <v>51</v>
      </c>
      <c r="F127" s="180" t="str">
        <f>F119/F121</f>
        <v>#DIV/0!</v>
      </c>
      <c r="G127" s="150"/>
      <c r="H127" s="162" t="s">
        <v>51</v>
      </c>
      <c r="I127" s="180" t="str">
        <f>I130/I121</f>
        <v>#DIV/0!</v>
      </c>
      <c r="J127" s="168"/>
      <c r="K127" s="162" t="s">
        <v>133</v>
      </c>
      <c r="L127" s="181">
        <v>0.2</v>
      </c>
      <c r="M127" s="165" t="str">
        <f>I130/100*L127*100</f>
        <v>#DIV/0!</v>
      </c>
      <c r="N127" s="175" t="str">
        <f>M127/I121</f>
        <v>#DIV/0!</v>
      </c>
      <c r="O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hidden="1" customHeight="1" outlineLevel="1">
      <c r="A128" s="153"/>
      <c r="B128" s="162" t="s">
        <v>5</v>
      </c>
      <c r="C128" s="165" t="str">
        <f>C119/C126</f>
        <v>#DIV/0!</v>
      </c>
      <c r="D128" s="147"/>
      <c r="E128" s="162" t="s">
        <v>134</v>
      </c>
      <c r="F128" s="165" t="str">
        <f>F130/F126</f>
        <v>#DIV/0!</v>
      </c>
      <c r="G128" s="150"/>
      <c r="H128" s="162" t="s">
        <v>134</v>
      </c>
      <c r="I128" s="165" t="str">
        <f>I119/I126</f>
        <v>#DIV/0!</v>
      </c>
      <c r="J128" s="168"/>
      <c r="K128" s="162" t="s">
        <v>135</v>
      </c>
      <c r="L128" s="181">
        <v>0.3</v>
      </c>
      <c r="M128" s="165" t="str">
        <f>I130/100*L128*100</f>
        <v>#DIV/0!</v>
      </c>
      <c r="N128" s="175" t="str">
        <f>M128/I121</f>
        <v>#DIV/0!</v>
      </c>
      <c r="O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hidden="1" customHeight="1" outlineLevel="1">
      <c r="A129" s="153"/>
      <c r="B129" s="162" t="s">
        <v>136</v>
      </c>
      <c r="C129" s="165" t="str">
        <f>C119/C127</f>
        <v>#DIV/0!</v>
      </c>
      <c r="D129" s="147"/>
      <c r="E129" s="162" t="s">
        <v>136</v>
      </c>
      <c r="F129" s="165" t="str">
        <f>F130/F127</f>
        <v>#DIV/0!</v>
      </c>
      <c r="G129" s="150"/>
      <c r="H129" s="162" t="s">
        <v>136</v>
      </c>
      <c r="I129" s="165" t="str">
        <f>I119/I127</f>
        <v>#DIV/0!</v>
      </c>
      <c r="J129" s="168"/>
      <c r="K129" s="162" t="s">
        <v>137</v>
      </c>
      <c r="L129" s="181">
        <v>0.15</v>
      </c>
      <c r="M129" s="165" t="str">
        <f>I130/100*L129*100</f>
        <v>#DIV/0!</v>
      </c>
      <c r="N129" s="175" t="str">
        <f>M129/I121</f>
        <v>#DIV/0!</v>
      </c>
      <c r="O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hidden="1" customHeight="1" outlineLevel="1">
      <c r="A130" s="153"/>
      <c r="B130" s="156" t="s">
        <v>138</v>
      </c>
      <c r="C130" s="182" t="str">
        <f>C127*C121</f>
        <v>#DIV/0!</v>
      </c>
      <c r="D130" s="147"/>
      <c r="E130" s="156" t="s">
        <v>139</v>
      </c>
      <c r="F130" s="182" t="str">
        <f>F125*F120</f>
        <v>#DIV/0!</v>
      </c>
      <c r="G130" s="150"/>
      <c r="H130" s="156" t="s">
        <v>117</v>
      </c>
      <c r="I130" s="183" t="str">
        <f>(I125*I122*I123)*I121</f>
        <v>#DIV/0!</v>
      </c>
      <c r="J130" s="168"/>
      <c r="K130" s="162" t="s">
        <v>140</v>
      </c>
      <c r="L130" s="184">
        <v>0.15</v>
      </c>
      <c r="M130" s="165" t="str">
        <f>I130/100*L130*100</f>
        <v>#DIV/0!</v>
      </c>
      <c r="N130" s="175" t="str">
        <f>M130/I121</f>
        <v>#DIV/0!</v>
      </c>
      <c r="O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hidden="1" customHeight="1" outlineLevel="1">
      <c r="A131" s="153"/>
      <c r="B131" s="162" t="s">
        <v>141</v>
      </c>
      <c r="C131" s="185" t="str">
        <f>C130/C119</f>
        <v>#DIV/0!</v>
      </c>
      <c r="D131" s="147"/>
      <c r="E131" s="162" t="s">
        <v>141</v>
      </c>
      <c r="F131" s="185" t="str">
        <f>F119/F130</f>
        <v>#DIV/0!</v>
      </c>
      <c r="G131" s="150"/>
      <c r="H131" s="162" t="s">
        <v>141</v>
      </c>
      <c r="I131" s="186" t="str">
        <f>I130/I119</f>
        <v>#DIV/0!</v>
      </c>
      <c r="J131" s="168"/>
      <c r="K131" s="168"/>
      <c r="L131" s="187">
        <f>SUM(L126:L130)</f>
        <v>1</v>
      </c>
      <c r="N131" s="188" t="str">
        <f>SUM(N126:N130)</f>
        <v>#DIV/0!</v>
      </c>
      <c r="O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hidden="1" customHeight="1" outlineLevel="1">
      <c r="A132" s="168"/>
      <c r="B132" s="168"/>
      <c r="C132" s="168"/>
      <c r="D132" s="147"/>
      <c r="E132" s="147"/>
      <c r="F132" s="147"/>
      <c r="G132" s="150"/>
      <c r="H132" s="168"/>
      <c r="I132" s="168"/>
      <c r="J132" s="168"/>
      <c r="O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hidden="1" customHeight="1" outlineLevel="1">
      <c r="A133" s="145"/>
      <c r="B133" s="189" t="s">
        <v>142</v>
      </c>
      <c r="C133" s="41"/>
      <c r="D133" s="147"/>
      <c r="E133" s="189" t="s">
        <v>143</v>
      </c>
      <c r="F133" s="41"/>
      <c r="G133" s="150"/>
      <c r="H133" s="189" t="s">
        <v>144</v>
      </c>
      <c r="I133" s="41"/>
      <c r="J133" s="168"/>
      <c r="K133" s="171" t="s">
        <v>62</v>
      </c>
      <c r="L133" s="171" t="s">
        <v>63</v>
      </c>
      <c r="M133" s="171" t="s">
        <v>64</v>
      </c>
      <c r="N133" s="171" t="s">
        <v>65</v>
      </c>
      <c r="O133" s="171" t="s">
        <v>145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hidden="1" customHeight="1" outlineLevel="1">
      <c r="A134" s="153"/>
      <c r="B134" s="162" t="s">
        <v>146</v>
      </c>
      <c r="C134" s="165">
        <f>C119/30</f>
        <v>0</v>
      </c>
      <c r="D134" s="147"/>
      <c r="E134" s="162" t="s">
        <v>146</v>
      </c>
      <c r="F134" s="165">
        <f>F119/30</f>
        <v>0</v>
      </c>
      <c r="G134" s="150"/>
      <c r="H134" s="162" t="s">
        <v>146</v>
      </c>
      <c r="I134" s="165" t="str">
        <f>I119/'Acompanhamento Geral'!B116</f>
        <v>#VALUE!</v>
      </c>
      <c r="J134" s="168"/>
      <c r="K134" s="171" t="s">
        <v>66</v>
      </c>
      <c r="L134" s="190">
        <v>0.7</v>
      </c>
      <c r="M134" s="191">
        <v>0.3</v>
      </c>
      <c r="N134" s="192">
        <v>0.0</v>
      </c>
      <c r="O134" s="193">
        <f t="shared" ref="O134:O135" si="24">sum(L134:N134)</f>
        <v>1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hidden="1" customHeight="1" outlineLevel="1">
      <c r="A135" s="153"/>
      <c r="B135" s="162" t="s">
        <v>147</v>
      </c>
      <c r="C135" s="180" t="str">
        <f>C125/30</f>
        <v>#DIV/0!</v>
      </c>
      <c r="D135" s="147"/>
      <c r="E135" s="162" t="s">
        <v>147</v>
      </c>
      <c r="F135" s="180" t="str">
        <f>F125/30</f>
        <v>#DIV/0!</v>
      </c>
      <c r="G135" s="150"/>
      <c r="H135" s="162" t="s">
        <v>147</v>
      </c>
      <c r="I135" s="180" t="str">
        <f>I125/'Acompanhamento Geral'!B116</f>
        <v>#DIV/0!</v>
      </c>
      <c r="J135" s="168"/>
      <c r="K135" s="197" t="s">
        <v>67</v>
      </c>
      <c r="L135" s="198">
        <f>I119*L134</f>
        <v>0</v>
      </c>
      <c r="M135" s="198">
        <f>I119*M134</f>
        <v>0</v>
      </c>
      <c r="N135" s="198">
        <f>I119*N134</f>
        <v>0</v>
      </c>
      <c r="O135" s="103">
        <f t="shared" si="24"/>
        <v>0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hidden="1" customHeight="1" outlineLevel="1">
      <c r="A136" s="153"/>
      <c r="B136" s="162" t="s">
        <v>148</v>
      </c>
      <c r="C136" s="199" t="str">
        <f>C127/30</f>
        <v>#DIV/0!</v>
      </c>
      <c r="D136" s="147"/>
      <c r="E136" s="162" t="s">
        <v>148</v>
      </c>
      <c r="F136" s="199" t="str">
        <f>F127/30</f>
        <v>#DIV/0!</v>
      </c>
      <c r="G136" s="150"/>
      <c r="H136" s="162" t="s">
        <v>148</v>
      </c>
      <c r="I136" s="199" t="str">
        <f>I127/'Acompanhamento Geral'!B116</f>
        <v>#DIV/0!</v>
      </c>
      <c r="J136" s="168"/>
      <c r="K136" s="197" t="s">
        <v>70</v>
      </c>
      <c r="L136" s="102" t="str">
        <f>L135/'Acompanhamento Geral'!B116</f>
        <v>#VALUE!</v>
      </c>
      <c r="M136" s="102" t="str">
        <f>M135/'Acompanhamento Geral'!B116</f>
        <v>#VALUE!</v>
      </c>
      <c r="N136" s="102" t="str">
        <f>iferror(N135/'Acompanhamento Geral'!B116,"")</f>
        <v/>
      </c>
      <c r="O136" s="215" t="str">
        <f>SUM(L136:N136)</f>
        <v>#VALUE!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hidden="1" customHeight="1" outlineLevel="1">
      <c r="A137" s="153"/>
      <c r="B137" s="162" t="s">
        <v>149</v>
      </c>
      <c r="C137" s="165" t="str">
        <f>C130/30</f>
        <v>#DIV/0!</v>
      </c>
      <c r="D137" s="147"/>
      <c r="E137" s="162" t="s">
        <v>149</v>
      </c>
      <c r="F137" s="165">
        <f>F119/30</f>
        <v>0</v>
      </c>
      <c r="G137" s="150"/>
      <c r="H137" s="162" t="s">
        <v>149</v>
      </c>
      <c r="I137" s="165" t="str">
        <f>I130/'Acompanhamento Geral'!B116</f>
        <v>#DIV/0!</v>
      </c>
      <c r="J137" s="168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hidden="1" customHeight="1" outlineLevel="1">
      <c r="A138" s="16"/>
      <c r="B138" s="16"/>
      <c r="C138" s="216"/>
      <c r="D138" s="16"/>
      <c r="E138" s="16"/>
      <c r="F138" s="2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30.0" customHeight="1" collapsed="1">
      <c r="A139" s="134"/>
      <c r="B139" s="135" t="s">
        <v>31</v>
      </c>
      <c r="D139" s="136"/>
      <c r="E139" s="136"/>
      <c r="F139" s="136"/>
      <c r="G139" s="137"/>
      <c r="H139" s="136"/>
      <c r="I139" s="136"/>
      <c r="J139" s="138"/>
      <c r="K139" s="138"/>
      <c r="L139" s="138"/>
      <c r="M139" s="139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</row>
    <row r="140" ht="15.75" hidden="1" customHeight="1" outlineLevel="1">
      <c r="A140" s="141"/>
      <c r="B140" s="141"/>
      <c r="C140" s="141"/>
      <c r="D140" s="142"/>
      <c r="E140" s="141"/>
      <c r="F140" s="141"/>
      <c r="G140" s="143"/>
      <c r="H140" s="141"/>
      <c r="I140" s="141"/>
      <c r="J140" s="141"/>
      <c r="K140" s="141"/>
      <c r="L140" s="141"/>
      <c r="M140" s="144"/>
      <c r="N140" s="117"/>
      <c r="O140" s="117"/>
      <c r="P140" s="117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hidden="1" customHeight="1" outlineLevel="1">
      <c r="A141" s="145"/>
      <c r="B141" s="209" t="s">
        <v>110</v>
      </c>
      <c r="C141" s="210"/>
      <c r="D141" s="147"/>
      <c r="E141" s="148" t="s">
        <v>111</v>
      </c>
      <c r="F141" s="149"/>
      <c r="G141" s="150"/>
      <c r="H141" s="148" t="s">
        <v>112</v>
      </c>
      <c r="I141" s="149"/>
      <c r="J141" s="148" t="s">
        <v>113</v>
      </c>
      <c r="K141" s="151" t="s">
        <v>114</v>
      </c>
      <c r="L141" s="151" t="s">
        <v>115</v>
      </c>
      <c r="M141" s="152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hidden="1" customHeight="1" outlineLevel="1">
      <c r="A142" s="153"/>
      <c r="B142" s="154" t="s">
        <v>116</v>
      </c>
      <c r="C142" s="161"/>
      <c r="D142" s="147"/>
      <c r="E142" s="156" t="s">
        <v>117</v>
      </c>
      <c r="F142" s="157"/>
      <c r="G142" s="150"/>
      <c r="H142" s="156" t="s">
        <v>118</v>
      </c>
      <c r="I142" s="211"/>
      <c r="J142" s="212"/>
      <c r="K142" s="158" t="str">
        <f t="shared" ref="K142:K146" si="25">(I142-J142)/J142*1</f>
        <v>#DIV/0!</v>
      </c>
      <c r="L142" s="159">
        <v>0.4</v>
      </c>
      <c r="M142" s="160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hidden="1" customHeight="1" outlineLevel="1">
      <c r="A143" s="153"/>
      <c r="B143" s="154" t="s">
        <v>119</v>
      </c>
      <c r="C143" s="161"/>
      <c r="D143" s="147"/>
      <c r="E143" s="162" t="s">
        <v>120</v>
      </c>
      <c r="F143" s="163" t="str">
        <f t="shared" ref="F143:F146" si="26">C143</f>
        <v/>
      </c>
      <c r="G143" s="150"/>
      <c r="H143" s="154" t="s">
        <v>121</v>
      </c>
      <c r="I143" s="213"/>
      <c r="J143" s="214"/>
      <c r="K143" s="164" t="str">
        <f t="shared" si="25"/>
        <v>#DIV/0!</v>
      </c>
      <c r="L143" s="159">
        <v>-0.1</v>
      </c>
      <c r="M143" s="152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hidden="1" customHeight="1" outlineLevel="1">
      <c r="A144" s="153"/>
      <c r="B144" s="154" t="s">
        <v>68</v>
      </c>
      <c r="C144" s="161"/>
      <c r="D144" s="147"/>
      <c r="E144" s="162" t="s">
        <v>68</v>
      </c>
      <c r="F144" s="165" t="str">
        <f t="shared" si="26"/>
        <v/>
      </c>
      <c r="G144" s="150"/>
      <c r="H144" s="154" t="s">
        <v>122</v>
      </c>
      <c r="I144" s="213"/>
      <c r="J144" s="214"/>
      <c r="K144" s="164" t="str">
        <f t="shared" si="25"/>
        <v>#DIV/0!</v>
      </c>
      <c r="L144" s="159">
        <v>0.15</v>
      </c>
      <c r="M144" s="152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hidden="1" customHeight="1" outlineLevel="1">
      <c r="A145" s="153"/>
      <c r="B145" s="154" t="s">
        <v>123</v>
      </c>
      <c r="C145" s="166"/>
      <c r="D145" s="147"/>
      <c r="E145" s="162" t="s">
        <v>123</v>
      </c>
      <c r="F145" s="167" t="str">
        <f t="shared" si="26"/>
        <v/>
      </c>
      <c r="G145" s="150"/>
      <c r="H145" s="154" t="s">
        <v>124</v>
      </c>
      <c r="I145" s="166"/>
      <c r="J145" s="166"/>
      <c r="K145" s="164" t="str">
        <f t="shared" si="25"/>
        <v>#DIV/0!</v>
      </c>
      <c r="L145" s="159">
        <v>0.1</v>
      </c>
      <c r="M145" s="152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hidden="1" customHeight="1" outlineLevel="1">
      <c r="A146" s="153"/>
      <c r="B146" s="154" t="s">
        <v>125</v>
      </c>
      <c r="C146" s="166"/>
      <c r="D146" s="147"/>
      <c r="E146" s="162" t="s">
        <v>125</v>
      </c>
      <c r="F146" s="167" t="str">
        <f t="shared" si="26"/>
        <v/>
      </c>
      <c r="G146" s="150"/>
      <c r="H146" s="154" t="s">
        <v>126</v>
      </c>
      <c r="I146" s="166"/>
      <c r="J146" s="166"/>
      <c r="K146" s="164" t="str">
        <f t="shared" si="25"/>
        <v>#DIV/0!</v>
      </c>
      <c r="L146" s="159">
        <v>0.1</v>
      </c>
      <c r="M146" s="152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hidden="1" customHeight="1" outlineLevel="1">
      <c r="A147" s="168"/>
      <c r="B147" s="168"/>
      <c r="C147" s="168"/>
      <c r="D147" s="147"/>
      <c r="E147" s="168"/>
      <c r="G147" s="150"/>
      <c r="H147" s="168"/>
      <c r="I147" s="168"/>
      <c r="J147" s="168"/>
      <c r="K147" s="168"/>
      <c r="L147" s="168"/>
      <c r="M147" s="152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hidden="1" customHeight="1" outlineLevel="1">
      <c r="A148" s="153"/>
      <c r="B148" s="162" t="s">
        <v>127</v>
      </c>
      <c r="C148" s="169" t="str">
        <f>C142/C143</f>
        <v>#DIV/0!</v>
      </c>
      <c r="D148" s="147"/>
      <c r="E148" s="162" t="s">
        <v>128</v>
      </c>
      <c r="F148" s="169" t="str">
        <f>(F150/F145)/F146</f>
        <v>#DIV/0!</v>
      </c>
      <c r="G148" s="150"/>
      <c r="H148" s="162" t="s">
        <v>128</v>
      </c>
      <c r="I148" s="169" t="str">
        <f>I142/I143</f>
        <v>#DIV/0!</v>
      </c>
      <c r="J148" s="168"/>
      <c r="K148" s="170" t="s">
        <v>129</v>
      </c>
      <c r="L148" s="171" t="s">
        <v>66</v>
      </c>
      <c r="M148" s="172" t="s">
        <v>73</v>
      </c>
      <c r="N148" s="171" t="s">
        <v>130</v>
      </c>
      <c r="O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hidden="1" customHeight="1" outlineLevel="1">
      <c r="A149" s="153"/>
      <c r="B149" s="162" t="s">
        <v>48</v>
      </c>
      <c r="C149" s="169" t="str">
        <f t="shared" ref="C149:C150" si="27">C148*C145</f>
        <v>#DIV/0!</v>
      </c>
      <c r="D149" s="147"/>
      <c r="E149" s="162" t="s">
        <v>131</v>
      </c>
      <c r="F149" s="169" t="str">
        <f>F148*F145</f>
        <v>#DIV/0!</v>
      </c>
      <c r="G149" s="150"/>
      <c r="H149" s="162" t="s">
        <v>131</v>
      </c>
      <c r="I149" s="169" t="str">
        <f>I148*I145</f>
        <v>#DIV/0!</v>
      </c>
      <c r="J149" s="168"/>
      <c r="K149" s="162" t="s">
        <v>132</v>
      </c>
      <c r="L149" s="174">
        <v>0.2</v>
      </c>
      <c r="M149" s="165" t="str">
        <f>I153/100*L149*100</f>
        <v>#DIV/0!</v>
      </c>
      <c r="N149" s="175" t="str">
        <f>M149/I144</f>
        <v>#DIV/0!</v>
      </c>
      <c r="O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hidden="1" customHeight="1" outlineLevel="1">
      <c r="A150" s="153"/>
      <c r="B150" s="162" t="s">
        <v>51</v>
      </c>
      <c r="C150" s="180" t="str">
        <f t="shared" si="27"/>
        <v>#DIV/0!</v>
      </c>
      <c r="D150" s="147"/>
      <c r="E150" s="162" t="s">
        <v>51</v>
      </c>
      <c r="F150" s="180" t="str">
        <f>F142/F144</f>
        <v>#DIV/0!</v>
      </c>
      <c r="G150" s="150"/>
      <c r="H150" s="162" t="s">
        <v>51</v>
      </c>
      <c r="I150" s="180" t="str">
        <f>I153/I144</f>
        <v>#DIV/0!</v>
      </c>
      <c r="J150" s="168"/>
      <c r="K150" s="162" t="s">
        <v>133</v>
      </c>
      <c r="L150" s="181">
        <v>0.2</v>
      </c>
      <c r="M150" s="165" t="str">
        <f>I153/100*L150*100</f>
        <v>#DIV/0!</v>
      </c>
      <c r="N150" s="175" t="str">
        <f>M150/I144</f>
        <v>#DIV/0!</v>
      </c>
      <c r="O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hidden="1" customHeight="1" outlineLevel="1">
      <c r="A151" s="153"/>
      <c r="B151" s="162" t="s">
        <v>5</v>
      </c>
      <c r="C151" s="165" t="str">
        <f>C142/C149</f>
        <v>#DIV/0!</v>
      </c>
      <c r="D151" s="147"/>
      <c r="E151" s="162" t="s">
        <v>134</v>
      </c>
      <c r="F151" s="165" t="str">
        <f>F153/F149</f>
        <v>#DIV/0!</v>
      </c>
      <c r="G151" s="150"/>
      <c r="H151" s="162" t="s">
        <v>134</v>
      </c>
      <c r="I151" s="165" t="str">
        <f>I142/I149</f>
        <v>#DIV/0!</v>
      </c>
      <c r="J151" s="168"/>
      <c r="K151" s="162" t="s">
        <v>135</v>
      </c>
      <c r="L151" s="181">
        <v>0.3</v>
      </c>
      <c r="M151" s="165" t="str">
        <f>I153/100*L151*100</f>
        <v>#DIV/0!</v>
      </c>
      <c r="N151" s="175" t="str">
        <f>M151/I144</f>
        <v>#DIV/0!</v>
      </c>
      <c r="O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hidden="1" customHeight="1" outlineLevel="1">
      <c r="A152" s="153"/>
      <c r="B152" s="162" t="s">
        <v>136</v>
      </c>
      <c r="C152" s="165" t="str">
        <f>C142/C150</f>
        <v>#DIV/0!</v>
      </c>
      <c r="D152" s="147"/>
      <c r="E152" s="162" t="s">
        <v>136</v>
      </c>
      <c r="F152" s="165" t="str">
        <f>F153/F150</f>
        <v>#DIV/0!</v>
      </c>
      <c r="G152" s="150"/>
      <c r="H152" s="162" t="s">
        <v>136</v>
      </c>
      <c r="I152" s="165" t="str">
        <f>I142/I150</f>
        <v>#DIV/0!</v>
      </c>
      <c r="J152" s="168"/>
      <c r="K152" s="162" t="s">
        <v>137</v>
      </c>
      <c r="L152" s="181">
        <v>0.15</v>
      </c>
      <c r="M152" s="165" t="str">
        <f>I153/100*L152*100</f>
        <v>#DIV/0!</v>
      </c>
      <c r="N152" s="175" t="str">
        <f>M152/I144</f>
        <v>#DIV/0!</v>
      </c>
      <c r="O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hidden="1" customHeight="1" outlineLevel="1">
      <c r="A153" s="153"/>
      <c r="B153" s="156" t="s">
        <v>138</v>
      </c>
      <c r="C153" s="182" t="str">
        <f>C150*C144</f>
        <v>#DIV/0!</v>
      </c>
      <c r="D153" s="147"/>
      <c r="E153" s="156" t="s">
        <v>139</v>
      </c>
      <c r="F153" s="182" t="str">
        <f>F148*F143</f>
        <v>#DIV/0!</v>
      </c>
      <c r="G153" s="150"/>
      <c r="H153" s="156" t="s">
        <v>117</v>
      </c>
      <c r="I153" s="183" t="str">
        <f>(I148*I145*I146)*I144</f>
        <v>#DIV/0!</v>
      </c>
      <c r="J153" s="168"/>
      <c r="K153" s="162" t="s">
        <v>140</v>
      </c>
      <c r="L153" s="184">
        <v>0.15</v>
      </c>
      <c r="M153" s="165" t="str">
        <f>I153/100*L153*100</f>
        <v>#DIV/0!</v>
      </c>
      <c r="N153" s="175" t="str">
        <f>M153/I144</f>
        <v>#DIV/0!</v>
      </c>
      <c r="O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hidden="1" customHeight="1" outlineLevel="1">
      <c r="A154" s="153"/>
      <c r="B154" s="162" t="s">
        <v>141</v>
      </c>
      <c r="C154" s="185" t="str">
        <f>C153/C142</f>
        <v>#DIV/0!</v>
      </c>
      <c r="D154" s="147"/>
      <c r="E154" s="162" t="s">
        <v>141</v>
      </c>
      <c r="F154" s="185" t="str">
        <f>F142/F153</f>
        <v>#DIV/0!</v>
      </c>
      <c r="G154" s="150"/>
      <c r="H154" s="162" t="s">
        <v>141</v>
      </c>
      <c r="I154" s="186" t="str">
        <f>I153/I142</f>
        <v>#DIV/0!</v>
      </c>
      <c r="J154" s="168"/>
      <c r="K154" s="168"/>
      <c r="L154" s="187">
        <f>SUM(L149:L153)</f>
        <v>1</v>
      </c>
      <c r="N154" s="188" t="str">
        <f>SUM(N149:N153)</f>
        <v>#DIV/0!</v>
      </c>
      <c r="O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hidden="1" customHeight="1" outlineLevel="1">
      <c r="A155" s="168"/>
      <c r="B155" s="168"/>
      <c r="C155" s="168"/>
      <c r="D155" s="147"/>
      <c r="E155" s="147"/>
      <c r="F155" s="147"/>
      <c r="G155" s="150"/>
      <c r="H155" s="168"/>
      <c r="I155" s="168"/>
      <c r="J155" s="168"/>
      <c r="O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hidden="1" customHeight="1" outlineLevel="1">
      <c r="A156" s="145"/>
      <c r="B156" s="189" t="s">
        <v>142</v>
      </c>
      <c r="C156" s="41"/>
      <c r="D156" s="147"/>
      <c r="E156" s="189" t="s">
        <v>143</v>
      </c>
      <c r="F156" s="41"/>
      <c r="G156" s="150"/>
      <c r="H156" s="189" t="s">
        <v>144</v>
      </c>
      <c r="I156" s="41"/>
      <c r="J156" s="168"/>
      <c r="K156" s="171" t="s">
        <v>62</v>
      </c>
      <c r="L156" s="171" t="s">
        <v>63</v>
      </c>
      <c r="M156" s="171" t="s">
        <v>64</v>
      </c>
      <c r="N156" s="171" t="s">
        <v>65</v>
      </c>
      <c r="O156" s="171" t="s">
        <v>145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hidden="1" customHeight="1" outlineLevel="1">
      <c r="A157" s="153"/>
      <c r="B157" s="162" t="s">
        <v>146</v>
      </c>
      <c r="C157" s="165">
        <f>C142/30</f>
        <v>0</v>
      </c>
      <c r="D157" s="147"/>
      <c r="E157" s="162" t="s">
        <v>146</v>
      </c>
      <c r="F157" s="165">
        <f>F142/30</f>
        <v>0</v>
      </c>
      <c r="G157" s="150"/>
      <c r="H157" s="162" t="s">
        <v>146</v>
      </c>
      <c r="I157" s="165" t="str">
        <f>I142/'Acompanhamento Geral'!B139</f>
        <v>#VALUE!</v>
      </c>
      <c r="J157" s="168"/>
      <c r="K157" s="171" t="s">
        <v>66</v>
      </c>
      <c r="L157" s="190">
        <v>0.7</v>
      </c>
      <c r="M157" s="191">
        <v>0.3</v>
      </c>
      <c r="N157" s="192">
        <v>0.0</v>
      </c>
      <c r="O157" s="193">
        <f t="shared" ref="O157:O158" si="28">sum(L157:N157)</f>
        <v>1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hidden="1" customHeight="1" outlineLevel="1">
      <c r="A158" s="153"/>
      <c r="B158" s="162" t="s">
        <v>147</v>
      </c>
      <c r="C158" s="180" t="str">
        <f>C148/30</f>
        <v>#DIV/0!</v>
      </c>
      <c r="D158" s="147"/>
      <c r="E158" s="162" t="s">
        <v>147</v>
      </c>
      <c r="F158" s="180" t="str">
        <f>F148/30</f>
        <v>#DIV/0!</v>
      </c>
      <c r="G158" s="150"/>
      <c r="H158" s="162" t="s">
        <v>147</v>
      </c>
      <c r="I158" s="180" t="str">
        <f>I148/'Acompanhamento Geral'!B139</f>
        <v>#DIV/0!</v>
      </c>
      <c r="J158" s="168"/>
      <c r="K158" s="197" t="s">
        <v>67</v>
      </c>
      <c r="L158" s="198">
        <f>I142*L157</f>
        <v>0</v>
      </c>
      <c r="M158" s="198">
        <f>I142*M157</f>
        <v>0</v>
      </c>
      <c r="N158" s="198">
        <f>I142*N157</f>
        <v>0</v>
      </c>
      <c r="O158" s="103">
        <f t="shared" si="28"/>
        <v>0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hidden="1" customHeight="1" outlineLevel="1">
      <c r="A159" s="153"/>
      <c r="B159" s="162" t="s">
        <v>148</v>
      </c>
      <c r="C159" s="199" t="str">
        <f>C150/30</f>
        <v>#DIV/0!</v>
      </c>
      <c r="D159" s="147"/>
      <c r="E159" s="162" t="s">
        <v>148</v>
      </c>
      <c r="F159" s="199" t="str">
        <f>F150/30</f>
        <v>#DIV/0!</v>
      </c>
      <c r="G159" s="150"/>
      <c r="H159" s="162" t="s">
        <v>148</v>
      </c>
      <c r="I159" s="199" t="str">
        <f>I150/'Acompanhamento Geral'!B139</f>
        <v>#DIV/0!</v>
      </c>
      <c r="J159" s="168"/>
      <c r="K159" s="197" t="s">
        <v>70</v>
      </c>
      <c r="L159" s="102" t="str">
        <f>L158/'Acompanhamento Geral'!B139</f>
        <v>#VALUE!</v>
      </c>
      <c r="M159" s="102" t="str">
        <f>M158/'Acompanhamento Geral'!B139</f>
        <v>#VALUE!</v>
      </c>
      <c r="N159" s="102" t="str">
        <f>iferror(N158/'Acompanhamento Geral'!B139,"")</f>
        <v/>
      </c>
      <c r="O159" s="215" t="str">
        <f>SUM(L159:N159)</f>
        <v>#VALUE!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hidden="1" customHeight="1" outlineLevel="1">
      <c r="A160" s="153"/>
      <c r="B160" s="162" t="s">
        <v>149</v>
      </c>
      <c r="C160" s="165" t="str">
        <f>C153/30</f>
        <v>#DIV/0!</v>
      </c>
      <c r="D160" s="147"/>
      <c r="E160" s="162" t="s">
        <v>149</v>
      </c>
      <c r="F160" s="165">
        <f>F142/30</f>
        <v>0</v>
      </c>
      <c r="G160" s="150"/>
      <c r="H160" s="162" t="s">
        <v>149</v>
      </c>
      <c r="I160" s="165" t="str">
        <f>I153/'Acompanhamento Geral'!B139</f>
        <v>#DIV/0!</v>
      </c>
      <c r="J160" s="168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hidden="1" customHeight="1" outlineLevel="1">
      <c r="A161" s="16"/>
      <c r="B161" s="16"/>
      <c r="C161" s="216"/>
      <c r="D161" s="16"/>
      <c r="E161" s="16"/>
      <c r="F161" s="2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30.0" customHeight="1" collapsed="1">
      <c r="A162" s="200"/>
      <c r="B162" s="201" t="s">
        <v>32</v>
      </c>
      <c r="D162" s="202"/>
      <c r="E162" s="202"/>
      <c r="F162" s="202"/>
      <c r="G162" s="203"/>
      <c r="H162" s="202"/>
      <c r="I162" s="202"/>
      <c r="J162" s="204"/>
      <c r="K162" s="204"/>
      <c r="L162" s="204"/>
      <c r="M162" s="205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</row>
    <row r="163" ht="15.75" hidden="1" customHeight="1" outlineLevel="1">
      <c r="A163" s="141"/>
      <c r="B163" s="141"/>
      <c r="C163" s="141"/>
      <c r="D163" s="142"/>
      <c r="E163" s="141"/>
      <c r="F163" s="141"/>
      <c r="G163" s="143"/>
      <c r="H163" s="141"/>
      <c r="I163" s="141"/>
      <c r="J163" s="141"/>
      <c r="K163" s="141"/>
      <c r="L163" s="141"/>
      <c r="M163" s="144"/>
      <c r="N163" s="117"/>
      <c r="O163" s="117"/>
      <c r="P163" s="117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hidden="1" customHeight="1" outlineLevel="1">
      <c r="A164" s="145"/>
      <c r="B164" s="209" t="s">
        <v>110</v>
      </c>
      <c r="C164" s="210"/>
      <c r="D164" s="147"/>
      <c r="E164" s="148" t="s">
        <v>111</v>
      </c>
      <c r="F164" s="149"/>
      <c r="G164" s="150"/>
      <c r="H164" s="148" t="s">
        <v>112</v>
      </c>
      <c r="I164" s="149"/>
      <c r="J164" s="148" t="s">
        <v>113</v>
      </c>
      <c r="K164" s="151" t="s">
        <v>114</v>
      </c>
      <c r="L164" s="151" t="s">
        <v>115</v>
      </c>
      <c r="M164" s="152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hidden="1" customHeight="1" outlineLevel="1">
      <c r="A165" s="153"/>
      <c r="B165" s="154" t="s">
        <v>116</v>
      </c>
      <c r="C165" s="161"/>
      <c r="D165" s="147"/>
      <c r="E165" s="156" t="s">
        <v>117</v>
      </c>
      <c r="F165" s="157"/>
      <c r="G165" s="150"/>
      <c r="H165" s="156" t="s">
        <v>118</v>
      </c>
      <c r="I165" s="211"/>
      <c r="J165" s="212"/>
      <c r="K165" s="158" t="str">
        <f t="shared" ref="K165:K169" si="29">(I165-J165)/J165*1</f>
        <v>#DIV/0!</v>
      </c>
      <c r="L165" s="159">
        <v>0.4</v>
      </c>
      <c r="M165" s="160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hidden="1" customHeight="1" outlineLevel="1">
      <c r="A166" s="153"/>
      <c r="B166" s="154" t="s">
        <v>119</v>
      </c>
      <c r="C166" s="161"/>
      <c r="D166" s="147"/>
      <c r="E166" s="162" t="s">
        <v>120</v>
      </c>
      <c r="F166" s="163" t="str">
        <f t="shared" ref="F166:F169" si="30">C166</f>
        <v/>
      </c>
      <c r="G166" s="150"/>
      <c r="H166" s="154" t="s">
        <v>121</v>
      </c>
      <c r="I166" s="213"/>
      <c r="J166" s="214"/>
      <c r="K166" s="164" t="str">
        <f t="shared" si="29"/>
        <v>#DIV/0!</v>
      </c>
      <c r="L166" s="159">
        <v>-0.1</v>
      </c>
      <c r="M166" s="152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hidden="1" customHeight="1" outlineLevel="1">
      <c r="A167" s="153"/>
      <c r="B167" s="154" t="s">
        <v>68</v>
      </c>
      <c r="C167" s="161"/>
      <c r="D167" s="147"/>
      <c r="E167" s="162" t="s">
        <v>68</v>
      </c>
      <c r="F167" s="165" t="str">
        <f t="shared" si="30"/>
        <v/>
      </c>
      <c r="G167" s="150"/>
      <c r="H167" s="154" t="s">
        <v>122</v>
      </c>
      <c r="I167" s="213"/>
      <c r="J167" s="214"/>
      <c r="K167" s="164" t="str">
        <f t="shared" si="29"/>
        <v>#DIV/0!</v>
      </c>
      <c r="L167" s="159">
        <v>0.15</v>
      </c>
      <c r="M167" s="152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hidden="1" customHeight="1" outlineLevel="1">
      <c r="A168" s="153"/>
      <c r="B168" s="154" t="s">
        <v>123</v>
      </c>
      <c r="C168" s="166"/>
      <c r="D168" s="147"/>
      <c r="E168" s="162" t="s">
        <v>123</v>
      </c>
      <c r="F168" s="167" t="str">
        <f t="shared" si="30"/>
        <v/>
      </c>
      <c r="G168" s="150"/>
      <c r="H168" s="154" t="s">
        <v>124</v>
      </c>
      <c r="I168" s="166"/>
      <c r="J168" s="166"/>
      <c r="K168" s="164" t="str">
        <f t="shared" si="29"/>
        <v>#DIV/0!</v>
      </c>
      <c r="L168" s="159">
        <v>0.1</v>
      </c>
      <c r="M168" s="152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hidden="1" customHeight="1" outlineLevel="1">
      <c r="A169" s="153"/>
      <c r="B169" s="154" t="s">
        <v>125</v>
      </c>
      <c r="C169" s="166"/>
      <c r="D169" s="147"/>
      <c r="E169" s="162" t="s">
        <v>125</v>
      </c>
      <c r="F169" s="167" t="str">
        <f t="shared" si="30"/>
        <v/>
      </c>
      <c r="G169" s="150"/>
      <c r="H169" s="154" t="s">
        <v>126</v>
      </c>
      <c r="I169" s="166"/>
      <c r="J169" s="166"/>
      <c r="K169" s="164" t="str">
        <f t="shared" si="29"/>
        <v>#DIV/0!</v>
      </c>
      <c r="L169" s="159">
        <v>0.1</v>
      </c>
      <c r="M169" s="152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hidden="1" customHeight="1" outlineLevel="1">
      <c r="A170" s="168"/>
      <c r="B170" s="168"/>
      <c r="C170" s="168"/>
      <c r="D170" s="147"/>
      <c r="E170" s="168"/>
      <c r="G170" s="150"/>
      <c r="H170" s="168"/>
      <c r="I170" s="168"/>
      <c r="J170" s="168"/>
      <c r="K170" s="168"/>
      <c r="L170" s="168"/>
      <c r="M170" s="152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hidden="1" customHeight="1" outlineLevel="1">
      <c r="A171" s="153"/>
      <c r="B171" s="162" t="s">
        <v>127</v>
      </c>
      <c r="C171" s="169" t="str">
        <f>C165/C166</f>
        <v>#DIV/0!</v>
      </c>
      <c r="D171" s="147"/>
      <c r="E171" s="162" t="s">
        <v>128</v>
      </c>
      <c r="F171" s="169" t="str">
        <f>(F173/F168)/F169</f>
        <v>#DIV/0!</v>
      </c>
      <c r="G171" s="150"/>
      <c r="H171" s="162" t="s">
        <v>128</v>
      </c>
      <c r="I171" s="169" t="str">
        <f>I165/I166</f>
        <v>#DIV/0!</v>
      </c>
      <c r="J171" s="168"/>
      <c r="K171" s="170" t="s">
        <v>129</v>
      </c>
      <c r="L171" s="171" t="s">
        <v>66</v>
      </c>
      <c r="M171" s="172" t="s">
        <v>73</v>
      </c>
      <c r="N171" s="171" t="s">
        <v>130</v>
      </c>
      <c r="O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hidden="1" customHeight="1" outlineLevel="1">
      <c r="A172" s="153"/>
      <c r="B172" s="162" t="s">
        <v>48</v>
      </c>
      <c r="C172" s="169" t="str">
        <f t="shared" ref="C172:C173" si="31">C171*C168</f>
        <v>#DIV/0!</v>
      </c>
      <c r="D172" s="147"/>
      <c r="E172" s="162" t="s">
        <v>131</v>
      </c>
      <c r="F172" s="169" t="str">
        <f>F171*F168</f>
        <v>#DIV/0!</v>
      </c>
      <c r="G172" s="150"/>
      <c r="H172" s="162" t="s">
        <v>131</v>
      </c>
      <c r="I172" s="169" t="str">
        <f>I171*I168</f>
        <v>#DIV/0!</v>
      </c>
      <c r="J172" s="168"/>
      <c r="K172" s="162" t="s">
        <v>132</v>
      </c>
      <c r="L172" s="174">
        <v>0.2</v>
      </c>
      <c r="M172" s="165" t="str">
        <f>I176/100*L172*100</f>
        <v>#DIV/0!</v>
      </c>
      <c r="N172" s="175" t="str">
        <f>M172/I167</f>
        <v>#DIV/0!</v>
      </c>
      <c r="O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hidden="1" customHeight="1" outlineLevel="1">
      <c r="A173" s="153"/>
      <c r="B173" s="162" t="s">
        <v>51</v>
      </c>
      <c r="C173" s="180" t="str">
        <f t="shared" si="31"/>
        <v>#DIV/0!</v>
      </c>
      <c r="D173" s="147"/>
      <c r="E173" s="162" t="s">
        <v>51</v>
      </c>
      <c r="F173" s="180" t="str">
        <f>F165/F167</f>
        <v>#DIV/0!</v>
      </c>
      <c r="G173" s="150"/>
      <c r="H173" s="162" t="s">
        <v>51</v>
      </c>
      <c r="I173" s="180" t="str">
        <f>I176/I167</f>
        <v>#DIV/0!</v>
      </c>
      <c r="J173" s="168"/>
      <c r="K173" s="162" t="s">
        <v>133</v>
      </c>
      <c r="L173" s="181">
        <v>0.2</v>
      </c>
      <c r="M173" s="165" t="str">
        <f>I176/100*L173*100</f>
        <v>#DIV/0!</v>
      </c>
      <c r="N173" s="175" t="str">
        <f>M173/I167</f>
        <v>#DIV/0!</v>
      </c>
      <c r="O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hidden="1" customHeight="1" outlineLevel="1">
      <c r="A174" s="153"/>
      <c r="B174" s="162" t="s">
        <v>5</v>
      </c>
      <c r="C174" s="165" t="str">
        <f>C165/C172</f>
        <v>#DIV/0!</v>
      </c>
      <c r="D174" s="147"/>
      <c r="E174" s="162" t="s">
        <v>134</v>
      </c>
      <c r="F174" s="165" t="str">
        <f>F176/F172</f>
        <v>#DIV/0!</v>
      </c>
      <c r="G174" s="150"/>
      <c r="H174" s="162" t="s">
        <v>134</v>
      </c>
      <c r="I174" s="165" t="str">
        <f>I165/I172</f>
        <v>#DIV/0!</v>
      </c>
      <c r="J174" s="168"/>
      <c r="K174" s="162" t="s">
        <v>135</v>
      </c>
      <c r="L174" s="181">
        <v>0.3</v>
      </c>
      <c r="M174" s="165" t="str">
        <f>I176/100*L174*100</f>
        <v>#DIV/0!</v>
      </c>
      <c r="N174" s="175" t="str">
        <f>M174/I167</f>
        <v>#DIV/0!</v>
      </c>
      <c r="O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hidden="1" customHeight="1" outlineLevel="1">
      <c r="A175" s="153"/>
      <c r="B175" s="162" t="s">
        <v>136</v>
      </c>
      <c r="C175" s="165" t="str">
        <f>C165/C173</f>
        <v>#DIV/0!</v>
      </c>
      <c r="D175" s="147"/>
      <c r="E175" s="162" t="s">
        <v>136</v>
      </c>
      <c r="F175" s="165" t="str">
        <f>F176/F173</f>
        <v>#DIV/0!</v>
      </c>
      <c r="G175" s="150"/>
      <c r="H175" s="162" t="s">
        <v>136</v>
      </c>
      <c r="I175" s="165" t="str">
        <f>I165/I173</f>
        <v>#DIV/0!</v>
      </c>
      <c r="J175" s="168"/>
      <c r="K175" s="162" t="s">
        <v>137</v>
      </c>
      <c r="L175" s="181">
        <v>0.15</v>
      </c>
      <c r="M175" s="165" t="str">
        <f>I176/100*L175*100</f>
        <v>#DIV/0!</v>
      </c>
      <c r="N175" s="175" t="str">
        <f>M175/I167</f>
        <v>#DIV/0!</v>
      </c>
      <c r="O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hidden="1" customHeight="1" outlineLevel="1">
      <c r="A176" s="153"/>
      <c r="B176" s="156" t="s">
        <v>138</v>
      </c>
      <c r="C176" s="182" t="str">
        <f>C173*C167</f>
        <v>#DIV/0!</v>
      </c>
      <c r="D176" s="147"/>
      <c r="E176" s="156" t="s">
        <v>139</v>
      </c>
      <c r="F176" s="182" t="str">
        <f>F171*F166</f>
        <v>#DIV/0!</v>
      </c>
      <c r="G176" s="150"/>
      <c r="H176" s="156" t="s">
        <v>117</v>
      </c>
      <c r="I176" s="183" t="str">
        <f>(I171*I168*I169)*I167</f>
        <v>#DIV/0!</v>
      </c>
      <c r="J176" s="168"/>
      <c r="K176" s="162" t="s">
        <v>140</v>
      </c>
      <c r="L176" s="184">
        <v>0.15</v>
      </c>
      <c r="M176" s="165" t="str">
        <f>I176/100*L176*100</f>
        <v>#DIV/0!</v>
      </c>
      <c r="N176" s="175" t="str">
        <f>M176/I167</f>
        <v>#DIV/0!</v>
      </c>
      <c r="O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hidden="1" customHeight="1" outlineLevel="1">
      <c r="A177" s="153"/>
      <c r="B177" s="162" t="s">
        <v>141</v>
      </c>
      <c r="C177" s="185" t="str">
        <f>C176/C165</f>
        <v>#DIV/0!</v>
      </c>
      <c r="D177" s="147"/>
      <c r="E177" s="162" t="s">
        <v>141</v>
      </c>
      <c r="F177" s="185" t="str">
        <f>F165/F176</f>
        <v>#DIV/0!</v>
      </c>
      <c r="G177" s="150"/>
      <c r="H177" s="162" t="s">
        <v>141</v>
      </c>
      <c r="I177" s="186" t="str">
        <f>I176/I165</f>
        <v>#DIV/0!</v>
      </c>
      <c r="J177" s="168"/>
      <c r="K177" s="168"/>
      <c r="L177" s="187">
        <f>SUM(L172:L176)</f>
        <v>1</v>
      </c>
      <c r="N177" s="188" t="str">
        <f>SUM(N172:N176)</f>
        <v>#DIV/0!</v>
      </c>
      <c r="O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hidden="1" customHeight="1" outlineLevel="1">
      <c r="A178" s="168"/>
      <c r="B178" s="168"/>
      <c r="C178" s="168"/>
      <c r="D178" s="147"/>
      <c r="E178" s="147"/>
      <c r="F178" s="147"/>
      <c r="G178" s="150"/>
      <c r="H178" s="168"/>
      <c r="I178" s="168"/>
      <c r="J178" s="168"/>
      <c r="O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hidden="1" customHeight="1" outlineLevel="1">
      <c r="A179" s="145"/>
      <c r="B179" s="189" t="s">
        <v>142</v>
      </c>
      <c r="C179" s="41"/>
      <c r="D179" s="147"/>
      <c r="E179" s="189" t="s">
        <v>143</v>
      </c>
      <c r="F179" s="41"/>
      <c r="G179" s="150"/>
      <c r="H179" s="189" t="s">
        <v>144</v>
      </c>
      <c r="I179" s="41"/>
      <c r="J179" s="168"/>
      <c r="K179" s="171" t="s">
        <v>62</v>
      </c>
      <c r="L179" s="171" t="s">
        <v>63</v>
      </c>
      <c r="M179" s="171" t="s">
        <v>64</v>
      </c>
      <c r="N179" s="171" t="s">
        <v>65</v>
      </c>
      <c r="O179" s="171" t="s">
        <v>145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hidden="1" customHeight="1" outlineLevel="1">
      <c r="A180" s="153"/>
      <c r="B180" s="162" t="s">
        <v>146</v>
      </c>
      <c r="C180" s="165">
        <f>C165/30</f>
        <v>0</v>
      </c>
      <c r="D180" s="147"/>
      <c r="E180" s="162" t="s">
        <v>146</v>
      </c>
      <c r="F180" s="165">
        <f>F165/30</f>
        <v>0</v>
      </c>
      <c r="G180" s="150"/>
      <c r="H180" s="162" t="s">
        <v>146</v>
      </c>
      <c r="I180" s="165" t="str">
        <f>I165/'Acompanhamento Geral'!B162</f>
        <v>#VALUE!</v>
      </c>
      <c r="J180" s="168"/>
      <c r="K180" s="171" t="s">
        <v>66</v>
      </c>
      <c r="L180" s="190">
        <v>0.7</v>
      </c>
      <c r="M180" s="191">
        <v>0.3</v>
      </c>
      <c r="N180" s="192">
        <v>0.0</v>
      </c>
      <c r="O180" s="193">
        <f t="shared" ref="O180:O181" si="32">sum(L180:N180)</f>
        <v>1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hidden="1" customHeight="1" outlineLevel="1">
      <c r="A181" s="153"/>
      <c r="B181" s="162" t="s">
        <v>147</v>
      </c>
      <c r="C181" s="180" t="str">
        <f>C171/30</f>
        <v>#DIV/0!</v>
      </c>
      <c r="D181" s="147"/>
      <c r="E181" s="162" t="s">
        <v>147</v>
      </c>
      <c r="F181" s="180" t="str">
        <f>F171/30</f>
        <v>#DIV/0!</v>
      </c>
      <c r="G181" s="150"/>
      <c r="H181" s="162" t="s">
        <v>147</v>
      </c>
      <c r="I181" s="180" t="str">
        <f>I171/'Acompanhamento Geral'!B162</f>
        <v>#DIV/0!</v>
      </c>
      <c r="J181" s="168"/>
      <c r="K181" s="197" t="s">
        <v>67</v>
      </c>
      <c r="L181" s="198">
        <f>I165*L180</f>
        <v>0</v>
      </c>
      <c r="M181" s="198">
        <f>I165*M180</f>
        <v>0</v>
      </c>
      <c r="N181" s="198">
        <f>I165*N180</f>
        <v>0</v>
      </c>
      <c r="O181" s="103">
        <f t="shared" si="32"/>
        <v>0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hidden="1" customHeight="1" outlineLevel="1">
      <c r="A182" s="153"/>
      <c r="B182" s="162" t="s">
        <v>148</v>
      </c>
      <c r="C182" s="199" t="str">
        <f>C173/30</f>
        <v>#DIV/0!</v>
      </c>
      <c r="D182" s="147"/>
      <c r="E182" s="162" t="s">
        <v>148</v>
      </c>
      <c r="F182" s="199" t="str">
        <f>F173/30</f>
        <v>#DIV/0!</v>
      </c>
      <c r="G182" s="150"/>
      <c r="H182" s="162" t="s">
        <v>148</v>
      </c>
      <c r="I182" s="199" t="str">
        <f>I173/'Acompanhamento Geral'!B162</f>
        <v>#DIV/0!</v>
      </c>
      <c r="J182" s="168"/>
      <c r="K182" s="197" t="s">
        <v>70</v>
      </c>
      <c r="L182" s="102" t="str">
        <f>L181/'Acompanhamento Geral'!B162</f>
        <v>#VALUE!</v>
      </c>
      <c r="M182" s="102" t="str">
        <f>M181/'Acompanhamento Geral'!B162</f>
        <v>#VALUE!</v>
      </c>
      <c r="N182" s="102" t="str">
        <f>iferror(N181/'Acompanhamento Geral'!B162,"")</f>
        <v/>
      </c>
      <c r="O182" s="215" t="str">
        <f>SUM(L182:N182)</f>
        <v>#VALUE!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hidden="1" customHeight="1" outlineLevel="1">
      <c r="A183" s="153"/>
      <c r="B183" s="162" t="s">
        <v>149</v>
      </c>
      <c r="C183" s="165" t="str">
        <f>C176/30</f>
        <v>#DIV/0!</v>
      </c>
      <c r="D183" s="147"/>
      <c r="E183" s="162" t="s">
        <v>149</v>
      </c>
      <c r="F183" s="165">
        <f>F165/30</f>
        <v>0</v>
      </c>
      <c r="G183" s="150"/>
      <c r="H183" s="162" t="s">
        <v>149</v>
      </c>
      <c r="I183" s="165" t="str">
        <f>I176/'Acompanhamento Geral'!B162</f>
        <v>#DIV/0!</v>
      </c>
      <c r="J183" s="168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hidden="1" customHeight="1" outlineLevel="1">
      <c r="A184" s="16"/>
      <c r="B184" s="16"/>
      <c r="C184" s="216"/>
      <c r="D184" s="16"/>
      <c r="E184" s="16"/>
      <c r="F184" s="2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30.0" customHeight="1" collapsed="1">
      <c r="A185" s="134"/>
      <c r="B185" s="135" t="s">
        <v>33</v>
      </c>
      <c r="D185" s="136"/>
      <c r="E185" s="136"/>
      <c r="F185" s="136"/>
      <c r="G185" s="137"/>
      <c r="H185" s="136"/>
      <c r="I185" s="136"/>
      <c r="J185" s="138"/>
      <c r="K185" s="138"/>
      <c r="L185" s="138"/>
      <c r="M185" s="139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</row>
    <row r="186" ht="15.75" hidden="1" customHeight="1" outlineLevel="1">
      <c r="A186" s="141"/>
      <c r="B186" s="141"/>
      <c r="C186" s="141"/>
      <c r="D186" s="142"/>
      <c r="E186" s="141"/>
      <c r="F186" s="141"/>
      <c r="G186" s="143"/>
      <c r="H186" s="141"/>
      <c r="I186" s="141"/>
      <c r="J186" s="141"/>
      <c r="K186" s="141"/>
      <c r="L186" s="141"/>
      <c r="M186" s="144"/>
      <c r="N186" s="117"/>
      <c r="O186" s="117"/>
      <c r="P186" s="117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hidden="1" customHeight="1" outlineLevel="1">
      <c r="A187" s="145"/>
      <c r="B187" s="209" t="s">
        <v>110</v>
      </c>
      <c r="C187" s="210"/>
      <c r="D187" s="147"/>
      <c r="E187" s="148" t="s">
        <v>111</v>
      </c>
      <c r="F187" s="149"/>
      <c r="G187" s="150"/>
      <c r="H187" s="148" t="s">
        <v>112</v>
      </c>
      <c r="I187" s="149"/>
      <c r="J187" s="148" t="s">
        <v>113</v>
      </c>
      <c r="K187" s="151" t="s">
        <v>114</v>
      </c>
      <c r="L187" s="151" t="s">
        <v>115</v>
      </c>
      <c r="M187" s="152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hidden="1" customHeight="1" outlineLevel="1">
      <c r="A188" s="153"/>
      <c r="B188" s="154" t="s">
        <v>116</v>
      </c>
      <c r="C188" s="161"/>
      <c r="D188" s="147"/>
      <c r="E188" s="156" t="s">
        <v>117</v>
      </c>
      <c r="F188" s="157"/>
      <c r="G188" s="150"/>
      <c r="H188" s="156" t="s">
        <v>118</v>
      </c>
      <c r="I188" s="211"/>
      <c r="J188" s="212"/>
      <c r="K188" s="158" t="str">
        <f t="shared" ref="K188:K192" si="33">(I188-J188)/J188*1</f>
        <v>#DIV/0!</v>
      </c>
      <c r="L188" s="159">
        <v>0.4</v>
      </c>
      <c r="M188" s="160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hidden="1" customHeight="1" outlineLevel="1">
      <c r="A189" s="153"/>
      <c r="B189" s="154" t="s">
        <v>119</v>
      </c>
      <c r="C189" s="161"/>
      <c r="D189" s="147"/>
      <c r="E189" s="162" t="s">
        <v>120</v>
      </c>
      <c r="F189" s="163" t="str">
        <f t="shared" ref="F189:F192" si="34">C189</f>
        <v/>
      </c>
      <c r="G189" s="150"/>
      <c r="H189" s="154" t="s">
        <v>121</v>
      </c>
      <c r="I189" s="213"/>
      <c r="J189" s="214"/>
      <c r="K189" s="164" t="str">
        <f t="shared" si="33"/>
        <v>#DIV/0!</v>
      </c>
      <c r="L189" s="159">
        <v>-0.1</v>
      </c>
      <c r="M189" s="152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hidden="1" customHeight="1" outlineLevel="1">
      <c r="A190" s="153"/>
      <c r="B190" s="154" t="s">
        <v>68</v>
      </c>
      <c r="C190" s="161"/>
      <c r="D190" s="147"/>
      <c r="E190" s="162" t="s">
        <v>68</v>
      </c>
      <c r="F190" s="165" t="str">
        <f t="shared" si="34"/>
        <v/>
      </c>
      <c r="G190" s="150"/>
      <c r="H190" s="154" t="s">
        <v>122</v>
      </c>
      <c r="I190" s="213"/>
      <c r="J190" s="214"/>
      <c r="K190" s="164" t="str">
        <f t="shared" si="33"/>
        <v>#DIV/0!</v>
      </c>
      <c r="L190" s="159">
        <v>0.15</v>
      </c>
      <c r="M190" s="152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hidden="1" customHeight="1" outlineLevel="1">
      <c r="A191" s="153"/>
      <c r="B191" s="154" t="s">
        <v>123</v>
      </c>
      <c r="C191" s="166"/>
      <c r="D191" s="147"/>
      <c r="E191" s="162" t="s">
        <v>123</v>
      </c>
      <c r="F191" s="167" t="str">
        <f t="shared" si="34"/>
        <v/>
      </c>
      <c r="G191" s="150"/>
      <c r="H191" s="154" t="s">
        <v>124</v>
      </c>
      <c r="I191" s="166"/>
      <c r="J191" s="166"/>
      <c r="K191" s="164" t="str">
        <f t="shared" si="33"/>
        <v>#DIV/0!</v>
      </c>
      <c r="L191" s="159">
        <v>0.1</v>
      </c>
      <c r="M191" s="152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hidden="1" customHeight="1" outlineLevel="1">
      <c r="A192" s="153"/>
      <c r="B192" s="154" t="s">
        <v>125</v>
      </c>
      <c r="C192" s="166"/>
      <c r="D192" s="147"/>
      <c r="E192" s="162" t="s">
        <v>125</v>
      </c>
      <c r="F192" s="167" t="str">
        <f t="shared" si="34"/>
        <v/>
      </c>
      <c r="G192" s="150"/>
      <c r="H192" s="154" t="s">
        <v>126</v>
      </c>
      <c r="I192" s="166"/>
      <c r="J192" s="166"/>
      <c r="K192" s="164" t="str">
        <f t="shared" si="33"/>
        <v>#DIV/0!</v>
      </c>
      <c r="L192" s="159">
        <v>0.1</v>
      </c>
      <c r="M192" s="152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hidden="1" customHeight="1" outlineLevel="1">
      <c r="A193" s="168"/>
      <c r="B193" s="168"/>
      <c r="C193" s="168"/>
      <c r="D193" s="147"/>
      <c r="E193" s="168"/>
      <c r="G193" s="150"/>
      <c r="H193" s="168"/>
      <c r="I193" s="168"/>
      <c r="J193" s="168"/>
      <c r="K193" s="168"/>
      <c r="L193" s="168"/>
      <c r="M193" s="152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hidden="1" customHeight="1" outlineLevel="1">
      <c r="A194" s="153"/>
      <c r="B194" s="162" t="s">
        <v>127</v>
      </c>
      <c r="C194" s="169" t="str">
        <f>C188/C189</f>
        <v>#DIV/0!</v>
      </c>
      <c r="D194" s="147"/>
      <c r="E194" s="162" t="s">
        <v>128</v>
      </c>
      <c r="F194" s="169" t="str">
        <f>(F196/F191)/F192</f>
        <v>#DIV/0!</v>
      </c>
      <c r="G194" s="150"/>
      <c r="H194" s="162" t="s">
        <v>128</v>
      </c>
      <c r="I194" s="169" t="str">
        <f>I188/I189</f>
        <v>#DIV/0!</v>
      </c>
      <c r="J194" s="168"/>
      <c r="K194" s="170" t="s">
        <v>129</v>
      </c>
      <c r="L194" s="171" t="s">
        <v>66</v>
      </c>
      <c r="M194" s="172" t="s">
        <v>73</v>
      </c>
      <c r="N194" s="171" t="s">
        <v>130</v>
      </c>
      <c r="O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hidden="1" customHeight="1" outlineLevel="1">
      <c r="A195" s="153"/>
      <c r="B195" s="162" t="s">
        <v>48</v>
      </c>
      <c r="C195" s="169" t="str">
        <f t="shared" ref="C195:C196" si="35">C194*C191</f>
        <v>#DIV/0!</v>
      </c>
      <c r="D195" s="147"/>
      <c r="E195" s="162" t="s">
        <v>131</v>
      </c>
      <c r="F195" s="169" t="str">
        <f>F194*F191</f>
        <v>#DIV/0!</v>
      </c>
      <c r="G195" s="150"/>
      <c r="H195" s="162" t="s">
        <v>131</v>
      </c>
      <c r="I195" s="169" t="str">
        <f>I194*I191</f>
        <v>#DIV/0!</v>
      </c>
      <c r="J195" s="168"/>
      <c r="K195" s="162" t="s">
        <v>132</v>
      </c>
      <c r="L195" s="174">
        <v>0.2</v>
      </c>
      <c r="M195" s="165" t="str">
        <f>I199/100*L195*100</f>
        <v>#DIV/0!</v>
      </c>
      <c r="N195" s="175" t="str">
        <f>M195/I190</f>
        <v>#DIV/0!</v>
      </c>
      <c r="O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hidden="1" customHeight="1" outlineLevel="1">
      <c r="A196" s="153"/>
      <c r="B196" s="162" t="s">
        <v>51</v>
      </c>
      <c r="C196" s="180" t="str">
        <f t="shared" si="35"/>
        <v>#DIV/0!</v>
      </c>
      <c r="D196" s="147"/>
      <c r="E196" s="162" t="s">
        <v>51</v>
      </c>
      <c r="F196" s="180" t="str">
        <f>F188/F190</f>
        <v>#DIV/0!</v>
      </c>
      <c r="G196" s="150"/>
      <c r="H196" s="162" t="s">
        <v>51</v>
      </c>
      <c r="I196" s="180" t="str">
        <f>I199/I190</f>
        <v>#DIV/0!</v>
      </c>
      <c r="J196" s="168"/>
      <c r="K196" s="162" t="s">
        <v>133</v>
      </c>
      <c r="L196" s="181">
        <v>0.2</v>
      </c>
      <c r="M196" s="165" t="str">
        <f>I199/100*L196*100</f>
        <v>#DIV/0!</v>
      </c>
      <c r="N196" s="175" t="str">
        <f>M196/I190</f>
        <v>#DIV/0!</v>
      </c>
      <c r="O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hidden="1" customHeight="1" outlineLevel="1">
      <c r="A197" s="153"/>
      <c r="B197" s="162" t="s">
        <v>5</v>
      </c>
      <c r="C197" s="165" t="str">
        <f>C188/C195</f>
        <v>#DIV/0!</v>
      </c>
      <c r="D197" s="147"/>
      <c r="E197" s="162" t="s">
        <v>134</v>
      </c>
      <c r="F197" s="165" t="str">
        <f>F199/F195</f>
        <v>#DIV/0!</v>
      </c>
      <c r="G197" s="150"/>
      <c r="H197" s="162" t="s">
        <v>134</v>
      </c>
      <c r="I197" s="165" t="str">
        <f>I188/I195</f>
        <v>#DIV/0!</v>
      </c>
      <c r="J197" s="168"/>
      <c r="K197" s="162" t="s">
        <v>135</v>
      </c>
      <c r="L197" s="181">
        <v>0.3</v>
      </c>
      <c r="M197" s="165" t="str">
        <f>I199/100*L197*100</f>
        <v>#DIV/0!</v>
      </c>
      <c r="N197" s="175" t="str">
        <f>M197/I190</f>
        <v>#DIV/0!</v>
      </c>
      <c r="O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hidden="1" customHeight="1" outlineLevel="1">
      <c r="A198" s="153"/>
      <c r="B198" s="162" t="s">
        <v>136</v>
      </c>
      <c r="C198" s="165" t="str">
        <f>C188/C196</f>
        <v>#DIV/0!</v>
      </c>
      <c r="D198" s="147"/>
      <c r="E198" s="162" t="s">
        <v>136</v>
      </c>
      <c r="F198" s="165" t="str">
        <f>F199/F196</f>
        <v>#DIV/0!</v>
      </c>
      <c r="G198" s="150"/>
      <c r="H198" s="162" t="s">
        <v>136</v>
      </c>
      <c r="I198" s="165" t="str">
        <f>I188/I196</f>
        <v>#DIV/0!</v>
      </c>
      <c r="J198" s="168"/>
      <c r="K198" s="162" t="s">
        <v>137</v>
      </c>
      <c r="L198" s="181">
        <v>0.15</v>
      </c>
      <c r="M198" s="165" t="str">
        <f>I199/100*L198*100</f>
        <v>#DIV/0!</v>
      </c>
      <c r="N198" s="175" t="str">
        <f>M198/I190</f>
        <v>#DIV/0!</v>
      </c>
      <c r="O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hidden="1" customHeight="1" outlineLevel="1">
      <c r="A199" s="153"/>
      <c r="B199" s="156" t="s">
        <v>138</v>
      </c>
      <c r="C199" s="182" t="str">
        <f>C196*C190</f>
        <v>#DIV/0!</v>
      </c>
      <c r="D199" s="147"/>
      <c r="E199" s="156" t="s">
        <v>139</v>
      </c>
      <c r="F199" s="182" t="str">
        <f>F194*F189</f>
        <v>#DIV/0!</v>
      </c>
      <c r="G199" s="150"/>
      <c r="H199" s="156" t="s">
        <v>117</v>
      </c>
      <c r="I199" s="183" t="str">
        <f>(I194*I191*I192)*I190</f>
        <v>#DIV/0!</v>
      </c>
      <c r="J199" s="168"/>
      <c r="K199" s="162" t="s">
        <v>140</v>
      </c>
      <c r="L199" s="184">
        <v>0.15</v>
      </c>
      <c r="M199" s="165" t="str">
        <f>I199/100*L199*100</f>
        <v>#DIV/0!</v>
      </c>
      <c r="N199" s="175" t="str">
        <f>M199/I190</f>
        <v>#DIV/0!</v>
      </c>
      <c r="O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hidden="1" customHeight="1" outlineLevel="1">
      <c r="A200" s="153"/>
      <c r="B200" s="162" t="s">
        <v>141</v>
      </c>
      <c r="C200" s="185" t="str">
        <f>C199/C188</f>
        <v>#DIV/0!</v>
      </c>
      <c r="D200" s="147"/>
      <c r="E200" s="162" t="s">
        <v>141</v>
      </c>
      <c r="F200" s="185" t="str">
        <f>F188/F199</f>
        <v>#DIV/0!</v>
      </c>
      <c r="G200" s="150"/>
      <c r="H200" s="162" t="s">
        <v>141</v>
      </c>
      <c r="I200" s="186" t="str">
        <f>I199/I188</f>
        <v>#DIV/0!</v>
      </c>
      <c r="J200" s="168"/>
      <c r="K200" s="168"/>
      <c r="L200" s="187">
        <f>SUM(L195:L199)</f>
        <v>1</v>
      </c>
      <c r="N200" s="188" t="str">
        <f>SUM(N195:N199)</f>
        <v>#DIV/0!</v>
      </c>
      <c r="O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hidden="1" customHeight="1" outlineLevel="1">
      <c r="A201" s="168"/>
      <c r="B201" s="168"/>
      <c r="C201" s="168"/>
      <c r="D201" s="147"/>
      <c r="E201" s="147"/>
      <c r="F201" s="147"/>
      <c r="G201" s="150"/>
      <c r="H201" s="168"/>
      <c r="I201" s="168"/>
      <c r="J201" s="168"/>
      <c r="O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hidden="1" customHeight="1" outlineLevel="1">
      <c r="A202" s="145"/>
      <c r="B202" s="189" t="s">
        <v>142</v>
      </c>
      <c r="C202" s="41"/>
      <c r="D202" s="147"/>
      <c r="E202" s="189" t="s">
        <v>143</v>
      </c>
      <c r="F202" s="41"/>
      <c r="G202" s="150"/>
      <c r="H202" s="189" t="s">
        <v>144</v>
      </c>
      <c r="I202" s="41"/>
      <c r="J202" s="168"/>
      <c r="K202" s="171" t="s">
        <v>62</v>
      </c>
      <c r="L202" s="171" t="s">
        <v>63</v>
      </c>
      <c r="M202" s="171" t="s">
        <v>64</v>
      </c>
      <c r="N202" s="171" t="s">
        <v>65</v>
      </c>
      <c r="O202" s="171" t="s">
        <v>145</v>
      </c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hidden="1" customHeight="1" outlineLevel="1">
      <c r="A203" s="153"/>
      <c r="B203" s="162" t="s">
        <v>146</v>
      </c>
      <c r="C203" s="165">
        <f>C188/30</f>
        <v>0</v>
      </c>
      <c r="D203" s="147"/>
      <c r="E203" s="162" t="s">
        <v>146</v>
      </c>
      <c r="F203" s="165">
        <f>F188/30</f>
        <v>0</v>
      </c>
      <c r="G203" s="150"/>
      <c r="H203" s="162" t="s">
        <v>146</v>
      </c>
      <c r="I203" s="165" t="str">
        <f>I188/'Acompanhamento Geral'!B185</f>
        <v>#VALUE!</v>
      </c>
      <c r="J203" s="168"/>
      <c r="K203" s="171" t="s">
        <v>66</v>
      </c>
      <c r="L203" s="190">
        <v>0.7</v>
      </c>
      <c r="M203" s="191">
        <v>0.3</v>
      </c>
      <c r="N203" s="192">
        <v>0.0</v>
      </c>
      <c r="O203" s="193">
        <f t="shared" ref="O203:O204" si="36">sum(L203:N203)</f>
        <v>1</v>
      </c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hidden="1" customHeight="1" outlineLevel="1">
      <c r="A204" s="153"/>
      <c r="B204" s="162" t="s">
        <v>147</v>
      </c>
      <c r="C204" s="180" t="str">
        <f>C194/30</f>
        <v>#DIV/0!</v>
      </c>
      <c r="D204" s="147"/>
      <c r="E204" s="162" t="s">
        <v>147</v>
      </c>
      <c r="F204" s="180" t="str">
        <f>F194/30</f>
        <v>#DIV/0!</v>
      </c>
      <c r="G204" s="150"/>
      <c r="H204" s="162" t="s">
        <v>147</v>
      </c>
      <c r="I204" s="180" t="str">
        <f>I194/'Acompanhamento Geral'!B185</f>
        <v>#DIV/0!</v>
      </c>
      <c r="J204" s="168"/>
      <c r="K204" s="197" t="s">
        <v>67</v>
      </c>
      <c r="L204" s="198">
        <f>I188*L203</f>
        <v>0</v>
      </c>
      <c r="M204" s="198">
        <f>I188*M203</f>
        <v>0</v>
      </c>
      <c r="N204" s="198">
        <f>I188*N203</f>
        <v>0</v>
      </c>
      <c r="O204" s="103">
        <f t="shared" si="36"/>
        <v>0</v>
      </c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hidden="1" customHeight="1" outlineLevel="1">
      <c r="A205" s="153"/>
      <c r="B205" s="162" t="s">
        <v>148</v>
      </c>
      <c r="C205" s="199" t="str">
        <f>C196/30</f>
        <v>#DIV/0!</v>
      </c>
      <c r="D205" s="147"/>
      <c r="E205" s="162" t="s">
        <v>148</v>
      </c>
      <c r="F205" s="199" t="str">
        <f>F196/30</f>
        <v>#DIV/0!</v>
      </c>
      <c r="G205" s="150"/>
      <c r="H205" s="162" t="s">
        <v>148</v>
      </c>
      <c r="I205" s="199" t="str">
        <f>I196/'Acompanhamento Geral'!B185</f>
        <v>#DIV/0!</v>
      </c>
      <c r="J205" s="168"/>
      <c r="K205" s="197" t="s">
        <v>70</v>
      </c>
      <c r="L205" s="102" t="str">
        <f>L204/'Acompanhamento Geral'!B185</f>
        <v>#VALUE!</v>
      </c>
      <c r="M205" s="102" t="str">
        <f>M204/'Acompanhamento Geral'!B185</f>
        <v>#VALUE!</v>
      </c>
      <c r="N205" s="102" t="str">
        <f>iferror(N204/'Acompanhamento Geral'!B185,"")</f>
        <v/>
      </c>
      <c r="O205" s="215" t="str">
        <f>SUM(L205:N205)</f>
        <v>#VALUE!</v>
      </c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hidden="1" customHeight="1" outlineLevel="1">
      <c r="A206" s="153"/>
      <c r="B206" s="162" t="s">
        <v>149</v>
      </c>
      <c r="C206" s="165" t="str">
        <f>C199/30</f>
        <v>#DIV/0!</v>
      </c>
      <c r="D206" s="147"/>
      <c r="E206" s="162" t="s">
        <v>149</v>
      </c>
      <c r="F206" s="165">
        <f>F188/30</f>
        <v>0</v>
      </c>
      <c r="G206" s="150"/>
      <c r="H206" s="162" t="s">
        <v>149</v>
      </c>
      <c r="I206" s="165" t="str">
        <f>I199/'Acompanhamento Geral'!B185</f>
        <v>#DIV/0!</v>
      </c>
      <c r="J206" s="168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hidden="1" customHeight="1" outlineLevel="1">
      <c r="A207" s="16"/>
      <c r="B207" s="16"/>
      <c r="C207" s="216"/>
      <c r="D207" s="16"/>
      <c r="E207" s="16"/>
      <c r="F207" s="2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30.0" customHeight="1" collapsed="1">
      <c r="A208" s="200"/>
      <c r="B208" s="201" t="s">
        <v>34</v>
      </c>
      <c r="D208" s="202"/>
      <c r="E208" s="202"/>
      <c r="F208" s="202"/>
      <c r="G208" s="203"/>
      <c r="H208" s="202"/>
      <c r="I208" s="202"/>
      <c r="J208" s="204"/>
      <c r="K208" s="204"/>
      <c r="L208" s="204"/>
      <c r="M208" s="205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</row>
    <row r="209" ht="15.75" hidden="1" customHeight="1" outlineLevel="1">
      <c r="A209" s="141"/>
      <c r="B209" s="141"/>
      <c r="C209" s="141"/>
      <c r="D209" s="142"/>
      <c r="E209" s="141"/>
      <c r="F209" s="141"/>
      <c r="G209" s="143"/>
      <c r="H209" s="141"/>
      <c r="I209" s="141"/>
      <c r="J209" s="141"/>
      <c r="K209" s="141"/>
      <c r="L209" s="141"/>
      <c r="M209" s="144"/>
      <c r="N209" s="117"/>
      <c r="O209" s="117"/>
      <c r="P209" s="117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hidden="1" customHeight="1" outlineLevel="1">
      <c r="A210" s="145"/>
      <c r="B210" s="209" t="s">
        <v>110</v>
      </c>
      <c r="C210" s="210"/>
      <c r="D210" s="147"/>
      <c r="E210" s="148" t="s">
        <v>111</v>
      </c>
      <c r="F210" s="149"/>
      <c r="G210" s="150"/>
      <c r="H210" s="148" t="s">
        <v>112</v>
      </c>
      <c r="I210" s="149"/>
      <c r="J210" s="148" t="s">
        <v>113</v>
      </c>
      <c r="K210" s="151" t="s">
        <v>114</v>
      </c>
      <c r="L210" s="151" t="s">
        <v>115</v>
      </c>
      <c r="M210" s="152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hidden="1" customHeight="1" outlineLevel="1">
      <c r="A211" s="153"/>
      <c r="B211" s="154" t="s">
        <v>116</v>
      </c>
      <c r="C211" s="161"/>
      <c r="D211" s="147"/>
      <c r="E211" s="156" t="s">
        <v>117</v>
      </c>
      <c r="F211" s="157"/>
      <c r="G211" s="150"/>
      <c r="H211" s="156" t="s">
        <v>118</v>
      </c>
      <c r="I211" s="211"/>
      <c r="J211" s="212"/>
      <c r="K211" s="158" t="str">
        <f t="shared" ref="K211:K215" si="37">(I211-J211)/J211*1</f>
        <v>#DIV/0!</v>
      </c>
      <c r="L211" s="159">
        <v>0.4</v>
      </c>
      <c r="M211" s="160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hidden="1" customHeight="1" outlineLevel="1">
      <c r="A212" s="153"/>
      <c r="B212" s="154" t="s">
        <v>119</v>
      </c>
      <c r="C212" s="161"/>
      <c r="D212" s="147"/>
      <c r="E212" s="162" t="s">
        <v>120</v>
      </c>
      <c r="F212" s="163" t="str">
        <f t="shared" ref="F212:F215" si="38">C212</f>
        <v/>
      </c>
      <c r="G212" s="150"/>
      <c r="H212" s="154" t="s">
        <v>121</v>
      </c>
      <c r="I212" s="213"/>
      <c r="J212" s="214"/>
      <c r="K212" s="164" t="str">
        <f t="shared" si="37"/>
        <v>#DIV/0!</v>
      </c>
      <c r="L212" s="159">
        <v>-0.1</v>
      </c>
      <c r="M212" s="152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hidden="1" customHeight="1" outlineLevel="1">
      <c r="A213" s="153"/>
      <c r="B213" s="154" t="s">
        <v>68</v>
      </c>
      <c r="C213" s="161"/>
      <c r="D213" s="147"/>
      <c r="E213" s="162" t="s">
        <v>68</v>
      </c>
      <c r="F213" s="165" t="str">
        <f t="shared" si="38"/>
        <v/>
      </c>
      <c r="G213" s="150"/>
      <c r="H213" s="154" t="s">
        <v>122</v>
      </c>
      <c r="I213" s="213"/>
      <c r="J213" s="214"/>
      <c r="K213" s="164" t="str">
        <f t="shared" si="37"/>
        <v>#DIV/0!</v>
      </c>
      <c r="L213" s="159">
        <v>0.15</v>
      </c>
      <c r="M213" s="152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hidden="1" customHeight="1" outlineLevel="1">
      <c r="A214" s="153"/>
      <c r="B214" s="154" t="s">
        <v>123</v>
      </c>
      <c r="C214" s="166"/>
      <c r="D214" s="147"/>
      <c r="E214" s="162" t="s">
        <v>123</v>
      </c>
      <c r="F214" s="167" t="str">
        <f t="shared" si="38"/>
        <v/>
      </c>
      <c r="G214" s="150"/>
      <c r="H214" s="154" t="s">
        <v>124</v>
      </c>
      <c r="I214" s="166"/>
      <c r="J214" s="166"/>
      <c r="K214" s="164" t="str">
        <f t="shared" si="37"/>
        <v>#DIV/0!</v>
      </c>
      <c r="L214" s="159">
        <v>0.1</v>
      </c>
      <c r="M214" s="152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hidden="1" customHeight="1" outlineLevel="1">
      <c r="A215" s="153"/>
      <c r="B215" s="154" t="s">
        <v>125</v>
      </c>
      <c r="C215" s="166"/>
      <c r="D215" s="147"/>
      <c r="E215" s="162" t="s">
        <v>125</v>
      </c>
      <c r="F215" s="167" t="str">
        <f t="shared" si="38"/>
        <v/>
      </c>
      <c r="G215" s="150"/>
      <c r="H215" s="154" t="s">
        <v>126</v>
      </c>
      <c r="I215" s="166"/>
      <c r="J215" s="166"/>
      <c r="K215" s="164" t="str">
        <f t="shared" si="37"/>
        <v>#DIV/0!</v>
      </c>
      <c r="L215" s="159">
        <v>0.1</v>
      </c>
      <c r="M215" s="152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hidden="1" customHeight="1" outlineLevel="1">
      <c r="A216" s="168"/>
      <c r="B216" s="168"/>
      <c r="C216" s="168"/>
      <c r="D216" s="147"/>
      <c r="E216" s="168"/>
      <c r="G216" s="150"/>
      <c r="H216" s="168"/>
      <c r="I216" s="168"/>
      <c r="J216" s="168"/>
      <c r="K216" s="168"/>
      <c r="L216" s="168"/>
      <c r="M216" s="152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hidden="1" customHeight="1" outlineLevel="1">
      <c r="A217" s="153"/>
      <c r="B217" s="162" t="s">
        <v>127</v>
      </c>
      <c r="C217" s="169" t="str">
        <f>C211/C212</f>
        <v>#DIV/0!</v>
      </c>
      <c r="D217" s="147"/>
      <c r="E217" s="162" t="s">
        <v>128</v>
      </c>
      <c r="F217" s="169" t="str">
        <f>(F219/F214)/F215</f>
        <v>#DIV/0!</v>
      </c>
      <c r="G217" s="150"/>
      <c r="H217" s="162" t="s">
        <v>128</v>
      </c>
      <c r="I217" s="169" t="str">
        <f>I211/I212</f>
        <v>#DIV/0!</v>
      </c>
      <c r="J217" s="168"/>
      <c r="K217" s="170" t="s">
        <v>129</v>
      </c>
      <c r="L217" s="171" t="s">
        <v>66</v>
      </c>
      <c r="M217" s="172" t="s">
        <v>73</v>
      </c>
      <c r="N217" s="171" t="s">
        <v>130</v>
      </c>
      <c r="O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hidden="1" customHeight="1" outlineLevel="1">
      <c r="A218" s="153"/>
      <c r="B218" s="162" t="s">
        <v>48</v>
      </c>
      <c r="C218" s="169" t="str">
        <f t="shared" ref="C218:C219" si="39">C217*C214</f>
        <v>#DIV/0!</v>
      </c>
      <c r="D218" s="147"/>
      <c r="E218" s="162" t="s">
        <v>131</v>
      </c>
      <c r="F218" s="169" t="str">
        <f>F217*F214</f>
        <v>#DIV/0!</v>
      </c>
      <c r="G218" s="150"/>
      <c r="H218" s="162" t="s">
        <v>131</v>
      </c>
      <c r="I218" s="169" t="str">
        <f>I217*I214</f>
        <v>#DIV/0!</v>
      </c>
      <c r="J218" s="168"/>
      <c r="K218" s="162" t="s">
        <v>132</v>
      </c>
      <c r="L218" s="174">
        <v>0.2</v>
      </c>
      <c r="M218" s="165" t="str">
        <f>I222/100*L218*100</f>
        <v>#DIV/0!</v>
      </c>
      <c r="N218" s="175" t="str">
        <f>M218/I213</f>
        <v>#DIV/0!</v>
      </c>
      <c r="O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hidden="1" customHeight="1" outlineLevel="1">
      <c r="A219" s="153"/>
      <c r="B219" s="162" t="s">
        <v>51</v>
      </c>
      <c r="C219" s="180" t="str">
        <f t="shared" si="39"/>
        <v>#DIV/0!</v>
      </c>
      <c r="D219" s="147"/>
      <c r="E219" s="162" t="s">
        <v>51</v>
      </c>
      <c r="F219" s="180" t="str">
        <f>F211/F213</f>
        <v>#DIV/0!</v>
      </c>
      <c r="G219" s="150"/>
      <c r="H219" s="162" t="s">
        <v>51</v>
      </c>
      <c r="I219" s="180" t="str">
        <f>I222/I213</f>
        <v>#DIV/0!</v>
      </c>
      <c r="J219" s="168"/>
      <c r="K219" s="162" t="s">
        <v>133</v>
      </c>
      <c r="L219" s="181">
        <v>0.2</v>
      </c>
      <c r="M219" s="165" t="str">
        <f>I222/100*L219*100</f>
        <v>#DIV/0!</v>
      </c>
      <c r="N219" s="175" t="str">
        <f>M219/I213</f>
        <v>#DIV/0!</v>
      </c>
      <c r="O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hidden="1" customHeight="1" outlineLevel="1">
      <c r="A220" s="153"/>
      <c r="B220" s="162" t="s">
        <v>5</v>
      </c>
      <c r="C220" s="165" t="str">
        <f>C211/C218</f>
        <v>#DIV/0!</v>
      </c>
      <c r="D220" s="147"/>
      <c r="E220" s="162" t="s">
        <v>134</v>
      </c>
      <c r="F220" s="165" t="str">
        <f>F222/F218</f>
        <v>#DIV/0!</v>
      </c>
      <c r="G220" s="150"/>
      <c r="H220" s="162" t="s">
        <v>134</v>
      </c>
      <c r="I220" s="165" t="str">
        <f>I211/I218</f>
        <v>#DIV/0!</v>
      </c>
      <c r="J220" s="168"/>
      <c r="K220" s="162" t="s">
        <v>135</v>
      </c>
      <c r="L220" s="181">
        <v>0.3</v>
      </c>
      <c r="M220" s="165" t="str">
        <f>I222/100*L220*100</f>
        <v>#DIV/0!</v>
      </c>
      <c r="N220" s="175" t="str">
        <f>M220/I213</f>
        <v>#DIV/0!</v>
      </c>
      <c r="O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hidden="1" customHeight="1" outlineLevel="1">
      <c r="A221" s="153"/>
      <c r="B221" s="162" t="s">
        <v>136</v>
      </c>
      <c r="C221" s="165" t="str">
        <f>C211/C219</f>
        <v>#DIV/0!</v>
      </c>
      <c r="D221" s="147"/>
      <c r="E221" s="162" t="s">
        <v>136</v>
      </c>
      <c r="F221" s="165" t="str">
        <f>F222/F219</f>
        <v>#DIV/0!</v>
      </c>
      <c r="G221" s="150"/>
      <c r="H221" s="162" t="s">
        <v>136</v>
      </c>
      <c r="I221" s="165" t="str">
        <f>I211/I219</f>
        <v>#DIV/0!</v>
      </c>
      <c r="J221" s="168"/>
      <c r="K221" s="162" t="s">
        <v>137</v>
      </c>
      <c r="L221" s="181">
        <v>0.15</v>
      </c>
      <c r="M221" s="165" t="str">
        <f>I222/100*L221*100</f>
        <v>#DIV/0!</v>
      </c>
      <c r="N221" s="175" t="str">
        <f>M221/I213</f>
        <v>#DIV/0!</v>
      </c>
      <c r="O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hidden="1" customHeight="1" outlineLevel="1">
      <c r="A222" s="153"/>
      <c r="B222" s="156" t="s">
        <v>138</v>
      </c>
      <c r="C222" s="182" t="str">
        <f>C219*C213</f>
        <v>#DIV/0!</v>
      </c>
      <c r="D222" s="147"/>
      <c r="E222" s="156" t="s">
        <v>139</v>
      </c>
      <c r="F222" s="182" t="str">
        <f>F217*F212</f>
        <v>#DIV/0!</v>
      </c>
      <c r="G222" s="150"/>
      <c r="H222" s="156" t="s">
        <v>117</v>
      </c>
      <c r="I222" s="183" t="str">
        <f>(I217*I214*I215)*I213</f>
        <v>#DIV/0!</v>
      </c>
      <c r="J222" s="168"/>
      <c r="K222" s="162" t="s">
        <v>140</v>
      </c>
      <c r="L222" s="184">
        <v>0.15</v>
      </c>
      <c r="M222" s="165" t="str">
        <f>I222/100*L222*100</f>
        <v>#DIV/0!</v>
      </c>
      <c r="N222" s="175" t="str">
        <f>M222/I213</f>
        <v>#DIV/0!</v>
      </c>
      <c r="O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hidden="1" customHeight="1" outlineLevel="1">
      <c r="A223" s="153"/>
      <c r="B223" s="162" t="s">
        <v>141</v>
      </c>
      <c r="C223" s="185" t="str">
        <f>C222/C211</f>
        <v>#DIV/0!</v>
      </c>
      <c r="D223" s="147"/>
      <c r="E223" s="162" t="s">
        <v>141</v>
      </c>
      <c r="F223" s="185" t="str">
        <f>F211/F222</f>
        <v>#DIV/0!</v>
      </c>
      <c r="G223" s="150"/>
      <c r="H223" s="162" t="s">
        <v>141</v>
      </c>
      <c r="I223" s="186" t="str">
        <f>I222/I211</f>
        <v>#DIV/0!</v>
      </c>
      <c r="J223" s="168"/>
      <c r="K223" s="168"/>
      <c r="L223" s="187">
        <f>SUM(L218:L222)</f>
        <v>1</v>
      </c>
      <c r="N223" s="188" t="str">
        <f>SUM(N218:N222)</f>
        <v>#DIV/0!</v>
      </c>
      <c r="O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hidden="1" customHeight="1" outlineLevel="1">
      <c r="A224" s="168"/>
      <c r="B224" s="168"/>
      <c r="C224" s="168"/>
      <c r="D224" s="147"/>
      <c r="E224" s="147"/>
      <c r="F224" s="147"/>
      <c r="G224" s="150"/>
      <c r="H224" s="168"/>
      <c r="I224" s="168"/>
      <c r="J224" s="168"/>
      <c r="O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hidden="1" customHeight="1" outlineLevel="1">
      <c r="A225" s="145"/>
      <c r="B225" s="189" t="s">
        <v>142</v>
      </c>
      <c r="C225" s="41"/>
      <c r="D225" s="147"/>
      <c r="E225" s="189" t="s">
        <v>143</v>
      </c>
      <c r="F225" s="41"/>
      <c r="G225" s="150"/>
      <c r="H225" s="189" t="s">
        <v>144</v>
      </c>
      <c r="I225" s="41"/>
      <c r="J225" s="168"/>
      <c r="K225" s="171" t="s">
        <v>62</v>
      </c>
      <c r="L225" s="171" t="s">
        <v>63</v>
      </c>
      <c r="M225" s="171" t="s">
        <v>64</v>
      </c>
      <c r="N225" s="171" t="s">
        <v>65</v>
      </c>
      <c r="O225" s="171" t="s">
        <v>145</v>
      </c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hidden="1" customHeight="1" outlineLevel="1">
      <c r="A226" s="153"/>
      <c r="B226" s="162" t="s">
        <v>146</v>
      </c>
      <c r="C226" s="165">
        <f>C211/30</f>
        <v>0</v>
      </c>
      <c r="D226" s="147"/>
      <c r="E226" s="162" t="s">
        <v>146</v>
      </c>
      <c r="F226" s="165">
        <f>F211/30</f>
        <v>0</v>
      </c>
      <c r="G226" s="150"/>
      <c r="H226" s="162" t="s">
        <v>146</v>
      </c>
      <c r="I226" s="165" t="str">
        <f>I211/'Acompanhamento Geral'!B208</f>
        <v>#VALUE!</v>
      </c>
      <c r="J226" s="168"/>
      <c r="K226" s="171" t="s">
        <v>66</v>
      </c>
      <c r="L226" s="190">
        <v>0.7</v>
      </c>
      <c r="M226" s="191">
        <v>0.3</v>
      </c>
      <c r="N226" s="192">
        <v>0.0</v>
      </c>
      <c r="O226" s="193">
        <f t="shared" ref="O226:O227" si="40">sum(L226:N226)</f>
        <v>1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hidden="1" customHeight="1" outlineLevel="1">
      <c r="A227" s="153"/>
      <c r="B227" s="162" t="s">
        <v>147</v>
      </c>
      <c r="C227" s="180" t="str">
        <f>C217/30</f>
        <v>#DIV/0!</v>
      </c>
      <c r="D227" s="147"/>
      <c r="E227" s="162" t="s">
        <v>147</v>
      </c>
      <c r="F227" s="180" t="str">
        <f>F217/30</f>
        <v>#DIV/0!</v>
      </c>
      <c r="G227" s="150"/>
      <c r="H227" s="162" t="s">
        <v>147</v>
      </c>
      <c r="I227" s="180" t="str">
        <f>I217/'Acompanhamento Geral'!B208</f>
        <v>#DIV/0!</v>
      </c>
      <c r="J227" s="168"/>
      <c r="K227" s="197" t="s">
        <v>67</v>
      </c>
      <c r="L227" s="198">
        <f>I211*L226</f>
        <v>0</v>
      </c>
      <c r="M227" s="198">
        <f>I211*M226</f>
        <v>0</v>
      </c>
      <c r="N227" s="198">
        <f>I211*N226</f>
        <v>0</v>
      </c>
      <c r="O227" s="103">
        <f t="shared" si="40"/>
        <v>0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hidden="1" customHeight="1" outlineLevel="1">
      <c r="A228" s="153"/>
      <c r="B228" s="162" t="s">
        <v>148</v>
      </c>
      <c r="C228" s="199" t="str">
        <f>C219/30</f>
        <v>#DIV/0!</v>
      </c>
      <c r="D228" s="147"/>
      <c r="E228" s="162" t="s">
        <v>148</v>
      </c>
      <c r="F228" s="199" t="str">
        <f>F219/30</f>
        <v>#DIV/0!</v>
      </c>
      <c r="G228" s="150"/>
      <c r="H228" s="162" t="s">
        <v>148</v>
      </c>
      <c r="I228" s="199" t="str">
        <f>I219/'Acompanhamento Geral'!B208</f>
        <v>#DIV/0!</v>
      </c>
      <c r="J228" s="168"/>
      <c r="K228" s="197" t="s">
        <v>70</v>
      </c>
      <c r="L228" s="102" t="str">
        <f>L227/'Acompanhamento Geral'!B208</f>
        <v>#VALUE!</v>
      </c>
      <c r="M228" s="102" t="str">
        <f>M227/'Acompanhamento Geral'!B208</f>
        <v>#VALUE!</v>
      </c>
      <c r="N228" s="102" t="str">
        <f>iferror(N227/'Acompanhamento Geral'!B208,"")</f>
        <v/>
      </c>
      <c r="O228" s="215" t="str">
        <f>SUM(L228:N228)</f>
        <v>#VALUE!</v>
      </c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hidden="1" customHeight="1" outlineLevel="1">
      <c r="A229" s="153"/>
      <c r="B229" s="162" t="s">
        <v>149</v>
      </c>
      <c r="C229" s="165" t="str">
        <f>C222/30</f>
        <v>#DIV/0!</v>
      </c>
      <c r="D229" s="147"/>
      <c r="E229" s="162" t="s">
        <v>149</v>
      </c>
      <c r="F229" s="165">
        <f>F211/30</f>
        <v>0</v>
      </c>
      <c r="G229" s="150"/>
      <c r="H229" s="162" t="s">
        <v>149</v>
      </c>
      <c r="I229" s="165" t="str">
        <f>I222/'Acompanhamento Geral'!B208</f>
        <v>#DIV/0!</v>
      </c>
      <c r="J229" s="168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hidden="1" customHeight="1" outlineLevel="1">
      <c r="A230" s="16"/>
      <c r="B230" s="16"/>
      <c r="C230" s="216"/>
      <c r="D230" s="16"/>
      <c r="E230" s="16"/>
      <c r="F230" s="2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30.0" customHeight="1" collapsed="1">
      <c r="A231" s="134"/>
      <c r="B231" s="135" t="s">
        <v>35</v>
      </c>
      <c r="D231" s="136"/>
      <c r="E231" s="136"/>
      <c r="F231" s="136"/>
      <c r="G231" s="137"/>
      <c r="H231" s="136"/>
      <c r="I231" s="136"/>
      <c r="J231" s="138"/>
      <c r="K231" s="138"/>
      <c r="L231" s="138"/>
      <c r="M231" s="139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</row>
    <row r="232" ht="15.75" hidden="1" customHeight="1" outlineLevel="1">
      <c r="A232" s="141"/>
      <c r="B232" s="141"/>
      <c r="C232" s="141"/>
      <c r="D232" s="142"/>
      <c r="E232" s="141"/>
      <c r="F232" s="141"/>
      <c r="G232" s="143"/>
      <c r="H232" s="141"/>
      <c r="I232" s="141"/>
      <c r="J232" s="141"/>
      <c r="K232" s="141"/>
      <c r="L232" s="141"/>
      <c r="M232" s="144"/>
      <c r="N232" s="117"/>
      <c r="O232" s="117"/>
      <c r="P232" s="117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hidden="1" customHeight="1" outlineLevel="1">
      <c r="A233" s="145"/>
      <c r="B233" s="209" t="s">
        <v>110</v>
      </c>
      <c r="C233" s="210"/>
      <c r="D233" s="147"/>
      <c r="E233" s="148" t="s">
        <v>111</v>
      </c>
      <c r="F233" s="149"/>
      <c r="G233" s="150"/>
      <c r="H233" s="148" t="s">
        <v>112</v>
      </c>
      <c r="I233" s="149"/>
      <c r="J233" s="148" t="s">
        <v>113</v>
      </c>
      <c r="K233" s="151" t="s">
        <v>114</v>
      </c>
      <c r="L233" s="151" t="s">
        <v>115</v>
      </c>
      <c r="M233" s="152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hidden="1" customHeight="1" outlineLevel="1">
      <c r="A234" s="153"/>
      <c r="B234" s="154" t="s">
        <v>116</v>
      </c>
      <c r="C234" s="161"/>
      <c r="D234" s="147"/>
      <c r="E234" s="156" t="s">
        <v>117</v>
      </c>
      <c r="F234" s="157"/>
      <c r="G234" s="150"/>
      <c r="H234" s="156" t="s">
        <v>118</v>
      </c>
      <c r="I234" s="211"/>
      <c r="J234" s="212"/>
      <c r="K234" s="158" t="str">
        <f t="shared" ref="K234:K238" si="41">(I234-J234)/J234*1</f>
        <v>#DIV/0!</v>
      </c>
      <c r="L234" s="159">
        <v>0.4</v>
      </c>
      <c r="M234" s="160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hidden="1" customHeight="1" outlineLevel="1">
      <c r="A235" s="153"/>
      <c r="B235" s="154" t="s">
        <v>119</v>
      </c>
      <c r="C235" s="161"/>
      <c r="D235" s="147"/>
      <c r="E235" s="162" t="s">
        <v>120</v>
      </c>
      <c r="F235" s="163" t="str">
        <f t="shared" ref="F235:F238" si="42">C235</f>
        <v/>
      </c>
      <c r="G235" s="150"/>
      <c r="H235" s="154" t="s">
        <v>121</v>
      </c>
      <c r="I235" s="213"/>
      <c r="J235" s="214"/>
      <c r="K235" s="164" t="str">
        <f t="shared" si="41"/>
        <v>#DIV/0!</v>
      </c>
      <c r="L235" s="159">
        <v>-0.1</v>
      </c>
      <c r="M235" s="152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hidden="1" customHeight="1" outlineLevel="1">
      <c r="A236" s="153"/>
      <c r="B236" s="154" t="s">
        <v>68</v>
      </c>
      <c r="C236" s="161"/>
      <c r="D236" s="147"/>
      <c r="E236" s="162" t="s">
        <v>68</v>
      </c>
      <c r="F236" s="165" t="str">
        <f t="shared" si="42"/>
        <v/>
      </c>
      <c r="G236" s="150"/>
      <c r="H236" s="154" t="s">
        <v>122</v>
      </c>
      <c r="I236" s="213"/>
      <c r="J236" s="214"/>
      <c r="K236" s="164" t="str">
        <f t="shared" si="41"/>
        <v>#DIV/0!</v>
      </c>
      <c r="L236" s="159">
        <v>0.15</v>
      </c>
      <c r="M236" s="152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hidden="1" customHeight="1" outlineLevel="1">
      <c r="A237" s="153"/>
      <c r="B237" s="154" t="s">
        <v>123</v>
      </c>
      <c r="C237" s="166"/>
      <c r="D237" s="147"/>
      <c r="E237" s="162" t="s">
        <v>123</v>
      </c>
      <c r="F237" s="167" t="str">
        <f t="shared" si="42"/>
        <v/>
      </c>
      <c r="G237" s="150"/>
      <c r="H237" s="154" t="s">
        <v>124</v>
      </c>
      <c r="I237" s="166"/>
      <c r="J237" s="166"/>
      <c r="K237" s="164" t="str">
        <f t="shared" si="41"/>
        <v>#DIV/0!</v>
      </c>
      <c r="L237" s="159">
        <v>0.1</v>
      </c>
      <c r="M237" s="152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hidden="1" customHeight="1" outlineLevel="1">
      <c r="A238" s="153"/>
      <c r="B238" s="154" t="s">
        <v>125</v>
      </c>
      <c r="C238" s="166"/>
      <c r="D238" s="147"/>
      <c r="E238" s="162" t="s">
        <v>125</v>
      </c>
      <c r="F238" s="167" t="str">
        <f t="shared" si="42"/>
        <v/>
      </c>
      <c r="G238" s="150"/>
      <c r="H238" s="154" t="s">
        <v>126</v>
      </c>
      <c r="I238" s="166"/>
      <c r="J238" s="166"/>
      <c r="K238" s="164" t="str">
        <f t="shared" si="41"/>
        <v>#DIV/0!</v>
      </c>
      <c r="L238" s="159">
        <v>0.1</v>
      </c>
      <c r="M238" s="152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hidden="1" customHeight="1" outlineLevel="1">
      <c r="A239" s="168"/>
      <c r="B239" s="168"/>
      <c r="C239" s="168"/>
      <c r="D239" s="147"/>
      <c r="E239" s="168"/>
      <c r="G239" s="150"/>
      <c r="H239" s="168"/>
      <c r="I239" s="168"/>
      <c r="J239" s="168"/>
      <c r="K239" s="168"/>
      <c r="L239" s="168"/>
      <c r="M239" s="152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hidden="1" customHeight="1" outlineLevel="1">
      <c r="A240" s="153"/>
      <c r="B240" s="162" t="s">
        <v>127</v>
      </c>
      <c r="C240" s="169" t="str">
        <f>C234/C235</f>
        <v>#DIV/0!</v>
      </c>
      <c r="D240" s="147"/>
      <c r="E240" s="162" t="s">
        <v>128</v>
      </c>
      <c r="F240" s="169" t="str">
        <f>(F242/F237)/F238</f>
        <v>#DIV/0!</v>
      </c>
      <c r="G240" s="150"/>
      <c r="H240" s="162" t="s">
        <v>128</v>
      </c>
      <c r="I240" s="169" t="str">
        <f>I234/I235</f>
        <v>#DIV/0!</v>
      </c>
      <c r="J240" s="168"/>
      <c r="K240" s="170" t="s">
        <v>129</v>
      </c>
      <c r="L240" s="171" t="s">
        <v>66</v>
      </c>
      <c r="M240" s="172" t="s">
        <v>73</v>
      </c>
      <c r="N240" s="171" t="s">
        <v>130</v>
      </c>
      <c r="O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hidden="1" customHeight="1" outlineLevel="1">
      <c r="A241" s="153"/>
      <c r="B241" s="162" t="s">
        <v>48</v>
      </c>
      <c r="C241" s="169" t="str">
        <f t="shared" ref="C241:C242" si="43">C240*C237</f>
        <v>#DIV/0!</v>
      </c>
      <c r="D241" s="147"/>
      <c r="E241" s="162" t="s">
        <v>131</v>
      </c>
      <c r="F241" s="169" t="str">
        <f>F240*F237</f>
        <v>#DIV/0!</v>
      </c>
      <c r="G241" s="150"/>
      <c r="H241" s="162" t="s">
        <v>131</v>
      </c>
      <c r="I241" s="169" t="str">
        <f>I240*I237</f>
        <v>#DIV/0!</v>
      </c>
      <c r="J241" s="168"/>
      <c r="K241" s="162" t="s">
        <v>132</v>
      </c>
      <c r="L241" s="174">
        <v>0.2</v>
      </c>
      <c r="M241" s="165" t="str">
        <f>I245/100*L241*100</f>
        <v>#DIV/0!</v>
      </c>
      <c r="N241" s="175" t="str">
        <f>M241/I236</f>
        <v>#DIV/0!</v>
      </c>
      <c r="O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hidden="1" customHeight="1" outlineLevel="1">
      <c r="A242" s="153"/>
      <c r="B242" s="162" t="s">
        <v>51</v>
      </c>
      <c r="C242" s="180" t="str">
        <f t="shared" si="43"/>
        <v>#DIV/0!</v>
      </c>
      <c r="D242" s="147"/>
      <c r="E242" s="162" t="s">
        <v>51</v>
      </c>
      <c r="F242" s="180" t="str">
        <f>F234/F236</f>
        <v>#DIV/0!</v>
      </c>
      <c r="G242" s="150"/>
      <c r="H242" s="162" t="s">
        <v>51</v>
      </c>
      <c r="I242" s="180" t="str">
        <f>I245/I236</f>
        <v>#DIV/0!</v>
      </c>
      <c r="J242" s="168"/>
      <c r="K242" s="162" t="s">
        <v>133</v>
      </c>
      <c r="L242" s="181">
        <v>0.2</v>
      </c>
      <c r="M242" s="165" t="str">
        <f>I245/100*L242*100</f>
        <v>#DIV/0!</v>
      </c>
      <c r="N242" s="175" t="str">
        <f>M242/I236</f>
        <v>#DIV/0!</v>
      </c>
      <c r="O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hidden="1" customHeight="1" outlineLevel="1">
      <c r="A243" s="153"/>
      <c r="B243" s="162" t="s">
        <v>5</v>
      </c>
      <c r="C243" s="165" t="str">
        <f>C234/C241</f>
        <v>#DIV/0!</v>
      </c>
      <c r="D243" s="147"/>
      <c r="E243" s="162" t="s">
        <v>134</v>
      </c>
      <c r="F243" s="165" t="str">
        <f>F245/F241</f>
        <v>#DIV/0!</v>
      </c>
      <c r="G243" s="150"/>
      <c r="H243" s="162" t="s">
        <v>134</v>
      </c>
      <c r="I243" s="165" t="str">
        <f>I234/I241</f>
        <v>#DIV/0!</v>
      </c>
      <c r="J243" s="168"/>
      <c r="K243" s="162" t="s">
        <v>135</v>
      </c>
      <c r="L243" s="181">
        <v>0.3</v>
      </c>
      <c r="M243" s="165" t="str">
        <f>I245/100*L243*100</f>
        <v>#DIV/0!</v>
      </c>
      <c r="N243" s="175" t="str">
        <f>M243/I236</f>
        <v>#DIV/0!</v>
      </c>
      <c r="O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hidden="1" customHeight="1" outlineLevel="1">
      <c r="A244" s="153"/>
      <c r="B244" s="162" t="s">
        <v>136</v>
      </c>
      <c r="C244" s="165" t="str">
        <f>C234/C242</f>
        <v>#DIV/0!</v>
      </c>
      <c r="D244" s="147"/>
      <c r="E244" s="162" t="s">
        <v>136</v>
      </c>
      <c r="F244" s="165" t="str">
        <f>F245/F242</f>
        <v>#DIV/0!</v>
      </c>
      <c r="G244" s="150"/>
      <c r="H244" s="162" t="s">
        <v>136</v>
      </c>
      <c r="I244" s="165" t="str">
        <f>I234/I242</f>
        <v>#DIV/0!</v>
      </c>
      <c r="J244" s="168"/>
      <c r="K244" s="162" t="s">
        <v>137</v>
      </c>
      <c r="L244" s="181">
        <v>0.15</v>
      </c>
      <c r="M244" s="165" t="str">
        <f>I245/100*L244*100</f>
        <v>#DIV/0!</v>
      </c>
      <c r="N244" s="175" t="str">
        <f>M244/I236</f>
        <v>#DIV/0!</v>
      </c>
      <c r="O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hidden="1" customHeight="1" outlineLevel="1">
      <c r="A245" s="153"/>
      <c r="B245" s="156" t="s">
        <v>138</v>
      </c>
      <c r="C245" s="182" t="str">
        <f>C242*C236</f>
        <v>#DIV/0!</v>
      </c>
      <c r="D245" s="147"/>
      <c r="E245" s="156" t="s">
        <v>139</v>
      </c>
      <c r="F245" s="182" t="str">
        <f>F240*F235</f>
        <v>#DIV/0!</v>
      </c>
      <c r="G245" s="150"/>
      <c r="H245" s="156" t="s">
        <v>117</v>
      </c>
      <c r="I245" s="183" t="str">
        <f>(I240*I237*I238)*I236</f>
        <v>#DIV/0!</v>
      </c>
      <c r="J245" s="168"/>
      <c r="K245" s="162" t="s">
        <v>140</v>
      </c>
      <c r="L245" s="184">
        <v>0.15</v>
      </c>
      <c r="M245" s="165" t="str">
        <f>I245/100*L245*100</f>
        <v>#DIV/0!</v>
      </c>
      <c r="N245" s="175" t="str">
        <f>M245/I236</f>
        <v>#DIV/0!</v>
      </c>
      <c r="O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hidden="1" customHeight="1" outlineLevel="1">
      <c r="A246" s="153"/>
      <c r="B246" s="162" t="s">
        <v>141</v>
      </c>
      <c r="C246" s="185" t="str">
        <f>C245/C234</f>
        <v>#DIV/0!</v>
      </c>
      <c r="D246" s="147"/>
      <c r="E246" s="162" t="s">
        <v>141</v>
      </c>
      <c r="F246" s="185" t="str">
        <f>F234/F245</f>
        <v>#DIV/0!</v>
      </c>
      <c r="G246" s="150"/>
      <c r="H246" s="162" t="s">
        <v>141</v>
      </c>
      <c r="I246" s="186" t="str">
        <f>I245/I234</f>
        <v>#DIV/0!</v>
      </c>
      <c r="J246" s="168"/>
      <c r="K246" s="168"/>
      <c r="L246" s="187">
        <f>SUM(L241:L245)</f>
        <v>1</v>
      </c>
      <c r="N246" s="188" t="str">
        <f>SUM(N241:N245)</f>
        <v>#DIV/0!</v>
      </c>
      <c r="O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hidden="1" customHeight="1" outlineLevel="1">
      <c r="A247" s="168"/>
      <c r="B247" s="168"/>
      <c r="C247" s="168"/>
      <c r="D247" s="147"/>
      <c r="E247" s="147"/>
      <c r="F247" s="147"/>
      <c r="G247" s="150"/>
      <c r="H247" s="168"/>
      <c r="I247" s="168"/>
      <c r="J247" s="168"/>
      <c r="O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hidden="1" customHeight="1" outlineLevel="1">
      <c r="A248" s="145"/>
      <c r="B248" s="189" t="s">
        <v>142</v>
      </c>
      <c r="C248" s="41"/>
      <c r="D248" s="147"/>
      <c r="E248" s="189" t="s">
        <v>143</v>
      </c>
      <c r="F248" s="41"/>
      <c r="G248" s="150"/>
      <c r="H248" s="189" t="s">
        <v>144</v>
      </c>
      <c r="I248" s="41"/>
      <c r="J248" s="168"/>
      <c r="K248" s="171" t="s">
        <v>62</v>
      </c>
      <c r="L248" s="171" t="s">
        <v>63</v>
      </c>
      <c r="M248" s="171" t="s">
        <v>64</v>
      </c>
      <c r="N248" s="171" t="s">
        <v>65</v>
      </c>
      <c r="O248" s="171" t="s">
        <v>145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hidden="1" customHeight="1" outlineLevel="1">
      <c r="A249" s="153"/>
      <c r="B249" s="162" t="s">
        <v>146</v>
      </c>
      <c r="C249" s="165">
        <f>C234/30</f>
        <v>0</v>
      </c>
      <c r="D249" s="147"/>
      <c r="E249" s="162" t="s">
        <v>146</v>
      </c>
      <c r="F249" s="165">
        <f>F234/30</f>
        <v>0</v>
      </c>
      <c r="G249" s="150"/>
      <c r="H249" s="162" t="s">
        <v>146</v>
      </c>
      <c r="I249" s="165" t="str">
        <f>I234/'Acompanhamento Geral'!B231</f>
        <v>#VALUE!</v>
      </c>
      <c r="J249" s="168"/>
      <c r="K249" s="171" t="s">
        <v>66</v>
      </c>
      <c r="L249" s="190">
        <v>0.7</v>
      </c>
      <c r="M249" s="191">
        <v>0.3</v>
      </c>
      <c r="N249" s="192">
        <v>0.0</v>
      </c>
      <c r="O249" s="193">
        <f t="shared" ref="O249:O250" si="44">sum(L249:N249)</f>
        <v>1</v>
      </c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hidden="1" customHeight="1" outlineLevel="1">
      <c r="A250" s="153"/>
      <c r="B250" s="162" t="s">
        <v>147</v>
      </c>
      <c r="C250" s="180" t="str">
        <f>C240/30</f>
        <v>#DIV/0!</v>
      </c>
      <c r="D250" s="147"/>
      <c r="E250" s="162" t="s">
        <v>147</v>
      </c>
      <c r="F250" s="180" t="str">
        <f>F240/30</f>
        <v>#DIV/0!</v>
      </c>
      <c r="G250" s="150"/>
      <c r="H250" s="162" t="s">
        <v>147</v>
      </c>
      <c r="I250" s="180" t="str">
        <f>I240/'Acompanhamento Geral'!B231</f>
        <v>#DIV/0!</v>
      </c>
      <c r="J250" s="168"/>
      <c r="K250" s="197" t="s">
        <v>67</v>
      </c>
      <c r="L250" s="198">
        <f>I234*L249</f>
        <v>0</v>
      </c>
      <c r="M250" s="198">
        <f>I234*M249</f>
        <v>0</v>
      </c>
      <c r="N250" s="198">
        <f>I234*N249</f>
        <v>0</v>
      </c>
      <c r="O250" s="103">
        <f t="shared" si="44"/>
        <v>0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hidden="1" customHeight="1" outlineLevel="1">
      <c r="A251" s="153"/>
      <c r="B251" s="162" t="s">
        <v>148</v>
      </c>
      <c r="C251" s="199" t="str">
        <f>C242/30</f>
        <v>#DIV/0!</v>
      </c>
      <c r="D251" s="147"/>
      <c r="E251" s="162" t="s">
        <v>148</v>
      </c>
      <c r="F251" s="199" t="str">
        <f>F242/30</f>
        <v>#DIV/0!</v>
      </c>
      <c r="G251" s="150"/>
      <c r="H251" s="162" t="s">
        <v>148</v>
      </c>
      <c r="I251" s="199" t="str">
        <f>I242/'Acompanhamento Geral'!B231</f>
        <v>#DIV/0!</v>
      </c>
      <c r="J251" s="168"/>
      <c r="K251" s="197" t="s">
        <v>70</v>
      </c>
      <c r="L251" s="102" t="str">
        <f>L250/'Acompanhamento Geral'!B231</f>
        <v>#VALUE!</v>
      </c>
      <c r="M251" s="102" t="str">
        <f>M250/'Acompanhamento Geral'!B231</f>
        <v>#VALUE!</v>
      </c>
      <c r="N251" s="102" t="str">
        <f>iferror(N250/'Acompanhamento Geral'!B231,"")</f>
        <v/>
      </c>
      <c r="O251" s="215" t="str">
        <f>SUM(L251:N251)</f>
        <v>#VALUE!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hidden="1" customHeight="1" outlineLevel="1">
      <c r="A252" s="153"/>
      <c r="B252" s="162" t="s">
        <v>149</v>
      </c>
      <c r="C252" s="165" t="str">
        <f>C245/30</f>
        <v>#DIV/0!</v>
      </c>
      <c r="D252" s="147"/>
      <c r="E252" s="162" t="s">
        <v>149</v>
      </c>
      <c r="F252" s="165">
        <f>F234/30</f>
        <v>0</v>
      </c>
      <c r="G252" s="150"/>
      <c r="H252" s="162" t="s">
        <v>149</v>
      </c>
      <c r="I252" s="165" t="str">
        <f>I245/'Acompanhamento Geral'!B231</f>
        <v>#DIV/0!</v>
      </c>
      <c r="J252" s="168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hidden="1" customHeight="1" outlineLevel="1">
      <c r="A253" s="16"/>
      <c r="B253" s="16"/>
      <c r="C253" s="216"/>
      <c r="D253" s="16"/>
      <c r="E253" s="16"/>
      <c r="F253" s="2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30.0" customHeight="1" collapsed="1">
      <c r="A254" s="200"/>
      <c r="B254" s="201" t="s">
        <v>36</v>
      </c>
      <c r="D254" s="202"/>
      <c r="E254" s="202"/>
      <c r="F254" s="202"/>
      <c r="G254" s="203"/>
      <c r="H254" s="202"/>
      <c r="I254" s="202"/>
      <c r="J254" s="204"/>
      <c r="K254" s="204"/>
      <c r="L254" s="204"/>
      <c r="M254" s="205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</row>
    <row r="255" ht="15.75" hidden="1" customHeight="1" outlineLevel="1">
      <c r="A255" s="141"/>
      <c r="B255" s="141"/>
      <c r="C255" s="141"/>
      <c r="D255" s="142"/>
      <c r="E255" s="141"/>
      <c r="F255" s="141"/>
      <c r="G255" s="143"/>
      <c r="H255" s="141"/>
      <c r="I255" s="141"/>
      <c r="J255" s="141"/>
      <c r="K255" s="141"/>
      <c r="L255" s="141"/>
      <c r="M255" s="144"/>
      <c r="N255" s="117"/>
      <c r="O255" s="117"/>
      <c r="P255" s="117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hidden="1" customHeight="1" outlineLevel="1">
      <c r="A256" s="145"/>
      <c r="B256" s="209" t="s">
        <v>110</v>
      </c>
      <c r="C256" s="210"/>
      <c r="D256" s="147"/>
      <c r="E256" s="148" t="s">
        <v>111</v>
      </c>
      <c r="F256" s="149"/>
      <c r="G256" s="150"/>
      <c r="H256" s="148" t="s">
        <v>112</v>
      </c>
      <c r="I256" s="149"/>
      <c r="J256" s="148" t="s">
        <v>113</v>
      </c>
      <c r="K256" s="151" t="s">
        <v>114</v>
      </c>
      <c r="L256" s="151" t="s">
        <v>115</v>
      </c>
      <c r="M256" s="152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hidden="1" customHeight="1" outlineLevel="1">
      <c r="A257" s="153"/>
      <c r="B257" s="154" t="s">
        <v>116</v>
      </c>
      <c r="C257" s="161"/>
      <c r="D257" s="147"/>
      <c r="E257" s="156" t="s">
        <v>117</v>
      </c>
      <c r="F257" s="157"/>
      <c r="G257" s="150"/>
      <c r="H257" s="156" t="s">
        <v>118</v>
      </c>
      <c r="I257" s="211"/>
      <c r="J257" s="212"/>
      <c r="K257" s="158" t="str">
        <f t="shared" ref="K257:K261" si="45">(I257-J257)/J257*1</f>
        <v>#DIV/0!</v>
      </c>
      <c r="L257" s="159">
        <v>0.4</v>
      </c>
      <c r="M257" s="160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hidden="1" customHeight="1" outlineLevel="1">
      <c r="A258" s="153"/>
      <c r="B258" s="154" t="s">
        <v>119</v>
      </c>
      <c r="C258" s="161"/>
      <c r="D258" s="147"/>
      <c r="E258" s="162" t="s">
        <v>120</v>
      </c>
      <c r="F258" s="163" t="str">
        <f t="shared" ref="F258:F261" si="46">C258</f>
        <v/>
      </c>
      <c r="G258" s="150"/>
      <c r="H258" s="154" t="s">
        <v>121</v>
      </c>
      <c r="I258" s="213"/>
      <c r="J258" s="214"/>
      <c r="K258" s="164" t="str">
        <f t="shared" si="45"/>
        <v>#DIV/0!</v>
      </c>
      <c r="L258" s="159">
        <v>-0.1</v>
      </c>
      <c r="M258" s="152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hidden="1" customHeight="1" outlineLevel="1">
      <c r="A259" s="153"/>
      <c r="B259" s="154" t="s">
        <v>68</v>
      </c>
      <c r="C259" s="161"/>
      <c r="D259" s="147"/>
      <c r="E259" s="162" t="s">
        <v>68</v>
      </c>
      <c r="F259" s="165" t="str">
        <f t="shared" si="46"/>
        <v/>
      </c>
      <c r="G259" s="150"/>
      <c r="H259" s="154" t="s">
        <v>122</v>
      </c>
      <c r="I259" s="213"/>
      <c r="J259" s="214"/>
      <c r="K259" s="164" t="str">
        <f t="shared" si="45"/>
        <v>#DIV/0!</v>
      </c>
      <c r="L259" s="159">
        <v>0.15</v>
      </c>
      <c r="M259" s="152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hidden="1" customHeight="1" outlineLevel="1">
      <c r="A260" s="153"/>
      <c r="B260" s="154" t="s">
        <v>123</v>
      </c>
      <c r="C260" s="166"/>
      <c r="D260" s="147"/>
      <c r="E260" s="162" t="s">
        <v>123</v>
      </c>
      <c r="F260" s="167" t="str">
        <f t="shared" si="46"/>
        <v/>
      </c>
      <c r="G260" s="150"/>
      <c r="H260" s="154" t="s">
        <v>124</v>
      </c>
      <c r="I260" s="166"/>
      <c r="J260" s="166"/>
      <c r="K260" s="164" t="str">
        <f t="shared" si="45"/>
        <v>#DIV/0!</v>
      </c>
      <c r="L260" s="159">
        <v>0.1</v>
      </c>
      <c r="M260" s="152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hidden="1" customHeight="1" outlineLevel="1">
      <c r="A261" s="153"/>
      <c r="B261" s="154" t="s">
        <v>125</v>
      </c>
      <c r="C261" s="166"/>
      <c r="D261" s="147"/>
      <c r="E261" s="162" t="s">
        <v>125</v>
      </c>
      <c r="F261" s="167" t="str">
        <f t="shared" si="46"/>
        <v/>
      </c>
      <c r="G261" s="150"/>
      <c r="H261" s="154" t="s">
        <v>126</v>
      </c>
      <c r="I261" s="166"/>
      <c r="J261" s="166"/>
      <c r="K261" s="164" t="str">
        <f t="shared" si="45"/>
        <v>#DIV/0!</v>
      </c>
      <c r="L261" s="159">
        <v>0.1</v>
      </c>
      <c r="M261" s="152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hidden="1" customHeight="1" outlineLevel="1">
      <c r="A262" s="168"/>
      <c r="B262" s="168"/>
      <c r="C262" s="168"/>
      <c r="D262" s="147"/>
      <c r="E262" s="168"/>
      <c r="G262" s="150"/>
      <c r="H262" s="168"/>
      <c r="I262" s="168"/>
      <c r="J262" s="168"/>
      <c r="K262" s="168"/>
      <c r="L262" s="168"/>
      <c r="M262" s="152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hidden="1" customHeight="1" outlineLevel="1">
      <c r="A263" s="153"/>
      <c r="B263" s="162" t="s">
        <v>127</v>
      </c>
      <c r="C263" s="169" t="str">
        <f>C257/C258</f>
        <v>#DIV/0!</v>
      </c>
      <c r="D263" s="147"/>
      <c r="E263" s="162" t="s">
        <v>128</v>
      </c>
      <c r="F263" s="169" t="str">
        <f>(F265/F260)/F261</f>
        <v>#DIV/0!</v>
      </c>
      <c r="G263" s="150"/>
      <c r="H263" s="162" t="s">
        <v>128</v>
      </c>
      <c r="I263" s="169" t="str">
        <f>I257/I258</f>
        <v>#DIV/0!</v>
      </c>
      <c r="J263" s="168"/>
      <c r="K263" s="170" t="s">
        <v>129</v>
      </c>
      <c r="L263" s="171" t="s">
        <v>66</v>
      </c>
      <c r="M263" s="172" t="s">
        <v>73</v>
      </c>
      <c r="N263" s="171" t="s">
        <v>130</v>
      </c>
      <c r="O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hidden="1" customHeight="1" outlineLevel="1">
      <c r="A264" s="153"/>
      <c r="B264" s="162" t="s">
        <v>48</v>
      </c>
      <c r="C264" s="169" t="str">
        <f t="shared" ref="C264:C265" si="47">C263*C260</f>
        <v>#DIV/0!</v>
      </c>
      <c r="D264" s="147"/>
      <c r="E264" s="162" t="s">
        <v>131</v>
      </c>
      <c r="F264" s="169" t="str">
        <f>F263*F260</f>
        <v>#DIV/0!</v>
      </c>
      <c r="G264" s="150"/>
      <c r="H264" s="162" t="s">
        <v>131</v>
      </c>
      <c r="I264" s="169" t="str">
        <f>I263*I260</f>
        <v>#DIV/0!</v>
      </c>
      <c r="J264" s="168"/>
      <c r="K264" s="162" t="s">
        <v>132</v>
      </c>
      <c r="L264" s="174">
        <v>0.2</v>
      </c>
      <c r="M264" s="165" t="str">
        <f>I268/100*L264*100</f>
        <v>#DIV/0!</v>
      </c>
      <c r="N264" s="175" t="str">
        <f>M264/I259</f>
        <v>#DIV/0!</v>
      </c>
      <c r="O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hidden="1" customHeight="1" outlineLevel="1">
      <c r="A265" s="153"/>
      <c r="B265" s="162" t="s">
        <v>51</v>
      </c>
      <c r="C265" s="180" t="str">
        <f t="shared" si="47"/>
        <v>#DIV/0!</v>
      </c>
      <c r="D265" s="147"/>
      <c r="E265" s="162" t="s">
        <v>51</v>
      </c>
      <c r="F265" s="180" t="str">
        <f>F257/F259</f>
        <v>#DIV/0!</v>
      </c>
      <c r="G265" s="150"/>
      <c r="H265" s="162" t="s">
        <v>51</v>
      </c>
      <c r="I265" s="180" t="str">
        <f>I268/I259</f>
        <v>#DIV/0!</v>
      </c>
      <c r="J265" s="168"/>
      <c r="K265" s="162" t="s">
        <v>133</v>
      </c>
      <c r="L265" s="181">
        <v>0.2</v>
      </c>
      <c r="M265" s="165" t="str">
        <f>I268/100*L265*100</f>
        <v>#DIV/0!</v>
      </c>
      <c r="N265" s="175" t="str">
        <f>M265/I259</f>
        <v>#DIV/0!</v>
      </c>
      <c r="O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hidden="1" customHeight="1" outlineLevel="1">
      <c r="A266" s="153"/>
      <c r="B266" s="162" t="s">
        <v>5</v>
      </c>
      <c r="C266" s="165" t="str">
        <f>C257/C264</f>
        <v>#DIV/0!</v>
      </c>
      <c r="D266" s="147"/>
      <c r="E266" s="162" t="s">
        <v>134</v>
      </c>
      <c r="F266" s="165" t="str">
        <f>F268/F264</f>
        <v>#DIV/0!</v>
      </c>
      <c r="G266" s="150"/>
      <c r="H266" s="162" t="s">
        <v>134</v>
      </c>
      <c r="I266" s="165" t="str">
        <f>I257/I264</f>
        <v>#DIV/0!</v>
      </c>
      <c r="J266" s="168"/>
      <c r="K266" s="162" t="s">
        <v>135</v>
      </c>
      <c r="L266" s="181">
        <v>0.3</v>
      </c>
      <c r="M266" s="165" t="str">
        <f>I268/100*L266*100</f>
        <v>#DIV/0!</v>
      </c>
      <c r="N266" s="175" t="str">
        <f>M266/I259</f>
        <v>#DIV/0!</v>
      </c>
      <c r="O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hidden="1" customHeight="1" outlineLevel="1">
      <c r="A267" s="153"/>
      <c r="B267" s="162" t="s">
        <v>136</v>
      </c>
      <c r="C267" s="165" t="str">
        <f>C257/C265</f>
        <v>#DIV/0!</v>
      </c>
      <c r="D267" s="147"/>
      <c r="E267" s="162" t="s">
        <v>136</v>
      </c>
      <c r="F267" s="165" t="str">
        <f>F268/F265</f>
        <v>#DIV/0!</v>
      </c>
      <c r="G267" s="150"/>
      <c r="H267" s="162" t="s">
        <v>136</v>
      </c>
      <c r="I267" s="165" t="str">
        <f>I257/I265</f>
        <v>#DIV/0!</v>
      </c>
      <c r="J267" s="168"/>
      <c r="K267" s="162" t="s">
        <v>137</v>
      </c>
      <c r="L267" s="181">
        <v>0.15</v>
      </c>
      <c r="M267" s="165" t="str">
        <f>I268/100*L267*100</f>
        <v>#DIV/0!</v>
      </c>
      <c r="N267" s="175" t="str">
        <f>M267/I259</f>
        <v>#DIV/0!</v>
      </c>
      <c r="O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hidden="1" customHeight="1" outlineLevel="1">
      <c r="A268" s="153"/>
      <c r="B268" s="156" t="s">
        <v>138</v>
      </c>
      <c r="C268" s="182" t="str">
        <f>C265*C259</f>
        <v>#DIV/0!</v>
      </c>
      <c r="D268" s="147"/>
      <c r="E268" s="156" t="s">
        <v>139</v>
      </c>
      <c r="F268" s="182" t="str">
        <f>F263*F258</f>
        <v>#DIV/0!</v>
      </c>
      <c r="G268" s="150"/>
      <c r="H268" s="156" t="s">
        <v>117</v>
      </c>
      <c r="I268" s="183" t="str">
        <f>(I263*I260*I261)*I259</f>
        <v>#DIV/0!</v>
      </c>
      <c r="J268" s="168"/>
      <c r="K268" s="162" t="s">
        <v>140</v>
      </c>
      <c r="L268" s="184">
        <v>0.15</v>
      </c>
      <c r="M268" s="165" t="str">
        <f>I268/100*L268*100</f>
        <v>#DIV/0!</v>
      </c>
      <c r="N268" s="175" t="str">
        <f>M268/I259</f>
        <v>#DIV/0!</v>
      </c>
      <c r="O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hidden="1" customHeight="1" outlineLevel="1">
      <c r="A269" s="153"/>
      <c r="B269" s="162" t="s">
        <v>141</v>
      </c>
      <c r="C269" s="185" t="str">
        <f>C268/C257</f>
        <v>#DIV/0!</v>
      </c>
      <c r="D269" s="147"/>
      <c r="E269" s="162" t="s">
        <v>141</v>
      </c>
      <c r="F269" s="185" t="str">
        <f>F257/F268</f>
        <v>#DIV/0!</v>
      </c>
      <c r="G269" s="150"/>
      <c r="H269" s="162" t="s">
        <v>141</v>
      </c>
      <c r="I269" s="186" t="str">
        <f>I268/I257</f>
        <v>#DIV/0!</v>
      </c>
      <c r="J269" s="168"/>
      <c r="K269" s="168"/>
      <c r="L269" s="187">
        <f>SUM(L264:L268)</f>
        <v>1</v>
      </c>
      <c r="N269" s="188" t="str">
        <f>SUM(N264:N268)</f>
        <v>#DIV/0!</v>
      </c>
      <c r="O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hidden="1" customHeight="1" outlineLevel="1">
      <c r="A270" s="168"/>
      <c r="B270" s="168"/>
      <c r="C270" s="168"/>
      <c r="D270" s="147"/>
      <c r="E270" s="147"/>
      <c r="F270" s="147"/>
      <c r="G270" s="150"/>
      <c r="H270" s="168"/>
      <c r="I270" s="168"/>
      <c r="J270" s="168"/>
      <c r="O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hidden="1" customHeight="1" outlineLevel="1">
      <c r="A271" s="145"/>
      <c r="B271" s="189" t="s">
        <v>142</v>
      </c>
      <c r="C271" s="41"/>
      <c r="D271" s="147"/>
      <c r="E271" s="189" t="s">
        <v>143</v>
      </c>
      <c r="F271" s="41"/>
      <c r="G271" s="150"/>
      <c r="H271" s="189" t="s">
        <v>144</v>
      </c>
      <c r="I271" s="41"/>
      <c r="J271" s="168"/>
      <c r="K271" s="171" t="s">
        <v>62</v>
      </c>
      <c r="L271" s="171" t="s">
        <v>63</v>
      </c>
      <c r="M271" s="171" t="s">
        <v>64</v>
      </c>
      <c r="N271" s="171" t="s">
        <v>65</v>
      </c>
      <c r="O271" s="171" t="s">
        <v>145</v>
      </c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hidden="1" customHeight="1" outlineLevel="1">
      <c r="A272" s="153"/>
      <c r="B272" s="162" t="s">
        <v>146</v>
      </c>
      <c r="C272" s="165">
        <f>C257/30</f>
        <v>0</v>
      </c>
      <c r="D272" s="147"/>
      <c r="E272" s="162" t="s">
        <v>146</v>
      </c>
      <c r="F272" s="165">
        <f>F257/30</f>
        <v>0</v>
      </c>
      <c r="G272" s="150"/>
      <c r="H272" s="162" t="s">
        <v>146</v>
      </c>
      <c r="I272" s="165" t="str">
        <f>I257/'Acompanhamento Geral'!B254</f>
        <v>#VALUE!</v>
      </c>
      <c r="J272" s="168"/>
      <c r="K272" s="171" t="s">
        <v>66</v>
      </c>
      <c r="L272" s="190">
        <v>0.7</v>
      </c>
      <c r="M272" s="191">
        <v>0.3</v>
      </c>
      <c r="N272" s="192">
        <v>0.0</v>
      </c>
      <c r="O272" s="193">
        <f t="shared" ref="O272:O273" si="48">sum(L272:N272)</f>
        <v>1</v>
      </c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hidden="1" customHeight="1" outlineLevel="1">
      <c r="A273" s="153"/>
      <c r="B273" s="162" t="s">
        <v>147</v>
      </c>
      <c r="C273" s="180" t="str">
        <f>C263/30</f>
        <v>#DIV/0!</v>
      </c>
      <c r="D273" s="147"/>
      <c r="E273" s="162" t="s">
        <v>147</v>
      </c>
      <c r="F273" s="180" t="str">
        <f>F263/30</f>
        <v>#DIV/0!</v>
      </c>
      <c r="G273" s="150"/>
      <c r="H273" s="162" t="s">
        <v>147</v>
      </c>
      <c r="I273" s="180" t="str">
        <f>I263/'Acompanhamento Geral'!B254</f>
        <v>#DIV/0!</v>
      </c>
      <c r="J273" s="168"/>
      <c r="K273" s="197" t="s">
        <v>67</v>
      </c>
      <c r="L273" s="198">
        <f>I257*L272</f>
        <v>0</v>
      </c>
      <c r="M273" s="198">
        <f>I257*M272</f>
        <v>0</v>
      </c>
      <c r="N273" s="198">
        <f>I257*N272</f>
        <v>0</v>
      </c>
      <c r="O273" s="103">
        <f t="shared" si="48"/>
        <v>0</v>
      </c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hidden="1" customHeight="1" outlineLevel="1">
      <c r="A274" s="153"/>
      <c r="B274" s="162" t="s">
        <v>148</v>
      </c>
      <c r="C274" s="199" t="str">
        <f>C265/30</f>
        <v>#DIV/0!</v>
      </c>
      <c r="D274" s="147"/>
      <c r="E274" s="162" t="s">
        <v>148</v>
      </c>
      <c r="F274" s="199" t="str">
        <f>F265/30</f>
        <v>#DIV/0!</v>
      </c>
      <c r="G274" s="150"/>
      <c r="H274" s="162" t="s">
        <v>148</v>
      </c>
      <c r="I274" s="199" t="str">
        <f>I265/'Acompanhamento Geral'!B254</f>
        <v>#DIV/0!</v>
      </c>
      <c r="J274" s="168"/>
      <c r="K274" s="197" t="s">
        <v>70</v>
      </c>
      <c r="L274" s="102" t="str">
        <f>L273/'Acompanhamento Geral'!B254</f>
        <v>#VALUE!</v>
      </c>
      <c r="M274" s="102" t="str">
        <f>M273/'Acompanhamento Geral'!B254</f>
        <v>#VALUE!</v>
      </c>
      <c r="N274" s="102" t="str">
        <f>iferror(N273/'Acompanhamento Geral'!B254,"")</f>
        <v/>
      </c>
      <c r="O274" s="215" t="str">
        <f>SUM(L274:N274)</f>
        <v>#VALUE!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hidden="1" customHeight="1" outlineLevel="1">
      <c r="A275" s="153"/>
      <c r="B275" s="162" t="s">
        <v>149</v>
      </c>
      <c r="C275" s="165" t="str">
        <f>C268/30</f>
        <v>#DIV/0!</v>
      </c>
      <c r="D275" s="147"/>
      <c r="E275" s="162" t="s">
        <v>149</v>
      </c>
      <c r="F275" s="165">
        <f>F257/30</f>
        <v>0</v>
      </c>
      <c r="G275" s="150"/>
      <c r="H275" s="162" t="s">
        <v>149</v>
      </c>
      <c r="I275" s="165" t="str">
        <f>I268/'Acompanhamento Geral'!B254</f>
        <v>#DIV/0!</v>
      </c>
      <c r="J275" s="168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hidden="1" customHeight="1" outlineLevel="1">
      <c r="A276" s="16"/>
      <c r="B276" s="16"/>
      <c r="C276" s="216"/>
      <c r="D276" s="16"/>
      <c r="E276" s="16"/>
      <c r="F276" s="2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1:C1"/>
    <mergeCell ref="B3:C3"/>
    <mergeCell ref="E3:F3"/>
    <mergeCell ref="H3:I3"/>
    <mergeCell ref="E9:F9"/>
    <mergeCell ref="Q11:Q14"/>
    <mergeCell ref="Q15:Q18"/>
    <mergeCell ref="H18:I18"/>
    <mergeCell ref="B18:C18"/>
    <mergeCell ref="E18:F18"/>
    <mergeCell ref="B24:C24"/>
    <mergeCell ref="B26:C26"/>
    <mergeCell ref="E26:F26"/>
    <mergeCell ref="H26:I26"/>
    <mergeCell ref="E32:F32"/>
    <mergeCell ref="B41:C41"/>
    <mergeCell ref="E41:F41"/>
    <mergeCell ref="H41:I41"/>
    <mergeCell ref="B47:C47"/>
    <mergeCell ref="E49:F49"/>
    <mergeCell ref="H49:I49"/>
    <mergeCell ref="E55:F55"/>
    <mergeCell ref="B49:C49"/>
    <mergeCell ref="B64:C64"/>
    <mergeCell ref="E64:F64"/>
    <mergeCell ref="H64:I64"/>
    <mergeCell ref="B70:C70"/>
    <mergeCell ref="B72:C72"/>
    <mergeCell ref="H72:I72"/>
    <mergeCell ref="E72:F72"/>
    <mergeCell ref="E78:F78"/>
    <mergeCell ref="B87:C87"/>
    <mergeCell ref="E87:F87"/>
    <mergeCell ref="H87:I87"/>
    <mergeCell ref="B93:C93"/>
    <mergeCell ref="B95:C95"/>
    <mergeCell ref="E95:F95"/>
    <mergeCell ref="H95:I95"/>
    <mergeCell ref="E101:F101"/>
    <mergeCell ref="B110:C110"/>
    <mergeCell ref="E110:F110"/>
    <mergeCell ref="H110:I110"/>
    <mergeCell ref="B116:C116"/>
    <mergeCell ref="B118:C118"/>
    <mergeCell ref="E118:F118"/>
    <mergeCell ref="H118:I118"/>
    <mergeCell ref="E124:F124"/>
    <mergeCell ref="B133:C133"/>
    <mergeCell ref="E133:F133"/>
    <mergeCell ref="H133:I133"/>
    <mergeCell ref="B231:C231"/>
    <mergeCell ref="B233:C233"/>
    <mergeCell ref="E233:F233"/>
    <mergeCell ref="H233:I233"/>
    <mergeCell ref="E239:F239"/>
    <mergeCell ref="E248:F248"/>
    <mergeCell ref="H248:I248"/>
    <mergeCell ref="B248:C248"/>
    <mergeCell ref="B254:C254"/>
    <mergeCell ref="B256:C256"/>
    <mergeCell ref="E256:F256"/>
    <mergeCell ref="H256:I256"/>
    <mergeCell ref="E262:F262"/>
    <mergeCell ref="B271:C271"/>
    <mergeCell ref="B139:C139"/>
    <mergeCell ref="B141:C141"/>
    <mergeCell ref="E141:F141"/>
    <mergeCell ref="H141:I141"/>
    <mergeCell ref="E147:F147"/>
    <mergeCell ref="E156:F156"/>
    <mergeCell ref="H156:I156"/>
    <mergeCell ref="E179:F179"/>
    <mergeCell ref="H179:I179"/>
    <mergeCell ref="B156:C156"/>
    <mergeCell ref="B162:C162"/>
    <mergeCell ref="B164:C164"/>
    <mergeCell ref="E164:F164"/>
    <mergeCell ref="H164:I164"/>
    <mergeCell ref="E170:F170"/>
    <mergeCell ref="B179:C179"/>
    <mergeCell ref="B185:C185"/>
    <mergeCell ref="B187:C187"/>
    <mergeCell ref="E187:F187"/>
    <mergeCell ref="H187:I187"/>
    <mergeCell ref="E193:F193"/>
    <mergeCell ref="E202:F202"/>
    <mergeCell ref="H202:I202"/>
    <mergeCell ref="E225:F225"/>
    <mergeCell ref="H225:I225"/>
    <mergeCell ref="B202:C202"/>
    <mergeCell ref="B208:C208"/>
    <mergeCell ref="B210:C210"/>
    <mergeCell ref="E210:F210"/>
    <mergeCell ref="H210:I210"/>
    <mergeCell ref="E216:F216"/>
    <mergeCell ref="B225:C225"/>
    <mergeCell ref="E271:F271"/>
    <mergeCell ref="H271:I271"/>
  </mergeCells>
  <conditionalFormatting sqref="I15 I38 I61 I84 I107 I130 I153 I176 I199 I222 I245 I268">
    <cfRule type="cellIs" dxfId="3" priority="1" operator="greaterThanOrEqual">
      <formula>$F$4</formula>
    </cfRule>
  </conditionalFormatting>
  <conditionalFormatting sqref="I15 I38 I61 I84 I107 I130 I153 I176 I199 I222 I245 I268">
    <cfRule type="cellIs" dxfId="4" priority="2" operator="lessThan">
      <formula>$F$4</formula>
    </cfRule>
  </conditionalFormatting>
  <conditionalFormatting sqref="K4 K27 K50 K73 K96 K119 K142 K165 K188 K211 K234 K257">
    <cfRule type="cellIs" dxfId="5" priority="3" operator="greaterThanOrEqual">
      <formula>$L$4</formula>
    </cfRule>
  </conditionalFormatting>
  <conditionalFormatting sqref="K5 K28 K51 K74 K97 K120 K143 K166 K189 K212 K235 K258">
    <cfRule type="cellIs" dxfId="5" priority="4" operator="lessThan">
      <formula>$L$5</formula>
    </cfRule>
  </conditionalFormatting>
  <conditionalFormatting sqref="K6 K29 K52 K75 K98 K121 K144 K167 K190 K213 K236 K259">
    <cfRule type="cellIs" dxfId="5" priority="5" operator="greaterThanOrEqual">
      <formula>$L$6</formula>
    </cfRule>
  </conditionalFormatting>
  <conditionalFormatting sqref="K7 K30 K53 K76 K99 K122 K145 K168 K191 K214 K237 K260">
    <cfRule type="cellIs" dxfId="5" priority="6" operator="greaterThanOrEqual">
      <formula>$L$7</formula>
    </cfRule>
  </conditionalFormatting>
  <conditionalFormatting sqref="K8 K31 K54 K77 K100 K123 K146 K169 K192 K215 K238 K261">
    <cfRule type="cellIs" dxfId="5" priority="7" operator="greaterThanOrEqual">
      <formula>$L$8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88"/>
    <col customWidth="1" min="2" max="13" width="15.13"/>
    <col customWidth="1" min="14" max="14" width="3.63"/>
    <col customWidth="1" min="15" max="15" width="27.63"/>
    <col customWidth="1" min="16" max="16" width="18.88"/>
    <col customWidth="1" min="17" max="21" width="10.63"/>
  </cols>
  <sheetData>
    <row r="1" ht="22.5" customHeight="1">
      <c r="A1" s="217" t="s">
        <v>150</v>
      </c>
      <c r="B1" s="218"/>
      <c r="C1" s="219" t="str">
        <f>IFERROR((C3-B3)/B3*1,"")</f>
        <v/>
      </c>
      <c r="D1" s="219" t="str">
        <f t="shared" ref="D1:M1" si="1">iferror((D3-C3)/C3*1,"")</f>
        <v/>
      </c>
      <c r="E1" s="219" t="str">
        <f t="shared" si="1"/>
        <v/>
      </c>
      <c r="F1" s="219" t="str">
        <f t="shared" si="1"/>
        <v/>
      </c>
      <c r="G1" s="219" t="str">
        <f t="shared" si="1"/>
        <v/>
      </c>
      <c r="H1" s="219" t="str">
        <f t="shared" si="1"/>
        <v/>
      </c>
      <c r="I1" s="219" t="str">
        <f t="shared" si="1"/>
        <v/>
      </c>
      <c r="J1" s="219" t="str">
        <f t="shared" si="1"/>
        <v/>
      </c>
      <c r="K1" s="219" t="str">
        <f t="shared" si="1"/>
        <v/>
      </c>
      <c r="L1" s="219" t="str">
        <f t="shared" si="1"/>
        <v/>
      </c>
      <c r="M1" s="219" t="str">
        <f t="shared" si="1"/>
        <v/>
      </c>
      <c r="N1" s="16"/>
      <c r="O1" s="220" t="s">
        <v>151</v>
      </c>
      <c r="P1" s="41"/>
      <c r="Q1" s="16"/>
      <c r="R1" s="16"/>
      <c r="S1" s="16"/>
      <c r="T1" s="16"/>
      <c r="U1" s="16"/>
    </row>
    <row r="2" ht="22.5" customHeight="1">
      <c r="A2" s="217" t="s">
        <v>152</v>
      </c>
      <c r="B2" s="217" t="s">
        <v>153</v>
      </c>
      <c r="C2" s="217" t="s">
        <v>154</v>
      </c>
      <c r="D2" s="217" t="s">
        <v>155</v>
      </c>
      <c r="E2" s="217" t="s">
        <v>156</v>
      </c>
      <c r="F2" s="217" t="s">
        <v>157</v>
      </c>
      <c r="G2" s="217" t="s">
        <v>158</v>
      </c>
      <c r="H2" s="217" t="s">
        <v>159</v>
      </c>
      <c r="I2" s="217" t="s">
        <v>160</v>
      </c>
      <c r="J2" s="217" t="s">
        <v>161</v>
      </c>
      <c r="K2" s="217" t="s">
        <v>162</v>
      </c>
      <c r="L2" s="217" t="s">
        <v>163</v>
      </c>
      <c r="M2" s="217" t="s">
        <v>164</v>
      </c>
      <c r="N2" s="221"/>
      <c r="O2" s="156" t="s">
        <v>165</v>
      </c>
      <c r="P2" s="222" t="str">
        <f>AVERAGE(C1:M1)</f>
        <v>#DIV/0!</v>
      </c>
      <c r="Q2" s="16"/>
      <c r="R2" s="16"/>
      <c r="S2" s="16"/>
      <c r="T2" s="16"/>
      <c r="U2" s="16"/>
    </row>
    <row r="3" ht="18.75" customHeight="1">
      <c r="A3" s="223" t="s">
        <v>166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21"/>
      <c r="O3" s="156" t="s">
        <v>166</v>
      </c>
      <c r="P3" s="224" t="str">
        <f t="shared" ref="P3:P6" si="2">AVERAGE(B3:M3)</f>
        <v>#DIV/0!</v>
      </c>
      <c r="Q3" s="16"/>
      <c r="R3" s="16"/>
      <c r="S3" s="16"/>
      <c r="T3" s="16"/>
      <c r="U3" s="16"/>
    </row>
    <row r="4" ht="18.75" customHeight="1">
      <c r="A4" s="223" t="s">
        <v>167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21"/>
      <c r="O4" s="156" t="s">
        <v>167</v>
      </c>
      <c r="P4" s="224" t="str">
        <f t="shared" si="2"/>
        <v>#DIV/0!</v>
      </c>
      <c r="Q4" s="16"/>
      <c r="R4" s="16"/>
      <c r="S4" s="16"/>
      <c r="T4" s="16"/>
      <c r="U4" s="16"/>
    </row>
    <row r="5" ht="18.75" customHeight="1">
      <c r="A5" s="225" t="s">
        <v>168</v>
      </c>
      <c r="B5" s="226" t="str">
        <f t="shared" ref="B5:M5" si="3">IFERROR(B4/B3,"")</f>
        <v/>
      </c>
      <c r="C5" s="226" t="str">
        <f t="shared" si="3"/>
        <v/>
      </c>
      <c r="D5" s="226" t="str">
        <f t="shared" si="3"/>
        <v/>
      </c>
      <c r="E5" s="226" t="str">
        <f t="shared" si="3"/>
        <v/>
      </c>
      <c r="F5" s="226" t="str">
        <f t="shared" si="3"/>
        <v/>
      </c>
      <c r="G5" s="226" t="str">
        <f t="shared" si="3"/>
        <v/>
      </c>
      <c r="H5" s="226" t="str">
        <f t="shared" si="3"/>
        <v/>
      </c>
      <c r="I5" s="226" t="str">
        <f t="shared" si="3"/>
        <v/>
      </c>
      <c r="J5" s="226" t="str">
        <f t="shared" si="3"/>
        <v/>
      </c>
      <c r="K5" s="226" t="str">
        <f t="shared" si="3"/>
        <v/>
      </c>
      <c r="L5" s="226" t="str">
        <f t="shared" si="3"/>
        <v/>
      </c>
      <c r="M5" s="226" t="str">
        <f t="shared" si="3"/>
        <v/>
      </c>
      <c r="N5" s="227"/>
      <c r="O5" s="171" t="s">
        <v>168</v>
      </c>
      <c r="P5" s="228" t="str">
        <f t="shared" si="2"/>
        <v>#DIV/0!</v>
      </c>
      <c r="Q5" s="16"/>
      <c r="R5" s="16"/>
      <c r="S5" s="16"/>
      <c r="T5" s="16"/>
      <c r="U5" s="16"/>
    </row>
    <row r="6" ht="18.75" customHeight="1">
      <c r="A6" s="223" t="s">
        <v>169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21"/>
      <c r="O6" s="156" t="s">
        <v>169</v>
      </c>
      <c r="P6" s="229" t="str">
        <f t="shared" si="2"/>
        <v>#DIV/0!</v>
      </c>
      <c r="Q6" s="16"/>
      <c r="R6" s="16"/>
      <c r="S6" s="16"/>
      <c r="T6" s="16"/>
      <c r="U6" s="16"/>
    </row>
    <row r="7" ht="18.75" customHeight="1">
      <c r="A7" s="225" t="s">
        <v>170</v>
      </c>
      <c r="B7" s="230" t="str">
        <f t="shared" ref="B7:M7" si="4">IFERROR((B6/B3)*1,"")</f>
        <v/>
      </c>
      <c r="C7" s="230" t="str">
        <f t="shared" si="4"/>
        <v/>
      </c>
      <c r="D7" s="230" t="str">
        <f t="shared" si="4"/>
        <v/>
      </c>
      <c r="E7" s="230" t="str">
        <f t="shared" si="4"/>
        <v/>
      </c>
      <c r="F7" s="230" t="str">
        <f t="shared" si="4"/>
        <v/>
      </c>
      <c r="G7" s="230" t="str">
        <f t="shared" si="4"/>
        <v/>
      </c>
      <c r="H7" s="230" t="str">
        <f t="shared" si="4"/>
        <v/>
      </c>
      <c r="I7" s="230" t="str">
        <f t="shared" si="4"/>
        <v/>
      </c>
      <c r="J7" s="230" t="str">
        <f t="shared" si="4"/>
        <v/>
      </c>
      <c r="K7" s="230" t="str">
        <f t="shared" si="4"/>
        <v/>
      </c>
      <c r="L7" s="230" t="str">
        <f t="shared" si="4"/>
        <v/>
      </c>
      <c r="M7" s="230" t="str">
        <f t="shared" si="4"/>
        <v/>
      </c>
      <c r="N7" s="227"/>
      <c r="O7" s="171" t="s">
        <v>170</v>
      </c>
      <c r="P7" s="231" t="str">
        <f>AVERAGE(B7:J7)</f>
        <v>#DIV/0!</v>
      </c>
      <c r="Q7" s="16"/>
      <c r="R7" s="16"/>
      <c r="S7" s="16"/>
      <c r="T7" s="16"/>
      <c r="U7" s="16"/>
    </row>
    <row r="8" ht="18.75" customHeight="1">
      <c r="A8" s="225" t="s">
        <v>171</v>
      </c>
      <c r="B8" s="232">
        <f t="shared" ref="B8:M8" si="5">IFERROR(B3-B6,"")</f>
        <v>0</v>
      </c>
      <c r="C8" s="232">
        <f t="shared" si="5"/>
        <v>0</v>
      </c>
      <c r="D8" s="232">
        <f t="shared" si="5"/>
        <v>0</v>
      </c>
      <c r="E8" s="232">
        <f t="shared" si="5"/>
        <v>0</v>
      </c>
      <c r="F8" s="232">
        <f t="shared" si="5"/>
        <v>0</v>
      </c>
      <c r="G8" s="232">
        <f t="shared" si="5"/>
        <v>0</v>
      </c>
      <c r="H8" s="232">
        <f t="shared" si="5"/>
        <v>0</v>
      </c>
      <c r="I8" s="232">
        <f t="shared" si="5"/>
        <v>0</v>
      </c>
      <c r="J8" s="232">
        <f t="shared" si="5"/>
        <v>0</v>
      </c>
      <c r="K8" s="232">
        <f t="shared" si="5"/>
        <v>0</v>
      </c>
      <c r="L8" s="232">
        <f t="shared" si="5"/>
        <v>0</v>
      </c>
      <c r="M8" s="232">
        <f t="shared" si="5"/>
        <v>0</v>
      </c>
      <c r="N8" s="227"/>
      <c r="O8" s="171" t="s">
        <v>171</v>
      </c>
      <c r="P8" s="229">
        <f t="shared" ref="P8:P25" si="7">AVERAGE(B8:M8)</f>
        <v>0</v>
      </c>
      <c r="Q8" s="16"/>
      <c r="R8" s="16"/>
      <c r="S8" s="16"/>
      <c r="T8" s="16"/>
      <c r="U8" s="16"/>
    </row>
    <row r="9" ht="18.75" customHeight="1">
      <c r="A9" s="225" t="s">
        <v>172</v>
      </c>
      <c r="B9" s="230" t="str">
        <f t="shared" ref="B9:M9" si="6">IFERROR((B8/B3)*1,"")</f>
        <v/>
      </c>
      <c r="C9" s="230" t="str">
        <f t="shared" si="6"/>
        <v/>
      </c>
      <c r="D9" s="230" t="str">
        <f t="shared" si="6"/>
        <v/>
      </c>
      <c r="E9" s="230" t="str">
        <f t="shared" si="6"/>
        <v/>
      </c>
      <c r="F9" s="230" t="str">
        <f t="shared" si="6"/>
        <v/>
      </c>
      <c r="G9" s="230" t="str">
        <f t="shared" si="6"/>
        <v/>
      </c>
      <c r="H9" s="230" t="str">
        <f t="shared" si="6"/>
        <v/>
      </c>
      <c r="I9" s="230" t="str">
        <f t="shared" si="6"/>
        <v/>
      </c>
      <c r="J9" s="230" t="str">
        <f t="shared" si="6"/>
        <v/>
      </c>
      <c r="K9" s="230" t="str">
        <f t="shared" si="6"/>
        <v/>
      </c>
      <c r="L9" s="230" t="str">
        <f t="shared" si="6"/>
        <v/>
      </c>
      <c r="M9" s="230" t="str">
        <f t="shared" si="6"/>
        <v/>
      </c>
      <c r="N9" s="227"/>
      <c r="O9" s="171" t="s">
        <v>172</v>
      </c>
      <c r="P9" s="231" t="str">
        <f t="shared" si="7"/>
        <v>#DIV/0!</v>
      </c>
      <c r="Q9" s="16"/>
      <c r="R9" s="16"/>
      <c r="S9" s="16"/>
      <c r="T9" s="16"/>
      <c r="U9" s="16"/>
    </row>
    <row r="10" ht="18.75" customHeight="1">
      <c r="A10" s="223" t="s">
        <v>173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27"/>
      <c r="O10" s="171" t="s">
        <v>173</v>
      </c>
      <c r="P10" s="234" t="str">
        <f t="shared" si="7"/>
        <v>#DIV/0!</v>
      </c>
      <c r="Q10" s="16"/>
      <c r="R10" s="16"/>
      <c r="S10" s="16"/>
      <c r="T10" s="16"/>
      <c r="U10" s="16"/>
    </row>
    <row r="11" ht="18.75" customHeight="1">
      <c r="A11" s="225" t="s">
        <v>174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27"/>
      <c r="O11" s="171" t="s">
        <v>174</v>
      </c>
      <c r="P11" s="231" t="str">
        <f t="shared" si="7"/>
        <v>#DIV/0!</v>
      </c>
      <c r="Q11" s="16"/>
      <c r="R11" s="16"/>
      <c r="S11" s="16"/>
      <c r="T11" s="16"/>
      <c r="U11" s="16"/>
    </row>
    <row r="12" ht="18.75" customHeight="1">
      <c r="A12" s="223" t="s">
        <v>175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27"/>
      <c r="O12" s="171" t="s">
        <v>176</v>
      </c>
      <c r="P12" s="229" t="str">
        <f t="shared" si="7"/>
        <v>#DIV/0!</v>
      </c>
      <c r="Q12" s="16"/>
      <c r="R12" s="16"/>
      <c r="S12" s="16"/>
      <c r="T12" s="16"/>
      <c r="U12" s="16"/>
    </row>
    <row r="13" ht="18.75" customHeight="1">
      <c r="A13" s="223" t="s">
        <v>177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27"/>
      <c r="O13" s="171" t="s">
        <v>178</v>
      </c>
      <c r="P13" s="229" t="str">
        <f t="shared" si="7"/>
        <v>#DIV/0!</v>
      </c>
      <c r="Q13" s="16"/>
      <c r="R13" s="16"/>
      <c r="S13" s="16"/>
      <c r="T13" s="16"/>
      <c r="U13" s="16"/>
    </row>
    <row r="14" ht="18.75" customHeight="1">
      <c r="A14" s="225" t="s">
        <v>119</v>
      </c>
      <c r="B14" s="235" t="str">
        <f t="shared" ref="B14:M14" si="8">IFERROR(B10/B12,"")</f>
        <v/>
      </c>
      <c r="C14" s="235" t="str">
        <f t="shared" si="8"/>
        <v/>
      </c>
      <c r="D14" s="235" t="str">
        <f t="shared" si="8"/>
        <v/>
      </c>
      <c r="E14" s="235" t="str">
        <f t="shared" si="8"/>
        <v/>
      </c>
      <c r="F14" s="235" t="str">
        <f t="shared" si="8"/>
        <v/>
      </c>
      <c r="G14" s="235" t="str">
        <f t="shared" si="8"/>
        <v/>
      </c>
      <c r="H14" s="235" t="str">
        <f t="shared" si="8"/>
        <v/>
      </c>
      <c r="I14" s="235" t="str">
        <f t="shared" si="8"/>
        <v/>
      </c>
      <c r="J14" s="235" t="str">
        <f t="shared" si="8"/>
        <v/>
      </c>
      <c r="K14" s="235" t="str">
        <f t="shared" si="8"/>
        <v/>
      </c>
      <c r="L14" s="235" t="str">
        <f t="shared" si="8"/>
        <v/>
      </c>
      <c r="M14" s="235" t="str">
        <f t="shared" si="8"/>
        <v/>
      </c>
      <c r="N14" s="227"/>
      <c r="O14" s="171" t="s">
        <v>119</v>
      </c>
      <c r="P14" s="234" t="str">
        <f t="shared" si="7"/>
        <v>#DIV/0!</v>
      </c>
      <c r="Q14" s="16"/>
      <c r="R14" s="16"/>
      <c r="S14" s="16"/>
      <c r="T14" s="16"/>
      <c r="U14" s="16"/>
    </row>
    <row r="15" ht="18.75" customHeight="1">
      <c r="A15" s="225" t="s">
        <v>179</v>
      </c>
      <c r="B15" s="235" t="str">
        <f t="shared" ref="B15:M15" si="9">IFERROR(B10/B13,"")</f>
        <v/>
      </c>
      <c r="C15" s="235" t="str">
        <f t="shared" si="9"/>
        <v/>
      </c>
      <c r="D15" s="235" t="str">
        <f t="shared" si="9"/>
        <v/>
      </c>
      <c r="E15" s="235" t="str">
        <f t="shared" si="9"/>
        <v/>
      </c>
      <c r="F15" s="235" t="str">
        <f t="shared" si="9"/>
        <v/>
      </c>
      <c r="G15" s="235" t="str">
        <f t="shared" si="9"/>
        <v/>
      </c>
      <c r="H15" s="235" t="str">
        <f t="shared" si="9"/>
        <v/>
      </c>
      <c r="I15" s="235" t="str">
        <f t="shared" si="9"/>
        <v/>
      </c>
      <c r="J15" s="235" t="str">
        <f t="shared" si="9"/>
        <v/>
      </c>
      <c r="K15" s="235" t="str">
        <f t="shared" si="9"/>
        <v/>
      </c>
      <c r="L15" s="235" t="str">
        <f t="shared" si="9"/>
        <v/>
      </c>
      <c r="M15" s="235" t="str">
        <f t="shared" si="9"/>
        <v/>
      </c>
      <c r="N15" s="227"/>
      <c r="O15" s="171" t="s">
        <v>180</v>
      </c>
      <c r="P15" s="234" t="str">
        <f t="shared" si="7"/>
        <v>#DIV/0!</v>
      </c>
      <c r="Q15" s="16"/>
      <c r="R15" s="16"/>
      <c r="S15" s="16"/>
      <c r="T15" s="16"/>
      <c r="U15" s="16"/>
    </row>
    <row r="16" ht="18.75" customHeight="1">
      <c r="A16" s="225" t="s">
        <v>181</v>
      </c>
      <c r="B16" s="226" t="str">
        <f t="shared" ref="B16:M16" si="10">IFERROR(B3/B12,"")</f>
        <v/>
      </c>
      <c r="C16" s="226" t="str">
        <f t="shared" si="10"/>
        <v/>
      </c>
      <c r="D16" s="226" t="str">
        <f t="shared" si="10"/>
        <v/>
      </c>
      <c r="E16" s="226" t="str">
        <f t="shared" si="10"/>
        <v/>
      </c>
      <c r="F16" s="226" t="str">
        <f t="shared" si="10"/>
        <v/>
      </c>
      <c r="G16" s="226" t="str">
        <f t="shared" si="10"/>
        <v/>
      </c>
      <c r="H16" s="226" t="str">
        <f t="shared" si="10"/>
        <v/>
      </c>
      <c r="I16" s="226" t="str">
        <f t="shared" si="10"/>
        <v/>
      </c>
      <c r="J16" s="226" t="str">
        <f t="shared" si="10"/>
        <v/>
      </c>
      <c r="K16" s="226" t="str">
        <f t="shared" si="10"/>
        <v/>
      </c>
      <c r="L16" s="226" t="str">
        <f t="shared" si="10"/>
        <v/>
      </c>
      <c r="M16" s="226" t="str">
        <f t="shared" si="10"/>
        <v/>
      </c>
      <c r="N16" s="227"/>
      <c r="O16" s="171" t="s">
        <v>182</v>
      </c>
      <c r="P16" s="228" t="str">
        <f t="shared" si="7"/>
        <v>#DIV/0!</v>
      </c>
      <c r="Q16" s="16"/>
      <c r="R16" s="16"/>
      <c r="S16" s="16"/>
      <c r="T16" s="16"/>
      <c r="U16" s="16"/>
    </row>
    <row r="17" ht="18.75" customHeight="1">
      <c r="A17" s="225" t="s">
        <v>183</v>
      </c>
      <c r="B17" s="226" t="str">
        <f t="shared" ref="B17:M17" si="11">IFERROR(B4/B12,"")</f>
        <v/>
      </c>
      <c r="C17" s="226" t="str">
        <f t="shared" si="11"/>
        <v/>
      </c>
      <c r="D17" s="226" t="str">
        <f t="shared" si="11"/>
        <v/>
      </c>
      <c r="E17" s="226" t="str">
        <f t="shared" si="11"/>
        <v/>
      </c>
      <c r="F17" s="226" t="str">
        <f t="shared" si="11"/>
        <v/>
      </c>
      <c r="G17" s="226" t="str">
        <f t="shared" si="11"/>
        <v/>
      </c>
      <c r="H17" s="226" t="str">
        <f t="shared" si="11"/>
        <v/>
      </c>
      <c r="I17" s="226" t="str">
        <f t="shared" si="11"/>
        <v/>
      </c>
      <c r="J17" s="226" t="str">
        <f t="shared" si="11"/>
        <v/>
      </c>
      <c r="K17" s="226" t="str">
        <f t="shared" si="11"/>
        <v/>
      </c>
      <c r="L17" s="226" t="str">
        <f t="shared" si="11"/>
        <v/>
      </c>
      <c r="M17" s="226" t="str">
        <f t="shared" si="11"/>
        <v/>
      </c>
      <c r="N17" s="227"/>
      <c r="O17" s="171" t="s">
        <v>184</v>
      </c>
      <c r="P17" s="228" t="str">
        <f t="shared" si="7"/>
        <v>#DIV/0!</v>
      </c>
      <c r="Q17" s="16"/>
      <c r="R17" s="16"/>
      <c r="S17" s="16"/>
      <c r="T17" s="16"/>
      <c r="U17" s="16"/>
    </row>
    <row r="18" ht="18.75" customHeight="1">
      <c r="A18" s="225" t="s">
        <v>185</v>
      </c>
      <c r="B18" s="236" t="str">
        <f t="shared" ref="B18:M18" si="12">IFERROR(B10/B3,"")</f>
        <v/>
      </c>
      <c r="C18" s="236" t="str">
        <f t="shared" si="12"/>
        <v/>
      </c>
      <c r="D18" s="236" t="str">
        <f t="shared" si="12"/>
        <v/>
      </c>
      <c r="E18" s="236" t="str">
        <f t="shared" si="12"/>
        <v/>
      </c>
      <c r="F18" s="236" t="str">
        <f t="shared" si="12"/>
        <v/>
      </c>
      <c r="G18" s="236" t="str">
        <f t="shared" si="12"/>
        <v/>
      </c>
      <c r="H18" s="236" t="str">
        <f t="shared" si="12"/>
        <v/>
      </c>
      <c r="I18" s="236" t="str">
        <f t="shared" si="12"/>
        <v/>
      </c>
      <c r="J18" s="236" t="str">
        <f t="shared" si="12"/>
        <v/>
      </c>
      <c r="K18" s="236" t="str">
        <f t="shared" si="12"/>
        <v/>
      </c>
      <c r="L18" s="236" t="str">
        <f t="shared" si="12"/>
        <v/>
      </c>
      <c r="M18" s="236" t="str">
        <f t="shared" si="12"/>
        <v/>
      </c>
      <c r="N18" s="227"/>
      <c r="O18" s="171" t="s">
        <v>185</v>
      </c>
      <c r="P18" s="224" t="str">
        <f t="shared" si="7"/>
        <v>#DIV/0!</v>
      </c>
      <c r="Q18" s="16"/>
      <c r="R18" s="16"/>
      <c r="S18" s="16"/>
      <c r="T18" s="16"/>
      <c r="U18" s="16"/>
    </row>
    <row r="19" ht="18.75" customHeight="1">
      <c r="A19" s="225" t="s">
        <v>186</v>
      </c>
      <c r="B19" s="236" t="str">
        <f t="shared" ref="B19:M19" si="13">IFERROR(B10/B4,"")</f>
        <v/>
      </c>
      <c r="C19" s="236" t="str">
        <f t="shared" si="13"/>
        <v/>
      </c>
      <c r="D19" s="236" t="str">
        <f t="shared" si="13"/>
        <v/>
      </c>
      <c r="E19" s="236" t="str">
        <f t="shared" si="13"/>
        <v/>
      </c>
      <c r="F19" s="236" t="str">
        <f t="shared" si="13"/>
        <v/>
      </c>
      <c r="G19" s="236" t="str">
        <f t="shared" si="13"/>
        <v/>
      </c>
      <c r="H19" s="236" t="str">
        <f t="shared" si="13"/>
        <v/>
      </c>
      <c r="I19" s="236" t="str">
        <f t="shared" si="13"/>
        <v/>
      </c>
      <c r="J19" s="236" t="str">
        <f t="shared" si="13"/>
        <v/>
      </c>
      <c r="K19" s="236" t="str">
        <f t="shared" si="13"/>
        <v/>
      </c>
      <c r="L19" s="236" t="str">
        <f t="shared" si="13"/>
        <v/>
      </c>
      <c r="M19" s="236" t="str">
        <f t="shared" si="13"/>
        <v/>
      </c>
      <c r="N19" s="227"/>
      <c r="O19" s="171" t="s">
        <v>186</v>
      </c>
      <c r="P19" s="224" t="str">
        <f t="shared" si="7"/>
        <v>#DIV/0!</v>
      </c>
      <c r="Q19" s="16"/>
      <c r="R19" s="16"/>
      <c r="S19" s="16"/>
      <c r="T19" s="16"/>
      <c r="U19" s="16"/>
    </row>
    <row r="20" ht="18.75" customHeight="1">
      <c r="A20" s="237" t="s">
        <v>187</v>
      </c>
      <c r="B20" s="238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27"/>
      <c r="O20" s="171" t="s">
        <v>187</v>
      </c>
      <c r="P20" s="229" t="str">
        <f t="shared" si="7"/>
        <v>#DIV/0!</v>
      </c>
      <c r="Q20" s="16"/>
      <c r="R20" s="16"/>
      <c r="S20" s="16"/>
      <c r="T20" s="16"/>
      <c r="U20" s="16"/>
    </row>
    <row r="21" ht="18.75" customHeight="1">
      <c r="A21" s="225" t="s">
        <v>188</v>
      </c>
      <c r="B21" s="236" t="str">
        <f t="shared" ref="B21:M21" si="14">iferror(B10/B20,"")</f>
        <v/>
      </c>
      <c r="C21" s="236" t="str">
        <f t="shared" si="14"/>
        <v/>
      </c>
      <c r="D21" s="236" t="str">
        <f t="shared" si="14"/>
        <v/>
      </c>
      <c r="E21" s="236" t="str">
        <f t="shared" si="14"/>
        <v/>
      </c>
      <c r="F21" s="236" t="str">
        <f t="shared" si="14"/>
        <v/>
      </c>
      <c r="G21" s="236" t="str">
        <f t="shared" si="14"/>
        <v/>
      </c>
      <c r="H21" s="236" t="str">
        <f t="shared" si="14"/>
        <v/>
      </c>
      <c r="I21" s="236" t="str">
        <f t="shared" si="14"/>
        <v/>
      </c>
      <c r="J21" s="236" t="str">
        <f t="shared" si="14"/>
        <v/>
      </c>
      <c r="K21" s="236" t="str">
        <f t="shared" si="14"/>
        <v/>
      </c>
      <c r="L21" s="236" t="str">
        <f t="shared" si="14"/>
        <v/>
      </c>
      <c r="M21" s="236" t="str">
        <f t="shared" si="14"/>
        <v/>
      </c>
      <c r="N21" s="227"/>
      <c r="O21" s="171" t="s">
        <v>188</v>
      </c>
      <c r="P21" s="224" t="str">
        <f t="shared" si="7"/>
        <v>#DIV/0!</v>
      </c>
      <c r="Q21" s="16"/>
      <c r="R21" s="16"/>
      <c r="S21" s="16"/>
      <c r="T21" s="16"/>
      <c r="U21" s="16"/>
    </row>
    <row r="22" ht="18.75" customHeight="1">
      <c r="A22" s="237" t="s">
        <v>189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27"/>
      <c r="O22" s="171" t="s">
        <v>189</v>
      </c>
      <c r="P22" s="224" t="str">
        <f t="shared" si="7"/>
        <v>#DIV/0!</v>
      </c>
      <c r="Q22" s="16"/>
      <c r="R22" s="16"/>
      <c r="S22" s="16"/>
      <c r="T22" s="16"/>
      <c r="U22" s="16"/>
    </row>
    <row r="23" ht="18.75" customHeight="1">
      <c r="A23" s="225" t="s">
        <v>68</v>
      </c>
      <c r="B23" s="240" t="str">
        <f t="shared" ref="B23:M23" si="15">iferror(B22/B20,"")</f>
        <v/>
      </c>
      <c r="C23" s="240" t="str">
        <f t="shared" si="15"/>
        <v/>
      </c>
      <c r="D23" s="240" t="str">
        <f t="shared" si="15"/>
        <v/>
      </c>
      <c r="E23" s="240" t="str">
        <f t="shared" si="15"/>
        <v/>
      </c>
      <c r="F23" s="240" t="str">
        <f t="shared" si="15"/>
        <v/>
      </c>
      <c r="G23" s="240" t="str">
        <f t="shared" si="15"/>
        <v/>
      </c>
      <c r="H23" s="240" t="str">
        <f t="shared" si="15"/>
        <v/>
      </c>
      <c r="I23" s="240" t="str">
        <f t="shared" si="15"/>
        <v/>
      </c>
      <c r="J23" s="240" t="str">
        <f t="shared" si="15"/>
        <v/>
      </c>
      <c r="K23" s="240" t="str">
        <f t="shared" si="15"/>
        <v/>
      </c>
      <c r="L23" s="240" t="str">
        <f t="shared" si="15"/>
        <v/>
      </c>
      <c r="M23" s="240" t="str">
        <f t="shared" si="15"/>
        <v/>
      </c>
      <c r="N23" s="227"/>
      <c r="O23" s="171" t="s">
        <v>68</v>
      </c>
      <c r="P23" s="224" t="str">
        <f t="shared" si="7"/>
        <v>#DIV/0!</v>
      </c>
      <c r="Q23" s="16"/>
      <c r="R23" s="16"/>
      <c r="S23" s="16"/>
      <c r="T23" s="16"/>
      <c r="U23" s="16"/>
    </row>
    <row r="24" ht="18.75" customHeight="1">
      <c r="A24" s="225" t="s">
        <v>125</v>
      </c>
      <c r="B24" s="226" t="str">
        <f t="shared" ref="B24:M24" si="16">iferror(B20/B3,"")</f>
        <v/>
      </c>
      <c r="C24" s="226" t="str">
        <f t="shared" si="16"/>
        <v/>
      </c>
      <c r="D24" s="226" t="str">
        <f t="shared" si="16"/>
        <v/>
      </c>
      <c r="E24" s="226" t="str">
        <f t="shared" si="16"/>
        <v/>
      </c>
      <c r="F24" s="226" t="str">
        <f t="shared" si="16"/>
        <v/>
      </c>
      <c r="G24" s="226" t="str">
        <f t="shared" si="16"/>
        <v/>
      </c>
      <c r="H24" s="226" t="str">
        <f t="shared" si="16"/>
        <v/>
      </c>
      <c r="I24" s="226" t="str">
        <f t="shared" si="16"/>
        <v/>
      </c>
      <c r="J24" s="226" t="str">
        <f t="shared" si="16"/>
        <v/>
      </c>
      <c r="K24" s="226" t="str">
        <f t="shared" si="16"/>
        <v/>
      </c>
      <c r="L24" s="226" t="str">
        <f t="shared" si="16"/>
        <v/>
      </c>
      <c r="M24" s="226" t="str">
        <f t="shared" si="16"/>
        <v/>
      </c>
      <c r="N24" s="227"/>
      <c r="O24" s="171" t="s">
        <v>125</v>
      </c>
      <c r="P24" s="228" t="str">
        <f t="shared" si="7"/>
        <v>#DIV/0!</v>
      </c>
      <c r="Q24" s="16"/>
      <c r="R24" s="16"/>
      <c r="S24" s="16"/>
      <c r="T24" s="16"/>
      <c r="U24" s="16"/>
    </row>
    <row r="25" ht="18.75" customHeight="1">
      <c r="A25" s="225" t="s">
        <v>141</v>
      </c>
      <c r="B25" s="241" t="str">
        <f t="shared" ref="B25:M25" si="17">iferror(B22/B10,"")</f>
        <v/>
      </c>
      <c r="C25" s="241" t="str">
        <f t="shared" si="17"/>
        <v/>
      </c>
      <c r="D25" s="241" t="str">
        <f t="shared" si="17"/>
        <v/>
      </c>
      <c r="E25" s="241" t="str">
        <f t="shared" si="17"/>
        <v/>
      </c>
      <c r="F25" s="241" t="str">
        <f t="shared" si="17"/>
        <v/>
      </c>
      <c r="G25" s="241" t="str">
        <f t="shared" si="17"/>
        <v/>
      </c>
      <c r="H25" s="241" t="str">
        <f t="shared" si="17"/>
        <v/>
      </c>
      <c r="I25" s="241" t="str">
        <f t="shared" si="17"/>
        <v/>
      </c>
      <c r="J25" s="241" t="str">
        <f t="shared" si="17"/>
        <v/>
      </c>
      <c r="K25" s="241" t="str">
        <f t="shared" si="17"/>
        <v/>
      </c>
      <c r="L25" s="241" t="str">
        <f t="shared" si="17"/>
        <v/>
      </c>
      <c r="M25" s="241" t="str">
        <f t="shared" si="17"/>
        <v/>
      </c>
      <c r="N25" s="227"/>
      <c r="O25" s="171" t="s">
        <v>141</v>
      </c>
      <c r="P25" s="224" t="str">
        <f t="shared" si="7"/>
        <v>#DIV/0!</v>
      </c>
      <c r="Q25" s="16"/>
      <c r="R25" s="16"/>
      <c r="S25" s="16"/>
      <c r="T25" s="16"/>
      <c r="U25" s="16"/>
    </row>
    <row r="26" ht="12.75" customHeight="1">
      <c r="A26" s="242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4"/>
      <c r="N26" s="245"/>
      <c r="O26" s="245"/>
      <c r="P26" s="245"/>
      <c r="Q26" s="16"/>
      <c r="R26" s="16"/>
      <c r="S26" s="16"/>
      <c r="T26" s="16"/>
      <c r="U26" s="16"/>
    </row>
    <row r="27" ht="12.75" customHeight="1"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4"/>
      <c r="N27" s="245"/>
      <c r="O27" s="245"/>
      <c r="P27" s="245"/>
      <c r="Q27" s="16"/>
      <c r="R27" s="16"/>
      <c r="S27" s="16"/>
      <c r="T27" s="16"/>
      <c r="U27" s="16"/>
    </row>
    <row r="28" ht="10.5" customHeight="1">
      <c r="A28" s="243"/>
      <c r="B28" s="243"/>
      <c r="C28" s="243"/>
      <c r="D28" s="243"/>
      <c r="E28" s="243"/>
      <c r="F28" s="243"/>
      <c r="G28" s="243"/>
      <c r="H28" s="243"/>
      <c r="I28" s="243"/>
      <c r="J28" s="16"/>
      <c r="K28" s="16"/>
      <c r="L28" s="16"/>
      <c r="M28" s="16"/>
      <c r="N28" s="244"/>
      <c r="O28" s="244"/>
      <c r="P28" s="246"/>
      <c r="Q28" s="16"/>
      <c r="R28" s="16"/>
      <c r="S28" s="16"/>
      <c r="T28" s="16"/>
      <c r="U28" s="16"/>
    </row>
    <row r="29" ht="22.5" customHeight="1">
      <c r="A29" s="247" t="s">
        <v>190</v>
      </c>
      <c r="B29" s="217" t="s">
        <v>153</v>
      </c>
      <c r="C29" s="217" t="s">
        <v>154</v>
      </c>
      <c r="D29" s="217" t="s">
        <v>155</v>
      </c>
      <c r="E29" s="217" t="s">
        <v>156</v>
      </c>
      <c r="F29" s="217" t="s">
        <v>157</v>
      </c>
      <c r="G29" s="217" t="s">
        <v>158</v>
      </c>
      <c r="H29" s="217" t="s">
        <v>159</v>
      </c>
      <c r="I29" s="217" t="s">
        <v>160</v>
      </c>
      <c r="J29" s="217" t="s">
        <v>161</v>
      </c>
      <c r="K29" s="217" t="s">
        <v>162</v>
      </c>
      <c r="L29" s="217" t="s">
        <v>163</v>
      </c>
      <c r="M29" s="217" t="s">
        <v>164</v>
      </c>
      <c r="N29" s="16"/>
      <c r="O29" s="248" t="s">
        <v>37</v>
      </c>
      <c r="P29" s="246"/>
      <c r="Q29" s="16"/>
      <c r="R29" s="16"/>
      <c r="S29" s="16"/>
      <c r="T29" s="16"/>
      <c r="U29" s="16"/>
    </row>
    <row r="30" ht="18.75" customHeight="1">
      <c r="A30" s="249" t="s">
        <v>191</v>
      </c>
      <c r="B30" s="250"/>
      <c r="C30" s="250"/>
      <c r="D30" s="250"/>
      <c r="E30" s="250"/>
      <c r="F30" s="250"/>
      <c r="G30" s="250"/>
      <c r="H30" s="250"/>
      <c r="I30" s="250"/>
      <c r="J30" s="250"/>
      <c r="K30" s="251"/>
      <c r="L30" s="251"/>
      <c r="M30" s="251"/>
      <c r="N30" s="16"/>
      <c r="O30" s="169">
        <f t="shared" ref="O30:O44" si="18">SUM(B30:M30)</f>
        <v>0</v>
      </c>
      <c r="P30" s="252" t="str">
        <f t="shared" ref="P30:P43" si="19">iferror(O30/$O$44,"")</f>
        <v/>
      </c>
      <c r="Q30" s="16"/>
      <c r="R30" s="16"/>
      <c r="S30" s="16"/>
      <c r="T30" s="16"/>
      <c r="U30" s="16"/>
    </row>
    <row r="31" ht="18.75" customHeight="1">
      <c r="A31" s="249" t="s">
        <v>192</v>
      </c>
      <c r="B31" s="250"/>
      <c r="C31" s="250"/>
      <c r="D31" s="250"/>
      <c r="E31" s="250"/>
      <c r="F31" s="250"/>
      <c r="G31" s="250"/>
      <c r="H31" s="250"/>
      <c r="I31" s="250"/>
      <c r="J31" s="250"/>
      <c r="K31" s="251"/>
      <c r="L31" s="251"/>
      <c r="M31" s="251"/>
      <c r="N31" s="16"/>
      <c r="O31" s="169">
        <f t="shared" si="18"/>
        <v>0</v>
      </c>
      <c r="P31" s="252" t="str">
        <f t="shared" si="19"/>
        <v/>
      </c>
      <c r="Q31" s="16"/>
      <c r="R31" s="16"/>
      <c r="S31" s="16"/>
      <c r="T31" s="16"/>
      <c r="U31" s="16"/>
    </row>
    <row r="32" ht="18.75" customHeight="1">
      <c r="A32" s="249" t="s">
        <v>193</v>
      </c>
      <c r="B32" s="250"/>
      <c r="C32" s="250"/>
      <c r="D32" s="250"/>
      <c r="E32" s="250"/>
      <c r="F32" s="250"/>
      <c r="G32" s="250"/>
      <c r="H32" s="250"/>
      <c r="I32" s="250"/>
      <c r="J32" s="250"/>
      <c r="K32" s="251"/>
      <c r="L32" s="251"/>
      <c r="M32" s="251"/>
      <c r="N32" s="16"/>
      <c r="O32" s="169">
        <f t="shared" si="18"/>
        <v>0</v>
      </c>
      <c r="P32" s="252" t="str">
        <f t="shared" si="19"/>
        <v/>
      </c>
      <c r="Q32" s="16"/>
      <c r="R32" s="16"/>
      <c r="S32" s="16"/>
      <c r="T32" s="16"/>
      <c r="U32" s="16"/>
    </row>
    <row r="33" ht="18.75" customHeight="1">
      <c r="A33" s="249" t="s">
        <v>194</v>
      </c>
      <c r="B33" s="250"/>
      <c r="C33" s="250"/>
      <c r="D33" s="250"/>
      <c r="E33" s="250"/>
      <c r="F33" s="250"/>
      <c r="G33" s="250"/>
      <c r="H33" s="250"/>
      <c r="I33" s="250"/>
      <c r="J33" s="250"/>
      <c r="K33" s="251"/>
      <c r="L33" s="251"/>
      <c r="M33" s="251"/>
      <c r="N33" s="16"/>
      <c r="O33" s="169">
        <f t="shared" si="18"/>
        <v>0</v>
      </c>
      <c r="P33" s="252" t="str">
        <f t="shared" si="19"/>
        <v/>
      </c>
      <c r="Q33" s="16"/>
      <c r="R33" s="16"/>
      <c r="S33" s="16"/>
      <c r="T33" s="16"/>
      <c r="U33" s="16"/>
    </row>
    <row r="34" ht="18.75" customHeight="1">
      <c r="A34" s="249" t="s">
        <v>195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1"/>
      <c r="L34" s="251"/>
      <c r="M34" s="251"/>
      <c r="N34" s="16"/>
      <c r="O34" s="169">
        <f t="shared" si="18"/>
        <v>0</v>
      </c>
      <c r="P34" s="252" t="str">
        <f t="shared" si="19"/>
        <v/>
      </c>
      <c r="Q34" s="16"/>
      <c r="R34" s="16"/>
      <c r="S34" s="16"/>
      <c r="T34" s="16"/>
      <c r="U34" s="16"/>
    </row>
    <row r="35" ht="18.75" customHeight="1">
      <c r="A35" s="249" t="s">
        <v>196</v>
      </c>
      <c r="B35" s="250"/>
      <c r="C35" s="250"/>
      <c r="D35" s="250"/>
      <c r="E35" s="250"/>
      <c r="F35" s="250"/>
      <c r="G35" s="250"/>
      <c r="H35" s="250"/>
      <c r="I35" s="250"/>
      <c r="J35" s="250"/>
      <c r="K35" s="251"/>
      <c r="L35" s="251"/>
      <c r="M35" s="251"/>
      <c r="N35" s="16"/>
      <c r="O35" s="169">
        <f t="shared" si="18"/>
        <v>0</v>
      </c>
      <c r="P35" s="252" t="str">
        <f t="shared" si="19"/>
        <v/>
      </c>
      <c r="Q35" s="16"/>
      <c r="R35" s="16"/>
      <c r="S35" s="16"/>
      <c r="T35" s="16"/>
      <c r="U35" s="16"/>
    </row>
    <row r="36" ht="18.75" customHeight="1">
      <c r="A36" s="249" t="s">
        <v>140</v>
      </c>
      <c r="B36" s="250"/>
      <c r="C36" s="250"/>
      <c r="D36" s="250"/>
      <c r="E36" s="250"/>
      <c r="F36" s="250"/>
      <c r="G36" s="250"/>
      <c r="H36" s="250"/>
      <c r="I36" s="250"/>
      <c r="J36" s="250"/>
      <c r="K36" s="251"/>
      <c r="L36" s="251"/>
      <c r="M36" s="251"/>
      <c r="N36" s="16"/>
      <c r="O36" s="169">
        <f t="shared" si="18"/>
        <v>0</v>
      </c>
      <c r="P36" s="252" t="str">
        <f t="shared" si="19"/>
        <v/>
      </c>
      <c r="Q36" s="16"/>
      <c r="R36" s="16"/>
      <c r="S36" s="16"/>
      <c r="T36" s="16"/>
      <c r="U36" s="16"/>
    </row>
    <row r="37" ht="18.75" customHeight="1">
      <c r="A37" s="249" t="s">
        <v>197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1"/>
      <c r="L37" s="251"/>
      <c r="M37" s="251"/>
      <c r="N37" s="16"/>
      <c r="O37" s="169">
        <f t="shared" si="18"/>
        <v>0</v>
      </c>
      <c r="P37" s="252" t="str">
        <f t="shared" si="19"/>
        <v/>
      </c>
      <c r="Q37" s="16"/>
      <c r="R37" s="16"/>
      <c r="S37" s="16"/>
      <c r="T37" s="16"/>
      <c r="U37" s="16"/>
    </row>
    <row r="38" ht="18.75" customHeight="1">
      <c r="A38" s="249" t="s">
        <v>198</v>
      </c>
      <c r="B38" s="250"/>
      <c r="C38" s="250"/>
      <c r="D38" s="250"/>
      <c r="E38" s="250"/>
      <c r="F38" s="250"/>
      <c r="G38" s="250"/>
      <c r="H38" s="250"/>
      <c r="I38" s="250"/>
      <c r="J38" s="250"/>
      <c r="K38" s="251"/>
      <c r="L38" s="251"/>
      <c r="M38" s="251"/>
      <c r="N38" s="16"/>
      <c r="O38" s="169">
        <f t="shared" si="18"/>
        <v>0</v>
      </c>
      <c r="P38" s="252" t="str">
        <f t="shared" si="19"/>
        <v/>
      </c>
      <c r="Q38" s="16"/>
      <c r="R38" s="16"/>
      <c r="S38" s="16"/>
      <c r="T38" s="16"/>
      <c r="U38" s="16"/>
    </row>
    <row r="39" ht="18.75" customHeight="1">
      <c r="A39" s="249" t="s">
        <v>199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1"/>
      <c r="L39" s="251"/>
      <c r="M39" s="251"/>
      <c r="N39" s="16"/>
      <c r="O39" s="169">
        <f t="shared" si="18"/>
        <v>0</v>
      </c>
      <c r="P39" s="252" t="str">
        <f t="shared" si="19"/>
        <v/>
      </c>
      <c r="Q39" s="16"/>
      <c r="R39" s="16"/>
      <c r="S39" s="16"/>
      <c r="T39" s="16"/>
      <c r="U39" s="16"/>
    </row>
    <row r="40" ht="18.75" customHeight="1">
      <c r="A40" s="249" t="s">
        <v>200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1"/>
      <c r="L40" s="251"/>
      <c r="M40" s="251"/>
      <c r="N40" s="16"/>
      <c r="O40" s="169">
        <f t="shared" si="18"/>
        <v>0</v>
      </c>
      <c r="P40" s="252" t="str">
        <f t="shared" si="19"/>
        <v/>
      </c>
      <c r="Q40" s="16"/>
      <c r="R40" s="16"/>
      <c r="S40" s="16"/>
      <c r="T40" s="16"/>
      <c r="U40" s="16"/>
    </row>
    <row r="41" ht="18.75" customHeight="1">
      <c r="A41" s="249" t="s">
        <v>201</v>
      </c>
      <c r="B41" s="250"/>
      <c r="C41" s="250"/>
      <c r="D41" s="250"/>
      <c r="E41" s="250"/>
      <c r="F41" s="250"/>
      <c r="G41" s="250"/>
      <c r="H41" s="250"/>
      <c r="I41" s="250"/>
      <c r="J41" s="250"/>
      <c r="K41" s="251"/>
      <c r="L41" s="251"/>
      <c r="M41" s="251"/>
      <c r="N41" s="16"/>
      <c r="O41" s="169">
        <f t="shared" si="18"/>
        <v>0</v>
      </c>
      <c r="P41" s="252" t="str">
        <f t="shared" si="19"/>
        <v/>
      </c>
      <c r="Q41" s="16"/>
      <c r="R41" s="16"/>
      <c r="S41" s="16"/>
      <c r="T41" s="16"/>
      <c r="U41" s="16"/>
    </row>
    <row r="42" ht="18.75" customHeight="1">
      <c r="A42" s="249" t="s">
        <v>202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1"/>
      <c r="L42" s="251"/>
      <c r="M42" s="251"/>
      <c r="N42" s="16"/>
      <c r="O42" s="169">
        <f t="shared" si="18"/>
        <v>0</v>
      </c>
      <c r="P42" s="252" t="str">
        <f t="shared" si="19"/>
        <v/>
      </c>
      <c r="Q42" s="16"/>
      <c r="R42" s="16"/>
      <c r="S42" s="16"/>
      <c r="T42" s="16"/>
      <c r="U42" s="16"/>
    </row>
    <row r="43" ht="18.75" customHeight="1">
      <c r="A43" s="249" t="s">
        <v>203</v>
      </c>
      <c r="B43" s="250"/>
      <c r="C43" s="250"/>
      <c r="D43" s="250"/>
      <c r="E43" s="250"/>
      <c r="F43" s="250"/>
      <c r="G43" s="250"/>
      <c r="H43" s="250"/>
      <c r="I43" s="250"/>
      <c r="J43" s="250"/>
      <c r="K43" s="251"/>
      <c r="L43" s="251"/>
      <c r="M43" s="251"/>
      <c r="N43" s="16"/>
      <c r="O43" s="169">
        <f t="shared" si="18"/>
        <v>0</v>
      </c>
      <c r="P43" s="252" t="str">
        <f t="shared" si="19"/>
        <v/>
      </c>
      <c r="Q43" s="16"/>
      <c r="R43" s="16"/>
      <c r="S43" s="16"/>
      <c r="T43" s="16"/>
      <c r="U43" s="16"/>
    </row>
    <row r="44" ht="18.75" customHeight="1">
      <c r="A44" s="253" t="s">
        <v>204</v>
      </c>
      <c r="B44" s="254">
        <f t="shared" ref="B44:M44" si="20">IFERROR(SUM(B30:B43),"")</f>
        <v>0</v>
      </c>
      <c r="C44" s="254">
        <f t="shared" si="20"/>
        <v>0</v>
      </c>
      <c r="D44" s="254">
        <f t="shared" si="20"/>
        <v>0</v>
      </c>
      <c r="E44" s="254">
        <f t="shared" si="20"/>
        <v>0</v>
      </c>
      <c r="F44" s="254">
        <f t="shared" si="20"/>
        <v>0</v>
      </c>
      <c r="G44" s="254">
        <f t="shared" si="20"/>
        <v>0</v>
      </c>
      <c r="H44" s="254">
        <f t="shared" si="20"/>
        <v>0</v>
      </c>
      <c r="I44" s="254">
        <f t="shared" si="20"/>
        <v>0</v>
      </c>
      <c r="J44" s="254">
        <f t="shared" si="20"/>
        <v>0</v>
      </c>
      <c r="K44" s="254">
        <f t="shared" si="20"/>
        <v>0</v>
      </c>
      <c r="L44" s="254">
        <f t="shared" si="20"/>
        <v>0</v>
      </c>
      <c r="M44" s="255">
        <f t="shared" si="20"/>
        <v>0</v>
      </c>
      <c r="N44" s="16"/>
      <c r="O44" s="256">
        <f t="shared" si="18"/>
        <v>0</v>
      </c>
      <c r="P44" s="16"/>
      <c r="Q44" s="16"/>
      <c r="R44" s="16"/>
      <c r="S44" s="16"/>
      <c r="T44" s="16"/>
      <c r="U44" s="16"/>
    </row>
    <row r="45" ht="18.75" customHeight="1">
      <c r="A45" s="253" t="s">
        <v>205</v>
      </c>
      <c r="B45" s="222" t="str">
        <f t="shared" ref="B45:M45" si="21">IFERROR(B44/$O$44,"")</f>
        <v/>
      </c>
      <c r="C45" s="222" t="str">
        <f t="shared" si="21"/>
        <v/>
      </c>
      <c r="D45" s="222" t="str">
        <f t="shared" si="21"/>
        <v/>
      </c>
      <c r="E45" s="222" t="str">
        <f t="shared" si="21"/>
        <v/>
      </c>
      <c r="F45" s="222" t="str">
        <f t="shared" si="21"/>
        <v/>
      </c>
      <c r="G45" s="222" t="str">
        <f t="shared" si="21"/>
        <v/>
      </c>
      <c r="H45" s="222" t="str">
        <f t="shared" si="21"/>
        <v/>
      </c>
      <c r="I45" s="222" t="str">
        <f t="shared" si="21"/>
        <v/>
      </c>
      <c r="J45" s="222" t="str">
        <f t="shared" si="21"/>
        <v/>
      </c>
      <c r="K45" s="222" t="str">
        <f t="shared" si="21"/>
        <v/>
      </c>
      <c r="L45" s="222" t="str">
        <f t="shared" si="21"/>
        <v/>
      </c>
      <c r="M45" s="222" t="str">
        <f t="shared" si="21"/>
        <v/>
      </c>
      <c r="N45" s="16"/>
      <c r="O45" s="257"/>
      <c r="P45" s="16"/>
      <c r="Q45" s="16"/>
      <c r="R45" s="16"/>
      <c r="S45" s="16"/>
      <c r="T45" s="16"/>
      <c r="U45" s="16"/>
    </row>
    <row r="46" ht="12.75" customHeight="1">
      <c r="A46" s="258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16"/>
      <c r="Q46" s="16"/>
      <c r="R46" s="16"/>
      <c r="S46" s="16"/>
      <c r="T46" s="16"/>
      <c r="U46" s="16"/>
    </row>
    <row r="47" ht="12.75" customHeight="1"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16"/>
      <c r="Q47" s="16"/>
      <c r="R47" s="16"/>
      <c r="S47" s="16"/>
      <c r="T47" s="16"/>
      <c r="U47" s="16"/>
    </row>
    <row r="48" ht="12.75" customHeight="1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16"/>
      <c r="Q48" s="16"/>
      <c r="R48" s="16"/>
      <c r="S48" s="16"/>
      <c r="T48" s="16"/>
      <c r="U48" s="16"/>
    </row>
    <row r="49" ht="12.75" customHeight="1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16"/>
      <c r="Q49" s="16"/>
      <c r="R49" s="16"/>
      <c r="S49" s="16"/>
      <c r="T49" s="16"/>
      <c r="U49" s="16"/>
    </row>
    <row r="50" ht="12.75" customHeight="1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16"/>
      <c r="Q50" s="16"/>
      <c r="R50" s="16"/>
      <c r="S50" s="16"/>
      <c r="T50" s="16"/>
      <c r="U50" s="16"/>
    </row>
    <row r="51" ht="12.75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16"/>
      <c r="Q51" s="16"/>
      <c r="R51" s="16"/>
      <c r="S51" s="16"/>
      <c r="T51" s="16"/>
      <c r="U51" s="16"/>
    </row>
    <row r="52" ht="12.75" customHeight="1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16"/>
      <c r="Q52" s="16"/>
      <c r="R52" s="16"/>
      <c r="S52" s="16"/>
      <c r="T52" s="16"/>
      <c r="U52" s="16"/>
    </row>
    <row r="53" ht="12.75" customHeight="1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16"/>
      <c r="Q53" s="16"/>
      <c r="R53" s="16"/>
      <c r="S53" s="16"/>
      <c r="T53" s="16"/>
      <c r="U53" s="16"/>
    </row>
    <row r="54" ht="12.75" customHeight="1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16"/>
      <c r="Q54" s="16"/>
      <c r="R54" s="16"/>
      <c r="S54" s="16"/>
      <c r="T54" s="16"/>
      <c r="U54" s="16"/>
    </row>
    <row r="55" ht="12.75" customHeight="1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16"/>
      <c r="Q55" s="16"/>
      <c r="R55" s="16"/>
      <c r="S55" s="16"/>
      <c r="T55" s="16"/>
      <c r="U55" s="16"/>
    </row>
    <row r="56" ht="12.75" customHeight="1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16"/>
      <c r="Q56" s="16"/>
      <c r="R56" s="16"/>
      <c r="S56" s="16"/>
      <c r="T56" s="16"/>
      <c r="U56" s="16"/>
    </row>
    <row r="57" ht="12.75" customHeight="1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16"/>
      <c r="Q57" s="16"/>
      <c r="R57" s="16"/>
      <c r="S57" s="16"/>
      <c r="T57" s="16"/>
      <c r="U57" s="16"/>
    </row>
    <row r="58" ht="12.75" customHeight="1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16"/>
      <c r="Q58" s="16"/>
      <c r="R58" s="16"/>
      <c r="S58" s="16"/>
      <c r="T58" s="16"/>
      <c r="U58" s="16"/>
    </row>
    <row r="59" ht="12.75" customHeight="1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16"/>
      <c r="Q59" s="16"/>
      <c r="R59" s="16"/>
      <c r="S59" s="16"/>
      <c r="T59" s="16"/>
      <c r="U59" s="16"/>
    </row>
    <row r="60" ht="12.75" customHeight="1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16"/>
      <c r="Q60" s="16"/>
      <c r="R60" s="16"/>
      <c r="S60" s="16"/>
      <c r="T60" s="16"/>
      <c r="U60" s="16"/>
    </row>
    <row r="61" ht="12.75" customHeight="1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16"/>
      <c r="Q61" s="16"/>
      <c r="R61" s="16"/>
      <c r="S61" s="16"/>
      <c r="T61" s="16"/>
      <c r="U61" s="16"/>
    </row>
    <row r="62" ht="12.75" customHeight="1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16"/>
      <c r="Q62" s="16"/>
      <c r="R62" s="16"/>
      <c r="S62" s="16"/>
      <c r="T62" s="16"/>
      <c r="U62" s="16"/>
    </row>
    <row r="63" ht="12.75" customHeight="1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16"/>
      <c r="Q63" s="16"/>
      <c r="R63" s="16"/>
      <c r="S63" s="16"/>
      <c r="T63" s="16"/>
      <c r="U63" s="16"/>
    </row>
    <row r="64" ht="12.75" customHeight="1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16"/>
      <c r="Q64" s="16"/>
      <c r="R64" s="16"/>
      <c r="S64" s="16"/>
      <c r="T64" s="16"/>
      <c r="U64" s="16"/>
    </row>
    <row r="65" ht="12.75" customHeight="1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16"/>
      <c r="Q65" s="16"/>
      <c r="R65" s="16"/>
      <c r="S65" s="16"/>
      <c r="T65" s="16"/>
      <c r="U65" s="16"/>
    </row>
    <row r="66" ht="12.75" customHeight="1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16"/>
      <c r="Q66" s="16"/>
      <c r="R66" s="16"/>
      <c r="S66" s="16"/>
      <c r="T66" s="16"/>
      <c r="U66" s="16"/>
    </row>
    <row r="67" ht="12.75" customHeight="1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16"/>
      <c r="Q67" s="16"/>
      <c r="R67" s="16"/>
      <c r="S67" s="16"/>
      <c r="T67" s="16"/>
      <c r="U67" s="16"/>
    </row>
    <row r="68" ht="12.75" customHeight="1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16"/>
      <c r="Q68" s="16"/>
      <c r="R68" s="16"/>
      <c r="S68" s="16"/>
      <c r="T68" s="16"/>
      <c r="U68" s="16"/>
    </row>
    <row r="69" ht="12.75" customHeight="1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16"/>
      <c r="Q69" s="16"/>
      <c r="R69" s="16"/>
      <c r="S69" s="16"/>
      <c r="T69" s="16"/>
      <c r="U69" s="16"/>
    </row>
    <row r="70" ht="12.75" customHeight="1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16"/>
      <c r="Q70" s="16"/>
      <c r="R70" s="16"/>
      <c r="S70" s="16"/>
      <c r="T70" s="16"/>
      <c r="U70" s="16"/>
    </row>
    <row r="71" ht="12.75" customHeight="1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16"/>
      <c r="Q71" s="16"/>
      <c r="R71" s="16"/>
      <c r="S71" s="16"/>
      <c r="T71" s="16"/>
      <c r="U71" s="16"/>
    </row>
    <row r="72" ht="12.75" customHeight="1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16"/>
      <c r="Q72" s="16"/>
      <c r="R72" s="16"/>
      <c r="S72" s="16"/>
      <c r="T72" s="16"/>
      <c r="U72" s="16"/>
    </row>
    <row r="73" ht="12.75" customHeight="1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16"/>
      <c r="Q73" s="16"/>
      <c r="R73" s="16"/>
      <c r="S73" s="16"/>
      <c r="T73" s="16"/>
      <c r="U73" s="16"/>
    </row>
    <row r="74" ht="12.75" customHeight="1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16"/>
      <c r="Q74" s="16"/>
      <c r="R74" s="16"/>
      <c r="S74" s="16"/>
      <c r="T74" s="16"/>
      <c r="U74" s="16"/>
    </row>
    <row r="75" ht="12.75" customHeight="1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16"/>
      <c r="Q75" s="16"/>
      <c r="R75" s="16"/>
      <c r="S75" s="16"/>
      <c r="T75" s="16"/>
      <c r="U75" s="16"/>
    </row>
    <row r="76" ht="12.75" customHeight="1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16"/>
      <c r="Q76" s="16"/>
      <c r="R76" s="16"/>
      <c r="S76" s="16"/>
      <c r="T76" s="16"/>
      <c r="U76" s="16"/>
    </row>
    <row r="77" ht="12.75" customHeight="1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16"/>
      <c r="Q77" s="16"/>
      <c r="R77" s="16"/>
      <c r="S77" s="16"/>
      <c r="T77" s="16"/>
      <c r="U77" s="16"/>
    </row>
    <row r="78" ht="12.75" customHeight="1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16"/>
      <c r="Q78" s="16"/>
      <c r="R78" s="16"/>
      <c r="S78" s="16"/>
      <c r="T78" s="16"/>
      <c r="U78" s="16"/>
    </row>
    <row r="79" ht="12.75" customHeight="1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16"/>
      <c r="Q79" s="16"/>
      <c r="R79" s="16"/>
      <c r="S79" s="16"/>
      <c r="T79" s="16"/>
      <c r="U79" s="16"/>
    </row>
    <row r="80" ht="12.75" customHeight="1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16"/>
      <c r="Q80" s="16"/>
      <c r="R80" s="16"/>
      <c r="S80" s="16"/>
      <c r="T80" s="16"/>
      <c r="U80" s="16"/>
    </row>
    <row r="81" ht="12.75" customHeight="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16"/>
      <c r="Q81" s="16"/>
      <c r="R81" s="16"/>
      <c r="S81" s="16"/>
      <c r="T81" s="16"/>
      <c r="U81" s="16"/>
    </row>
    <row r="82" ht="12.75" customHeight="1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16"/>
      <c r="Q82" s="16"/>
      <c r="R82" s="16"/>
      <c r="S82" s="16"/>
      <c r="T82" s="16"/>
      <c r="U82" s="16"/>
    </row>
    <row r="83" ht="12.75" customHeight="1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16"/>
      <c r="Q83" s="16"/>
      <c r="R83" s="16"/>
      <c r="S83" s="16"/>
      <c r="T83" s="16"/>
      <c r="U83" s="16"/>
    </row>
    <row r="84" ht="12.75" customHeight="1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16"/>
      <c r="Q84" s="16"/>
      <c r="R84" s="16"/>
      <c r="S84" s="16"/>
      <c r="T84" s="16"/>
      <c r="U84" s="16"/>
    </row>
    <row r="85" ht="12.75" customHeight="1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16"/>
      <c r="Q85" s="16"/>
      <c r="R85" s="16"/>
      <c r="S85" s="16"/>
      <c r="T85" s="16"/>
      <c r="U85" s="16"/>
    </row>
    <row r="86" ht="12.75" customHeight="1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16"/>
      <c r="Q86" s="16"/>
      <c r="R86" s="16"/>
      <c r="S86" s="16"/>
      <c r="T86" s="16"/>
      <c r="U86" s="16"/>
    </row>
    <row r="87" ht="12.75" customHeight="1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16"/>
      <c r="Q87" s="16"/>
      <c r="R87" s="16"/>
      <c r="S87" s="16"/>
      <c r="T87" s="16"/>
      <c r="U87" s="16"/>
    </row>
    <row r="88" ht="12.75" customHeight="1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16"/>
      <c r="Q88" s="16"/>
      <c r="R88" s="16"/>
      <c r="S88" s="16"/>
      <c r="T88" s="16"/>
      <c r="U88" s="16"/>
    </row>
    <row r="89" ht="12.75" customHeight="1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16"/>
      <c r="Q89" s="16"/>
      <c r="R89" s="16"/>
      <c r="S89" s="16"/>
      <c r="T89" s="16"/>
      <c r="U89" s="16"/>
    </row>
    <row r="90" ht="12.75" customHeight="1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16"/>
      <c r="Q90" s="16"/>
      <c r="R90" s="16"/>
      <c r="S90" s="16"/>
      <c r="T90" s="16"/>
      <c r="U90" s="16"/>
    </row>
    <row r="91" ht="12.75" customHeight="1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16"/>
      <c r="Q91" s="16"/>
      <c r="R91" s="16"/>
      <c r="S91" s="16"/>
      <c r="T91" s="16"/>
      <c r="U91" s="16"/>
    </row>
    <row r="92" ht="12.75" customHeight="1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16"/>
      <c r="Q92" s="16"/>
      <c r="R92" s="16"/>
      <c r="S92" s="16"/>
      <c r="T92" s="16"/>
      <c r="U92" s="16"/>
    </row>
    <row r="93" ht="12.75" customHeight="1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16"/>
      <c r="Q93" s="16"/>
      <c r="R93" s="16"/>
      <c r="S93" s="16"/>
      <c r="T93" s="16"/>
      <c r="U93" s="16"/>
    </row>
    <row r="94" ht="12.75" customHeight="1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16"/>
      <c r="Q94" s="16"/>
      <c r="R94" s="16"/>
      <c r="S94" s="16"/>
      <c r="T94" s="16"/>
      <c r="U94" s="16"/>
    </row>
    <row r="95" ht="12.75" customHeight="1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16"/>
      <c r="Q95" s="16"/>
      <c r="R95" s="16"/>
      <c r="S95" s="16"/>
      <c r="T95" s="16"/>
      <c r="U95" s="16"/>
    </row>
    <row r="96" ht="12.75" customHeight="1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16"/>
      <c r="Q96" s="16"/>
      <c r="R96" s="16"/>
      <c r="S96" s="16"/>
      <c r="T96" s="16"/>
      <c r="U96" s="16"/>
    </row>
    <row r="97" ht="12.75" customHeight="1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16"/>
      <c r="Q97" s="16"/>
      <c r="R97" s="16"/>
      <c r="S97" s="16"/>
      <c r="T97" s="16"/>
      <c r="U97" s="16"/>
    </row>
    <row r="98" ht="12.75" customHeight="1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16"/>
      <c r="Q98" s="16"/>
      <c r="R98" s="16"/>
      <c r="S98" s="16"/>
      <c r="T98" s="16"/>
      <c r="U98" s="16"/>
    </row>
    <row r="99" ht="12.75" customHeight="1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16"/>
      <c r="Q99" s="16"/>
      <c r="R99" s="16"/>
      <c r="S99" s="16"/>
      <c r="T99" s="16"/>
      <c r="U99" s="16"/>
    </row>
    <row r="100" ht="12.75" customHeight="1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16"/>
      <c r="Q100" s="16"/>
      <c r="R100" s="16"/>
      <c r="S100" s="16"/>
      <c r="T100" s="16"/>
      <c r="U100" s="16"/>
    </row>
    <row r="101" ht="12.75" customHeight="1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16"/>
      <c r="Q101" s="16"/>
      <c r="R101" s="16"/>
      <c r="S101" s="16"/>
      <c r="T101" s="16"/>
      <c r="U101" s="16"/>
    </row>
    <row r="102" ht="12.75" customHeight="1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16"/>
      <c r="Q102" s="16"/>
      <c r="R102" s="16"/>
      <c r="S102" s="16"/>
      <c r="T102" s="16"/>
      <c r="U102" s="16"/>
    </row>
    <row r="103" ht="12.75" customHeight="1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16"/>
      <c r="Q103" s="16"/>
      <c r="R103" s="16"/>
      <c r="S103" s="16"/>
      <c r="T103" s="16"/>
      <c r="U103" s="16"/>
    </row>
    <row r="104" ht="12.75" customHeight="1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16"/>
      <c r="Q104" s="16"/>
      <c r="R104" s="16"/>
      <c r="S104" s="16"/>
      <c r="T104" s="16"/>
      <c r="U104" s="16"/>
    </row>
    <row r="105" ht="12.75" customHeight="1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16"/>
      <c r="Q105" s="16"/>
      <c r="R105" s="16"/>
      <c r="S105" s="16"/>
      <c r="T105" s="16"/>
      <c r="U105" s="16"/>
    </row>
    <row r="106" ht="12.75" customHeight="1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16"/>
      <c r="Q106" s="16"/>
      <c r="R106" s="16"/>
      <c r="S106" s="16"/>
      <c r="T106" s="16"/>
      <c r="U106" s="16"/>
    </row>
    <row r="107" ht="12.75" customHeight="1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16"/>
      <c r="Q107" s="16"/>
      <c r="R107" s="16"/>
      <c r="S107" s="16"/>
      <c r="T107" s="16"/>
      <c r="U107" s="16"/>
    </row>
    <row r="108" ht="12.75" customHeight="1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16"/>
      <c r="Q108" s="16"/>
      <c r="R108" s="16"/>
      <c r="S108" s="16"/>
      <c r="T108" s="16"/>
      <c r="U108" s="16"/>
    </row>
    <row r="109" ht="12.75" customHeight="1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16"/>
      <c r="Q109" s="16"/>
      <c r="R109" s="16"/>
      <c r="S109" s="16"/>
      <c r="T109" s="16"/>
      <c r="U109" s="16"/>
    </row>
    <row r="110" ht="12.75" customHeight="1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16"/>
      <c r="Q110" s="16"/>
      <c r="R110" s="16"/>
      <c r="S110" s="16"/>
      <c r="T110" s="16"/>
      <c r="U110" s="16"/>
    </row>
    <row r="111" ht="12.75" customHeight="1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16"/>
      <c r="Q111" s="16"/>
      <c r="R111" s="16"/>
      <c r="S111" s="16"/>
      <c r="T111" s="16"/>
      <c r="U111" s="16"/>
    </row>
    <row r="112" ht="12.75" customHeight="1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16"/>
      <c r="Q112" s="16"/>
      <c r="R112" s="16"/>
      <c r="S112" s="16"/>
      <c r="T112" s="16"/>
      <c r="U112" s="16"/>
    </row>
    <row r="113" ht="12.75" customHeight="1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16"/>
      <c r="Q113" s="16"/>
      <c r="R113" s="16"/>
      <c r="S113" s="16"/>
      <c r="T113" s="16"/>
      <c r="U113" s="16"/>
    </row>
    <row r="114" ht="12.75" customHeight="1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16"/>
      <c r="Q114" s="16"/>
      <c r="R114" s="16"/>
      <c r="S114" s="16"/>
      <c r="T114" s="16"/>
      <c r="U114" s="16"/>
    </row>
    <row r="115" ht="12.75" customHeight="1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16"/>
      <c r="Q115" s="16"/>
      <c r="R115" s="16"/>
      <c r="S115" s="16"/>
      <c r="T115" s="16"/>
      <c r="U115" s="16"/>
    </row>
    <row r="116" ht="12.75" customHeight="1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16"/>
      <c r="Q116" s="16"/>
      <c r="R116" s="16"/>
      <c r="S116" s="16"/>
      <c r="T116" s="16"/>
      <c r="U116" s="16"/>
    </row>
    <row r="117" ht="12.75" customHeight="1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16"/>
      <c r="Q117" s="16"/>
      <c r="R117" s="16"/>
      <c r="S117" s="16"/>
      <c r="T117" s="16"/>
      <c r="U117" s="16"/>
    </row>
    <row r="118" ht="12.75" customHeight="1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16"/>
      <c r="Q118" s="16"/>
      <c r="R118" s="16"/>
      <c r="S118" s="16"/>
      <c r="T118" s="16"/>
      <c r="U118" s="16"/>
    </row>
    <row r="119" ht="12.75" customHeight="1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16"/>
      <c r="Q119" s="16"/>
      <c r="R119" s="16"/>
      <c r="S119" s="16"/>
      <c r="T119" s="16"/>
      <c r="U119" s="16"/>
    </row>
    <row r="120" ht="12.75" customHeight="1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16"/>
      <c r="Q120" s="16"/>
      <c r="R120" s="16"/>
      <c r="S120" s="16"/>
      <c r="T120" s="16"/>
      <c r="U120" s="16"/>
    </row>
    <row r="121" ht="12.75" customHeight="1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16"/>
      <c r="Q121" s="16"/>
      <c r="R121" s="16"/>
      <c r="S121" s="16"/>
      <c r="T121" s="16"/>
      <c r="U121" s="16"/>
    </row>
    <row r="122" ht="12.75" customHeight="1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16"/>
      <c r="Q122" s="16"/>
      <c r="R122" s="16"/>
      <c r="S122" s="16"/>
      <c r="T122" s="16"/>
      <c r="U122" s="16"/>
    </row>
    <row r="123" ht="12.75" customHeight="1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16"/>
      <c r="Q123" s="16"/>
      <c r="R123" s="16"/>
      <c r="S123" s="16"/>
      <c r="T123" s="16"/>
      <c r="U123" s="16"/>
    </row>
    <row r="124" ht="12.75" customHeight="1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16"/>
      <c r="Q124" s="16"/>
      <c r="R124" s="16"/>
      <c r="S124" s="16"/>
      <c r="T124" s="16"/>
      <c r="U124" s="16"/>
    </row>
    <row r="125" ht="12.75" customHeight="1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16"/>
      <c r="Q125" s="16"/>
      <c r="R125" s="16"/>
      <c r="S125" s="16"/>
      <c r="T125" s="16"/>
      <c r="U125" s="16"/>
    </row>
    <row r="126" ht="12.75" customHeight="1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16"/>
      <c r="Q126" s="16"/>
      <c r="R126" s="16"/>
      <c r="S126" s="16"/>
      <c r="T126" s="16"/>
      <c r="U126" s="16"/>
    </row>
    <row r="127" ht="12.75" customHeight="1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16"/>
      <c r="Q127" s="16"/>
      <c r="R127" s="16"/>
      <c r="S127" s="16"/>
      <c r="T127" s="16"/>
      <c r="U127" s="16"/>
    </row>
    <row r="128" ht="12.75" customHeight="1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16"/>
      <c r="Q128" s="16"/>
      <c r="R128" s="16"/>
      <c r="S128" s="16"/>
      <c r="T128" s="16"/>
      <c r="U128" s="16"/>
    </row>
    <row r="129" ht="12.75" customHeight="1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16"/>
      <c r="Q129" s="16"/>
      <c r="R129" s="16"/>
      <c r="S129" s="16"/>
      <c r="T129" s="16"/>
      <c r="U129" s="16"/>
    </row>
    <row r="130" ht="12.75" customHeight="1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16"/>
      <c r="Q130" s="16"/>
      <c r="R130" s="16"/>
      <c r="S130" s="16"/>
      <c r="T130" s="16"/>
      <c r="U130" s="16"/>
    </row>
    <row r="131" ht="12.75" customHeight="1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16"/>
      <c r="Q131" s="16"/>
      <c r="R131" s="16"/>
      <c r="S131" s="16"/>
      <c r="T131" s="16"/>
      <c r="U131" s="16"/>
    </row>
    <row r="132" ht="12.75" customHeight="1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16"/>
      <c r="Q132" s="16"/>
      <c r="R132" s="16"/>
      <c r="S132" s="16"/>
      <c r="T132" s="16"/>
      <c r="U132" s="16"/>
    </row>
    <row r="133" ht="12.75" customHeight="1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16"/>
      <c r="Q133" s="16"/>
      <c r="R133" s="16"/>
      <c r="S133" s="16"/>
      <c r="T133" s="16"/>
      <c r="U133" s="16"/>
    </row>
    <row r="134" ht="12.75" customHeight="1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16"/>
      <c r="Q134" s="16"/>
      <c r="R134" s="16"/>
      <c r="S134" s="16"/>
      <c r="T134" s="16"/>
      <c r="U134" s="16"/>
    </row>
    <row r="135" ht="12.75" customHeight="1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16"/>
      <c r="Q135" s="16"/>
      <c r="R135" s="16"/>
      <c r="S135" s="16"/>
      <c r="T135" s="16"/>
      <c r="U135" s="16"/>
    </row>
    <row r="136" ht="12.75" customHeight="1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16"/>
      <c r="Q136" s="16"/>
      <c r="R136" s="16"/>
      <c r="S136" s="16"/>
      <c r="T136" s="16"/>
      <c r="U136" s="16"/>
    </row>
    <row r="137" ht="12.75" customHeight="1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16"/>
      <c r="Q137" s="16"/>
      <c r="R137" s="16"/>
      <c r="S137" s="16"/>
      <c r="T137" s="16"/>
      <c r="U137" s="16"/>
    </row>
    <row r="138" ht="12.75" customHeight="1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16"/>
      <c r="Q138" s="16"/>
      <c r="R138" s="16"/>
      <c r="S138" s="16"/>
      <c r="T138" s="16"/>
      <c r="U138" s="16"/>
    </row>
    <row r="139" ht="12.75" customHeight="1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16"/>
      <c r="Q139" s="16"/>
      <c r="R139" s="16"/>
      <c r="S139" s="16"/>
      <c r="T139" s="16"/>
      <c r="U139" s="16"/>
    </row>
    <row r="140" ht="12.75" customHeight="1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16"/>
      <c r="Q140" s="16"/>
      <c r="R140" s="16"/>
      <c r="S140" s="16"/>
      <c r="T140" s="16"/>
      <c r="U140" s="16"/>
    </row>
    <row r="141" ht="12.75" customHeight="1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16"/>
      <c r="Q141" s="16"/>
      <c r="R141" s="16"/>
      <c r="S141" s="16"/>
      <c r="T141" s="16"/>
      <c r="U141" s="16"/>
    </row>
    <row r="142" ht="12.75" customHeight="1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16"/>
      <c r="Q142" s="16"/>
      <c r="R142" s="16"/>
      <c r="S142" s="16"/>
      <c r="T142" s="16"/>
      <c r="U142" s="16"/>
    </row>
    <row r="143" ht="12.75" customHeight="1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16"/>
      <c r="Q143" s="16"/>
      <c r="R143" s="16"/>
      <c r="S143" s="16"/>
      <c r="T143" s="16"/>
      <c r="U143" s="16"/>
    </row>
    <row r="144" ht="12.75" customHeight="1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16"/>
      <c r="Q144" s="16"/>
      <c r="R144" s="16"/>
      <c r="S144" s="16"/>
      <c r="T144" s="16"/>
      <c r="U144" s="16"/>
    </row>
    <row r="145" ht="12.75" customHeight="1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16"/>
      <c r="Q145" s="16"/>
      <c r="R145" s="16"/>
      <c r="S145" s="16"/>
      <c r="T145" s="16"/>
      <c r="U145" s="16"/>
    </row>
    <row r="146" ht="12.75" customHeight="1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16"/>
      <c r="Q146" s="16"/>
      <c r="R146" s="16"/>
      <c r="S146" s="16"/>
      <c r="T146" s="16"/>
      <c r="U146" s="16"/>
    </row>
    <row r="147" ht="12.75" customHeight="1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16"/>
      <c r="Q147" s="16"/>
      <c r="R147" s="16"/>
      <c r="S147" s="16"/>
      <c r="T147" s="16"/>
      <c r="U147" s="16"/>
    </row>
    <row r="148" ht="12.75" customHeight="1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16"/>
      <c r="Q148" s="16"/>
      <c r="R148" s="16"/>
      <c r="S148" s="16"/>
      <c r="T148" s="16"/>
      <c r="U148" s="16"/>
    </row>
    <row r="149" ht="12.75" customHeight="1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16"/>
      <c r="Q149" s="16"/>
      <c r="R149" s="16"/>
      <c r="S149" s="16"/>
      <c r="T149" s="16"/>
      <c r="U149" s="16"/>
    </row>
    <row r="150" ht="12.75" customHeight="1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16"/>
      <c r="Q150" s="16"/>
      <c r="R150" s="16"/>
      <c r="S150" s="16"/>
      <c r="T150" s="16"/>
      <c r="U150" s="16"/>
    </row>
    <row r="151" ht="12.75" customHeight="1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16"/>
      <c r="Q151" s="16"/>
      <c r="R151" s="16"/>
      <c r="S151" s="16"/>
      <c r="T151" s="16"/>
      <c r="U151" s="16"/>
    </row>
    <row r="152" ht="12.75" customHeight="1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16"/>
      <c r="Q152" s="16"/>
      <c r="R152" s="16"/>
      <c r="S152" s="16"/>
      <c r="T152" s="16"/>
      <c r="U152" s="16"/>
    </row>
    <row r="153" ht="12.75" customHeight="1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16"/>
      <c r="Q153" s="16"/>
      <c r="R153" s="16"/>
      <c r="S153" s="16"/>
      <c r="T153" s="16"/>
      <c r="U153" s="16"/>
    </row>
    <row r="154" ht="12.75" customHeight="1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16"/>
      <c r="Q154" s="16"/>
      <c r="R154" s="16"/>
      <c r="S154" s="16"/>
      <c r="T154" s="16"/>
      <c r="U154" s="16"/>
    </row>
    <row r="155" ht="12.75" customHeight="1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16"/>
      <c r="Q155" s="16"/>
      <c r="R155" s="16"/>
      <c r="S155" s="16"/>
      <c r="T155" s="16"/>
      <c r="U155" s="16"/>
    </row>
    <row r="156" ht="12.75" customHeight="1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16"/>
      <c r="Q156" s="16"/>
      <c r="R156" s="16"/>
      <c r="S156" s="16"/>
      <c r="T156" s="16"/>
      <c r="U156" s="16"/>
    </row>
    <row r="157" ht="12.75" customHeight="1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16"/>
      <c r="Q157" s="16"/>
      <c r="R157" s="16"/>
      <c r="S157" s="16"/>
      <c r="T157" s="16"/>
      <c r="U157" s="16"/>
    </row>
    <row r="158" ht="12.75" customHeight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16"/>
      <c r="Q158" s="16"/>
      <c r="R158" s="16"/>
      <c r="S158" s="16"/>
      <c r="T158" s="16"/>
      <c r="U158" s="16"/>
    </row>
    <row r="159" ht="12.75" customHeight="1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16"/>
      <c r="Q159" s="16"/>
      <c r="R159" s="16"/>
      <c r="S159" s="16"/>
      <c r="T159" s="16"/>
      <c r="U159" s="16"/>
    </row>
    <row r="160" ht="12.75" customHeight="1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16"/>
      <c r="Q160" s="16"/>
      <c r="R160" s="16"/>
      <c r="S160" s="16"/>
      <c r="T160" s="16"/>
      <c r="U160" s="16"/>
    </row>
    <row r="161" ht="12.75" customHeight="1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16"/>
      <c r="Q161" s="16"/>
      <c r="R161" s="16"/>
      <c r="S161" s="16"/>
      <c r="T161" s="16"/>
      <c r="U161" s="16"/>
    </row>
    <row r="162" ht="12.75" customHeight="1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16"/>
      <c r="Q162" s="16"/>
      <c r="R162" s="16"/>
      <c r="S162" s="16"/>
      <c r="T162" s="16"/>
      <c r="U162" s="16"/>
    </row>
    <row r="163" ht="12.75" customHeight="1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16"/>
      <c r="Q163" s="16"/>
      <c r="R163" s="16"/>
      <c r="S163" s="16"/>
      <c r="T163" s="16"/>
      <c r="U163" s="16"/>
    </row>
    <row r="164" ht="12.75" customHeight="1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16"/>
      <c r="Q164" s="16"/>
      <c r="R164" s="16"/>
      <c r="S164" s="16"/>
      <c r="T164" s="16"/>
      <c r="U164" s="16"/>
    </row>
    <row r="165" ht="12.75" customHeight="1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16"/>
      <c r="Q165" s="16"/>
      <c r="R165" s="16"/>
      <c r="S165" s="16"/>
      <c r="T165" s="16"/>
      <c r="U165" s="16"/>
    </row>
    <row r="166" ht="12.75" customHeight="1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16"/>
      <c r="Q166" s="16"/>
      <c r="R166" s="16"/>
      <c r="S166" s="16"/>
      <c r="T166" s="16"/>
      <c r="U166" s="16"/>
    </row>
    <row r="167" ht="12.75" customHeight="1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16"/>
      <c r="Q167" s="16"/>
      <c r="R167" s="16"/>
      <c r="S167" s="16"/>
      <c r="T167" s="16"/>
      <c r="U167" s="16"/>
    </row>
    <row r="168" ht="12.75" customHeight="1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16"/>
      <c r="Q168" s="16"/>
      <c r="R168" s="16"/>
      <c r="S168" s="16"/>
      <c r="T168" s="16"/>
      <c r="U168" s="16"/>
    </row>
    <row r="169" ht="12.75" customHeight="1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16"/>
      <c r="Q169" s="16"/>
      <c r="R169" s="16"/>
      <c r="S169" s="16"/>
      <c r="T169" s="16"/>
      <c r="U169" s="16"/>
    </row>
    <row r="170" ht="12.75" customHeight="1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16"/>
      <c r="Q170" s="16"/>
      <c r="R170" s="16"/>
      <c r="S170" s="16"/>
      <c r="T170" s="16"/>
      <c r="U170" s="16"/>
    </row>
    <row r="171" ht="12.75" customHeight="1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16"/>
      <c r="Q171" s="16"/>
      <c r="R171" s="16"/>
      <c r="S171" s="16"/>
      <c r="T171" s="16"/>
      <c r="U171" s="16"/>
    </row>
    <row r="172" ht="12.75" customHeight="1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16"/>
      <c r="Q172" s="16"/>
      <c r="R172" s="16"/>
      <c r="S172" s="16"/>
      <c r="T172" s="16"/>
      <c r="U172" s="16"/>
    </row>
    <row r="173" ht="12.75" customHeight="1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16"/>
      <c r="Q173" s="16"/>
      <c r="R173" s="16"/>
      <c r="S173" s="16"/>
      <c r="T173" s="16"/>
      <c r="U173" s="16"/>
    </row>
    <row r="174" ht="12.75" customHeight="1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16"/>
      <c r="Q174" s="16"/>
      <c r="R174" s="16"/>
      <c r="S174" s="16"/>
      <c r="T174" s="16"/>
      <c r="U174" s="16"/>
    </row>
    <row r="175" ht="12.75" customHeight="1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16"/>
      <c r="Q175" s="16"/>
      <c r="R175" s="16"/>
      <c r="S175" s="16"/>
      <c r="T175" s="16"/>
      <c r="U175" s="16"/>
    </row>
    <row r="176" ht="12.75" customHeight="1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16"/>
      <c r="Q176" s="16"/>
      <c r="R176" s="16"/>
      <c r="S176" s="16"/>
      <c r="T176" s="16"/>
      <c r="U176" s="16"/>
    </row>
    <row r="177" ht="12.75" customHeight="1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16"/>
      <c r="Q177" s="16"/>
      <c r="R177" s="16"/>
      <c r="S177" s="16"/>
      <c r="T177" s="16"/>
      <c r="U177" s="16"/>
    </row>
    <row r="178" ht="12.75" customHeight="1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16"/>
      <c r="Q178" s="16"/>
      <c r="R178" s="16"/>
      <c r="S178" s="16"/>
      <c r="T178" s="16"/>
      <c r="U178" s="16"/>
    </row>
    <row r="179" ht="12.75" customHeight="1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16"/>
      <c r="Q179" s="16"/>
      <c r="R179" s="16"/>
      <c r="S179" s="16"/>
      <c r="T179" s="16"/>
      <c r="U179" s="16"/>
    </row>
    <row r="180" ht="12.75" customHeight="1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16"/>
      <c r="Q180" s="16"/>
      <c r="R180" s="16"/>
      <c r="S180" s="16"/>
      <c r="T180" s="16"/>
      <c r="U180" s="16"/>
    </row>
    <row r="181" ht="12.75" customHeight="1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16"/>
      <c r="Q181" s="16"/>
      <c r="R181" s="16"/>
      <c r="S181" s="16"/>
      <c r="T181" s="16"/>
      <c r="U181" s="16"/>
    </row>
    <row r="182" ht="12.75" customHeight="1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16"/>
      <c r="Q182" s="16"/>
      <c r="R182" s="16"/>
      <c r="S182" s="16"/>
      <c r="T182" s="16"/>
      <c r="U182" s="16"/>
    </row>
    <row r="183" ht="12.75" customHeight="1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16"/>
      <c r="Q183" s="16"/>
      <c r="R183" s="16"/>
      <c r="S183" s="16"/>
      <c r="T183" s="16"/>
      <c r="U183" s="16"/>
    </row>
    <row r="184" ht="12.75" customHeight="1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16"/>
      <c r="Q184" s="16"/>
      <c r="R184" s="16"/>
      <c r="S184" s="16"/>
      <c r="T184" s="16"/>
      <c r="U184" s="16"/>
    </row>
    <row r="185" ht="12.75" customHeight="1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16"/>
      <c r="Q185" s="16"/>
      <c r="R185" s="16"/>
      <c r="S185" s="16"/>
      <c r="T185" s="16"/>
      <c r="U185" s="16"/>
    </row>
    <row r="186" ht="12.75" customHeight="1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16"/>
      <c r="Q186" s="16"/>
      <c r="R186" s="16"/>
      <c r="S186" s="16"/>
      <c r="T186" s="16"/>
      <c r="U186" s="16"/>
    </row>
    <row r="187" ht="12.75" customHeight="1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16"/>
      <c r="Q187" s="16"/>
      <c r="R187" s="16"/>
      <c r="S187" s="16"/>
      <c r="T187" s="16"/>
      <c r="U187" s="16"/>
    </row>
    <row r="188" ht="12.75" customHeight="1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16"/>
      <c r="Q188" s="16"/>
      <c r="R188" s="16"/>
      <c r="S188" s="16"/>
      <c r="T188" s="16"/>
      <c r="U188" s="16"/>
    </row>
    <row r="189" ht="12.75" customHeight="1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16"/>
      <c r="Q189" s="16"/>
      <c r="R189" s="16"/>
      <c r="S189" s="16"/>
      <c r="T189" s="16"/>
      <c r="U189" s="16"/>
    </row>
    <row r="190" ht="12.75" customHeight="1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16"/>
      <c r="Q190" s="16"/>
      <c r="R190" s="16"/>
      <c r="S190" s="16"/>
      <c r="T190" s="16"/>
      <c r="U190" s="16"/>
    </row>
    <row r="191" ht="12.75" customHeight="1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16"/>
      <c r="Q191" s="16"/>
      <c r="R191" s="16"/>
      <c r="S191" s="16"/>
      <c r="T191" s="16"/>
      <c r="U191" s="16"/>
    </row>
    <row r="192" ht="12.75" customHeight="1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16"/>
      <c r="Q192" s="16"/>
      <c r="R192" s="16"/>
      <c r="S192" s="16"/>
      <c r="T192" s="16"/>
      <c r="U192" s="16"/>
    </row>
    <row r="193" ht="12.75" customHeight="1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16"/>
      <c r="Q193" s="16"/>
      <c r="R193" s="16"/>
      <c r="S193" s="16"/>
      <c r="T193" s="16"/>
      <c r="U193" s="16"/>
    </row>
    <row r="194" ht="12.75" customHeight="1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16"/>
      <c r="Q194" s="16"/>
      <c r="R194" s="16"/>
      <c r="S194" s="16"/>
      <c r="T194" s="16"/>
      <c r="U194" s="16"/>
    </row>
    <row r="195" ht="12.75" customHeight="1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16"/>
      <c r="Q195" s="16"/>
      <c r="R195" s="16"/>
      <c r="S195" s="16"/>
      <c r="T195" s="16"/>
      <c r="U195" s="16"/>
    </row>
    <row r="196" ht="12.75" customHeight="1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16"/>
      <c r="Q196" s="16"/>
      <c r="R196" s="16"/>
      <c r="S196" s="16"/>
      <c r="T196" s="16"/>
      <c r="U196" s="16"/>
    </row>
    <row r="197" ht="12.75" customHeight="1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16"/>
      <c r="Q197" s="16"/>
      <c r="R197" s="16"/>
      <c r="S197" s="16"/>
      <c r="T197" s="16"/>
      <c r="U197" s="16"/>
    </row>
    <row r="198" ht="12.75" customHeight="1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16"/>
      <c r="Q198" s="16"/>
      <c r="R198" s="16"/>
      <c r="S198" s="16"/>
      <c r="T198" s="16"/>
      <c r="U198" s="16"/>
    </row>
    <row r="199" ht="12.75" customHeight="1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16"/>
      <c r="Q199" s="16"/>
      <c r="R199" s="16"/>
      <c r="S199" s="16"/>
      <c r="T199" s="16"/>
      <c r="U199" s="16"/>
    </row>
    <row r="200" ht="12.75" customHeight="1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16"/>
      <c r="Q200" s="16"/>
      <c r="R200" s="16"/>
      <c r="S200" s="16"/>
      <c r="T200" s="16"/>
      <c r="U200" s="16"/>
    </row>
    <row r="201" ht="12.75" customHeight="1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16"/>
      <c r="Q201" s="16"/>
      <c r="R201" s="16"/>
      <c r="S201" s="16"/>
      <c r="T201" s="16"/>
      <c r="U201" s="16"/>
    </row>
    <row r="202" ht="12.75" customHeight="1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16"/>
      <c r="Q202" s="16"/>
      <c r="R202" s="16"/>
      <c r="S202" s="16"/>
      <c r="T202" s="16"/>
      <c r="U202" s="16"/>
    </row>
    <row r="203" ht="12.75" customHeight="1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16"/>
      <c r="Q203" s="16"/>
      <c r="R203" s="16"/>
      <c r="S203" s="16"/>
      <c r="T203" s="16"/>
      <c r="U203" s="16"/>
    </row>
    <row r="204" ht="12.75" customHeight="1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16"/>
      <c r="Q204" s="16"/>
      <c r="R204" s="16"/>
      <c r="S204" s="16"/>
      <c r="T204" s="16"/>
      <c r="U204" s="16"/>
    </row>
    <row r="205" ht="12.75" customHeight="1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16"/>
      <c r="Q205" s="16"/>
      <c r="R205" s="16"/>
      <c r="S205" s="16"/>
      <c r="T205" s="16"/>
      <c r="U205" s="16"/>
    </row>
    <row r="206" ht="12.75" customHeight="1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16"/>
      <c r="Q206" s="16"/>
      <c r="R206" s="16"/>
      <c r="S206" s="16"/>
      <c r="T206" s="16"/>
      <c r="U206" s="16"/>
    </row>
    <row r="207" ht="12.75" customHeight="1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16"/>
      <c r="Q207" s="16"/>
      <c r="R207" s="16"/>
      <c r="S207" s="16"/>
      <c r="T207" s="16"/>
      <c r="U207" s="16"/>
    </row>
    <row r="208" ht="12.75" customHeight="1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16"/>
      <c r="Q208" s="16"/>
      <c r="R208" s="16"/>
      <c r="S208" s="16"/>
      <c r="T208" s="16"/>
      <c r="U208" s="16"/>
    </row>
    <row r="209" ht="12.75" customHeight="1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16"/>
      <c r="Q209" s="16"/>
      <c r="R209" s="16"/>
      <c r="S209" s="16"/>
      <c r="T209" s="16"/>
      <c r="U209" s="16"/>
    </row>
    <row r="210" ht="12.75" customHeight="1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16"/>
      <c r="Q210" s="16"/>
      <c r="R210" s="16"/>
      <c r="S210" s="16"/>
      <c r="T210" s="16"/>
      <c r="U210" s="16"/>
    </row>
    <row r="211" ht="12.75" customHeight="1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16"/>
      <c r="Q211" s="16"/>
      <c r="R211" s="16"/>
      <c r="S211" s="16"/>
      <c r="T211" s="16"/>
      <c r="U211" s="16"/>
    </row>
    <row r="212" ht="12.75" customHeight="1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16"/>
      <c r="Q212" s="16"/>
      <c r="R212" s="16"/>
      <c r="S212" s="16"/>
      <c r="T212" s="16"/>
      <c r="U212" s="16"/>
    </row>
    <row r="213" ht="12.75" customHeight="1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16"/>
      <c r="Q213" s="16"/>
      <c r="R213" s="16"/>
      <c r="S213" s="16"/>
      <c r="T213" s="16"/>
      <c r="U213" s="16"/>
    </row>
    <row r="214" ht="12.75" customHeight="1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16"/>
      <c r="Q214" s="16"/>
      <c r="R214" s="16"/>
      <c r="S214" s="16"/>
      <c r="T214" s="16"/>
      <c r="U214" s="16"/>
    </row>
    <row r="215" ht="12.75" customHeight="1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16"/>
      <c r="Q215" s="16"/>
      <c r="R215" s="16"/>
      <c r="S215" s="16"/>
      <c r="T215" s="16"/>
      <c r="U215" s="16"/>
    </row>
    <row r="216" ht="12.75" customHeight="1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16"/>
      <c r="Q216" s="16"/>
      <c r="R216" s="16"/>
      <c r="S216" s="16"/>
      <c r="T216" s="16"/>
      <c r="U216" s="16"/>
    </row>
    <row r="217" ht="12.75" customHeight="1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16"/>
      <c r="Q217" s="16"/>
      <c r="R217" s="16"/>
      <c r="S217" s="16"/>
      <c r="T217" s="16"/>
      <c r="U217" s="16"/>
    </row>
    <row r="218" ht="12.75" customHeight="1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16"/>
      <c r="Q218" s="16"/>
      <c r="R218" s="16"/>
      <c r="S218" s="16"/>
      <c r="T218" s="16"/>
      <c r="U218" s="16"/>
    </row>
    <row r="219" ht="12.75" customHeight="1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16"/>
      <c r="Q219" s="16"/>
      <c r="R219" s="16"/>
      <c r="S219" s="16"/>
      <c r="T219" s="16"/>
      <c r="U219" s="16"/>
    </row>
    <row r="220" ht="12.75" customHeight="1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16"/>
      <c r="Q220" s="16"/>
      <c r="R220" s="16"/>
      <c r="S220" s="16"/>
      <c r="T220" s="16"/>
      <c r="U220" s="16"/>
    </row>
    <row r="221" ht="12.75" customHeight="1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16"/>
      <c r="Q221" s="16"/>
      <c r="R221" s="16"/>
      <c r="S221" s="16"/>
      <c r="T221" s="16"/>
      <c r="U221" s="16"/>
    </row>
    <row r="222" ht="12.75" customHeight="1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16"/>
      <c r="Q222" s="16"/>
      <c r="R222" s="16"/>
      <c r="S222" s="16"/>
      <c r="T222" s="16"/>
      <c r="U222" s="16"/>
    </row>
    <row r="223" ht="12.75" customHeight="1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16"/>
      <c r="Q223" s="16"/>
      <c r="R223" s="16"/>
      <c r="S223" s="16"/>
      <c r="T223" s="16"/>
      <c r="U223" s="16"/>
    </row>
    <row r="224" ht="12.75" customHeight="1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16"/>
      <c r="Q224" s="16"/>
      <c r="R224" s="16"/>
      <c r="S224" s="16"/>
      <c r="T224" s="16"/>
      <c r="U224" s="16"/>
    </row>
    <row r="225" ht="12.75" customHeight="1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16"/>
      <c r="Q225" s="16"/>
      <c r="R225" s="16"/>
      <c r="S225" s="16"/>
      <c r="T225" s="16"/>
      <c r="U225" s="16"/>
    </row>
    <row r="226" ht="12.75" customHeight="1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16"/>
      <c r="Q226" s="16"/>
      <c r="R226" s="16"/>
      <c r="S226" s="16"/>
      <c r="T226" s="16"/>
      <c r="U226" s="16"/>
    </row>
    <row r="227" ht="12.75" customHeight="1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16"/>
      <c r="Q227" s="16"/>
      <c r="R227" s="16"/>
      <c r="S227" s="16"/>
      <c r="T227" s="16"/>
      <c r="U227" s="16"/>
    </row>
    <row r="228" ht="12.75" customHeight="1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16"/>
      <c r="Q228" s="16"/>
      <c r="R228" s="16"/>
      <c r="S228" s="16"/>
      <c r="T228" s="16"/>
      <c r="U228" s="16"/>
    </row>
    <row r="229" ht="12.75" customHeight="1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16"/>
      <c r="Q229" s="16"/>
      <c r="R229" s="16"/>
      <c r="S229" s="16"/>
      <c r="T229" s="16"/>
      <c r="U229" s="16"/>
    </row>
    <row r="230" ht="12.75" customHeight="1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16"/>
      <c r="Q230" s="16"/>
      <c r="R230" s="16"/>
      <c r="S230" s="16"/>
      <c r="T230" s="16"/>
      <c r="U230" s="16"/>
    </row>
    <row r="231" ht="12.75" customHeight="1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16"/>
      <c r="Q231" s="16"/>
      <c r="R231" s="16"/>
      <c r="S231" s="16"/>
      <c r="T231" s="16"/>
      <c r="U231" s="16"/>
    </row>
    <row r="232" ht="12.75" customHeight="1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16"/>
      <c r="Q232" s="16"/>
      <c r="R232" s="16"/>
      <c r="S232" s="16"/>
      <c r="T232" s="16"/>
      <c r="U232" s="16"/>
    </row>
    <row r="233" ht="12.75" customHeight="1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16"/>
      <c r="Q233" s="16"/>
      <c r="R233" s="16"/>
      <c r="S233" s="16"/>
      <c r="T233" s="16"/>
      <c r="U233" s="16"/>
    </row>
    <row r="234" ht="12.75" customHeight="1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16"/>
      <c r="Q234" s="16"/>
      <c r="R234" s="16"/>
      <c r="S234" s="16"/>
      <c r="T234" s="16"/>
      <c r="U234" s="16"/>
    </row>
    <row r="235" ht="12.75" customHeight="1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16"/>
      <c r="Q235" s="16"/>
      <c r="R235" s="16"/>
      <c r="S235" s="16"/>
      <c r="T235" s="16"/>
      <c r="U235" s="16"/>
    </row>
    <row r="236" ht="12.75" customHeight="1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16"/>
      <c r="Q236" s="16"/>
      <c r="R236" s="16"/>
      <c r="S236" s="16"/>
      <c r="T236" s="16"/>
      <c r="U236" s="16"/>
    </row>
    <row r="237" ht="12.75" customHeight="1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16"/>
      <c r="Q237" s="16"/>
      <c r="R237" s="16"/>
      <c r="S237" s="16"/>
      <c r="T237" s="16"/>
      <c r="U237" s="16"/>
    </row>
    <row r="238" ht="12.75" customHeight="1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16"/>
      <c r="Q238" s="16"/>
      <c r="R238" s="16"/>
      <c r="S238" s="16"/>
      <c r="T238" s="16"/>
      <c r="U238" s="16"/>
    </row>
    <row r="239" ht="12.75" customHeight="1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16"/>
      <c r="Q239" s="16"/>
      <c r="R239" s="16"/>
      <c r="S239" s="16"/>
      <c r="T239" s="16"/>
      <c r="U239" s="16"/>
    </row>
    <row r="240" ht="12.75" customHeight="1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16"/>
      <c r="Q240" s="16"/>
      <c r="R240" s="16"/>
      <c r="S240" s="16"/>
      <c r="T240" s="16"/>
      <c r="U240" s="16"/>
    </row>
    <row r="241" ht="12.75" customHeight="1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16"/>
      <c r="Q241" s="16"/>
      <c r="R241" s="16"/>
      <c r="S241" s="16"/>
      <c r="T241" s="16"/>
      <c r="U241" s="16"/>
    </row>
    <row r="242" ht="12.75" customHeight="1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16"/>
      <c r="Q242" s="16"/>
      <c r="R242" s="16"/>
      <c r="S242" s="16"/>
      <c r="T242" s="16"/>
      <c r="U242" s="16"/>
    </row>
    <row r="243" ht="12.75" customHeight="1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16"/>
      <c r="Q243" s="16"/>
      <c r="R243" s="16"/>
      <c r="S243" s="16"/>
      <c r="T243" s="16"/>
      <c r="U243" s="16"/>
    </row>
    <row r="244" ht="12.75" customHeight="1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16"/>
      <c r="Q244" s="16"/>
      <c r="R244" s="16"/>
      <c r="S244" s="16"/>
      <c r="T244" s="16"/>
      <c r="U244" s="16"/>
    </row>
    <row r="245" ht="12.75" customHeight="1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16"/>
      <c r="Q245" s="16"/>
      <c r="R245" s="16"/>
      <c r="S245" s="16"/>
      <c r="T245" s="16"/>
      <c r="U245" s="1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:P1"/>
    <mergeCell ref="A26:A27"/>
    <mergeCell ref="A46:A47"/>
  </mergeCells>
  <conditionalFormatting sqref="B1:M1">
    <cfRule type="colorScale" priority="1">
      <colorScale>
        <cfvo type="min"/>
        <cfvo type="formula" val="0"/>
        <cfvo type="max"/>
        <color rgb="FFEA9999"/>
        <color rgb="FFFFF2CC"/>
        <color rgb="FFB6D7A8"/>
      </colorScale>
    </cfRule>
  </conditionalFormatting>
  <conditionalFormatting sqref="P30:P43">
    <cfRule type="colorScale" priority="2">
      <colorScale>
        <cfvo type="min"/>
        <cfvo type="max"/>
        <color rgb="FFFFFFFF"/>
        <color rgb="FF93C47D"/>
      </colorScale>
    </cfRule>
  </conditionalFormatting>
  <conditionalFormatting sqref="B11:M11">
    <cfRule type="colorScale" priority="3">
      <colorScale>
        <cfvo type="min"/>
        <cfvo type="formula" val="0"/>
        <cfvo type="max"/>
        <color rgb="FFB6D7A8"/>
        <color rgb="FFFFFFFF"/>
        <color rgb="FFEA9999"/>
      </colorScale>
    </cfRule>
  </conditionalFormatting>
  <conditionalFormatting sqref="B19:M19">
    <cfRule type="colorScale" priority="4">
      <colorScale>
        <cfvo type="min"/>
        <cfvo type="formula" val="0"/>
        <cfvo type="max"/>
        <color rgb="FF93C47D"/>
        <color rgb="FFFFFFFF"/>
        <color rgb="FFE06666"/>
      </colorScale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4.5"/>
    <col customWidth="1" min="3" max="3" width="3.63"/>
    <col customWidth="1" min="4" max="4" width="4.63"/>
    <col customWidth="1" min="5" max="5" width="3.75"/>
    <col customWidth="1" min="6" max="6" width="4.13"/>
    <col customWidth="1" min="7" max="7" width="4.25"/>
    <col customWidth="1" min="8" max="8" width="4.88"/>
    <col customWidth="1" min="9" max="9" width="3.63"/>
    <col customWidth="1" min="10" max="10" width="4.25"/>
    <col customWidth="1" min="11" max="11" width="3.63"/>
    <col customWidth="1" min="12" max="12" width="4.25"/>
    <col customWidth="1" min="13" max="13" width="3.75"/>
    <col customWidth="1" min="14" max="15" width="4.13"/>
    <col customWidth="1" min="16" max="16" width="4.88"/>
    <col customWidth="1" min="17" max="17" width="3.38"/>
    <col customWidth="1" min="18" max="18" width="4.13"/>
    <col customWidth="1" min="19" max="19" width="3.75"/>
    <col customWidth="1" min="20" max="20" width="4.5"/>
    <col customWidth="1" min="21" max="22" width="4.0"/>
    <col customWidth="1" min="23" max="23" width="4.13"/>
    <col customWidth="1" min="24" max="24" width="4.75"/>
    <col customWidth="1" min="25" max="25" width="8.88"/>
    <col customWidth="1" min="26" max="26" width="9.38"/>
    <col customWidth="1" min="27" max="27" width="36.5"/>
    <col customWidth="1" min="28" max="28" width="7.25"/>
    <col customWidth="1" min="30" max="30" width="25.75"/>
  </cols>
  <sheetData>
    <row r="1" ht="53.25" customHeight="1">
      <c r="A1" s="259"/>
      <c r="B1" s="259"/>
      <c r="C1" s="260" t="s">
        <v>206</v>
      </c>
      <c r="AA1" s="259"/>
      <c r="AB1" s="259"/>
      <c r="AC1" s="259"/>
      <c r="AD1" s="259"/>
      <c r="AE1" s="259"/>
      <c r="AF1" s="259"/>
      <c r="AG1" s="259"/>
    </row>
    <row r="2" ht="15.75" customHeight="1"/>
    <row r="3" ht="21.0" customHeight="1">
      <c r="A3" s="261"/>
      <c r="B3" s="262" t="s">
        <v>207</v>
      </c>
      <c r="I3" s="263"/>
      <c r="J3" s="262" t="s">
        <v>26</v>
      </c>
      <c r="Q3" s="262"/>
      <c r="R3" s="262" t="s">
        <v>208</v>
      </c>
      <c r="Z3" s="264" t="s">
        <v>209</v>
      </c>
      <c r="AB3" s="265"/>
      <c r="AC3" s="265"/>
    </row>
    <row r="4" ht="15.75" customHeight="1">
      <c r="A4" s="266"/>
      <c r="B4" s="267" t="s">
        <v>210</v>
      </c>
      <c r="C4" s="267" t="s">
        <v>211</v>
      </c>
      <c r="D4" s="267" t="s">
        <v>212</v>
      </c>
      <c r="E4" s="267" t="s">
        <v>213</v>
      </c>
      <c r="F4" s="267" t="s">
        <v>214</v>
      </c>
      <c r="G4" s="267" t="s">
        <v>215</v>
      </c>
      <c r="H4" s="267" t="s">
        <v>216</v>
      </c>
      <c r="J4" s="267" t="s">
        <v>210</v>
      </c>
      <c r="K4" s="267" t="s">
        <v>211</v>
      </c>
      <c r="L4" s="267" t="s">
        <v>212</v>
      </c>
      <c r="M4" s="267" t="s">
        <v>213</v>
      </c>
      <c r="N4" s="267" t="s">
        <v>214</v>
      </c>
      <c r="O4" s="267" t="s">
        <v>215</v>
      </c>
      <c r="P4" s="267" t="s">
        <v>216</v>
      </c>
      <c r="R4" s="267" t="s">
        <v>210</v>
      </c>
      <c r="S4" s="267" t="s">
        <v>211</v>
      </c>
      <c r="T4" s="267" t="s">
        <v>212</v>
      </c>
      <c r="U4" s="267" t="s">
        <v>213</v>
      </c>
      <c r="V4" s="267" t="s">
        <v>214</v>
      </c>
      <c r="W4" s="267" t="s">
        <v>215</v>
      </c>
      <c r="X4" s="267" t="s">
        <v>216</v>
      </c>
      <c r="Z4" s="268">
        <v>45047.0</v>
      </c>
      <c r="AA4" s="131" t="s">
        <v>217</v>
      </c>
      <c r="AB4" s="269"/>
      <c r="AC4" s="269"/>
    </row>
    <row r="5" ht="15.75" customHeight="1">
      <c r="A5" s="208"/>
      <c r="B5" s="270">
        <v>1.0</v>
      </c>
      <c r="C5" s="208">
        <v>2.0</v>
      </c>
      <c r="D5" s="208">
        <v>3.0</v>
      </c>
      <c r="E5" s="208">
        <v>4.0</v>
      </c>
      <c r="F5" s="208">
        <v>5.0</v>
      </c>
      <c r="G5" s="208">
        <v>6.0</v>
      </c>
      <c r="H5" s="270">
        <v>7.0</v>
      </c>
      <c r="J5" s="208"/>
      <c r="K5" s="208"/>
      <c r="L5" s="208"/>
      <c r="M5" s="208">
        <v>1.0</v>
      </c>
      <c r="N5" s="208">
        <v>2.0</v>
      </c>
      <c r="O5" s="208">
        <v>3.0</v>
      </c>
      <c r="P5" s="208">
        <v>4.0</v>
      </c>
      <c r="R5" s="208"/>
      <c r="S5" s="208"/>
      <c r="T5" s="208"/>
      <c r="U5" s="208"/>
      <c r="V5" s="208">
        <v>1.0</v>
      </c>
      <c r="W5" s="208">
        <v>2.0</v>
      </c>
      <c r="X5" s="208">
        <v>3.0</v>
      </c>
      <c r="Z5" s="268">
        <v>45058.0</v>
      </c>
      <c r="AA5" s="131" t="s">
        <v>218</v>
      </c>
      <c r="AB5" s="269"/>
      <c r="AC5" s="269"/>
    </row>
    <row r="6" ht="15.75" customHeight="1">
      <c r="A6" s="208"/>
      <c r="B6" s="208">
        <v>8.0</v>
      </c>
      <c r="C6" s="208">
        <v>9.0</v>
      </c>
      <c r="D6" s="208">
        <v>10.0</v>
      </c>
      <c r="E6" s="208">
        <v>11.0</v>
      </c>
      <c r="F6" s="208">
        <v>12.0</v>
      </c>
      <c r="G6" s="208">
        <v>13.0</v>
      </c>
      <c r="H6" s="208">
        <v>14.0</v>
      </c>
      <c r="J6" s="208">
        <v>5.0</v>
      </c>
      <c r="K6" s="208">
        <v>6.0</v>
      </c>
      <c r="L6" s="208">
        <v>7.0</v>
      </c>
      <c r="M6" s="208">
        <v>8.0</v>
      </c>
      <c r="N6" s="208">
        <v>9.0</v>
      </c>
      <c r="O6" s="208">
        <v>10.0</v>
      </c>
      <c r="P6" s="208">
        <v>11.0</v>
      </c>
      <c r="R6" s="208">
        <v>4.0</v>
      </c>
      <c r="S6" s="208">
        <v>5.0</v>
      </c>
      <c r="T6" s="208">
        <v>6.0</v>
      </c>
      <c r="U6" s="208">
        <v>7.0</v>
      </c>
      <c r="V6" s="270">
        <v>8.0</v>
      </c>
      <c r="W6" s="208">
        <v>9.0</v>
      </c>
      <c r="X6" s="208">
        <v>10.0</v>
      </c>
      <c r="Z6" s="268">
        <v>45068.0</v>
      </c>
      <c r="AA6" s="131" t="s">
        <v>219</v>
      </c>
      <c r="AB6" s="269"/>
      <c r="AC6" s="269"/>
    </row>
    <row r="7" ht="15.75" customHeight="1">
      <c r="A7" s="208"/>
      <c r="B7" s="208">
        <v>15.0</v>
      </c>
      <c r="C7" s="208">
        <v>16.0</v>
      </c>
      <c r="D7" s="208">
        <v>17.0</v>
      </c>
      <c r="E7" s="208">
        <v>18.0</v>
      </c>
      <c r="F7" s="208">
        <v>19.0</v>
      </c>
      <c r="G7" s="208">
        <v>20.0</v>
      </c>
      <c r="H7" s="208">
        <v>21.0</v>
      </c>
      <c r="J7" s="270">
        <v>12.0</v>
      </c>
      <c r="K7" s="270">
        <v>13.0</v>
      </c>
      <c r="L7" s="208">
        <v>14.0</v>
      </c>
      <c r="M7" s="208">
        <v>15.0</v>
      </c>
      <c r="N7" s="208">
        <v>16.0</v>
      </c>
      <c r="O7" s="208">
        <v>17.0</v>
      </c>
      <c r="P7" s="208">
        <v>18.0</v>
      </c>
      <c r="R7" s="208">
        <v>11.0</v>
      </c>
      <c r="S7" s="208">
        <v>12.0</v>
      </c>
      <c r="T7" s="208">
        <v>13.0</v>
      </c>
      <c r="U7" s="208">
        <v>14.0</v>
      </c>
      <c r="V7" s="270">
        <v>15.0</v>
      </c>
      <c r="W7" s="208">
        <v>16.0</v>
      </c>
      <c r="X7" s="208">
        <v>17.0</v>
      </c>
      <c r="Z7" s="268">
        <v>45071.0</v>
      </c>
      <c r="AA7" s="131" t="s">
        <v>220</v>
      </c>
      <c r="AB7" s="269"/>
      <c r="AC7" s="269"/>
    </row>
    <row r="8" ht="15.75" customHeight="1">
      <c r="A8" s="208"/>
      <c r="B8" s="208">
        <v>22.0</v>
      </c>
      <c r="C8" s="208">
        <v>23.0</v>
      </c>
      <c r="D8" s="208">
        <v>24.0</v>
      </c>
      <c r="E8" s="208">
        <v>25.0</v>
      </c>
      <c r="F8" s="208">
        <v>26.0</v>
      </c>
      <c r="G8" s="208">
        <v>27.0</v>
      </c>
      <c r="H8" s="208">
        <v>28.0</v>
      </c>
      <c r="J8" s="270">
        <v>19.0</v>
      </c>
      <c r="K8" s="208">
        <v>20.0</v>
      </c>
      <c r="L8" s="208">
        <v>21.0</v>
      </c>
      <c r="M8" s="208">
        <v>22.0</v>
      </c>
      <c r="N8" s="208">
        <v>23.0</v>
      </c>
      <c r="O8" s="208">
        <v>24.0</v>
      </c>
      <c r="P8" s="208">
        <v>25.0</v>
      </c>
      <c r="R8" s="208">
        <v>18.0</v>
      </c>
      <c r="S8" s="208">
        <v>19.0</v>
      </c>
      <c r="T8" s="270">
        <v>20.0</v>
      </c>
      <c r="U8" s="208">
        <v>21.0</v>
      </c>
      <c r="V8" s="208">
        <v>22.0</v>
      </c>
      <c r="W8" s="208">
        <v>23.0</v>
      </c>
      <c r="X8" s="208">
        <v>24.0</v>
      </c>
      <c r="Z8" s="268">
        <v>45089.0</v>
      </c>
      <c r="AA8" s="131" t="s">
        <v>221</v>
      </c>
      <c r="AB8" s="269"/>
      <c r="AC8" s="269"/>
    </row>
    <row r="9" ht="15.75" customHeight="1">
      <c r="A9" s="208"/>
      <c r="B9" s="208">
        <v>29.0</v>
      </c>
      <c r="C9" s="270">
        <v>30.0</v>
      </c>
      <c r="D9" s="208">
        <v>31.0</v>
      </c>
      <c r="E9" s="208"/>
      <c r="F9" s="208"/>
      <c r="G9" s="208"/>
      <c r="H9" s="208"/>
      <c r="J9" s="208">
        <v>26.0</v>
      </c>
      <c r="K9" s="208">
        <v>27.0</v>
      </c>
      <c r="L9" s="208">
        <v>28.0</v>
      </c>
      <c r="M9" s="208">
        <v>29.0</v>
      </c>
      <c r="N9" s="208"/>
      <c r="O9" s="208"/>
      <c r="P9" s="208"/>
      <c r="R9" s="208">
        <v>25.0</v>
      </c>
      <c r="S9" s="208">
        <v>26.0</v>
      </c>
      <c r="T9" s="208">
        <v>27.0</v>
      </c>
      <c r="U9" s="208">
        <v>28.0</v>
      </c>
      <c r="V9" s="208">
        <v>29.0</v>
      </c>
      <c r="W9" s="208">
        <v>30.0</v>
      </c>
      <c r="X9" s="270">
        <v>31.0</v>
      </c>
      <c r="Z9" s="268">
        <v>45098.0</v>
      </c>
      <c r="AA9" s="131" t="s">
        <v>222</v>
      </c>
      <c r="AB9" s="269"/>
      <c r="AC9" s="269"/>
    </row>
    <row r="10" ht="15.75" customHeight="1">
      <c r="A10" s="208"/>
      <c r="B10" s="269"/>
      <c r="C10" s="269"/>
      <c r="D10" s="269"/>
      <c r="Z10" s="268">
        <v>45105.0</v>
      </c>
      <c r="AA10" s="131" t="s">
        <v>223</v>
      </c>
      <c r="AB10" s="269"/>
      <c r="AC10" s="269"/>
    </row>
    <row r="11" ht="20.25" customHeight="1">
      <c r="A11" s="261"/>
      <c r="B11" s="262" t="s">
        <v>224</v>
      </c>
      <c r="I11" s="262"/>
      <c r="J11" s="262" t="s">
        <v>29</v>
      </c>
      <c r="Q11" s="262"/>
      <c r="R11" s="262" t="s">
        <v>225</v>
      </c>
      <c r="Z11" s="268">
        <v>45120.0</v>
      </c>
      <c r="AA11" s="131" t="s">
        <v>226</v>
      </c>
      <c r="AC11" s="269"/>
    </row>
    <row r="12" ht="15.75" customHeight="1">
      <c r="A12" s="208"/>
      <c r="B12" s="267" t="s">
        <v>210</v>
      </c>
      <c r="C12" s="267" t="s">
        <v>211</v>
      </c>
      <c r="D12" s="267" t="s">
        <v>212</v>
      </c>
      <c r="E12" s="267" t="s">
        <v>213</v>
      </c>
      <c r="F12" s="267" t="s">
        <v>214</v>
      </c>
      <c r="G12" s="267" t="s">
        <v>215</v>
      </c>
      <c r="H12" s="267" t="s">
        <v>216</v>
      </c>
      <c r="J12" s="267" t="s">
        <v>210</v>
      </c>
      <c r="K12" s="267" t="s">
        <v>211</v>
      </c>
      <c r="L12" s="267" t="s">
        <v>212</v>
      </c>
      <c r="M12" s="267" t="s">
        <v>213</v>
      </c>
      <c r="N12" s="267" t="s">
        <v>214</v>
      </c>
      <c r="O12" s="267" t="s">
        <v>215</v>
      </c>
      <c r="P12" s="267" t="s">
        <v>216</v>
      </c>
      <c r="R12" s="267" t="s">
        <v>210</v>
      </c>
      <c r="S12" s="267" t="s">
        <v>211</v>
      </c>
      <c r="T12" s="267" t="s">
        <v>212</v>
      </c>
      <c r="U12" s="267" t="s">
        <v>213</v>
      </c>
      <c r="V12" s="267" t="s">
        <v>214</v>
      </c>
      <c r="W12" s="267" t="s">
        <v>215</v>
      </c>
      <c r="X12" s="267" t="s">
        <v>216</v>
      </c>
      <c r="Z12" s="268">
        <v>45122.0</v>
      </c>
      <c r="AA12" s="131" t="s">
        <v>227</v>
      </c>
      <c r="AC12" s="269"/>
    </row>
    <row r="13" ht="15.75" customHeight="1">
      <c r="A13" s="208"/>
      <c r="B13" s="270">
        <v>1.0</v>
      </c>
      <c r="C13" s="208">
        <v>2.0</v>
      </c>
      <c r="D13" s="208">
        <v>3.0</v>
      </c>
      <c r="E13" s="208">
        <v>4.0</v>
      </c>
      <c r="F13" s="208">
        <v>5.0</v>
      </c>
      <c r="G13" s="208">
        <v>6.0</v>
      </c>
      <c r="H13" s="270">
        <v>7.0</v>
      </c>
      <c r="J13" s="208"/>
      <c r="K13" s="208"/>
      <c r="L13" s="270">
        <v>1.0</v>
      </c>
      <c r="M13" s="208">
        <v>2.0</v>
      </c>
      <c r="N13" s="208">
        <v>3.0</v>
      </c>
      <c r="O13" s="208">
        <v>4.0</v>
      </c>
      <c r="P13" s="208">
        <v>5.0</v>
      </c>
      <c r="R13" s="208"/>
      <c r="S13" s="208"/>
      <c r="T13" s="208"/>
      <c r="U13" s="208"/>
      <c r="V13" s="208"/>
      <c r="W13" s="271">
        <v>1.0</v>
      </c>
      <c r="X13" s="208">
        <v>2.0</v>
      </c>
      <c r="Z13" s="268">
        <v>45137.0</v>
      </c>
      <c r="AA13" s="131" t="s">
        <v>228</v>
      </c>
      <c r="AC13" s="269"/>
    </row>
    <row r="14" ht="15.75" customHeight="1">
      <c r="A14" s="208"/>
      <c r="B14" s="208">
        <v>8.0</v>
      </c>
      <c r="C14" s="208">
        <v>9.0</v>
      </c>
      <c r="D14" s="208">
        <v>10.0</v>
      </c>
      <c r="E14" s="208">
        <v>11.0</v>
      </c>
      <c r="F14" s="208">
        <v>12.0</v>
      </c>
      <c r="G14" s="270">
        <v>13.0</v>
      </c>
      <c r="H14" s="270">
        <v>14.0</v>
      </c>
      <c r="J14" s="208">
        <v>6.0</v>
      </c>
      <c r="K14" s="208">
        <v>7.0</v>
      </c>
      <c r="L14" s="208">
        <v>8.0</v>
      </c>
      <c r="M14" s="208">
        <v>9.0</v>
      </c>
      <c r="N14" s="208">
        <v>10.0</v>
      </c>
      <c r="O14" s="208">
        <v>11.0</v>
      </c>
      <c r="P14" s="270">
        <v>12.0</v>
      </c>
      <c r="R14" s="208">
        <v>3.0</v>
      </c>
      <c r="S14" s="208">
        <v>4.0</v>
      </c>
      <c r="T14" s="208">
        <v>5.0</v>
      </c>
      <c r="U14" s="208">
        <v>6.0</v>
      </c>
      <c r="V14" s="208">
        <v>7.0</v>
      </c>
      <c r="W14" s="271">
        <v>8.0</v>
      </c>
      <c r="X14" s="208">
        <v>9.0</v>
      </c>
      <c r="Z14" s="268">
        <v>45149.0</v>
      </c>
      <c r="AA14" s="131" t="s">
        <v>229</v>
      </c>
      <c r="AC14" s="269"/>
    </row>
    <row r="15" ht="15.75" customHeight="1">
      <c r="A15" s="208"/>
      <c r="B15" s="208">
        <v>15.0</v>
      </c>
      <c r="C15" s="208">
        <v>16.0</v>
      </c>
      <c r="D15" s="208">
        <v>17.0</v>
      </c>
      <c r="E15" s="208">
        <v>18.0</v>
      </c>
      <c r="F15" s="208">
        <v>19.0</v>
      </c>
      <c r="G15" s="208">
        <v>20.0</v>
      </c>
      <c r="H15" s="208">
        <v>21.0</v>
      </c>
      <c r="J15" s="208">
        <v>13.0</v>
      </c>
      <c r="K15" s="208">
        <v>14.0</v>
      </c>
      <c r="L15" s="208">
        <v>15.0</v>
      </c>
      <c r="M15" s="208">
        <v>16.0</v>
      </c>
      <c r="N15" s="208">
        <v>17.0</v>
      </c>
      <c r="O15" s="208">
        <v>18.0</v>
      </c>
      <c r="P15" s="208">
        <v>19.0</v>
      </c>
      <c r="R15" s="208">
        <v>10.0</v>
      </c>
      <c r="S15" s="208">
        <v>11.0</v>
      </c>
      <c r="T15" s="270">
        <v>12.0</v>
      </c>
      <c r="U15" s="208">
        <v>13.0</v>
      </c>
      <c r="V15" s="208">
        <v>14.0</v>
      </c>
      <c r="W15" s="271">
        <v>15.0</v>
      </c>
      <c r="X15" s="208">
        <v>16.0</v>
      </c>
      <c r="Z15" s="268">
        <v>45153.0</v>
      </c>
      <c r="AA15" s="131" t="s">
        <v>230</v>
      </c>
      <c r="AC15" s="269"/>
    </row>
    <row r="16" ht="15.75" customHeight="1">
      <c r="A16" s="208"/>
      <c r="B16" s="270">
        <v>22.0</v>
      </c>
      <c r="C16" s="208">
        <v>23.0</v>
      </c>
      <c r="D16" s="208">
        <v>24.0</v>
      </c>
      <c r="E16" s="208">
        <v>25.0</v>
      </c>
      <c r="F16" s="208">
        <v>26.0</v>
      </c>
      <c r="G16" s="208">
        <v>27.0</v>
      </c>
      <c r="H16" s="208">
        <v>28.0</v>
      </c>
      <c r="J16" s="208">
        <v>20.0</v>
      </c>
      <c r="K16" s="208">
        <v>21.0</v>
      </c>
      <c r="L16" s="270">
        <v>22.0</v>
      </c>
      <c r="M16" s="208">
        <v>23.0</v>
      </c>
      <c r="N16" s="208">
        <v>24.0</v>
      </c>
      <c r="O16" s="270">
        <v>25.0</v>
      </c>
      <c r="P16" s="208">
        <v>26.0</v>
      </c>
      <c r="R16" s="208">
        <v>17.0</v>
      </c>
      <c r="S16" s="208">
        <v>18.0</v>
      </c>
      <c r="T16" s="208">
        <v>19.0</v>
      </c>
      <c r="U16" s="270">
        <v>20.0</v>
      </c>
      <c r="V16" s="208">
        <v>21.0</v>
      </c>
      <c r="W16" s="271">
        <v>22.0</v>
      </c>
      <c r="X16" s="208">
        <v>23.0</v>
      </c>
      <c r="Z16" s="268">
        <v>45176.0</v>
      </c>
      <c r="AA16" s="131" t="s">
        <v>231</v>
      </c>
      <c r="AC16" s="269"/>
    </row>
    <row r="17" ht="15.75" customHeight="1">
      <c r="A17" s="208"/>
      <c r="B17" s="208">
        <v>29.0</v>
      </c>
      <c r="C17" s="208">
        <v>30.0</v>
      </c>
      <c r="D17" s="208"/>
      <c r="E17" s="208"/>
      <c r="F17" s="208"/>
      <c r="G17" s="208"/>
      <c r="H17" s="208"/>
      <c r="J17" s="208">
        <v>27.0</v>
      </c>
      <c r="K17" s="208">
        <v>28.0</v>
      </c>
      <c r="L17" s="208">
        <v>29.0</v>
      </c>
      <c r="M17" s="208">
        <v>30.0</v>
      </c>
      <c r="N17" s="208">
        <v>31.0</v>
      </c>
      <c r="O17" s="208"/>
      <c r="P17" s="208"/>
      <c r="R17" s="208">
        <v>24.0</v>
      </c>
      <c r="S17" s="208">
        <v>25.0</v>
      </c>
      <c r="T17" s="208">
        <v>26.0</v>
      </c>
      <c r="U17" s="208">
        <v>27.0</v>
      </c>
      <c r="V17" s="270">
        <v>28.0</v>
      </c>
      <c r="W17" s="271">
        <v>29.0</v>
      </c>
      <c r="X17" s="208">
        <v>30.0</v>
      </c>
      <c r="Z17" s="268">
        <v>45184.0</v>
      </c>
      <c r="AA17" s="131" t="s">
        <v>232</v>
      </c>
      <c r="AC17" s="269"/>
    </row>
    <row r="18" ht="15.75" customHeight="1">
      <c r="A18" s="208"/>
      <c r="B18" s="269"/>
      <c r="C18" s="269"/>
      <c r="D18" s="269"/>
      <c r="E18" s="269"/>
      <c r="F18" s="269"/>
      <c r="G18" s="269"/>
      <c r="H18" s="269"/>
      <c r="Z18" s="272">
        <v>45211.0</v>
      </c>
      <c r="AA18" s="131" t="s">
        <v>233</v>
      </c>
      <c r="AC18" s="269"/>
    </row>
    <row r="19" ht="19.5" customHeight="1">
      <c r="A19" s="261"/>
      <c r="B19" s="262" t="s">
        <v>31</v>
      </c>
      <c r="I19" s="262"/>
      <c r="J19" s="262" t="s">
        <v>32</v>
      </c>
      <c r="Q19" s="262"/>
      <c r="R19" s="262" t="s">
        <v>33</v>
      </c>
      <c r="Z19" s="272">
        <v>45230.0</v>
      </c>
      <c r="AA19" s="131" t="s">
        <v>234</v>
      </c>
    </row>
    <row r="20" ht="15.75" customHeight="1">
      <c r="A20" s="269"/>
      <c r="B20" s="267" t="s">
        <v>210</v>
      </c>
      <c r="C20" s="267" t="s">
        <v>211</v>
      </c>
      <c r="D20" s="267" t="s">
        <v>212</v>
      </c>
      <c r="E20" s="267" t="s">
        <v>213</v>
      </c>
      <c r="F20" s="267" t="s">
        <v>214</v>
      </c>
      <c r="G20" s="267" t="s">
        <v>215</v>
      </c>
      <c r="H20" s="267" t="s">
        <v>216</v>
      </c>
      <c r="I20" s="267"/>
      <c r="J20" s="267" t="s">
        <v>210</v>
      </c>
      <c r="K20" s="267" t="s">
        <v>211</v>
      </c>
      <c r="L20" s="267" t="s">
        <v>212</v>
      </c>
      <c r="M20" s="267" t="s">
        <v>213</v>
      </c>
      <c r="N20" s="267" t="s">
        <v>214</v>
      </c>
      <c r="O20" s="267" t="s">
        <v>215</v>
      </c>
      <c r="P20" s="267" t="s">
        <v>216</v>
      </c>
      <c r="Q20" s="267"/>
      <c r="R20" s="267" t="s">
        <v>210</v>
      </c>
      <c r="S20" s="267" t="s">
        <v>211</v>
      </c>
      <c r="T20" s="267" t="s">
        <v>212</v>
      </c>
      <c r="U20" s="267" t="s">
        <v>213</v>
      </c>
      <c r="V20" s="267" t="s">
        <v>214</v>
      </c>
      <c r="W20" s="267" t="s">
        <v>215</v>
      </c>
      <c r="X20" s="267" t="s">
        <v>216</v>
      </c>
      <c r="Z20" s="272">
        <v>45245.0</v>
      </c>
      <c r="AA20" s="131" t="s">
        <v>235</v>
      </c>
    </row>
    <row r="21" ht="15.75" customHeight="1">
      <c r="B21" s="208">
        <v>1.0</v>
      </c>
      <c r="C21" s="208">
        <v>2.0</v>
      </c>
      <c r="D21" s="208">
        <v>3.0</v>
      </c>
      <c r="E21" s="208">
        <v>4.0</v>
      </c>
      <c r="F21" s="208">
        <v>5.0</v>
      </c>
      <c r="G21" s="208">
        <v>6.0</v>
      </c>
      <c r="H21" s="270">
        <v>7.0</v>
      </c>
      <c r="J21" s="208"/>
      <c r="K21" s="208"/>
      <c r="L21" s="208"/>
      <c r="M21" s="208">
        <v>1.0</v>
      </c>
      <c r="N21" s="208">
        <v>2.0</v>
      </c>
      <c r="O21" s="208">
        <v>3.0</v>
      </c>
      <c r="P21" s="208">
        <v>4.0</v>
      </c>
      <c r="R21" s="208"/>
      <c r="S21" s="208"/>
      <c r="T21" s="208"/>
      <c r="U21" s="208"/>
      <c r="V21" s="208"/>
      <c r="W21" s="208"/>
      <c r="X21" s="208">
        <v>1.0</v>
      </c>
      <c r="Z21" s="272">
        <v>45252.0</v>
      </c>
      <c r="AA21" s="131" t="s">
        <v>236</v>
      </c>
    </row>
    <row r="22" ht="15.75" customHeight="1">
      <c r="B22" s="208">
        <v>8.0</v>
      </c>
      <c r="C22" s="208">
        <v>9.0</v>
      </c>
      <c r="D22" s="208">
        <v>10.0</v>
      </c>
      <c r="E22" s="208">
        <v>11.0</v>
      </c>
      <c r="F22" s="208">
        <v>12.0</v>
      </c>
      <c r="G22" s="270">
        <v>13.0</v>
      </c>
      <c r="H22" s="208">
        <v>14.0</v>
      </c>
      <c r="J22" s="208">
        <v>5.0</v>
      </c>
      <c r="K22" s="208">
        <v>6.0</v>
      </c>
      <c r="L22" s="208">
        <v>7.0</v>
      </c>
      <c r="M22" s="208">
        <v>8.0</v>
      </c>
      <c r="N22" s="208">
        <v>9.0</v>
      </c>
      <c r="O22" s="208">
        <v>10.0</v>
      </c>
      <c r="P22" s="270">
        <v>11.0</v>
      </c>
      <c r="R22" s="269">
        <v>2.0</v>
      </c>
      <c r="S22" s="208">
        <v>3.0</v>
      </c>
      <c r="T22" s="208">
        <v>4.0</v>
      </c>
      <c r="U22" s="208">
        <v>5.0</v>
      </c>
      <c r="V22" s="208">
        <v>6.0</v>
      </c>
      <c r="W22" s="270">
        <v>7.0</v>
      </c>
      <c r="X22" s="208">
        <v>8.0</v>
      </c>
      <c r="Y22" s="208"/>
      <c r="Z22" s="272">
        <v>45255.0</v>
      </c>
      <c r="AA22" s="131" t="s">
        <v>237</v>
      </c>
    </row>
    <row r="23" ht="15.75" customHeight="1">
      <c r="B23" s="270">
        <v>15.0</v>
      </c>
      <c r="C23" s="208">
        <v>16.0</v>
      </c>
      <c r="D23" s="208">
        <v>17.0</v>
      </c>
      <c r="E23" s="208">
        <v>18.0</v>
      </c>
      <c r="F23" s="208">
        <v>19.0</v>
      </c>
      <c r="G23" s="208">
        <v>20.0</v>
      </c>
      <c r="H23" s="208">
        <v>21.0</v>
      </c>
      <c r="J23" s="208">
        <v>12.0</v>
      </c>
      <c r="K23" s="208">
        <v>13.0</v>
      </c>
      <c r="L23" s="208">
        <v>14.0</v>
      </c>
      <c r="M23" s="270">
        <v>15.0</v>
      </c>
      <c r="N23" s="208">
        <v>16.0</v>
      </c>
      <c r="O23" s="208">
        <v>17.0</v>
      </c>
      <c r="P23" s="208">
        <v>18.0</v>
      </c>
      <c r="R23" s="269">
        <v>9.0</v>
      </c>
      <c r="S23" s="208">
        <v>10.0</v>
      </c>
      <c r="T23" s="208">
        <v>11.0</v>
      </c>
      <c r="U23" s="208">
        <v>12.0</v>
      </c>
      <c r="V23" s="208">
        <v>13.0</v>
      </c>
      <c r="W23" s="208">
        <v>14.0</v>
      </c>
      <c r="X23" s="270">
        <v>15.0</v>
      </c>
      <c r="Y23" s="208"/>
      <c r="Z23" s="272">
        <v>45285.0</v>
      </c>
      <c r="AA23" s="131" t="s">
        <v>238</v>
      </c>
    </row>
    <row r="24" ht="15.75" customHeight="1">
      <c r="B24" s="208">
        <v>22.0</v>
      </c>
      <c r="C24" s="208">
        <v>23.0</v>
      </c>
      <c r="D24" s="208">
        <v>24.0</v>
      </c>
      <c r="E24" s="208">
        <v>25.0</v>
      </c>
      <c r="F24" s="270">
        <v>26.0</v>
      </c>
      <c r="G24" s="208">
        <v>27.0</v>
      </c>
      <c r="H24" s="208">
        <v>28.0</v>
      </c>
      <c r="J24" s="208">
        <v>19.0</v>
      </c>
      <c r="K24" s="208">
        <v>20.0</v>
      </c>
      <c r="L24" s="208">
        <v>21.0</v>
      </c>
      <c r="M24" s="208">
        <v>22.0</v>
      </c>
      <c r="N24" s="208">
        <v>23.0</v>
      </c>
      <c r="O24" s="208">
        <v>24.0</v>
      </c>
      <c r="P24" s="208">
        <v>25.0</v>
      </c>
      <c r="R24" s="269">
        <v>16.0</v>
      </c>
      <c r="S24" s="208">
        <v>17.0</v>
      </c>
      <c r="T24" s="208">
        <v>18.0</v>
      </c>
      <c r="U24" s="208">
        <v>19.0</v>
      </c>
      <c r="V24" s="208">
        <v>20.0</v>
      </c>
      <c r="W24" s="208">
        <v>21.0</v>
      </c>
      <c r="X24" s="270">
        <v>22.0</v>
      </c>
      <c r="Y24" s="208"/>
      <c r="Z24" s="272">
        <v>45291.0</v>
      </c>
      <c r="AA24" s="131" t="s">
        <v>239</v>
      </c>
    </row>
    <row r="25" ht="15.75" customHeight="1">
      <c r="B25" s="208">
        <v>29.0</v>
      </c>
      <c r="C25" s="270">
        <v>30.0</v>
      </c>
      <c r="D25" s="269">
        <v>31.0</v>
      </c>
      <c r="J25" s="208">
        <v>26.0</v>
      </c>
      <c r="K25" s="208">
        <v>27.0</v>
      </c>
      <c r="L25" s="208">
        <v>28.0</v>
      </c>
      <c r="M25" s="208">
        <v>29.0</v>
      </c>
      <c r="N25" s="208">
        <v>20.0</v>
      </c>
      <c r="O25" s="208">
        <v>31.0</v>
      </c>
      <c r="P25" s="208"/>
      <c r="R25" s="269">
        <v>23.0</v>
      </c>
      <c r="S25" s="208">
        <v>24.0</v>
      </c>
      <c r="T25" s="208">
        <v>25.0</v>
      </c>
      <c r="U25" s="208">
        <v>26.0</v>
      </c>
      <c r="V25" s="208">
        <v>27.0</v>
      </c>
      <c r="W25" s="208">
        <v>28.0</v>
      </c>
      <c r="X25" s="208">
        <v>29.0</v>
      </c>
      <c r="Y25" s="208"/>
    </row>
    <row r="26" ht="15.75" customHeight="1">
      <c r="C26" s="269"/>
      <c r="D26" s="269"/>
      <c r="E26" s="269"/>
      <c r="F26" s="269"/>
      <c r="G26" s="269"/>
      <c r="H26" s="269"/>
      <c r="R26" s="269">
        <v>30.0</v>
      </c>
    </row>
    <row r="27" ht="15.75" customHeight="1">
      <c r="B27" s="269"/>
      <c r="C27" s="269"/>
      <c r="D27" s="269"/>
      <c r="E27" s="269"/>
      <c r="F27" s="269"/>
      <c r="G27" s="269"/>
      <c r="H27" s="269"/>
    </row>
    <row r="28" ht="20.25" customHeight="1">
      <c r="A28" s="261"/>
      <c r="B28" s="262" t="s">
        <v>240</v>
      </c>
      <c r="I28" s="262"/>
      <c r="J28" s="262" t="s">
        <v>35</v>
      </c>
      <c r="Q28" s="262"/>
      <c r="R28" s="262" t="s">
        <v>241</v>
      </c>
    </row>
    <row r="29" ht="15.75" customHeight="1">
      <c r="A29" s="269"/>
      <c r="B29" s="273" t="s">
        <v>210</v>
      </c>
      <c r="C29" s="273" t="s">
        <v>211</v>
      </c>
      <c r="D29" s="273" t="s">
        <v>212</v>
      </c>
      <c r="E29" s="273" t="s">
        <v>213</v>
      </c>
      <c r="F29" s="273" t="s">
        <v>214</v>
      </c>
      <c r="G29" s="273" t="s">
        <v>215</v>
      </c>
      <c r="H29" s="273" t="s">
        <v>216</v>
      </c>
      <c r="I29" s="273"/>
      <c r="J29" s="273" t="s">
        <v>210</v>
      </c>
      <c r="K29" s="273" t="s">
        <v>211</v>
      </c>
      <c r="L29" s="273" t="s">
        <v>212</v>
      </c>
      <c r="M29" s="273" t="s">
        <v>213</v>
      </c>
      <c r="N29" s="273" t="s">
        <v>214</v>
      </c>
      <c r="O29" s="273" t="s">
        <v>215</v>
      </c>
      <c r="P29" s="273" t="s">
        <v>216</v>
      </c>
      <c r="Q29" s="273"/>
      <c r="R29" s="273" t="s">
        <v>210</v>
      </c>
      <c r="S29" s="273" t="s">
        <v>211</v>
      </c>
      <c r="T29" s="273" t="s">
        <v>212</v>
      </c>
      <c r="U29" s="273" t="s">
        <v>213</v>
      </c>
      <c r="V29" s="273" t="s">
        <v>214</v>
      </c>
      <c r="W29" s="273" t="s">
        <v>215</v>
      </c>
      <c r="X29" s="273" t="s">
        <v>216</v>
      </c>
    </row>
    <row r="30" ht="15.75" customHeight="1">
      <c r="B30" s="208"/>
      <c r="C30" s="208">
        <v>1.0</v>
      </c>
      <c r="D30" s="208">
        <v>2.0</v>
      </c>
      <c r="E30" s="208">
        <v>3.0</v>
      </c>
      <c r="F30" s="208">
        <v>4.0</v>
      </c>
      <c r="G30" s="208">
        <v>5.0</v>
      </c>
      <c r="H30" s="208">
        <v>6.0</v>
      </c>
      <c r="J30" s="208"/>
      <c r="K30" s="208"/>
      <c r="N30" s="208">
        <v>1.0</v>
      </c>
      <c r="O30" s="208">
        <v>2.0</v>
      </c>
      <c r="P30" s="208">
        <v>3.0</v>
      </c>
      <c r="R30" s="208"/>
      <c r="S30" s="208"/>
      <c r="T30" s="208"/>
      <c r="U30" s="208"/>
      <c r="V30" s="208"/>
      <c r="X30" s="208">
        <v>1.0</v>
      </c>
    </row>
    <row r="31" ht="15.75" customHeight="1">
      <c r="B31" s="208">
        <v>7.0</v>
      </c>
      <c r="C31" s="208">
        <v>8.0</v>
      </c>
      <c r="D31" s="208">
        <v>9.0</v>
      </c>
      <c r="E31" s="208">
        <v>10.0</v>
      </c>
      <c r="F31" s="208">
        <v>11.0</v>
      </c>
      <c r="G31" s="270">
        <v>12.0</v>
      </c>
      <c r="H31" s="208">
        <v>13.0</v>
      </c>
      <c r="J31" s="269">
        <v>4.0</v>
      </c>
      <c r="K31" s="269">
        <v>5.0</v>
      </c>
      <c r="L31" s="208">
        <v>6.0</v>
      </c>
      <c r="M31" s="208">
        <v>7.0</v>
      </c>
      <c r="N31" s="208">
        <v>8.0</v>
      </c>
      <c r="O31" s="208">
        <v>9.0</v>
      </c>
      <c r="P31" s="208">
        <v>10.0</v>
      </c>
      <c r="R31" s="208">
        <v>2.0</v>
      </c>
      <c r="S31" s="208">
        <v>3.0</v>
      </c>
      <c r="T31" s="208">
        <v>4.0</v>
      </c>
      <c r="U31" s="208">
        <v>5.0</v>
      </c>
      <c r="V31" s="208">
        <v>6.0</v>
      </c>
      <c r="W31" s="208">
        <v>7.0</v>
      </c>
      <c r="X31" s="208">
        <v>8.0</v>
      </c>
    </row>
    <row r="32" ht="15.75" customHeight="1">
      <c r="B32" s="208">
        <v>14.0</v>
      </c>
      <c r="C32" s="208">
        <v>15.0</v>
      </c>
      <c r="D32" s="208">
        <v>16.0</v>
      </c>
      <c r="E32" s="208">
        <v>17.0</v>
      </c>
      <c r="F32" s="208">
        <v>18.0</v>
      </c>
      <c r="G32" s="208">
        <v>19.0</v>
      </c>
      <c r="H32" s="208">
        <v>20.0</v>
      </c>
      <c r="J32" s="208">
        <v>11.0</v>
      </c>
      <c r="K32" s="208">
        <v>12.0</v>
      </c>
      <c r="L32" s="208">
        <v>13.0</v>
      </c>
      <c r="M32" s="208">
        <v>14.0</v>
      </c>
      <c r="N32" s="208">
        <v>15.0</v>
      </c>
      <c r="O32" s="208">
        <v>16.0</v>
      </c>
      <c r="P32" s="208">
        <v>17.0</v>
      </c>
      <c r="R32" s="208">
        <v>9.0</v>
      </c>
      <c r="S32" s="208">
        <v>10.0</v>
      </c>
      <c r="T32" s="208">
        <v>11.0</v>
      </c>
      <c r="U32" s="208">
        <v>12.0</v>
      </c>
      <c r="V32" s="208">
        <v>13.0</v>
      </c>
      <c r="W32" s="208">
        <v>14.0</v>
      </c>
      <c r="X32" s="208">
        <v>15.0</v>
      </c>
    </row>
    <row r="33" ht="15.75" customHeight="1">
      <c r="B33" s="208">
        <v>21.0</v>
      </c>
      <c r="C33" s="208">
        <v>22.0</v>
      </c>
      <c r="D33" s="208">
        <v>23.0</v>
      </c>
      <c r="E33" s="208">
        <v>24.0</v>
      </c>
      <c r="F33" s="208">
        <v>25.0</v>
      </c>
      <c r="G33" s="208">
        <v>26.0</v>
      </c>
      <c r="H33" s="208">
        <v>27.0</v>
      </c>
      <c r="J33" s="208">
        <v>18.0</v>
      </c>
      <c r="K33" s="208">
        <v>19.0</v>
      </c>
      <c r="L33" s="208">
        <v>20.0</v>
      </c>
      <c r="M33" s="208">
        <v>21.0</v>
      </c>
      <c r="N33" s="270">
        <v>22.0</v>
      </c>
      <c r="O33" s="208">
        <v>23.0</v>
      </c>
      <c r="P33" s="208">
        <v>24.0</v>
      </c>
      <c r="R33" s="208">
        <v>16.0</v>
      </c>
      <c r="S33" s="208">
        <v>17.0</v>
      </c>
      <c r="T33" s="208">
        <v>18.0</v>
      </c>
      <c r="U33" s="208">
        <v>19.0</v>
      </c>
      <c r="V33" s="208">
        <v>20.0</v>
      </c>
      <c r="W33" s="208">
        <v>21.0</v>
      </c>
      <c r="X33" s="208">
        <v>22.0</v>
      </c>
    </row>
    <row r="34" ht="15.75" customHeight="1">
      <c r="B34" s="208">
        <v>28.0</v>
      </c>
      <c r="C34" s="208">
        <v>29.0</v>
      </c>
      <c r="D34" s="269">
        <v>30.0</v>
      </c>
      <c r="E34" s="270">
        <v>31.0</v>
      </c>
      <c r="J34" s="270">
        <v>25.0</v>
      </c>
      <c r="K34" s="208">
        <v>26.0</v>
      </c>
      <c r="L34" s="208">
        <v>27.0</v>
      </c>
      <c r="M34" s="208">
        <v>28.0</v>
      </c>
      <c r="N34" s="208">
        <v>29.0</v>
      </c>
      <c r="O34" s="208">
        <v>30.0</v>
      </c>
      <c r="P34" s="208"/>
      <c r="R34" s="208">
        <v>23.0</v>
      </c>
      <c r="S34" s="208">
        <v>24.0</v>
      </c>
      <c r="T34" s="270">
        <v>25.0</v>
      </c>
      <c r="U34" s="208">
        <v>26.0</v>
      </c>
      <c r="V34" s="208">
        <v>27.0</v>
      </c>
      <c r="W34" s="208">
        <v>28.0</v>
      </c>
      <c r="X34" s="208">
        <v>29.0</v>
      </c>
    </row>
    <row r="35" ht="15.75" customHeight="1">
      <c r="R35" s="208">
        <v>30.0</v>
      </c>
      <c r="S35" s="270">
        <v>31.0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1:Z1"/>
    <mergeCell ref="B3:H3"/>
    <mergeCell ref="J3:P3"/>
    <mergeCell ref="R3:X3"/>
    <mergeCell ref="Z3:AA3"/>
    <mergeCell ref="AC3:AD3"/>
    <mergeCell ref="AC4:AD4"/>
    <mergeCell ref="AC5:AD5"/>
    <mergeCell ref="AC6:AD6"/>
    <mergeCell ref="AC7:AD7"/>
    <mergeCell ref="AC8:AD8"/>
    <mergeCell ref="AC9:AD9"/>
    <mergeCell ref="AC10:AD10"/>
    <mergeCell ref="B11:H11"/>
    <mergeCell ref="AC11:AD11"/>
    <mergeCell ref="AC17:AD17"/>
    <mergeCell ref="AC18:AD18"/>
    <mergeCell ref="B19:H19"/>
    <mergeCell ref="J19:P19"/>
    <mergeCell ref="R19:X19"/>
    <mergeCell ref="B28:H28"/>
    <mergeCell ref="J28:P28"/>
    <mergeCell ref="R28:X28"/>
    <mergeCell ref="J11:P11"/>
    <mergeCell ref="R11:X11"/>
    <mergeCell ref="AC12:AD12"/>
    <mergeCell ref="AC13:AD13"/>
    <mergeCell ref="AC14:AD14"/>
    <mergeCell ref="AC15:AD15"/>
    <mergeCell ref="AC16:AD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3.38"/>
  </cols>
  <sheetData>
    <row r="1" ht="50.25" customHeight="1">
      <c r="A1" s="259"/>
      <c r="B1" s="274" t="s">
        <v>242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277">
        <v>1.0</v>
      </c>
      <c r="C4" s="277">
        <v>2.0</v>
      </c>
      <c r="D4" s="277">
        <v>3.0</v>
      </c>
      <c r="E4" s="277">
        <v>4.0</v>
      </c>
      <c r="F4" s="277">
        <v>5.0</v>
      </c>
      <c r="G4" s="277">
        <v>6.0</v>
      </c>
      <c r="H4" s="278">
        <v>7.0</v>
      </c>
      <c r="K4" s="279"/>
    </row>
    <row r="5" ht="45.0" customHeight="1">
      <c r="B5" s="280"/>
      <c r="C5" s="280"/>
      <c r="D5" s="280"/>
      <c r="E5" s="280"/>
      <c r="F5" s="280"/>
      <c r="G5" s="280"/>
      <c r="H5" s="281"/>
      <c r="K5" s="282"/>
    </row>
    <row r="6" ht="15.75" customHeight="1">
      <c r="A6" s="269"/>
      <c r="B6" s="278">
        <v>8.0</v>
      </c>
      <c r="C6" s="278">
        <v>9.0</v>
      </c>
      <c r="D6" s="278">
        <v>10.0</v>
      </c>
      <c r="E6" s="278">
        <v>11.0</v>
      </c>
      <c r="F6" s="278">
        <v>12.0</v>
      </c>
      <c r="G6" s="278">
        <v>13.0</v>
      </c>
      <c r="H6" s="278">
        <v>14.0</v>
      </c>
      <c r="J6" s="279"/>
    </row>
    <row r="7" ht="45.0" customHeight="1">
      <c r="B7" s="281"/>
      <c r="C7" s="281"/>
      <c r="D7" s="281"/>
      <c r="E7" s="281"/>
      <c r="F7" s="281"/>
      <c r="G7" s="281"/>
      <c r="H7" s="281"/>
    </row>
    <row r="8" ht="15.75" customHeight="1">
      <c r="A8" s="269"/>
      <c r="B8" s="278">
        <v>15.0</v>
      </c>
      <c r="C8" s="278">
        <v>16.0</v>
      </c>
      <c r="D8" s="278">
        <v>17.0</v>
      </c>
      <c r="E8" s="278">
        <v>18.0</v>
      </c>
      <c r="F8" s="278">
        <v>19.0</v>
      </c>
      <c r="G8" s="278">
        <v>20.0</v>
      </c>
      <c r="H8" s="278">
        <v>21.0</v>
      </c>
    </row>
    <row r="9" ht="45.0" customHeight="1">
      <c r="B9" s="281"/>
      <c r="C9" s="281"/>
      <c r="D9" s="281"/>
      <c r="E9" s="281"/>
      <c r="F9" s="281"/>
      <c r="G9" s="281"/>
      <c r="H9" s="281"/>
    </row>
    <row r="10" ht="15.75" customHeight="1">
      <c r="A10" s="269"/>
      <c r="B10" s="278">
        <v>22.0</v>
      </c>
      <c r="C10" s="278">
        <v>23.0</v>
      </c>
      <c r="D10" s="278">
        <v>24.0</v>
      </c>
      <c r="E10" s="278">
        <v>25.0</v>
      </c>
      <c r="F10" s="278">
        <v>26.0</v>
      </c>
      <c r="G10" s="278">
        <v>27.0</v>
      </c>
      <c r="H10" s="278">
        <v>28.0</v>
      </c>
    </row>
    <row r="11" ht="45.0" customHeight="1">
      <c r="B11" s="283"/>
      <c r="C11" s="283"/>
      <c r="D11" s="283"/>
      <c r="E11" s="281"/>
      <c r="F11" s="281"/>
      <c r="G11" s="281"/>
      <c r="H11" s="281"/>
    </row>
    <row r="12" ht="15.75" customHeight="1">
      <c r="A12" s="269"/>
      <c r="B12" s="278">
        <v>29.0</v>
      </c>
      <c r="C12" s="278">
        <v>30.0</v>
      </c>
      <c r="D12" s="278">
        <v>31.0</v>
      </c>
      <c r="E12" s="284"/>
      <c r="F12" s="285"/>
      <c r="G12" s="285"/>
      <c r="H12" s="285"/>
    </row>
    <row r="13" ht="45.0" customHeight="1">
      <c r="B13" s="281"/>
      <c r="C13" s="281"/>
      <c r="D13" s="281"/>
      <c r="E13" s="286"/>
      <c r="F13" s="286"/>
      <c r="G13" s="286"/>
      <c r="H13" s="286"/>
    </row>
    <row r="14" ht="15.75" customHeight="1">
      <c r="A14" s="208"/>
      <c r="B14" s="287"/>
      <c r="C14" s="287"/>
      <c r="D14" s="287"/>
      <c r="E14" s="287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 ht="15.75" customHeight="1">
      <c r="A15" s="269"/>
      <c r="B15" s="288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>
      <c r="B21" s="296" t="s">
        <v>251</v>
      </c>
    </row>
    <row r="22" ht="15.75" customHeight="1">
      <c r="B22" s="297" t="s">
        <v>252</v>
      </c>
    </row>
    <row r="23" ht="15.75" customHeight="1">
      <c r="B23" s="298" t="s">
        <v>253</v>
      </c>
    </row>
    <row r="24" ht="15.75" customHeight="1">
      <c r="B24" s="299" t="s">
        <v>254</v>
      </c>
    </row>
    <row r="25" ht="15.75" customHeight="1">
      <c r="B25" s="300" t="s">
        <v>255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02CA"/>
    <outlinePr summaryBelow="0" summaryRight="0"/>
  </sheetPr>
  <sheetViews>
    <sheetView workbookViewId="0"/>
  </sheetViews>
  <sheetFormatPr customHeight="1" defaultColWidth="12.63" defaultRowHeight="15.0"/>
  <cols>
    <col customWidth="1" min="1" max="1" width="56.63"/>
    <col customWidth="1" min="2" max="6" width="12.63"/>
  </cols>
  <sheetData>
    <row r="1" ht="20.25" customHeight="1">
      <c r="A1" s="301" t="s">
        <v>256</v>
      </c>
      <c r="B1" s="302" t="s">
        <v>257</v>
      </c>
      <c r="C1" s="302" t="s">
        <v>258</v>
      </c>
      <c r="D1" s="303" t="s">
        <v>259</v>
      </c>
      <c r="E1" s="302" t="s">
        <v>260</v>
      </c>
      <c r="F1" s="303" t="s">
        <v>261</v>
      </c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</row>
    <row r="2">
      <c r="A2" s="305" t="s">
        <v>262</v>
      </c>
      <c r="B2" s="306">
        <v>61927.0</v>
      </c>
      <c r="C2" s="306">
        <v>7226.0</v>
      </c>
      <c r="D2" s="307">
        <f>C2/B2</f>
        <v>0.1166857752</v>
      </c>
      <c r="E2" s="306">
        <v>605.0</v>
      </c>
      <c r="F2" s="307">
        <f>E2/B2</f>
        <v>0.009769567394</v>
      </c>
    </row>
    <row r="3">
      <c r="A3" s="305"/>
      <c r="B3" s="306"/>
      <c r="C3" s="306"/>
      <c r="D3" s="307"/>
      <c r="E3" s="306"/>
      <c r="F3" s="307"/>
    </row>
    <row r="4">
      <c r="A4" s="305"/>
      <c r="B4" s="306"/>
      <c r="C4" s="306"/>
      <c r="D4" s="307"/>
      <c r="E4" s="306"/>
      <c r="F4" s="307"/>
    </row>
    <row r="5">
      <c r="A5" s="305"/>
      <c r="B5" s="306"/>
      <c r="C5" s="306"/>
      <c r="D5" s="307"/>
      <c r="E5" s="306"/>
      <c r="F5" s="307"/>
    </row>
    <row r="6">
      <c r="A6" s="305"/>
      <c r="B6" s="306"/>
      <c r="C6" s="306"/>
      <c r="D6" s="307"/>
      <c r="E6" s="306"/>
      <c r="F6" s="307"/>
    </row>
    <row r="7">
      <c r="A7" s="305"/>
      <c r="B7" s="306"/>
      <c r="C7" s="306"/>
      <c r="D7" s="307"/>
      <c r="E7" s="306"/>
      <c r="F7" s="307"/>
    </row>
    <row r="8">
      <c r="A8" s="305"/>
      <c r="B8" s="306"/>
      <c r="C8" s="306"/>
      <c r="D8" s="307"/>
      <c r="E8" s="306"/>
      <c r="F8" s="307"/>
    </row>
    <row r="9">
      <c r="A9" s="305"/>
      <c r="B9" s="306"/>
      <c r="C9" s="306"/>
      <c r="D9" s="307"/>
      <c r="E9" s="306"/>
      <c r="F9" s="307"/>
    </row>
    <row r="10">
      <c r="A10" s="305"/>
      <c r="B10" s="306"/>
      <c r="C10" s="306"/>
      <c r="D10" s="307"/>
      <c r="E10" s="306"/>
      <c r="F10" s="307"/>
    </row>
    <row r="11">
      <c r="A11" s="305"/>
      <c r="B11" s="306"/>
      <c r="C11" s="306"/>
      <c r="D11" s="307"/>
      <c r="E11" s="306"/>
      <c r="F11" s="307"/>
    </row>
    <row r="12">
      <c r="A12" s="305"/>
      <c r="B12" s="306"/>
      <c r="C12" s="306"/>
      <c r="D12" s="307"/>
      <c r="E12" s="306"/>
      <c r="F12" s="307"/>
    </row>
    <row r="13">
      <c r="A13" s="305"/>
      <c r="B13" s="306"/>
      <c r="C13" s="306"/>
      <c r="D13" s="307"/>
      <c r="E13" s="306"/>
      <c r="F13" s="307"/>
    </row>
    <row r="14">
      <c r="A14" s="305"/>
      <c r="B14" s="306"/>
      <c r="C14" s="306"/>
      <c r="D14" s="307"/>
      <c r="E14" s="306"/>
      <c r="F14" s="307"/>
    </row>
    <row r="15">
      <c r="A15" s="305"/>
      <c r="B15" s="306"/>
      <c r="C15" s="306"/>
      <c r="D15" s="307"/>
      <c r="E15" s="306"/>
      <c r="F15" s="307"/>
    </row>
    <row r="16">
      <c r="A16" s="305"/>
      <c r="B16" s="306"/>
      <c r="C16" s="306"/>
      <c r="D16" s="307"/>
      <c r="E16" s="306"/>
      <c r="F16" s="307"/>
    </row>
    <row r="17">
      <c r="A17" s="305"/>
      <c r="B17" s="306"/>
      <c r="C17" s="306"/>
      <c r="D17" s="307"/>
      <c r="E17" s="306"/>
      <c r="F17" s="307"/>
    </row>
    <row r="18">
      <c r="A18" s="305"/>
      <c r="B18" s="306"/>
      <c r="C18" s="306"/>
      <c r="D18" s="307"/>
      <c r="E18" s="306"/>
      <c r="F18" s="307"/>
    </row>
    <row r="19">
      <c r="A19" s="305"/>
      <c r="B19" s="306"/>
      <c r="C19" s="306"/>
      <c r="D19" s="307"/>
      <c r="E19" s="306"/>
      <c r="F19" s="307"/>
    </row>
    <row r="20">
      <c r="A20" s="305"/>
      <c r="B20" s="306"/>
      <c r="C20" s="306"/>
      <c r="D20" s="307"/>
      <c r="E20" s="306"/>
      <c r="F20" s="307"/>
    </row>
    <row r="21" ht="15.75" customHeight="1">
      <c r="A21" s="305"/>
      <c r="B21" s="306"/>
      <c r="C21" s="306"/>
      <c r="D21" s="307"/>
      <c r="E21" s="306"/>
      <c r="F21" s="307"/>
    </row>
    <row r="22" ht="15.75" customHeight="1">
      <c r="A22" s="305"/>
      <c r="B22" s="306"/>
      <c r="C22" s="306"/>
      <c r="D22" s="307"/>
      <c r="E22" s="306"/>
      <c r="F22" s="307"/>
    </row>
    <row r="23" ht="15.75" customHeight="1">
      <c r="A23" s="305"/>
      <c r="B23" s="306"/>
      <c r="C23" s="306"/>
      <c r="D23" s="307"/>
      <c r="E23" s="306"/>
      <c r="F23" s="307"/>
    </row>
    <row r="24" ht="15.75" customHeight="1">
      <c r="A24" s="305"/>
      <c r="B24" s="306"/>
      <c r="C24" s="306"/>
      <c r="D24" s="307"/>
      <c r="E24" s="306"/>
      <c r="F24" s="307"/>
    </row>
    <row r="25" ht="15.75" customHeight="1">
      <c r="A25" s="305"/>
      <c r="B25" s="306"/>
      <c r="C25" s="306"/>
      <c r="D25" s="307"/>
      <c r="E25" s="306"/>
      <c r="F25" s="307"/>
    </row>
    <row r="26" ht="15.75" customHeight="1">
      <c r="A26" s="305"/>
      <c r="B26" s="306"/>
      <c r="C26" s="306"/>
      <c r="D26" s="307"/>
      <c r="E26" s="306"/>
      <c r="F26" s="307"/>
    </row>
    <row r="27" ht="15.75" customHeight="1">
      <c r="A27" s="305"/>
      <c r="B27" s="306"/>
      <c r="C27" s="306"/>
      <c r="D27" s="307"/>
      <c r="E27" s="306"/>
      <c r="F27" s="307"/>
    </row>
    <row r="28" ht="15.75" customHeight="1">
      <c r="A28" s="305"/>
      <c r="B28" s="306"/>
      <c r="C28" s="306"/>
      <c r="D28" s="307"/>
      <c r="E28" s="306"/>
      <c r="F28" s="307"/>
    </row>
    <row r="29" ht="15.75" customHeight="1">
      <c r="A29" s="305"/>
      <c r="B29" s="306"/>
      <c r="C29" s="306"/>
      <c r="D29" s="307"/>
      <c r="E29" s="306"/>
      <c r="F29" s="307"/>
    </row>
    <row r="30" ht="15.75" customHeight="1">
      <c r="A30" s="16"/>
      <c r="B30" s="16"/>
      <c r="C30" s="16"/>
      <c r="D30" s="16"/>
      <c r="E30" s="16"/>
      <c r="F30" s="16"/>
    </row>
    <row r="31" ht="15.75" customHeight="1">
      <c r="A31" s="16"/>
      <c r="B31" s="16"/>
      <c r="C31" s="16"/>
      <c r="D31" s="16"/>
      <c r="E31" s="16"/>
      <c r="F31" s="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0"/>
    <col customWidth="1" min="3" max="3" width="12.63"/>
    <col customWidth="1" min="4" max="4" width="14.63"/>
    <col customWidth="1" min="5" max="5" width="13.88"/>
    <col customWidth="1" min="6" max="6" width="50.0"/>
    <col customWidth="1" min="10" max="10" width="12.63"/>
    <col customWidth="1" min="11" max="11" width="13.88"/>
  </cols>
  <sheetData>
    <row r="1" ht="27.0" customHeight="1">
      <c r="A1" s="308" t="s">
        <v>263</v>
      </c>
      <c r="B1" s="309" t="s">
        <v>264</v>
      </c>
      <c r="C1" s="309" t="s">
        <v>265</v>
      </c>
      <c r="D1" s="309" t="s">
        <v>266</v>
      </c>
      <c r="E1" s="309" t="s">
        <v>267</v>
      </c>
      <c r="F1" s="310" t="s">
        <v>268</v>
      </c>
      <c r="G1" s="311" t="s">
        <v>269</v>
      </c>
      <c r="H1" s="311" t="s">
        <v>270</v>
      </c>
      <c r="I1" s="311" t="s">
        <v>10</v>
      </c>
      <c r="J1" s="311" t="s">
        <v>4</v>
      </c>
      <c r="K1" s="311" t="s">
        <v>5</v>
      </c>
      <c r="L1" s="312"/>
      <c r="M1" s="312"/>
      <c r="N1" s="312"/>
      <c r="O1" s="312"/>
      <c r="P1" s="312"/>
      <c r="Q1" s="312"/>
      <c r="R1" s="312"/>
      <c r="S1" s="312"/>
      <c r="T1" s="16"/>
      <c r="U1" s="16"/>
      <c r="V1" s="16"/>
      <c r="W1" s="16"/>
      <c r="X1" s="16"/>
    </row>
    <row r="2" ht="15.75" customHeight="1">
      <c r="A2" s="313" t="s">
        <v>271</v>
      </c>
      <c r="B2" s="314"/>
      <c r="C2" s="315"/>
      <c r="D2" s="316"/>
      <c r="E2" s="317"/>
      <c r="F2" s="318" t="str">
        <f t="shared" ref="F2:F1000" si="1">CONCATENATE(A2,," ","-"," ","",B2,""," ","-"," ",C2," ","-"," ",D2)</f>
        <v>TP01 -  -  - </v>
      </c>
      <c r="G2" s="319">
        <f>SUMIF('ADV - FB'!L:L,$A2,'ADV - FB'!E:E)</f>
        <v>0</v>
      </c>
      <c r="H2" s="320" t="str">
        <f>IFERROR(SUMIF('ADV - FB'!L:L,$A2,'ADV - FB'!H:H)/(SUMIF('ADV - FB'!L:L,$A2,'ADV - FB'!G:G)),"-")</f>
        <v>-</v>
      </c>
      <c r="I2" s="321" t="str">
        <f>IFERROR(SUMIF('ADV - FB'!L:L,$A2,'ADV - FB'!E:E)/(SUMIF('ADV - FB'!L:L,$A2,'ADV - FB'!F:F)),"-")</f>
        <v>-</v>
      </c>
      <c r="J2" s="315">
        <f>SUMIF('ADV - FB'!L:L,$A2,'ADV - FB'!I:I)+SUMIF('ADV - FB'!L:L,$A2,'ADV - FB'!J:J)+SUMIF('ADV - FB'!L:L,$A2,'ADV - FB'!K:K)</f>
        <v>0</v>
      </c>
      <c r="K2" s="321" t="str">
        <f t="shared" ref="K2:K1000" si="2">IFERROR(G2/J2,"-")</f>
        <v>-</v>
      </c>
      <c r="L2" s="117"/>
      <c r="M2" s="117"/>
      <c r="N2" s="117"/>
      <c r="O2" s="117"/>
      <c r="P2" s="117"/>
      <c r="Q2" s="117"/>
      <c r="R2" s="117"/>
      <c r="S2" s="117"/>
      <c r="T2" s="117"/>
      <c r="U2" s="16"/>
      <c r="V2" s="16"/>
      <c r="W2" s="16"/>
      <c r="X2" s="16"/>
    </row>
    <row r="3" ht="15.75" customHeight="1">
      <c r="A3" s="313" t="s">
        <v>272</v>
      </c>
      <c r="B3" s="314"/>
      <c r="C3" s="315"/>
      <c r="D3" s="315"/>
      <c r="E3" s="317"/>
      <c r="F3" s="318" t="str">
        <f t="shared" si="1"/>
        <v>TP02 -  -  - </v>
      </c>
      <c r="G3" s="319">
        <f>SUMIF('ADV - FB'!L:L,$A3,'ADV - FB'!E:E)</f>
        <v>0</v>
      </c>
      <c r="H3" s="320" t="str">
        <f>IFERROR(SUMIF('ADV - FB'!L:L,$A3,'ADV - FB'!H:H)/(SUMIF('ADV - FB'!L:L,$A3,'ADV - FB'!G:G)),"-")</f>
        <v>-</v>
      </c>
      <c r="I3" s="321" t="str">
        <f>IFERROR(SUMIF('ADV - FB'!L:L,$A3,'ADV - FB'!E:E)/(SUMIF('ADV - FB'!L:L,$A3,'ADV - FB'!F:F)),"-")</f>
        <v>-</v>
      </c>
      <c r="J3" s="315">
        <f>SUMIF('ADV - FB'!L:L,$A3,'ADV - FB'!I:I)+SUMIF('ADV - FB'!L:L,$A3,'ADV - FB'!J:J)+SUMIF('ADV - FB'!L:L,$A3,'ADV - FB'!K:K)</f>
        <v>0</v>
      </c>
      <c r="K3" s="321" t="str">
        <f t="shared" si="2"/>
        <v>-</v>
      </c>
      <c r="L3" s="117"/>
      <c r="M3" s="117"/>
      <c r="N3" s="117"/>
      <c r="O3" s="117"/>
      <c r="P3" s="117"/>
      <c r="Q3" s="117"/>
      <c r="R3" s="117"/>
      <c r="S3" s="117"/>
      <c r="T3" s="117"/>
      <c r="U3" s="16"/>
      <c r="V3" s="16"/>
      <c r="W3" s="16"/>
      <c r="X3" s="16"/>
    </row>
    <row r="4" ht="15.75" customHeight="1">
      <c r="A4" s="313" t="s">
        <v>273</v>
      </c>
      <c r="B4" s="314"/>
      <c r="C4" s="315"/>
      <c r="D4" s="315"/>
      <c r="E4" s="317"/>
      <c r="F4" s="318" t="str">
        <f t="shared" si="1"/>
        <v>TP03 -  -  - </v>
      </c>
      <c r="G4" s="319">
        <f>SUMIF('ADV - FB'!L:L,$A4,'ADV - FB'!E:E)</f>
        <v>0</v>
      </c>
      <c r="H4" s="320" t="str">
        <f>IFERROR(SUMIF('ADV - FB'!L:L,$A4,'ADV - FB'!H:H)/(SUMIF('ADV - FB'!L:L,$A4,'ADV - FB'!G:G)),"-")</f>
        <v>-</v>
      </c>
      <c r="I4" s="321" t="str">
        <f>IFERROR(SUMIF('ADV - FB'!L:L,$A4,'ADV - FB'!E:E)/(SUMIF('ADV - FB'!L:L,$A4,'ADV - FB'!F:F)),"-")</f>
        <v>-</v>
      </c>
      <c r="J4" s="315">
        <f>SUMIF('ADV - FB'!L:L,$A4,'ADV - FB'!I:I)+SUMIF('ADV - FB'!L:L,$A4,'ADV - FB'!J:J)+SUMIF('ADV - FB'!L:L,$A4,'ADV - FB'!K:K)</f>
        <v>0</v>
      </c>
      <c r="K4" s="321" t="str">
        <f t="shared" si="2"/>
        <v>-</v>
      </c>
      <c r="L4" s="117"/>
      <c r="M4" s="117"/>
      <c r="N4" s="117"/>
      <c r="O4" s="117"/>
      <c r="P4" s="117"/>
      <c r="Q4" s="117"/>
      <c r="R4" s="117"/>
      <c r="S4" s="117"/>
      <c r="T4" s="117"/>
      <c r="U4" s="16"/>
      <c r="V4" s="16"/>
      <c r="W4" s="16"/>
      <c r="X4" s="16"/>
    </row>
    <row r="5" ht="15.75" customHeight="1">
      <c r="A5" s="313" t="s">
        <v>274</v>
      </c>
      <c r="B5" s="314"/>
      <c r="C5" s="315"/>
      <c r="D5" s="315"/>
      <c r="E5" s="317"/>
      <c r="F5" s="318" t="str">
        <f t="shared" si="1"/>
        <v>TP04 -  -  - </v>
      </c>
      <c r="G5" s="319">
        <f>SUMIF('ADV - FB'!L:L,$A5,'ADV - FB'!E:E)</f>
        <v>0</v>
      </c>
      <c r="H5" s="320" t="str">
        <f>IFERROR(SUMIF('ADV - FB'!L:L,$A5,'ADV - FB'!H:H)/(SUMIF('ADV - FB'!L:L,$A5,'ADV - FB'!G:G)),"-")</f>
        <v>-</v>
      </c>
      <c r="I5" s="321" t="str">
        <f>IFERROR(SUMIF('ADV - FB'!L:L,$A5,'ADV - FB'!E:E)/(SUMIF('ADV - FB'!L:L,$A5,'ADV - FB'!F:F)),"-")</f>
        <v>-</v>
      </c>
      <c r="J5" s="315">
        <f>SUMIF('ADV - FB'!L:L,$A5,'ADV - FB'!I:I)+SUMIF('ADV - FB'!L:L,$A5,'ADV - FB'!J:J)+SUMIF('ADV - FB'!L:L,$A5,'ADV - FB'!K:K)</f>
        <v>0</v>
      </c>
      <c r="K5" s="321" t="str">
        <f t="shared" si="2"/>
        <v>-</v>
      </c>
      <c r="L5" s="117"/>
      <c r="M5" s="117"/>
      <c r="N5" s="117"/>
      <c r="O5" s="117"/>
      <c r="P5" s="117"/>
      <c r="Q5" s="117"/>
      <c r="R5" s="117"/>
      <c r="S5" s="117"/>
      <c r="T5" s="117"/>
      <c r="U5" s="16"/>
      <c r="V5" s="16"/>
      <c r="W5" s="16"/>
      <c r="X5" s="16"/>
    </row>
    <row r="6" ht="15.75" customHeight="1">
      <c r="A6" s="313" t="s">
        <v>275</v>
      </c>
      <c r="B6" s="314"/>
      <c r="C6" s="315"/>
      <c r="D6" s="315"/>
      <c r="E6" s="317"/>
      <c r="F6" s="318" t="str">
        <f t="shared" si="1"/>
        <v>TP05 -  -  - </v>
      </c>
      <c r="G6" s="319">
        <f>SUMIF('ADV - FB'!L:L,$A6,'ADV - FB'!E:E)</f>
        <v>0</v>
      </c>
      <c r="H6" s="320" t="str">
        <f>IFERROR(SUMIF('ADV - FB'!L:L,$A6,'ADV - FB'!H:H)/(SUMIF('ADV - FB'!L:L,$A6,'ADV - FB'!G:G)),"-")</f>
        <v>-</v>
      </c>
      <c r="I6" s="321" t="str">
        <f>IFERROR(SUMIF('ADV - FB'!L:L,$A6,'ADV - FB'!E:E)/(SUMIF('ADV - FB'!L:L,$A6,'ADV - FB'!F:F)),"-")</f>
        <v>-</v>
      </c>
      <c r="J6" s="315">
        <f>SUMIF('ADV - FB'!L:L,$A6,'ADV - FB'!I:I)+SUMIF('ADV - FB'!L:L,$A6,'ADV - FB'!J:J)+SUMIF('ADV - FB'!L:L,$A6,'ADV - FB'!K:K)</f>
        <v>0</v>
      </c>
      <c r="K6" s="321" t="str">
        <f t="shared" si="2"/>
        <v>-</v>
      </c>
      <c r="L6" s="117"/>
      <c r="M6" s="117"/>
      <c r="N6" s="117"/>
      <c r="O6" s="117"/>
      <c r="P6" s="117"/>
      <c r="Q6" s="117"/>
      <c r="R6" s="117"/>
      <c r="S6" s="117"/>
      <c r="T6" s="117"/>
      <c r="U6" s="16"/>
      <c r="V6" s="16"/>
      <c r="W6" s="16"/>
      <c r="X6" s="16"/>
    </row>
    <row r="7" ht="15.75" customHeight="1">
      <c r="A7" s="313" t="s">
        <v>276</v>
      </c>
      <c r="B7" s="314"/>
      <c r="C7" s="315"/>
      <c r="D7" s="315"/>
      <c r="E7" s="317"/>
      <c r="F7" s="318" t="str">
        <f t="shared" si="1"/>
        <v>TP06 -  -  - </v>
      </c>
      <c r="G7" s="319">
        <f>SUMIF('ADV - FB'!L:L,$A7,'ADV - FB'!E:E)</f>
        <v>0</v>
      </c>
      <c r="H7" s="320" t="str">
        <f>IFERROR(SUMIF('ADV - FB'!L:L,$A7,'ADV - FB'!H:H)/(SUMIF('ADV - FB'!L:L,$A7,'ADV - FB'!G:G)),"-")</f>
        <v>-</v>
      </c>
      <c r="I7" s="321" t="str">
        <f>IFERROR(SUMIF('ADV - FB'!L:L,$A7,'ADV - FB'!E:E)/(SUMIF('ADV - FB'!L:L,$A7,'ADV - FB'!F:F)),"-")</f>
        <v>-</v>
      </c>
      <c r="J7" s="315">
        <f>SUMIF('ADV - FB'!L:L,$A7,'ADV - FB'!I:I)+SUMIF('ADV - FB'!L:L,$A7,'ADV - FB'!J:J)+SUMIF('ADV - FB'!L:L,$A7,'ADV - FB'!K:K)</f>
        <v>0</v>
      </c>
      <c r="K7" s="321" t="str">
        <f t="shared" si="2"/>
        <v>-</v>
      </c>
      <c r="L7" s="117"/>
      <c r="M7" s="117"/>
      <c r="N7" s="117"/>
      <c r="O7" s="117"/>
      <c r="P7" s="117"/>
      <c r="Q7" s="117"/>
      <c r="R7" s="117"/>
      <c r="S7" s="117"/>
      <c r="T7" s="117"/>
      <c r="U7" s="16"/>
      <c r="V7" s="16"/>
      <c r="W7" s="16"/>
      <c r="X7" s="16"/>
    </row>
    <row r="8" ht="15.75" customHeight="1">
      <c r="A8" s="313" t="s">
        <v>277</v>
      </c>
      <c r="B8" s="314"/>
      <c r="C8" s="315"/>
      <c r="D8" s="315"/>
      <c r="E8" s="317"/>
      <c r="F8" s="318" t="str">
        <f t="shared" si="1"/>
        <v>TP07 -  -  - </v>
      </c>
      <c r="G8" s="319">
        <f>SUMIF('ADV - FB'!L:L,$A8,'ADV - FB'!E:E)</f>
        <v>0</v>
      </c>
      <c r="H8" s="320" t="str">
        <f>IFERROR(SUMIF('ADV - FB'!L:L,$A8,'ADV - FB'!H:H)/(SUMIF('ADV - FB'!L:L,$A8,'ADV - FB'!G:G)),"-")</f>
        <v>-</v>
      </c>
      <c r="I8" s="321" t="str">
        <f>IFERROR(SUMIF('ADV - FB'!L:L,$A8,'ADV - FB'!E:E)/(SUMIF('ADV - FB'!L:L,$A8,'ADV - FB'!F:F)),"-")</f>
        <v>-</v>
      </c>
      <c r="J8" s="315">
        <f>SUMIF('ADV - FB'!L:L,$A8,'ADV - FB'!I:I)+SUMIF('ADV - FB'!L:L,$A8,'ADV - FB'!J:J)+SUMIF('ADV - FB'!L:L,$A8,'ADV - FB'!K:K)</f>
        <v>0</v>
      </c>
      <c r="K8" s="321" t="str">
        <f t="shared" si="2"/>
        <v>-</v>
      </c>
      <c r="L8" s="117"/>
      <c r="M8" s="117"/>
      <c r="N8" s="117"/>
      <c r="O8" s="117"/>
      <c r="P8" s="117"/>
      <c r="Q8" s="117"/>
      <c r="R8" s="117"/>
      <c r="S8" s="117"/>
      <c r="T8" s="117"/>
      <c r="U8" s="16"/>
      <c r="V8" s="16"/>
      <c r="W8" s="16"/>
      <c r="X8" s="16"/>
    </row>
    <row r="9" ht="15.75" customHeight="1">
      <c r="A9" s="313" t="s">
        <v>278</v>
      </c>
      <c r="B9" s="314"/>
      <c r="C9" s="315"/>
      <c r="D9" s="315"/>
      <c r="E9" s="317"/>
      <c r="F9" s="318" t="str">
        <f t="shared" si="1"/>
        <v>TP08 -  -  - </v>
      </c>
      <c r="G9" s="319">
        <f>SUMIF('ADV - FB'!L:L,$A9,'ADV - FB'!E:E)</f>
        <v>0</v>
      </c>
      <c r="H9" s="320" t="str">
        <f>IFERROR(SUMIF('ADV - FB'!L:L,$A9,'ADV - FB'!H:H)/(SUMIF('ADV - FB'!L:L,$A9,'ADV - FB'!G:G)),"-")</f>
        <v>-</v>
      </c>
      <c r="I9" s="321" t="str">
        <f>IFERROR(SUMIF('ADV - FB'!L:L,$A9,'ADV - FB'!E:E)/(SUMIF('ADV - FB'!L:L,$A9,'ADV - FB'!F:F)),"-")</f>
        <v>-</v>
      </c>
      <c r="J9" s="315">
        <f>SUMIF('ADV - FB'!L:L,$A9,'ADV - FB'!I:I)+SUMIF('ADV - FB'!L:L,$A9,'ADV - FB'!J:J)+SUMIF('ADV - FB'!L:L,$A9,'ADV - FB'!K:K)</f>
        <v>0</v>
      </c>
      <c r="K9" s="321" t="str">
        <f t="shared" si="2"/>
        <v>-</v>
      </c>
      <c r="L9" s="117"/>
      <c r="M9" s="117"/>
      <c r="N9" s="117"/>
      <c r="O9" s="117"/>
      <c r="P9" s="117"/>
      <c r="Q9" s="117"/>
      <c r="R9" s="117"/>
      <c r="S9" s="117"/>
      <c r="T9" s="117"/>
      <c r="U9" s="16"/>
      <c r="V9" s="16"/>
      <c r="W9" s="16"/>
      <c r="X9" s="16"/>
    </row>
    <row r="10" ht="15.75" customHeight="1">
      <c r="A10" s="313" t="s">
        <v>279</v>
      </c>
      <c r="B10" s="314"/>
      <c r="C10" s="315"/>
      <c r="D10" s="315"/>
      <c r="E10" s="317"/>
      <c r="F10" s="318" t="str">
        <f t="shared" si="1"/>
        <v>TP09 -  -  - </v>
      </c>
      <c r="G10" s="319">
        <f>SUMIF('ADV - FB'!L:L,$A10,'ADV - FB'!E:E)</f>
        <v>0</v>
      </c>
      <c r="H10" s="320" t="str">
        <f>IFERROR(SUMIF('ADV - FB'!L:L,$A10,'ADV - FB'!H:H)/(SUMIF('ADV - FB'!L:L,$A10,'ADV - FB'!G:G)),"-")</f>
        <v>-</v>
      </c>
      <c r="I10" s="321" t="str">
        <f>IFERROR(SUMIF('ADV - FB'!L:L,$A10,'ADV - FB'!E:E)/(SUMIF('ADV - FB'!L:L,$A10,'ADV - FB'!F:F)),"-")</f>
        <v>-</v>
      </c>
      <c r="J10" s="315">
        <f>SUMIF('ADV - FB'!L:L,$A10,'ADV - FB'!I:I)+SUMIF('ADV - FB'!L:L,$A10,'ADV - FB'!J:J)+SUMIF('ADV - FB'!L:L,$A10,'ADV - FB'!K:K)</f>
        <v>0</v>
      </c>
      <c r="K10" s="321" t="str">
        <f t="shared" si="2"/>
        <v>-</v>
      </c>
      <c r="L10" s="117"/>
      <c r="M10" s="117"/>
      <c r="N10" s="117"/>
      <c r="O10" s="117"/>
      <c r="P10" s="117"/>
      <c r="Q10" s="117"/>
      <c r="R10" s="117"/>
      <c r="S10" s="117"/>
      <c r="T10" s="117"/>
      <c r="U10" s="16"/>
      <c r="V10" s="16"/>
      <c r="W10" s="16"/>
      <c r="X10" s="16"/>
    </row>
    <row r="11" ht="15.75" customHeight="1">
      <c r="A11" s="313" t="s">
        <v>280</v>
      </c>
      <c r="B11" s="314"/>
      <c r="C11" s="315"/>
      <c r="D11" s="315"/>
      <c r="E11" s="317"/>
      <c r="F11" s="318" t="str">
        <f t="shared" si="1"/>
        <v>TP10 -  -  - </v>
      </c>
      <c r="G11" s="319">
        <f>SUMIF('ADV - FB'!L:L,$A11,'ADV - FB'!E:E)</f>
        <v>0</v>
      </c>
      <c r="H11" s="320" t="str">
        <f>IFERROR(SUMIF('ADV - FB'!L:L,$A11,'ADV - FB'!H:H)/(SUMIF('ADV - FB'!L:L,$A11,'ADV - FB'!G:G)),"-")</f>
        <v>-</v>
      </c>
      <c r="I11" s="321" t="str">
        <f>IFERROR(SUMIF('ADV - FB'!L:L,$A11,'ADV - FB'!E:E)/(SUMIF('ADV - FB'!L:L,$A11,'ADV - FB'!F:F)),"-")</f>
        <v>-</v>
      </c>
      <c r="J11" s="315">
        <f>SUMIF('ADV - FB'!L:L,$A11,'ADV - FB'!I:I)+SUMIF('ADV - FB'!L:L,$A11,'ADV - FB'!J:J)+SUMIF('ADV - FB'!L:L,$A11,'ADV - FB'!K:K)</f>
        <v>0</v>
      </c>
      <c r="K11" s="321" t="str">
        <f t="shared" si="2"/>
        <v>-</v>
      </c>
      <c r="L11" s="117"/>
      <c r="M11" s="117"/>
      <c r="N11" s="117"/>
      <c r="O11" s="117"/>
      <c r="P11" s="117"/>
      <c r="Q11" s="117"/>
      <c r="R11" s="117"/>
      <c r="S11" s="117"/>
      <c r="T11" s="117"/>
      <c r="U11" s="16"/>
      <c r="V11" s="16"/>
      <c r="W11" s="16"/>
      <c r="X11" s="16"/>
    </row>
    <row r="12" ht="15.75" customHeight="1">
      <c r="A12" s="313" t="s">
        <v>281</v>
      </c>
      <c r="B12" s="314"/>
      <c r="C12" s="315"/>
      <c r="D12" s="315"/>
      <c r="E12" s="317"/>
      <c r="F12" s="318" t="str">
        <f t="shared" si="1"/>
        <v>TP11 -  -  - </v>
      </c>
      <c r="G12" s="319">
        <f>SUMIF('ADV - FB'!L:L,$A12,'ADV - FB'!E:E)</f>
        <v>0</v>
      </c>
      <c r="H12" s="320" t="str">
        <f>IFERROR(SUMIF('ADV - FB'!L:L,$A12,'ADV - FB'!H:H)/(SUMIF('ADV - FB'!L:L,$A12,'ADV - FB'!G:G)),"-")</f>
        <v>-</v>
      </c>
      <c r="I12" s="321" t="str">
        <f>IFERROR(SUMIF('ADV - FB'!L:L,$A12,'ADV - FB'!E:E)/(SUMIF('ADV - FB'!L:L,$A12,'ADV - FB'!F:F)),"-")</f>
        <v>-</v>
      </c>
      <c r="J12" s="315">
        <f>SUMIF('ADV - FB'!L:L,$A12,'ADV - FB'!I:I)+SUMIF('ADV - FB'!L:L,$A12,'ADV - FB'!J:J)+SUMIF('ADV - FB'!L:L,$A12,'ADV - FB'!K:K)</f>
        <v>0</v>
      </c>
      <c r="K12" s="321" t="str">
        <f t="shared" si="2"/>
        <v>-</v>
      </c>
      <c r="L12" s="117"/>
      <c r="M12" s="117"/>
      <c r="N12" s="117"/>
      <c r="O12" s="117"/>
      <c r="P12" s="117"/>
      <c r="Q12" s="117"/>
      <c r="R12" s="117"/>
      <c r="S12" s="117"/>
      <c r="T12" s="117"/>
      <c r="U12" s="16"/>
      <c r="V12" s="16"/>
      <c r="W12" s="16"/>
      <c r="X12" s="16"/>
    </row>
    <row r="13" ht="15.75" customHeight="1">
      <c r="A13" s="313" t="s">
        <v>282</v>
      </c>
      <c r="B13" s="314"/>
      <c r="C13" s="315"/>
      <c r="D13" s="315"/>
      <c r="E13" s="317"/>
      <c r="F13" s="318" t="str">
        <f t="shared" si="1"/>
        <v>TP12 -  -  - </v>
      </c>
      <c r="G13" s="319">
        <f>SUMIF('ADV - FB'!L:L,$A13,'ADV - FB'!E:E)</f>
        <v>0</v>
      </c>
      <c r="H13" s="320" t="str">
        <f>IFERROR(SUMIF('ADV - FB'!L:L,$A13,'ADV - FB'!H:H)/(SUMIF('ADV - FB'!L:L,$A13,'ADV - FB'!G:G)),"-")</f>
        <v>-</v>
      </c>
      <c r="I13" s="321" t="str">
        <f>IFERROR(SUMIF('ADV - FB'!L:L,$A13,'ADV - FB'!E:E)/(SUMIF('ADV - FB'!L:L,$A13,'ADV - FB'!F:F)),"-")</f>
        <v>-</v>
      </c>
      <c r="J13" s="315">
        <f>SUMIF('ADV - FB'!L:L,$A13,'ADV - FB'!I:I)+SUMIF('ADV - FB'!L:L,$A13,'ADV - FB'!J:J)+SUMIF('ADV - FB'!L:L,$A13,'ADV - FB'!K:K)</f>
        <v>0</v>
      </c>
      <c r="K13" s="321" t="str">
        <f t="shared" si="2"/>
        <v>-</v>
      </c>
      <c r="L13" s="117"/>
      <c r="M13" s="117"/>
      <c r="N13" s="117"/>
      <c r="O13" s="117"/>
      <c r="P13" s="117"/>
      <c r="Q13" s="117"/>
      <c r="R13" s="117"/>
      <c r="S13" s="117"/>
      <c r="T13" s="117"/>
      <c r="U13" s="16"/>
      <c r="V13" s="16"/>
      <c r="W13" s="16"/>
      <c r="X13" s="16"/>
    </row>
    <row r="14" ht="15.75" customHeight="1">
      <c r="A14" s="313" t="s">
        <v>283</v>
      </c>
      <c r="B14" s="314"/>
      <c r="C14" s="315"/>
      <c r="D14" s="315"/>
      <c r="E14" s="317"/>
      <c r="F14" s="318" t="str">
        <f t="shared" si="1"/>
        <v>TP13 -  -  - </v>
      </c>
      <c r="G14" s="319">
        <f>SUMIF('ADV - FB'!L:L,$A14,'ADV - FB'!E:E)</f>
        <v>0</v>
      </c>
      <c r="H14" s="320" t="str">
        <f>IFERROR(SUMIF('ADV - FB'!L:L,$A14,'ADV - FB'!H:H)/(SUMIF('ADV - FB'!L:L,$A14,'ADV - FB'!G:G)),"-")</f>
        <v>-</v>
      </c>
      <c r="I14" s="321" t="str">
        <f>IFERROR(SUMIF('ADV - FB'!L:L,$A14,'ADV - FB'!E:E)/(SUMIF('ADV - FB'!L:L,$A14,'ADV - FB'!F:F)),"-")</f>
        <v>-</v>
      </c>
      <c r="J14" s="315">
        <f>SUMIF('ADV - FB'!L:L,$A14,'ADV - FB'!I:I)+SUMIF('ADV - FB'!L:L,$A14,'ADV - FB'!J:J)+SUMIF('ADV - FB'!L:L,$A14,'ADV - FB'!K:K)</f>
        <v>0</v>
      </c>
      <c r="K14" s="321" t="str">
        <f t="shared" si="2"/>
        <v>-</v>
      </c>
      <c r="L14" s="117"/>
      <c r="M14" s="117"/>
      <c r="N14" s="117"/>
      <c r="O14" s="117"/>
      <c r="P14" s="117"/>
      <c r="Q14" s="117"/>
      <c r="R14" s="117"/>
      <c r="S14" s="117"/>
      <c r="T14" s="117"/>
      <c r="U14" s="16"/>
      <c r="V14" s="16"/>
      <c r="W14" s="16"/>
      <c r="X14" s="16"/>
    </row>
    <row r="15" ht="15.75" customHeight="1">
      <c r="A15" s="313" t="s">
        <v>284</v>
      </c>
      <c r="B15" s="314"/>
      <c r="C15" s="315"/>
      <c r="D15" s="315"/>
      <c r="E15" s="317"/>
      <c r="F15" s="318" t="str">
        <f t="shared" si="1"/>
        <v>TP14 -  -  - </v>
      </c>
      <c r="G15" s="319">
        <f>SUMIF('ADV - FB'!L:L,$A15,'ADV - FB'!E:E)</f>
        <v>0</v>
      </c>
      <c r="H15" s="320" t="str">
        <f>IFERROR(SUMIF('ADV - FB'!L:L,$A15,'ADV - FB'!H:H)/(SUMIF('ADV - FB'!L:L,$A15,'ADV - FB'!G:G)),"-")</f>
        <v>-</v>
      </c>
      <c r="I15" s="321" t="str">
        <f>IFERROR(SUMIF('ADV - FB'!L:L,$A15,'ADV - FB'!E:E)/(SUMIF('ADV - FB'!L:L,$A15,'ADV - FB'!F:F)),"-")</f>
        <v>-</v>
      </c>
      <c r="J15" s="315">
        <f>SUMIF('ADV - FB'!L:L,$A15,'ADV - FB'!I:I)+SUMIF('ADV - FB'!L:L,$A15,'ADV - FB'!J:J)+SUMIF('ADV - FB'!L:L,$A15,'ADV - FB'!K:K)</f>
        <v>0</v>
      </c>
      <c r="K15" s="321" t="str">
        <f t="shared" si="2"/>
        <v>-</v>
      </c>
      <c r="L15" s="117"/>
      <c r="M15" s="117"/>
      <c r="N15" s="117"/>
      <c r="O15" s="117"/>
      <c r="P15" s="117"/>
      <c r="Q15" s="117"/>
      <c r="R15" s="117"/>
      <c r="S15" s="117"/>
      <c r="T15" s="117"/>
      <c r="U15" s="16"/>
      <c r="V15" s="16"/>
      <c r="W15" s="16"/>
      <c r="X15" s="16"/>
    </row>
    <row r="16" ht="15.75" customHeight="1">
      <c r="A16" s="313" t="s">
        <v>285</v>
      </c>
      <c r="B16" s="314"/>
      <c r="C16" s="315"/>
      <c r="D16" s="315"/>
      <c r="E16" s="317"/>
      <c r="F16" s="318" t="str">
        <f t="shared" si="1"/>
        <v>TP15 -  -  - </v>
      </c>
      <c r="G16" s="319">
        <f>SUMIF('ADV - FB'!L:L,$A16,'ADV - FB'!E:E)</f>
        <v>0</v>
      </c>
      <c r="H16" s="320" t="str">
        <f>IFERROR(SUMIF('ADV - FB'!L:L,$A16,'ADV - FB'!H:H)/(SUMIF('ADV - FB'!L:L,$A16,'ADV - FB'!G:G)),"-")</f>
        <v>-</v>
      </c>
      <c r="I16" s="321" t="str">
        <f>IFERROR(SUMIF('ADV - FB'!L:L,$A16,'ADV - FB'!E:E)/(SUMIF('ADV - FB'!L:L,$A16,'ADV - FB'!F:F)),"-")</f>
        <v>-</v>
      </c>
      <c r="J16" s="315">
        <f>SUMIF('ADV - FB'!L:L,$A16,'ADV - FB'!I:I)+SUMIF('ADV - FB'!L:L,$A16,'ADV - FB'!J:J)+SUMIF('ADV - FB'!L:L,$A16,'ADV - FB'!K:K)</f>
        <v>0</v>
      </c>
      <c r="K16" s="321" t="str">
        <f t="shared" si="2"/>
        <v>-</v>
      </c>
      <c r="L16" s="117"/>
      <c r="M16" s="117"/>
      <c r="N16" s="117"/>
      <c r="O16" s="117"/>
      <c r="P16" s="117"/>
      <c r="Q16" s="117"/>
      <c r="R16" s="117"/>
      <c r="S16" s="117"/>
      <c r="T16" s="117"/>
      <c r="U16" s="16"/>
      <c r="V16" s="16"/>
      <c r="W16" s="16"/>
      <c r="X16" s="16"/>
    </row>
    <row r="17" ht="15.75" customHeight="1">
      <c r="A17" s="313" t="s">
        <v>286</v>
      </c>
      <c r="B17" s="314"/>
      <c r="C17" s="315"/>
      <c r="D17" s="315"/>
      <c r="E17" s="317"/>
      <c r="F17" s="318" t="str">
        <f t="shared" si="1"/>
        <v>TP16 -  -  - </v>
      </c>
      <c r="G17" s="319">
        <f>SUMIF('ADV - FB'!L:L,$A17,'ADV - FB'!E:E)</f>
        <v>0</v>
      </c>
      <c r="H17" s="320" t="str">
        <f>IFERROR(SUMIF('ADV - FB'!L:L,$A17,'ADV - FB'!H:H)/(SUMIF('ADV - FB'!L:L,$A17,'ADV - FB'!G:G)),"-")</f>
        <v>-</v>
      </c>
      <c r="I17" s="321" t="str">
        <f>IFERROR(SUMIF('ADV - FB'!L:L,$A17,'ADV - FB'!E:E)/(SUMIF('ADV - FB'!L:L,$A17,'ADV - FB'!F:F)),"-")</f>
        <v>-</v>
      </c>
      <c r="J17" s="315">
        <f>SUMIF('ADV - FB'!L:L,$A17,'ADV - FB'!I:I)+SUMIF('ADV - FB'!L:L,$A17,'ADV - FB'!J:J)+SUMIF('ADV - FB'!L:L,$A17,'ADV - FB'!K:K)</f>
        <v>0</v>
      </c>
      <c r="K17" s="321" t="str">
        <f t="shared" si="2"/>
        <v>-</v>
      </c>
      <c r="L17" s="117"/>
      <c r="M17" s="117"/>
      <c r="N17" s="117"/>
      <c r="O17" s="117"/>
      <c r="P17" s="117"/>
      <c r="Q17" s="117"/>
      <c r="R17" s="117"/>
      <c r="S17" s="117"/>
      <c r="T17" s="117"/>
      <c r="U17" s="16"/>
      <c r="V17" s="16"/>
      <c r="W17" s="16"/>
      <c r="X17" s="16"/>
    </row>
    <row r="18" ht="15.75" customHeight="1">
      <c r="A18" s="313" t="s">
        <v>287</v>
      </c>
      <c r="B18" s="314"/>
      <c r="C18" s="315"/>
      <c r="D18" s="315"/>
      <c r="E18" s="317"/>
      <c r="F18" s="318" t="str">
        <f t="shared" si="1"/>
        <v>TP17 -  -  - </v>
      </c>
      <c r="G18" s="319">
        <f>SUMIF('ADV - FB'!L:L,$A18,'ADV - FB'!E:E)</f>
        <v>0</v>
      </c>
      <c r="H18" s="320" t="str">
        <f>IFERROR(SUMIF('ADV - FB'!L:L,$A18,'ADV - FB'!H:H)/(SUMIF('ADV - FB'!L:L,$A18,'ADV - FB'!G:G)),"-")</f>
        <v>-</v>
      </c>
      <c r="I18" s="321" t="str">
        <f>IFERROR(SUMIF('ADV - FB'!L:L,$A18,'ADV - FB'!E:E)/(SUMIF('ADV - FB'!L:L,$A18,'ADV - FB'!F:F)),"-")</f>
        <v>-</v>
      </c>
      <c r="J18" s="315">
        <f>SUMIF('ADV - FB'!L:L,$A18,'ADV - FB'!I:I)+SUMIF('ADV - FB'!L:L,$A18,'ADV - FB'!J:J)+SUMIF('ADV - FB'!L:L,$A18,'ADV - FB'!K:K)</f>
        <v>0</v>
      </c>
      <c r="K18" s="321" t="str">
        <f t="shared" si="2"/>
        <v>-</v>
      </c>
      <c r="L18" s="117"/>
      <c r="M18" s="117"/>
      <c r="N18" s="117"/>
      <c r="O18" s="117"/>
      <c r="P18" s="117"/>
      <c r="Q18" s="117"/>
      <c r="R18" s="117"/>
      <c r="S18" s="117"/>
      <c r="T18" s="117"/>
      <c r="U18" s="16"/>
      <c r="V18" s="16"/>
      <c r="W18" s="16"/>
      <c r="X18" s="16"/>
    </row>
    <row r="19" ht="15.75" customHeight="1">
      <c r="A19" s="313" t="s">
        <v>288</v>
      </c>
      <c r="B19" s="314"/>
      <c r="C19" s="315"/>
      <c r="D19" s="315"/>
      <c r="E19" s="317"/>
      <c r="F19" s="318" t="str">
        <f t="shared" si="1"/>
        <v>TP18 -  -  - </v>
      </c>
      <c r="G19" s="319">
        <f>SUMIF('ADV - FB'!L:L,$A19,'ADV - FB'!E:E)</f>
        <v>0</v>
      </c>
      <c r="H19" s="320" t="str">
        <f>IFERROR(SUMIF('ADV - FB'!L:L,$A19,'ADV - FB'!H:H)/(SUMIF('ADV - FB'!L:L,$A19,'ADV - FB'!G:G)),"-")</f>
        <v>-</v>
      </c>
      <c r="I19" s="321" t="str">
        <f>IFERROR(SUMIF('ADV - FB'!L:L,$A19,'ADV - FB'!E:E)/(SUMIF('ADV - FB'!L:L,$A19,'ADV - FB'!F:F)),"-")</f>
        <v>-</v>
      </c>
      <c r="J19" s="315">
        <f>SUMIF('ADV - FB'!L:L,$A19,'ADV - FB'!I:I)+SUMIF('ADV - FB'!L:L,$A19,'ADV - FB'!J:J)+SUMIF('ADV - FB'!L:L,$A19,'ADV - FB'!K:K)</f>
        <v>0</v>
      </c>
      <c r="K19" s="321" t="str">
        <f t="shared" si="2"/>
        <v>-</v>
      </c>
      <c r="L19" s="117"/>
      <c r="M19" s="117"/>
      <c r="N19" s="117"/>
      <c r="O19" s="117"/>
      <c r="P19" s="117"/>
      <c r="Q19" s="117"/>
      <c r="R19" s="117"/>
      <c r="S19" s="117"/>
      <c r="T19" s="117"/>
      <c r="U19" s="16"/>
      <c r="V19" s="16"/>
      <c r="W19" s="16"/>
      <c r="X19" s="16"/>
    </row>
    <row r="20" ht="15.75" customHeight="1">
      <c r="A20" s="313" t="s">
        <v>289</v>
      </c>
      <c r="B20" s="314"/>
      <c r="C20" s="315"/>
      <c r="D20" s="315"/>
      <c r="E20" s="317"/>
      <c r="F20" s="318" t="str">
        <f t="shared" si="1"/>
        <v>TP19 -  -  - </v>
      </c>
      <c r="G20" s="319">
        <f>SUMIF('ADV - FB'!L:L,$A20,'ADV - FB'!E:E)</f>
        <v>0</v>
      </c>
      <c r="H20" s="320" t="str">
        <f>IFERROR(SUMIF('ADV - FB'!L:L,$A20,'ADV - FB'!H:H)/(SUMIF('ADV - FB'!L:L,$A20,'ADV - FB'!G:G)),"-")</f>
        <v>-</v>
      </c>
      <c r="I20" s="321" t="str">
        <f>IFERROR(SUMIF('ADV - FB'!L:L,$A20,'ADV - FB'!E:E)/(SUMIF('ADV - FB'!L:L,$A20,'ADV - FB'!F:F)),"-")</f>
        <v>-</v>
      </c>
      <c r="J20" s="315">
        <f>SUMIF('ADV - FB'!L:L,$A20,'ADV - FB'!I:I)+SUMIF('ADV - FB'!L:L,$A20,'ADV - FB'!J:J)+SUMIF('ADV - FB'!L:L,$A20,'ADV - FB'!K:K)</f>
        <v>0</v>
      </c>
      <c r="K20" s="321" t="str">
        <f t="shared" si="2"/>
        <v>-</v>
      </c>
      <c r="L20" s="117"/>
      <c r="M20" s="117"/>
      <c r="N20" s="117"/>
      <c r="O20" s="117"/>
      <c r="P20" s="117"/>
      <c r="Q20" s="117"/>
      <c r="R20" s="117"/>
      <c r="S20" s="117"/>
      <c r="T20" s="117"/>
      <c r="U20" s="16"/>
      <c r="V20" s="16"/>
      <c r="W20" s="16"/>
      <c r="X20" s="16"/>
    </row>
    <row r="21" ht="15.75" customHeight="1">
      <c r="A21" s="313" t="s">
        <v>290</v>
      </c>
      <c r="B21" s="314"/>
      <c r="C21" s="315"/>
      <c r="D21" s="315"/>
      <c r="E21" s="317"/>
      <c r="F21" s="318" t="str">
        <f t="shared" si="1"/>
        <v>TP20 -  -  - </v>
      </c>
      <c r="G21" s="319">
        <f>SUMIF('ADV - FB'!L:L,$A21,'ADV - FB'!E:E)</f>
        <v>0</v>
      </c>
      <c r="H21" s="320" t="str">
        <f>IFERROR(SUMIF('ADV - FB'!L:L,$A21,'ADV - FB'!H:H)/(SUMIF('ADV - FB'!L:L,$A21,'ADV - FB'!G:G)),"-")</f>
        <v>-</v>
      </c>
      <c r="I21" s="321" t="str">
        <f>IFERROR(SUMIF('ADV - FB'!L:L,$A21,'ADV - FB'!E:E)/(SUMIF('ADV - FB'!L:L,$A21,'ADV - FB'!F:F)),"-")</f>
        <v>-</v>
      </c>
      <c r="J21" s="315">
        <f>SUMIF('ADV - FB'!L:L,$A21,'ADV - FB'!I:I)+SUMIF('ADV - FB'!L:L,$A21,'ADV - FB'!J:J)+SUMIF('ADV - FB'!L:L,$A21,'ADV - FB'!K:K)</f>
        <v>0</v>
      </c>
      <c r="K21" s="321" t="str">
        <f t="shared" si="2"/>
        <v>-</v>
      </c>
      <c r="L21" s="117"/>
      <c r="M21" s="117"/>
      <c r="N21" s="117"/>
      <c r="O21" s="117"/>
      <c r="P21" s="117"/>
      <c r="Q21" s="117"/>
      <c r="R21" s="117"/>
      <c r="S21" s="117"/>
      <c r="T21" s="117"/>
      <c r="U21" s="16"/>
      <c r="V21" s="16"/>
      <c r="W21" s="16"/>
      <c r="X21" s="16"/>
    </row>
    <row r="22" ht="15.75" customHeight="1">
      <c r="A22" s="313" t="s">
        <v>291</v>
      </c>
      <c r="B22" s="314"/>
      <c r="C22" s="315"/>
      <c r="D22" s="315"/>
      <c r="E22" s="317"/>
      <c r="F22" s="318" t="str">
        <f t="shared" si="1"/>
        <v>TP21 -  -  - </v>
      </c>
      <c r="G22" s="319">
        <f>SUMIF('ADV - FB'!L:L,$A22,'ADV - FB'!E:E)</f>
        <v>0</v>
      </c>
      <c r="H22" s="320" t="str">
        <f>IFERROR(SUMIF('ADV - FB'!L:L,$A22,'ADV - FB'!H:H)/(SUMIF('ADV - FB'!L:L,$A22,'ADV - FB'!G:G)),"-")</f>
        <v>-</v>
      </c>
      <c r="I22" s="321" t="str">
        <f>IFERROR(SUMIF('ADV - FB'!L:L,$A22,'ADV - FB'!E:E)/(SUMIF('ADV - FB'!L:L,$A22,'ADV - FB'!F:F)),"-")</f>
        <v>-</v>
      </c>
      <c r="J22" s="315">
        <f>SUMIF('ADV - FB'!L:L,$A22,'ADV - FB'!I:I)+SUMIF('ADV - FB'!L:L,$A22,'ADV - FB'!J:J)+SUMIF('ADV - FB'!L:L,$A22,'ADV - FB'!K:K)</f>
        <v>0</v>
      </c>
      <c r="K22" s="321" t="str">
        <f t="shared" si="2"/>
        <v>-</v>
      </c>
      <c r="L22" s="117"/>
      <c r="M22" s="117"/>
      <c r="N22" s="117"/>
      <c r="O22" s="117"/>
      <c r="P22" s="117"/>
      <c r="Q22" s="117"/>
      <c r="R22" s="117"/>
      <c r="S22" s="117"/>
      <c r="T22" s="117"/>
      <c r="U22" s="16"/>
      <c r="V22" s="16"/>
      <c r="W22" s="16"/>
      <c r="X22" s="16"/>
    </row>
    <row r="23" ht="15.75" customHeight="1">
      <c r="A23" s="313" t="s">
        <v>292</v>
      </c>
      <c r="B23" s="314"/>
      <c r="C23" s="315"/>
      <c r="D23" s="315"/>
      <c r="E23" s="317"/>
      <c r="F23" s="318" t="str">
        <f t="shared" si="1"/>
        <v>TP22 -  -  - </v>
      </c>
      <c r="G23" s="319">
        <f>SUMIF('ADV - FB'!L:L,$A23,'ADV - FB'!E:E)</f>
        <v>0</v>
      </c>
      <c r="H23" s="320" t="str">
        <f>IFERROR(SUMIF('ADV - FB'!L:L,$A23,'ADV - FB'!H:H)/(SUMIF('ADV - FB'!L:L,$A23,'ADV - FB'!G:G)),"-")</f>
        <v>-</v>
      </c>
      <c r="I23" s="321" t="str">
        <f>IFERROR(SUMIF('ADV - FB'!L:L,$A23,'ADV - FB'!E:E)/(SUMIF('ADV - FB'!L:L,$A23,'ADV - FB'!F:F)),"-")</f>
        <v>-</v>
      </c>
      <c r="J23" s="315">
        <f>SUMIF('ADV - FB'!L:L,$A23,'ADV - FB'!I:I)+SUMIF('ADV - FB'!L:L,$A23,'ADV - FB'!J:J)+SUMIF('ADV - FB'!L:L,$A23,'ADV - FB'!K:K)</f>
        <v>0</v>
      </c>
      <c r="K23" s="321" t="str">
        <f t="shared" si="2"/>
        <v>-</v>
      </c>
      <c r="L23" s="117"/>
      <c r="M23" s="117"/>
      <c r="N23" s="117"/>
      <c r="O23" s="117"/>
      <c r="P23" s="117"/>
      <c r="Q23" s="117"/>
      <c r="R23" s="117"/>
      <c r="S23" s="117"/>
      <c r="T23" s="117"/>
      <c r="U23" s="16"/>
      <c r="V23" s="16"/>
      <c r="W23" s="16"/>
      <c r="X23" s="16"/>
    </row>
    <row r="24" ht="15.75" customHeight="1">
      <c r="A24" s="313" t="s">
        <v>293</v>
      </c>
      <c r="B24" s="314"/>
      <c r="C24" s="315"/>
      <c r="D24" s="315"/>
      <c r="E24" s="317"/>
      <c r="F24" s="318" t="str">
        <f t="shared" si="1"/>
        <v>TP23 -  -  - </v>
      </c>
      <c r="G24" s="319">
        <f>SUMIF('ADV - FB'!L:L,$A24,'ADV - FB'!E:E)</f>
        <v>0</v>
      </c>
      <c r="H24" s="320" t="str">
        <f>IFERROR(SUMIF('ADV - FB'!L:L,$A24,'ADV - FB'!H:H)/(SUMIF('ADV - FB'!L:L,$A24,'ADV - FB'!G:G)),"-")</f>
        <v>-</v>
      </c>
      <c r="I24" s="321" t="str">
        <f>IFERROR(SUMIF('ADV - FB'!L:L,$A24,'ADV - FB'!E:E)/(SUMIF('ADV - FB'!L:L,$A24,'ADV - FB'!F:F)),"-")</f>
        <v>-</v>
      </c>
      <c r="J24" s="315">
        <f>SUMIF('ADV - FB'!L:L,$A24,'ADV - FB'!I:I)+SUMIF('ADV - FB'!L:L,$A24,'ADV - FB'!J:J)+SUMIF('ADV - FB'!L:L,$A24,'ADV - FB'!K:K)</f>
        <v>0</v>
      </c>
      <c r="K24" s="321" t="str">
        <f t="shared" si="2"/>
        <v>-</v>
      </c>
      <c r="L24" s="117"/>
      <c r="M24" s="117"/>
      <c r="N24" s="117"/>
      <c r="O24" s="117"/>
      <c r="P24" s="117"/>
      <c r="Q24" s="117"/>
      <c r="R24" s="117"/>
      <c r="S24" s="117"/>
      <c r="T24" s="117"/>
      <c r="U24" s="16"/>
      <c r="V24" s="16"/>
      <c r="W24" s="16"/>
      <c r="X24" s="16"/>
    </row>
    <row r="25" ht="15.75" customHeight="1">
      <c r="A25" s="313" t="s">
        <v>294</v>
      </c>
      <c r="B25" s="314"/>
      <c r="C25" s="315"/>
      <c r="D25" s="315"/>
      <c r="E25" s="317"/>
      <c r="F25" s="318" t="str">
        <f t="shared" si="1"/>
        <v>TP24 -  -  - </v>
      </c>
      <c r="G25" s="319">
        <f>SUMIF('ADV - FB'!L:L,$A25,'ADV - FB'!E:E)</f>
        <v>0</v>
      </c>
      <c r="H25" s="320" t="str">
        <f>IFERROR(SUMIF('ADV - FB'!L:L,$A25,'ADV - FB'!H:H)/(SUMIF('ADV - FB'!L:L,$A25,'ADV - FB'!G:G)),"-")</f>
        <v>-</v>
      </c>
      <c r="I25" s="321" t="str">
        <f>IFERROR(SUMIF('ADV - FB'!L:L,$A25,'ADV - FB'!E:E)/(SUMIF('ADV - FB'!L:L,$A25,'ADV - FB'!F:F)),"-")</f>
        <v>-</v>
      </c>
      <c r="J25" s="315">
        <f>SUMIF('ADV - FB'!L:L,$A25,'ADV - FB'!I:I)+SUMIF('ADV - FB'!L:L,$A25,'ADV - FB'!J:J)+SUMIF('ADV - FB'!L:L,$A25,'ADV - FB'!K:K)</f>
        <v>0</v>
      </c>
      <c r="K25" s="321" t="str">
        <f t="shared" si="2"/>
        <v>-</v>
      </c>
      <c r="L25" s="117"/>
      <c r="M25" s="117"/>
      <c r="N25" s="117"/>
      <c r="O25" s="117"/>
      <c r="P25" s="117"/>
      <c r="Q25" s="117"/>
      <c r="R25" s="117"/>
      <c r="S25" s="117"/>
      <c r="T25" s="117"/>
      <c r="U25" s="16"/>
      <c r="V25" s="16"/>
      <c r="W25" s="16"/>
      <c r="X25" s="16"/>
    </row>
    <row r="26" ht="15.75" customHeight="1">
      <c r="A26" s="313" t="s">
        <v>295</v>
      </c>
      <c r="B26" s="314"/>
      <c r="C26" s="315"/>
      <c r="D26" s="315"/>
      <c r="E26" s="317"/>
      <c r="F26" s="318" t="str">
        <f t="shared" si="1"/>
        <v>TP25 -  -  - </v>
      </c>
      <c r="G26" s="319">
        <f>SUMIF('ADV - FB'!L:L,$A26,'ADV - FB'!E:E)</f>
        <v>0</v>
      </c>
      <c r="H26" s="320" t="str">
        <f>IFERROR(SUMIF('ADV - FB'!L:L,$A26,'ADV - FB'!H:H)/(SUMIF('ADV - FB'!L:L,$A26,'ADV - FB'!G:G)),"-")</f>
        <v>-</v>
      </c>
      <c r="I26" s="321" t="str">
        <f>IFERROR(SUMIF('ADV - FB'!L:L,$A26,'ADV - FB'!E:E)/(SUMIF('ADV - FB'!L:L,$A26,'ADV - FB'!F:F)),"-")</f>
        <v>-</v>
      </c>
      <c r="J26" s="315">
        <f>SUMIF('ADV - FB'!L:L,$A26,'ADV - FB'!I:I)+SUMIF('ADV - FB'!L:L,$A26,'ADV - FB'!J:J)+SUMIF('ADV - FB'!L:L,$A26,'ADV - FB'!K:K)</f>
        <v>0</v>
      </c>
      <c r="K26" s="321" t="str">
        <f t="shared" si="2"/>
        <v>-</v>
      </c>
      <c r="L26" s="117"/>
      <c r="M26" s="117"/>
      <c r="N26" s="117"/>
      <c r="O26" s="117"/>
      <c r="P26" s="117"/>
      <c r="Q26" s="117"/>
      <c r="R26" s="117"/>
      <c r="S26" s="117"/>
      <c r="T26" s="117"/>
      <c r="U26" s="16"/>
      <c r="V26" s="16"/>
      <c r="W26" s="16"/>
      <c r="X26" s="16"/>
    </row>
    <row r="27" ht="15.75" customHeight="1">
      <c r="A27" s="313" t="s">
        <v>296</v>
      </c>
      <c r="B27" s="314"/>
      <c r="C27" s="315"/>
      <c r="D27" s="315"/>
      <c r="E27" s="317"/>
      <c r="F27" s="318" t="str">
        <f t="shared" si="1"/>
        <v>TP26 -  -  - </v>
      </c>
      <c r="G27" s="319">
        <f>SUMIF('ADV - FB'!L:L,$A27,'ADV - FB'!E:E)</f>
        <v>0</v>
      </c>
      <c r="H27" s="320" t="str">
        <f>IFERROR(SUMIF('ADV - FB'!L:L,$A27,'ADV - FB'!H:H)/(SUMIF('ADV - FB'!L:L,$A27,'ADV - FB'!G:G)),"-")</f>
        <v>-</v>
      </c>
      <c r="I27" s="321" t="str">
        <f>IFERROR(SUMIF('ADV - FB'!L:L,$A27,'ADV - FB'!E:E)/(SUMIF('ADV - FB'!L:L,$A27,'ADV - FB'!F:F)),"-")</f>
        <v>-</v>
      </c>
      <c r="J27" s="315">
        <f>SUMIF('ADV - FB'!L:L,$A27,'ADV - FB'!I:I)+SUMIF('ADV - FB'!L:L,$A27,'ADV - FB'!J:J)+SUMIF('ADV - FB'!L:L,$A27,'ADV - FB'!K:K)</f>
        <v>0</v>
      </c>
      <c r="K27" s="321" t="str">
        <f t="shared" si="2"/>
        <v>-</v>
      </c>
      <c r="L27" s="117"/>
      <c r="M27" s="117"/>
      <c r="N27" s="117"/>
      <c r="O27" s="117"/>
      <c r="P27" s="117"/>
      <c r="Q27" s="117"/>
      <c r="R27" s="117"/>
      <c r="S27" s="117"/>
      <c r="T27" s="117"/>
      <c r="U27" s="16"/>
      <c r="V27" s="16"/>
      <c r="W27" s="16"/>
      <c r="X27" s="16"/>
    </row>
    <row r="28" ht="15.75" customHeight="1">
      <c r="A28" s="313" t="s">
        <v>297</v>
      </c>
      <c r="B28" s="314"/>
      <c r="C28" s="315"/>
      <c r="D28" s="315"/>
      <c r="E28" s="317"/>
      <c r="F28" s="318" t="str">
        <f t="shared" si="1"/>
        <v>TP27 -  -  - </v>
      </c>
      <c r="G28" s="319">
        <f>SUMIF('ADV - FB'!L:L,$A28,'ADV - FB'!E:E)</f>
        <v>0</v>
      </c>
      <c r="H28" s="320" t="str">
        <f>IFERROR(SUMIF('ADV - FB'!L:L,$A28,'ADV - FB'!H:H)/(SUMIF('ADV - FB'!L:L,$A28,'ADV - FB'!G:G)),"-")</f>
        <v>-</v>
      </c>
      <c r="I28" s="321" t="str">
        <f>IFERROR(SUMIF('ADV - FB'!L:L,$A28,'ADV - FB'!E:E)/(SUMIF('ADV - FB'!L:L,$A28,'ADV - FB'!F:F)),"-")</f>
        <v>-</v>
      </c>
      <c r="J28" s="315">
        <f>SUMIF('ADV - FB'!L:L,$A28,'ADV - FB'!I:I)+SUMIF('ADV - FB'!L:L,$A28,'ADV - FB'!J:J)+SUMIF('ADV - FB'!L:L,$A28,'ADV - FB'!K:K)</f>
        <v>0</v>
      </c>
      <c r="K28" s="321" t="str">
        <f t="shared" si="2"/>
        <v>-</v>
      </c>
      <c r="L28" s="117"/>
      <c r="M28" s="117"/>
      <c r="N28" s="117"/>
      <c r="O28" s="117"/>
      <c r="P28" s="117"/>
      <c r="Q28" s="117"/>
      <c r="R28" s="117"/>
      <c r="S28" s="117"/>
      <c r="T28" s="117"/>
      <c r="U28" s="16"/>
      <c r="V28" s="16"/>
      <c r="W28" s="16"/>
      <c r="X28" s="16"/>
    </row>
    <row r="29" ht="15.75" customHeight="1">
      <c r="A29" s="313" t="s">
        <v>298</v>
      </c>
      <c r="B29" s="314"/>
      <c r="C29" s="315"/>
      <c r="D29" s="315"/>
      <c r="E29" s="317"/>
      <c r="F29" s="318" t="str">
        <f t="shared" si="1"/>
        <v>TP28 -  -  - </v>
      </c>
      <c r="G29" s="319">
        <f>SUMIF('ADV - FB'!L:L,$A29,'ADV - FB'!E:E)</f>
        <v>0</v>
      </c>
      <c r="H29" s="320" t="str">
        <f>IFERROR(SUMIF('ADV - FB'!L:L,$A29,'ADV - FB'!H:H)/(SUMIF('ADV - FB'!L:L,$A29,'ADV - FB'!G:G)),"-")</f>
        <v>-</v>
      </c>
      <c r="I29" s="321" t="str">
        <f>IFERROR(SUMIF('ADV - FB'!L:L,$A29,'ADV - FB'!E:E)/(SUMIF('ADV - FB'!L:L,$A29,'ADV - FB'!F:F)),"-")</f>
        <v>-</v>
      </c>
      <c r="J29" s="315">
        <f>SUMIF('ADV - FB'!L:L,$A29,'ADV - FB'!I:I)+SUMIF('ADV - FB'!L:L,$A29,'ADV - FB'!J:J)+SUMIF('ADV - FB'!L:L,$A29,'ADV - FB'!K:K)</f>
        <v>0</v>
      </c>
      <c r="K29" s="321" t="str">
        <f t="shared" si="2"/>
        <v>-</v>
      </c>
      <c r="L29" s="117"/>
      <c r="M29" s="117"/>
      <c r="N29" s="117"/>
      <c r="O29" s="117"/>
      <c r="P29" s="117"/>
      <c r="Q29" s="117"/>
      <c r="R29" s="117"/>
      <c r="S29" s="117"/>
      <c r="T29" s="117"/>
      <c r="U29" s="16"/>
      <c r="V29" s="16"/>
      <c r="W29" s="16"/>
      <c r="X29" s="16"/>
    </row>
    <row r="30" ht="15.75" customHeight="1">
      <c r="A30" s="313" t="s">
        <v>299</v>
      </c>
      <c r="B30" s="314"/>
      <c r="C30" s="315"/>
      <c r="D30" s="315"/>
      <c r="E30" s="317"/>
      <c r="F30" s="318" t="str">
        <f t="shared" si="1"/>
        <v>TP29 -  -  - </v>
      </c>
      <c r="G30" s="319">
        <f>SUMIF('ADV - FB'!L:L,$A30,'ADV - FB'!E:E)</f>
        <v>0</v>
      </c>
      <c r="H30" s="320" t="str">
        <f>IFERROR(SUMIF('ADV - FB'!L:L,$A30,'ADV - FB'!H:H)/(SUMIF('ADV - FB'!L:L,$A30,'ADV - FB'!G:G)),"-")</f>
        <v>-</v>
      </c>
      <c r="I30" s="321" t="str">
        <f>IFERROR(SUMIF('ADV - FB'!L:L,$A30,'ADV - FB'!E:E)/(SUMIF('ADV - FB'!L:L,$A30,'ADV - FB'!F:F)),"-")</f>
        <v>-</v>
      </c>
      <c r="J30" s="315">
        <f>SUMIF('ADV - FB'!L:L,$A30,'ADV - FB'!I:I)+SUMIF('ADV - FB'!L:L,$A30,'ADV - FB'!J:J)+SUMIF('ADV - FB'!L:L,$A30,'ADV - FB'!K:K)</f>
        <v>0</v>
      </c>
      <c r="K30" s="321" t="str">
        <f t="shared" si="2"/>
        <v>-</v>
      </c>
      <c r="L30" s="117"/>
      <c r="M30" s="117"/>
      <c r="N30" s="117"/>
      <c r="O30" s="117"/>
      <c r="P30" s="117"/>
      <c r="Q30" s="117"/>
      <c r="R30" s="117"/>
      <c r="S30" s="117"/>
      <c r="T30" s="117"/>
      <c r="U30" s="16"/>
      <c r="V30" s="16"/>
      <c r="W30" s="16"/>
      <c r="X30" s="16"/>
    </row>
    <row r="31" ht="15.75" customHeight="1">
      <c r="A31" s="313" t="s">
        <v>300</v>
      </c>
      <c r="B31" s="314"/>
      <c r="C31" s="315"/>
      <c r="D31" s="315"/>
      <c r="E31" s="317"/>
      <c r="F31" s="318" t="str">
        <f t="shared" si="1"/>
        <v>TP30 -  -  - </v>
      </c>
      <c r="G31" s="319">
        <f>SUMIF('ADV - FB'!L:L,$A31,'ADV - FB'!E:E)</f>
        <v>0</v>
      </c>
      <c r="H31" s="320" t="str">
        <f>IFERROR(SUMIF('ADV - FB'!L:L,$A31,'ADV - FB'!H:H)/(SUMIF('ADV - FB'!L:L,$A31,'ADV - FB'!G:G)),"-")</f>
        <v>-</v>
      </c>
      <c r="I31" s="321" t="str">
        <f>IFERROR(SUMIF('ADV - FB'!L:L,$A31,'ADV - FB'!E:E)/(SUMIF('ADV - FB'!L:L,$A31,'ADV - FB'!F:F)),"-")</f>
        <v>-</v>
      </c>
      <c r="J31" s="315">
        <f>SUMIF('ADV - FB'!L:L,$A31,'ADV - FB'!I:I)+SUMIF('ADV - FB'!L:L,$A31,'ADV - FB'!J:J)+SUMIF('ADV - FB'!L:L,$A31,'ADV - FB'!K:K)</f>
        <v>0</v>
      </c>
      <c r="K31" s="321" t="str">
        <f t="shared" si="2"/>
        <v>-</v>
      </c>
      <c r="L31" s="117"/>
      <c r="M31" s="117"/>
      <c r="N31" s="117"/>
      <c r="O31" s="117"/>
      <c r="P31" s="117"/>
      <c r="Q31" s="117"/>
      <c r="R31" s="117"/>
      <c r="S31" s="117"/>
      <c r="T31" s="117"/>
      <c r="U31" s="16"/>
      <c r="V31" s="16"/>
      <c r="W31" s="16"/>
      <c r="X31" s="16"/>
    </row>
    <row r="32" ht="15.75" customHeight="1">
      <c r="A32" s="313" t="s">
        <v>301</v>
      </c>
      <c r="B32" s="314"/>
      <c r="C32" s="315"/>
      <c r="D32" s="315"/>
      <c r="E32" s="317"/>
      <c r="F32" s="318" t="str">
        <f t="shared" si="1"/>
        <v>TP31 -  -  - </v>
      </c>
      <c r="G32" s="319">
        <f>SUMIF('ADV - FB'!L:L,$A32,'ADV - FB'!E:E)</f>
        <v>0</v>
      </c>
      <c r="H32" s="320" t="str">
        <f>IFERROR(SUMIF('ADV - FB'!L:L,$A32,'ADV - FB'!H:H)/(SUMIF('ADV - FB'!L:L,$A32,'ADV - FB'!G:G)),"-")</f>
        <v>-</v>
      </c>
      <c r="I32" s="321" t="str">
        <f>IFERROR(SUMIF('ADV - FB'!L:L,$A32,'ADV - FB'!E:E)/(SUMIF('ADV - FB'!L:L,$A32,'ADV - FB'!F:F)),"-")</f>
        <v>-</v>
      </c>
      <c r="J32" s="315">
        <f>SUMIF('ADV - FB'!L:L,$A32,'ADV - FB'!I:I)+SUMIF('ADV - FB'!L:L,$A32,'ADV - FB'!J:J)+SUMIF('ADV - FB'!L:L,$A32,'ADV - FB'!K:K)</f>
        <v>0</v>
      </c>
      <c r="K32" s="321" t="str">
        <f t="shared" si="2"/>
        <v>-</v>
      </c>
      <c r="L32" s="322"/>
      <c r="M32" s="322"/>
      <c r="N32" s="322"/>
      <c r="O32" s="322"/>
      <c r="P32" s="322"/>
      <c r="Q32" s="322"/>
      <c r="R32" s="322"/>
      <c r="S32" s="322"/>
      <c r="T32" s="16"/>
      <c r="U32" s="16"/>
      <c r="V32" s="16"/>
      <c r="W32" s="16"/>
      <c r="X32" s="16"/>
    </row>
    <row r="33" ht="15.75" customHeight="1">
      <c r="A33" s="313" t="s">
        <v>302</v>
      </c>
      <c r="B33" s="314"/>
      <c r="C33" s="315"/>
      <c r="D33" s="315"/>
      <c r="E33" s="317"/>
      <c r="F33" s="318" t="str">
        <f t="shared" si="1"/>
        <v>TP32 -  -  - </v>
      </c>
      <c r="G33" s="319">
        <f>SUMIF('ADV - FB'!L:L,$A33,'ADV - FB'!E:E)</f>
        <v>0</v>
      </c>
      <c r="H33" s="320" t="str">
        <f>IFERROR(SUMIF('ADV - FB'!L:L,$A33,'ADV - FB'!H:H)/(SUMIF('ADV - FB'!L:L,$A33,'ADV - FB'!G:G)),"-")</f>
        <v>-</v>
      </c>
      <c r="I33" s="321" t="str">
        <f>IFERROR(SUMIF('ADV - FB'!L:L,$A33,'ADV - FB'!E:E)/(SUMIF('ADV - FB'!L:L,$A33,'ADV - FB'!F:F)),"-")</f>
        <v>-</v>
      </c>
      <c r="J33" s="315">
        <f>SUMIF('ADV - FB'!L:L,$A33,'ADV - FB'!I:I)+SUMIF('ADV - FB'!L:L,$A33,'ADV - FB'!J:J)+SUMIF('ADV - FB'!L:L,$A33,'ADV - FB'!K:K)</f>
        <v>0</v>
      </c>
      <c r="K33" s="321" t="str">
        <f t="shared" si="2"/>
        <v>-</v>
      </c>
      <c r="L33" s="322"/>
      <c r="M33" s="322"/>
      <c r="N33" s="322"/>
      <c r="O33" s="322"/>
      <c r="P33" s="322"/>
      <c r="Q33" s="322"/>
      <c r="R33" s="322"/>
      <c r="S33" s="322"/>
      <c r="T33" s="16"/>
      <c r="U33" s="16"/>
      <c r="V33" s="16"/>
      <c r="W33" s="16"/>
      <c r="X33" s="16"/>
    </row>
    <row r="34" ht="15.75" customHeight="1">
      <c r="A34" s="313" t="s">
        <v>303</v>
      </c>
      <c r="B34" s="314"/>
      <c r="C34" s="315"/>
      <c r="D34" s="315"/>
      <c r="E34" s="317"/>
      <c r="F34" s="318" t="str">
        <f t="shared" si="1"/>
        <v>TP33 -  -  - </v>
      </c>
      <c r="G34" s="319">
        <f>SUMIF('ADV - FB'!L:L,$A34,'ADV - FB'!E:E)</f>
        <v>0</v>
      </c>
      <c r="H34" s="320" t="str">
        <f>IFERROR(SUMIF('ADV - FB'!L:L,$A34,'ADV - FB'!H:H)/(SUMIF('ADV - FB'!L:L,$A34,'ADV - FB'!G:G)),"-")</f>
        <v>-</v>
      </c>
      <c r="I34" s="321" t="str">
        <f>IFERROR(SUMIF('ADV - FB'!L:L,$A34,'ADV - FB'!E:E)/(SUMIF('ADV - FB'!L:L,$A34,'ADV - FB'!F:F)),"-")</f>
        <v>-</v>
      </c>
      <c r="J34" s="315">
        <f>SUMIF('ADV - FB'!L:L,$A34,'ADV - FB'!I:I)+SUMIF('ADV - FB'!L:L,$A34,'ADV - FB'!J:J)+SUMIF('ADV - FB'!L:L,$A34,'ADV - FB'!K:K)</f>
        <v>0</v>
      </c>
      <c r="K34" s="321" t="str">
        <f t="shared" si="2"/>
        <v>-</v>
      </c>
      <c r="L34" s="322"/>
      <c r="M34" s="322"/>
      <c r="N34" s="322"/>
      <c r="O34" s="322"/>
      <c r="P34" s="322"/>
      <c r="Q34" s="322"/>
      <c r="R34" s="322"/>
      <c r="S34" s="322"/>
      <c r="T34" s="16"/>
      <c r="U34" s="16"/>
      <c r="V34" s="16"/>
      <c r="W34" s="16"/>
      <c r="X34" s="16"/>
    </row>
    <row r="35" ht="15.75" customHeight="1">
      <c r="A35" s="313" t="s">
        <v>304</v>
      </c>
      <c r="B35" s="314"/>
      <c r="C35" s="315"/>
      <c r="D35" s="315"/>
      <c r="E35" s="317"/>
      <c r="F35" s="318" t="str">
        <f t="shared" si="1"/>
        <v>TP34 -  -  - </v>
      </c>
      <c r="G35" s="319">
        <f>SUMIF('ADV - FB'!L:L,$A35,'ADV - FB'!E:E)</f>
        <v>0</v>
      </c>
      <c r="H35" s="320" t="str">
        <f>IFERROR(SUMIF('ADV - FB'!L:L,$A35,'ADV - FB'!H:H)/(SUMIF('ADV - FB'!L:L,$A35,'ADV - FB'!G:G)),"-")</f>
        <v>-</v>
      </c>
      <c r="I35" s="321" t="str">
        <f>IFERROR(SUMIF('ADV - FB'!L:L,$A35,'ADV - FB'!E:E)/(SUMIF('ADV - FB'!L:L,$A35,'ADV - FB'!F:F)),"-")</f>
        <v>-</v>
      </c>
      <c r="J35" s="315">
        <f>SUMIF('ADV - FB'!L:L,$A35,'ADV - FB'!I:I)+SUMIF('ADV - FB'!L:L,$A35,'ADV - FB'!J:J)+SUMIF('ADV - FB'!L:L,$A35,'ADV - FB'!K:K)</f>
        <v>0</v>
      </c>
      <c r="K35" s="321" t="str">
        <f t="shared" si="2"/>
        <v>-</v>
      </c>
      <c r="L35" s="322"/>
      <c r="M35" s="322"/>
      <c r="N35" s="322"/>
      <c r="O35" s="322"/>
      <c r="P35" s="322"/>
      <c r="Q35" s="322"/>
      <c r="R35" s="322"/>
      <c r="S35" s="322"/>
      <c r="T35" s="16"/>
      <c r="U35" s="16"/>
      <c r="V35" s="16"/>
      <c r="W35" s="16"/>
      <c r="X35" s="16"/>
    </row>
    <row r="36" ht="15.75" customHeight="1">
      <c r="A36" s="313" t="s">
        <v>305</v>
      </c>
      <c r="B36" s="314"/>
      <c r="C36" s="315"/>
      <c r="D36" s="315"/>
      <c r="E36" s="317"/>
      <c r="F36" s="318" t="str">
        <f t="shared" si="1"/>
        <v>TP35 -  -  - </v>
      </c>
      <c r="G36" s="319">
        <f>SUMIF('ADV - FB'!L:L,$A36,'ADV - FB'!E:E)</f>
        <v>0</v>
      </c>
      <c r="H36" s="320" t="str">
        <f>IFERROR(SUMIF('ADV - FB'!L:L,$A36,'ADV - FB'!H:H)/(SUMIF('ADV - FB'!L:L,$A36,'ADV - FB'!G:G)),"-")</f>
        <v>-</v>
      </c>
      <c r="I36" s="321" t="str">
        <f>IFERROR(SUMIF('ADV - FB'!L:L,$A36,'ADV - FB'!E:E)/(SUMIF('ADV - FB'!L:L,$A36,'ADV - FB'!F:F)),"-")</f>
        <v>-</v>
      </c>
      <c r="J36" s="315">
        <f>SUMIF('ADV - FB'!L:L,$A36,'ADV - FB'!I:I)+SUMIF('ADV - FB'!L:L,$A36,'ADV - FB'!J:J)+SUMIF('ADV - FB'!L:L,$A36,'ADV - FB'!K:K)</f>
        <v>0</v>
      </c>
      <c r="K36" s="321" t="str">
        <f t="shared" si="2"/>
        <v>-</v>
      </c>
      <c r="L36" s="322"/>
      <c r="M36" s="322"/>
      <c r="N36" s="322"/>
      <c r="O36" s="322"/>
      <c r="P36" s="322"/>
      <c r="Q36" s="322"/>
      <c r="R36" s="322"/>
      <c r="S36" s="322"/>
      <c r="T36" s="16"/>
      <c r="U36" s="16"/>
      <c r="V36" s="16"/>
      <c r="W36" s="16"/>
      <c r="X36" s="16"/>
    </row>
    <row r="37" ht="15.75" customHeight="1">
      <c r="A37" s="313" t="s">
        <v>306</v>
      </c>
      <c r="B37" s="314"/>
      <c r="C37" s="315"/>
      <c r="D37" s="315"/>
      <c r="E37" s="317"/>
      <c r="F37" s="318" t="str">
        <f t="shared" si="1"/>
        <v>TP36 -  -  - </v>
      </c>
      <c r="G37" s="319">
        <f>SUMIF('ADV - FB'!L:L,$A37,'ADV - FB'!E:E)</f>
        <v>0</v>
      </c>
      <c r="H37" s="320" t="str">
        <f>IFERROR(SUMIF('ADV - FB'!L:L,$A37,'ADV - FB'!H:H)/(SUMIF('ADV - FB'!L:L,$A37,'ADV - FB'!G:G)),"-")</f>
        <v>-</v>
      </c>
      <c r="I37" s="321" t="str">
        <f>IFERROR(SUMIF('ADV - FB'!L:L,$A37,'ADV - FB'!E:E)/(SUMIF('ADV - FB'!L:L,$A37,'ADV - FB'!F:F)),"-")</f>
        <v>-</v>
      </c>
      <c r="J37" s="315">
        <f>SUMIF('ADV - FB'!L:L,$A37,'ADV - FB'!I:I)+SUMIF('ADV - FB'!L:L,$A37,'ADV - FB'!J:J)+SUMIF('ADV - FB'!L:L,$A37,'ADV - FB'!K:K)</f>
        <v>0</v>
      </c>
      <c r="K37" s="321" t="str">
        <f t="shared" si="2"/>
        <v>-</v>
      </c>
      <c r="L37" s="322"/>
      <c r="M37" s="322"/>
      <c r="N37" s="322"/>
      <c r="O37" s="322"/>
      <c r="P37" s="322"/>
      <c r="Q37" s="322"/>
      <c r="R37" s="322"/>
      <c r="S37" s="322"/>
      <c r="T37" s="16"/>
      <c r="U37" s="16"/>
      <c r="V37" s="16"/>
      <c r="W37" s="16"/>
      <c r="X37" s="16"/>
    </row>
    <row r="38" ht="15.75" customHeight="1">
      <c r="A38" s="313" t="s">
        <v>307</v>
      </c>
      <c r="B38" s="314"/>
      <c r="C38" s="315"/>
      <c r="D38" s="315"/>
      <c r="E38" s="317"/>
      <c r="F38" s="318" t="str">
        <f t="shared" si="1"/>
        <v>TP37 -  -  - </v>
      </c>
      <c r="G38" s="319">
        <f>SUMIF('ADV - FB'!L:L,$A38,'ADV - FB'!E:E)</f>
        <v>0</v>
      </c>
      <c r="H38" s="320" t="str">
        <f>IFERROR(SUMIF('ADV - FB'!L:L,$A38,'ADV - FB'!H:H)/(SUMIF('ADV - FB'!L:L,$A38,'ADV - FB'!G:G)),"-")</f>
        <v>-</v>
      </c>
      <c r="I38" s="321" t="str">
        <f>IFERROR(SUMIF('ADV - FB'!L:L,$A38,'ADV - FB'!E:E)/(SUMIF('ADV - FB'!L:L,$A38,'ADV - FB'!F:F)),"-")</f>
        <v>-</v>
      </c>
      <c r="J38" s="315">
        <f>SUMIF('ADV - FB'!L:L,$A38,'ADV - FB'!I:I)+SUMIF('ADV - FB'!L:L,$A38,'ADV - FB'!J:J)+SUMIF('ADV - FB'!L:L,$A38,'ADV - FB'!K:K)</f>
        <v>0</v>
      </c>
      <c r="K38" s="321" t="str">
        <f t="shared" si="2"/>
        <v>-</v>
      </c>
      <c r="L38" s="322"/>
      <c r="M38" s="322"/>
      <c r="N38" s="322"/>
      <c r="O38" s="322"/>
      <c r="P38" s="322"/>
      <c r="Q38" s="322"/>
      <c r="R38" s="322"/>
      <c r="S38" s="322"/>
      <c r="T38" s="16"/>
      <c r="U38" s="16"/>
      <c r="V38" s="16"/>
      <c r="W38" s="16"/>
      <c r="X38" s="16"/>
    </row>
    <row r="39" ht="15.75" customHeight="1">
      <c r="A39" s="313" t="s">
        <v>308</v>
      </c>
      <c r="B39" s="314"/>
      <c r="C39" s="315"/>
      <c r="D39" s="315"/>
      <c r="E39" s="317"/>
      <c r="F39" s="318" t="str">
        <f t="shared" si="1"/>
        <v>TP38 -  -  - </v>
      </c>
      <c r="G39" s="319">
        <f>SUMIF('ADV - FB'!L:L,$A39,'ADV - FB'!E:E)</f>
        <v>0</v>
      </c>
      <c r="H39" s="320" t="str">
        <f>IFERROR(SUMIF('ADV - FB'!L:L,$A39,'ADV - FB'!H:H)/(SUMIF('ADV - FB'!L:L,$A39,'ADV - FB'!G:G)),"-")</f>
        <v>-</v>
      </c>
      <c r="I39" s="321" t="str">
        <f>IFERROR(SUMIF('ADV - FB'!L:L,$A39,'ADV - FB'!E:E)/(SUMIF('ADV - FB'!L:L,$A39,'ADV - FB'!F:F)),"-")</f>
        <v>-</v>
      </c>
      <c r="J39" s="315">
        <f>SUMIF('ADV - FB'!L:L,$A39,'ADV - FB'!I:I)+SUMIF('ADV - FB'!L:L,$A39,'ADV - FB'!J:J)+SUMIF('ADV - FB'!L:L,$A39,'ADV - FB'!K:K)</f>
        <v>0</v>
      </c>
      <c r="K39" s="321" t="str">
        <f t="shared" si="2"/>
        <v>-</v>
      </c>
      <c r="L39" s="322"/>
      <c r="M39" s="322"/>
      <c r="N39" s="322"/>
      <c r="O39" s="322"/>
      <c r="P39" s="322"/>
      <c r="Q39" s="322"/>
      <c r="R39" s="322"/>
      <c r="S39" s="322"/>
      <c r="T39" s="16"/>
      <c r="U39" s="16"/>
      <c r="V39" s="16"/>
      <c r="W39" s="16"/>
      <c r="X39" s="16"/>
    </row>
    <row r="40" ht="15.75" customHeight="1">
      <c r="A40" s="313" t="s">
        <v>309</v>
      </c>
      <c r="B40" s="314"/>
      <c r="C40" s="315"/>
      <c r="D40" s="315"/>
      <c r="E40" s="317"/>
      <c r="F40" s="318" t="str">
        <f t="shared" si="1"/>
        <v>TP39 -  -  - </v>
      </c>
      <c r="G40" s="319">
        <f>SUMIF('ADV - FB'!L:L,$A40,'ADV - FB'!E:E)</f>
        <v>0</v>
      </c>
      <c r="H40" s="320" t="str">
        <f>IFERROR(SUMIF('ADV - FB'!L:L,$A40,'ADV - FB'!H:H)/(SUMIF('ADV - FB'!L:L,$A40,'ADV - FB'!G:G)),"-")</f>
        <v>-</v>
      </c>
      <c r="I40" s="321" t="str">
        <f>IFERROR(SUMIF('ADV - FB'!L:L,$A40,'ADV - FB'!E:E)/(SUMIF('ADV - FB'!L:L,$A40,'ADV - FB'!F:F)),"-")</f>
        <v>-</v>
      </c>
      <c r="J40" s="315">
        <f>SUMIF('ADV - FB'!L:L,$A40,'ADV - FB'!I:I)+SUMIF('ADV - FB'!L:L,$A40,'ADV - FB'!J:J)+SUMIF('ADV - FB'!L:L,$A40,'ADV - FB'!K:K)</f>
        <v>0</v>
      </c>
      <c r="K40" s="321" t="str">
        <f t="shared" si="2"/>
        <v>-</v>
      </c>
      <c r="L40" s="322"/>
      <c r="M40" s="322"/>
      <c r="N40" s="322"/>
      <c r="O40" s="322"/>
      <c r="P40" s="322"/>
      <c r="Q40" s="322"/>
      <c r="R40" s="322"/>
      <c r="S40" s="322"/>
      <c r="T40" s="16"/>
      <c r="U40" s="16"/>
      <c r="V40" s="16"/>
      <c r="W40" s="16"/>
      <c r="X40" s="16"/>
    </row>
    <row r="41" ht="15.75" customHeight="1">
      <c r="A41" s="313" t="s">
        <v>310</v>
      </c>
      <c r="B41" s="314"/>
      <c r="C41" s="315"/>
      <c r="D41" s="315"/>
      <c r="E41" s="317"/>
      <c r="F41" s="318" t="str">
        <f t="shared" si="1"/>
        <v>TP40 -  -  - </v>
      </c>
      <c r="G41" s="319">
        <f>SUMIF('ADV - FB'!L:L,$A41,'ADV - FB'!E:E)</f>
        <v>0</v>
      </c>
      <c r="H41" s="320" t="str">
        <f>IFERROR(SUMIF('ADV - FB'!L:L,$A41,'ADV - FB'!H:H)/(SUMIF('ADV - FB'!L:L,$A41,'ADV - FB'!G:G)),"-")</f>
        <v>-</v>
      </c>
      <c r="I41" s="321" t="str">
        <f>IFERROR(SUMIF('ADV - FB'!L:L,$A41,'ADV - FB'!E:E)/(SUMIF('ADV - FB'!L:L,$A41,'ADV - FB'!F:F)),"-")</f>
        <v>-</v>
      </c>
      <c r="J41" s="315">
        <f>SUMIF('ADV - FB'!L:L,$A41,'ADV - FB'!I:I)+SUMIF('ADV - FB'!L:L,$A41,'ADV - FB'!J:J)+SUMIF('ADV - FB'!L:L,$A41,'ADV - FB'!K:K)</f>
        <v>0</v>
      </c>
      <c r="K41" s="321" t="str">
        <f t="shared" si="2"/>
        <v>-</v>
      </c>
      <c r="L41" s="322"/>
      <c r="M41" s="322"/>
      <c r="N41" s="322"/>
      <c r="O41" s="322"/>
      <c r="P41" s="322"/>
      <c r="Q41" s="322"/>
      <c r="R41" s="322"/>
      <c r="S41" s="322"/>
      <c r="T41" s="16"/>
      <c r="U41" s="16"/>
      <c r="V41" s="16"/>
      <c r="W41" s="16"/>
      <c r="X41" s="16"/>
    </row>
    <row r="42" ht="15.75" customHeight="1">
      <c r="A42" s="313" t="s">
        <v>311</v>
      </c>
      <c r="B42" s="314"/>
      <c r="C42" s="315"/>
      <c r="D42" s="315"/>
      <c r="E42" s="317"/>
      <c r="F42" s="318" t="str">
        <f t="shared" si="1"/>
        <v>TP41 -  -  - </v>
      </c>
      <c r="G42" s="319">
        <f>SUMIF('ADV - FB'!L:L,$A42,'ADV - FB'!E:E)</f>
        <v>0</v>
      </c>
      <c r="H42" s="320" t="str">
        <f>IFERROR(SUMIF('ADV - FB'!L:L,$A42,'ADV - FB'!H:H)/(SUMIF('ADV - FB'!L:L,$A42,'ADV - FB'!G:G)),"-")</f>
        <v>-</v>
      </c>
      <c r="I42" s="321" t="str">
        <f>IFERROR(SUMIF('ADV - FB'!L:L,$A42,'ADV - FB'!E:E)/(SUMIF('ADV - FB'!L:L,$A42,'ADV - FB'!F:F)),"-")</f>
        <v>-</v>
      </c>
      <c r="J42" s="315">
        <f>SUMIF('ADV - FB'!L:L,$A42,'ADV - FB'!I:I)+SUMIF('ADV - FB'!L:L,$A42,'ADV - FB'!J:J)+SUMIF('ADV - FB'!L:L,$A42,'ADV - FB'!K:K)</f>
        <v>0</v>
      </c>
      <c r="K42" s="321" t="str">
        <f t="shared" si="2"/>
        <v>-</v>
      </c>
      <c r="L42" s="322"/>
      <c r="M42" s="322"/>
      <c r="N42" s="322"/>
      <c r="O42" s="322"/>
      <c r="P42" s="322"/>
      <c r="Q42" s="322"/>
      <c r="R42" s="322"/>
      <c r="S42" s="322"/>
      <c r="T42" s="16"/>
      <c r="U42" s="16"/>
      <c r="V42" s="16"/>
      <c r="W42" s="16"/>
      <c r="X42" s="16"/>
    </row>
    <row r="43" ht="15.75" customHeight="1">
      <c r="A43" s="313" t="s">
        <v>312</v>
      </c>
      <c r="B43" s="314"/>
      <c r="C43" s="315"/>
      <c r="D43" s="315"/>
      <c r="E43" s="317"/>
      <c r="F43" s="318" t="str">
        <f t="shared" si="1"/>
        <v>TP42 -  -  - </v>
      </c>
      <c r="G43" s="319">
        <f>SUMIF('ADV - FB'!L:L,$A43,'ADV - FB'!E:E)</f>
        <v>0</v>
      </c>
      <c r="H43" s="320" t="str">
        <f>IFERROR(SUMIF('ADV - FB'!L:L,$A43,'ADV - FB'!H:H)/(SUMIF('ADV - FB'!L:L,$A43,'ADV - FB'!G:G)),"-")</f>
        <v>-</v>
      </c>
      <c r="I43" s="321" t="str">
        <f>IFERROR(SUMIF('ADV - FB'!L:L,$A43,'ADV - FB'!E:E)/(SUMIF('ADV - FB'!L:L,$A43,'ADV - FB'!F:F)),"-")</f>
        <v>-</v>
      </c>
      <c r="J43" s="315">
        <f>SUMIF('ADV - FB'!L:L,$A43,'ADV - FB'!I:I)+SUMIF('ADV - FB'!L:L,$A43,'ADV - FB'!J:J)+SUMIF('ADV - FB'!L:L,$A43,'ADV - FB'!K:K)</f>
        <v>0</v>
      </c>
      <c r="K43" s="321" t="str">
        <f t="shared" si="2"/>
        <v>-</v>
      </c>
      <c r="L43" s="322"/>
      <c r="M43" s="322"/>
      <c r="N43" s="322"/>
      <c r="O43" s="322"/>
      <c r="P43" s="322"/>
      <c r="Q43" s="322"/>
      <c r="R43" s="322"/>
      <c r="S43" s="322"/>
      <c r="T43" s="16"/>
      <c r="U43" s="16"/>
      <c r="V43" s="16"/>
      <c r="W43" s="16"/>
      <c r="X43" s="16"/>
    </row>
    <row r="44" ht="15.75" customHeight="1">
      <c r="A44" s="313" t="s">
        <v>313</v>
      </c>
      <c r="B44" s="314"/>
      <c r="C44" s="315"/>
      <c r="D44" s="315"/>
      <c r="E44" s="317"/>
      <c r="F44" s="318" t="str">
        <f t="shared" si="1"/>
        <v>TP43 -  -  - </v>
      </c>
      <c r="G44" s="319">
        <f>SUMIF('ADV - FB'!L:L,$A44,'ADV - FB'!E:E)</f>
        <v>0</v>
      </c>
      <c r="H44" s="320" t="str">
        <f>IFERROR(SUMIF('ADV - FB'!L:L,$A44,'ADV - FB'!H:H)/(SUMIF('ADV - FB'!L:L,$A44,'ADV - FB'!G:G)),"-")</f>
        <v>-</v>
      </c>
      <c r="I44" s="321" t="str">
        <f>IFERROR(SUMIF('ADV - FB'!L:L,$A44,'ADV - FB'!E:E)/(SUMIF('ADV - FB'!L:L,$A44,'ADV - FB'!F:F)),"-")</f>
        <v>-</v>
      </c>
      <c r="J44" s="315">
        <f>SUMIF('ADV - FB'!L:L,$A44,'ADV - FB'!I:I)+SUMIF('ADV - FB'!L:L,$A44,'ADV - FB'!J:J)+SUMIF('ADV - FB'!L:L,$A44,'ADV - FB'!K:K)</f>
        <v>0</v>
      </c>
      <c r="K44" s="321" t="str">
        <f t="shared" si="2"/>
        <v>-</v>
      </c>
      <c r="L44" s="322"/>
      <c r="M44" s="322"/>
      <c r="N44" s="322"/>
      <c r="O44" s="322"/>
      <c r="P44" s="322"/>
      <c r="Q44" s="322"/>
      <c r="R44" s="322"/>
      <c r="S44" s="322"/>
      <c r="T44" s="16"/>
      <c r="U44" s="16"/>
      <c r="V44" s="16"/>
      <c r="W44" s="16"/>
      <c r="X44" s="16"/>
    </row>
    <row r="45" ht="15.75" customHeight="1">
      <c r="A45" s="313" t="s">
        <v>314</v>
      </c>
      <c r="B45" s="314"/>
      <c r="C45" s="315"/>
      <c r="D45" s="315"/>
      <c r="E45" s="317"/>
      <c r="F45" s="318" t="str">
        <f t="shared" si="1"/>
        <v>TP44 -  -  - </v>
      </c>
      <c r="G45" s="319">
        <f>SUMIF('ADV - FB'!L:L,$A45,'ADV - FB'!E:E)</f>
        <v>0</v>
      </c>
      <c r="H45" s="320" t="str">
        <f>IFERROR(SUMIF('ADV - FB'!L:L,$A45,'ADV - FB'!H:H)/(SUMIF('ADV - FB'!L:L,$A45,'ADV - FB'!G:G)),"-")</f>
        <v>-</v>
      </c>
      <c r="I45" s="321" t="str">
        <f>IFERROR(SUMIF('ADV - FB'!L:L,$A45,'ADV - FB'!E:E)/(SUMIF('ADV - FB'!L:L,$A45,'ADV - FB'!F:F)),"-")</f>
        <v>-</v>
      </c>
      <c r="J45" s="315">
        <f>SUMIF('ADV - FB'!L:L,$A45,'ADV - FB'!I:I)+SUMIF('ADV - FB'!L:L,$A45,'ADV - FB'!J:J)+SUMIF('ADV - FB'!L:L,$A45,'ADV - FB'!K:K)</f>
        <v>0</v>
      </c>
      <c r="K45" s="321" t="str">
        <f t="shared" si="2"/>
        <v>-</v>
      </c>
      <c r="L45" s="322"/>
      <c r="M45" s="322"/>
      <c r="N45" s="322"/>
      <c r="O45" s="322"/>
      <c r="P45" s="322"/>
      <c r="Q45" s="322"/>
      <c r="R45" s="322"/>
      <c r="S45" s="322"/>
      <c r="T45" s="16"/>
      <c r="U45" s="16"/>
      <c r="V45" s="16"/>
      <c r="W45" s="16"/>
      <c r="X45" s="16"/>
    </row>
    <row r="46" ht="15.75" customHeight="1">
      <c r="A46" s="313" t="s">
        <v>315</v>
      </c>
      <c r="B46" s="314"/>
      <c r="C46" s="315"/>
      <c r="D46" s="315"/>
      <c r="E46" s="317"/>
      <c r="F46" s="318" t="str">
        <f t="shared" si="1"/>
        <v>TP45 -  -  - </v>
      </c>
      <c r="G46" s="319">
        <f>SUMIF('ADV - FB'!L:L,$A46,'ADV - FB'!E:E)</f>
        <v>0</v>
      </c>
      <c r="H46" s="320" t="str">
        <f>IFERROR(SUMIF('ADV - FB'!L:L,$A46,'ADV - FB'!H:H)/(SUMIF('ADV - FB'!L:L,$A46,'ADV - FB'!G:G)),"-")</f>
        <v>-</v>
      </c>
      <c r="I46" s="321" t="str">
        <f>IFERROR(SUMIF('ADV - FB'!L:L,$A46,'ADV - FB'!E:E)/(SUMIF('ADV - FB'!L:L,$A46,'ADV - FB'!F:F)),"-")</f>
        <v>-</v>
      </c>
      <c r="J46" s="315">
        <f>SUMIF('ADV - FB'!L:L,$A46,'ADV - FB'!I:I)+SUMIF('ADV - FB'!L:L,$A46,'ADV - FB'!J:J)+SUMIF('ADV - FB'!L:L,$A46,'ADV - FB'!K:K)</f>
        <v>0</v>
      </c>
      <c r="K46" s="321" t="str">
        <f t="shared" si="2"/>
        <v>-</v>
      </c>
      <c r="L46" s="322"/>
      <c r="M46" s="322"/>
      <c r="N46" s="322"/>
      <c r="O46" s="322"/>
      <c r="P46" s="322"/>
      <c r="Q46" s="322"/>
      <c r="R46" s="322"/>
      <c r="S46" s="322"/>
      <c r="T46" s="16"/>
      <c r="U46" s="16"/>
      <c r="V46" s="16"/>
      <c r="W46" s="16"/>
      <c r="X46" s="16"/>
    </row>
    <row r="47" ht="15.75" customHeight="1">
      <c r="A47" s="313" t="s">
        <v>316</v>
      </c>
      <c r="B47" s="314"/>
      <c r="C47" s="315"/>
      <c r="D47" s="315"/>
      <c r="E47" s="317"/>
      <c r="F47" s="318" t="str">
        <f t="shared" si="1"/>
        <v>TP46 -  -  - </v>
      </c>
      <c r="G47" s="319">
        <f>SUMIF('ADV - FB'!L:L,$A47,'ADV - FB'!E:E)</f>
        <v>0</v>
      </c>
      <c r="H47" s="320" t="str">
        <f>IFERROR(SUMIF('ADV - FB'!L:L,$A47,'ADV - FB'!H:H)/(SUMIF('ADV - FB'!L:L,$A47,'ADV - FB'!G:G)),"-")</f>
        <v>-</v>
      </c>
      <c r="I47" s="321" t="str">
        <f>IFERROR(SUMIF('ADV - FB'!L:L,$A47,'ADV - FB'!E:E)/(SUMIF('ADV - FB'!L:L,$A47,'ADV - FB'!F:F)),"-")</f>
        <v>-</v>
      </c>
      <c r="J47" s="315">
        <f>SUMIF('ADV - FB'!L:L,$A47,'ADV - FB'!I:I)+SUMIF('ADV - FB'!L:L,$A47,'ADV - FB'!J:J)+SUMIF('ADV - FB'!L:L,$A47,'ADV - FB'!K:K)</f>
        <v>0</v>
      </c>
      <c r="K47" s="321" t="str">
        <f t="shared" si="2"/>
        <v>-</v>
      </c>
      <c r="L47" s="322"/>
      <c r="M47" s="322"/>
      <c r="N47" s="322"/>
      <c r="O47" s="322"/>
      <c r="P47" s="322"/>
      <c r="Q47" s="322"/>
      <c r="R47" s="322"/>
      <c r="S47" s="322"/>
      <c r="T47" s="16"/>
      <c r="U47" s="16"/>
      <c r="V47" s="16"/>
      <c r="W47" s="16"/>
      <c r="X47" s="16"/>
    </row>
    <row r="48" ht="15.75" customHeight="1">
      <c r="A48" s="313" t="s">
        <v>317</v>
      </c>
      <c r="B48" s="314"/>
      <c r="C48" s="315"/>
      <c r="D48" s="315"/>
      <c r="E48" s="317"/>
      <c r="F48" s="318" t="str">
        <f t="shared" si="1"/>
        <v>TP47 -  -  - </v>
      </c>
      <c r="G48" s="319">
        <f>SUMIF('ADV - FB'!L:L,$A48,'ADV - FB'!E:E)</f>
        <v>0</v>
      </c>
      <c r="H48" s="320" t="str">
        <f>IFERROR(SUMIF('ADV - FB'!L:L,$A48,'ADV - FB'!H:H)/(SUMIF('ADV - FB'!L:L,$A48,'ADV - FB'!G:G)),"-")</f>
        <v>-</v>
      </c>
      <c r="I48" s="321" t="str">
        <f>IFERROR(SUMIF('ADV - FB'!L:L,$A48,'ADV - FB'!E:E)/(SUMIF('ADV - FB'!L:L,$A48,'ADV - FB'!F:F)),"-")</f>
        <v>-</v>
      </c>
      <c r="J48" s="315">
        <f>SUMIF('ADV - FB'!L:L,$A48,'ADV - FB'!I:I)+SUMIF('ADV - FB'!L:L,$A48,'ADV - FB'!J:J)+SUMIF('ADV - FB'!L:L,$A48,'ADV - FB'!K:K)</f>
        <v>0</v>
      </c>
      <c r="K48" s="321" t="str">
        <f t="shared" si="2"/>
        <v>-</v>
      </c>
      <c r="L48" s="322"/>
      <c r="M48" s="322"/>
      <c r="N48" s="322"/>
      <c r="O48" s="322"/>
      <c r="P48" s="322"/>
      <c r="Q48" s="322"/>
      <c r="R48" s="322"/>
      <c r="S48" s="322"/>
      <c r="T48" s="16"/>
      <c r="U48" s="16"/>
      <c r="V48" s="16"/>
      <c r="W48" s="16"/>
      <c r="X48" s="16"/>
    </row>
    <row r="49" ht="15.75" customHeight="1">
      <c r="A49" s="313" t="s">
        <v>318</v>
      </c>
      <c r="B49" s="314"/>
      <c r="C49" s="315"/>
      <c r="D49" s="315"/>
      <c r="E49" s="317"/>
      <c r="F49" s="318" t="str">
        <f t="shared" si="1"/>
        <v>TP48 -  -  - </v>
      </c>
      <c r="G49" s="319">
        <f>SUMIF('ADV - FB'!L:L,$A49,'ADV - FB'!E:E)</f>
        <v>0</v>
      </c>
      <c r="H49" s="320" t="str">
        <f>IFERROR(SUMIF('ADV - FB'!L:L,$A49,'ADV - FB'!H:H)/(SUMIF('ADV - FB'!L:L,$A49,'ADV - FB'!G:G)),"-")</f>
        <v>-</v>
      </c>
      <c r="I49" s="321" t="str">
        <f>IFERROR(SUMIF('ADV - FB'!L:L,$A49,'ADV - FB'!E:E)/(SUMIF('ADV - FB'!L:L,$A49,'ADV - FB'!F:F)),"-")</f>
        <v>-</v>
      </c>
      <c r="J49" s="315">
        <f>SUMIF('ADV - FB'!L:L,$A49,'ADV - FB'!I:I)+SUMIF('ADV - FB'!L:L,$A49,'ADV - FB'!J:J)+SUMIF('ADV - FB'!L:L,$A49,'ADV - FB'!K:K)</f>
        <v>0</v>
      </c>
      <c r="K49" s="321" t="str">
        <f t="shared" si="2"/>
        <v>-</v>
      </c>
      <c r="L49" s="322"/>
      <c r="M49" s="322"/>
      <c r="N49" s="322"/>
      <c r="O49" s="322"/>
      <c r="P49" s="322"/>
      <c r="Q49" s="322"/>
      <c r="R49" s="322"/>
      <c r="S49" s="322"/>
      <c r="T49" s="16"/>
      <c r="U49" s="16"/>
      <c r="V49" s="16"/>
      <c r="W49" s="16"/>
      <c r="X49" s="16"/>
    </row>
    <row r="50" ht="15.75" customHeight="1">
      <c r="A50" s="313" t="s">
        <v>319</v>
      </c>
      <c r="B50" s="314"/>
      <c r="C50" s="315"/>
      <c r="D50" s="315"/>
      <c r="E50" s="317"/>
      <c r="F50" s="318" t="str">
        <f t="shared" si="1"/>
        <v>TP49 -  -  - </v>
      </c>
      <c r="G50" s="319">
        <f>SUMIF('ADV - FB'!L:L,$A50,'ADV - FB'!E:E)</f>
        <v>0</v>
      </c>
      <c r="H50" s="320" t="str">
        <f>IFERROR(SUMIF('ADV - FB'!L:L,$A50,'ADV - FB'!H:H)/(SUMIF('ADV - FB'!L:L,$A50,'ADV - FB'!G:G)),"-")</f>
        <v>-</v>
      </c>
      <c r="I50" s="321" t="str">
        <f>IFERROR(SUMIF('ADV - FB'!L:L,$A50,'ADV - FB'!E:E)/(SUMIF('ADV - FB'!L:L,$A50,'ADV - FB'!F:F)),"-")</f>
        <v>-</v>
      </c>
      <c r="J50" s="315">
        <f>SUMIF('ADV - FB'!L:L,$A50,'ADV - FB'!I:I)+SUMIF('ADV - FB'!L:L,$A50,'ADV - FB'!J:J)+SUMIF('ADV - FB'!L:L,$A50,'ADV - FB'!K:K)</f>
        <v>0</v>
      </c>
      <c r="K50" s="321" t="str">
        <f t="shared" si="2"/>
        <v>-</v>
      </c>
      <c r="L50" s="322"/>
      <c r="M50" s="322"/>
      <c r="N50" s="322"/>
      <c r="O50" s="322"/>
      <c r="P50" s="322"/>
      <c r="Q50" s="322"/>
      <c r="R50" s="322"/>
      <c r="S50" s="322"/>
      <c r="T50" s="16"/>
      <c r="U50" s="16"/>
      <c r="V50" s="16"/>
      <c r="W50" s="16"/>
      <c r="X50" s="16"/>
    </row>
    <row r="51" ht="15.75" customHeight="1">
      <c r="A51" s="313" t="s">
        <v>320</v>
      </c>
      <c r="B51" s="314"/>
      <c r="C51" s="315"/>
      <c r="D51" s="315"/>
      <c r="E51" s="317"/>
      <c r="F51" s="318" t="str">
        <f t="shared" si="1"/>
        <v>TP50 -  -  - </v>
      </c>
      <c r="G51" s="319">
        <f>SUMIF('ADV - FB'!L:L,$A51,'ADV - FB'!E:E)</f>
        <v>0</v>
      </c>
      <c r="H51" s="320" t="str">
        <f>IFERROR(SUMIF('ADV - FB'!L:L,$A51,'ADV - FB'!H:H)/(SUMIF('ADV - FB'!L:L,$A51,'ADV - FB'!G:G)),"-")</f>
        <v>-</v>
      </c>
      <c r="I51" s="321" t="str">
        <f>IFERROR(SUMIF('ADV - FB'!L:L,$A51,'ADV - FB'!E:E)/(SUMIF('ADV - FB'!L:L,$A51,'ADV - FB'!F:F)),"-")</f>
        <v>-</v>
      </c>
      <c r="J51" s="315">
        <f>SUMIF('ADV - FB'!L:L,$A51,'ADV - FB'!I:I)+SUMIF('ADV - FB'!L:L,$A51,'ADV - FB'!J:J)+SUMIF('ADV - FB'!L:L,$A51,'ADV - FB'!K:K)</f>
        <v>0</v>
      </c>
      <c r="K51" s="321" t="str">
        <f t="shared" si="2"/>
        <v>-</v>
      </c>
      <c r="L51" s="322"/>
      <c r="M51" s="322"/>
      <c r="N51" s="322"/>
      <c r="O51" s="322"/>
      <c r="P51" s="322"/>
      <c r="Q51" s="322"/>
      <c r="R51" s="322"/>
      <c r="S51" s="322"/>
      <c r="T51" s="16"/>
      <c r="U51" s="16"/>
      <c r="V51" s="16"/>
      <c r="W51" s="16"/>
      <c r="X51" s="16"/>
    </row>
    <row r="52" ht="15.75" customHeight="1">
      <c r="A52" s="313" t="s">
        <v>321</v>
      </c>
      <c r="B52" s="314"/>
      <c r="C52" s="315"/>
      <c r="D52" s="315"/>
      <c r="E52" s="317"/>
      <c r="F52" s="318" t="str">
        <f t="shared" si="1"/>
        <v>TP51 -  -  - </v>
      </c>
      <c r="G52" s="319">
        <f>SUMIF('ADV - FB'!L:L,$A52,'ADV - FB'!E:E)</f>
        <v>0</v>
      </c>
      <c r="H52" s="320" t="str">
        <f>IFERROR(SUMIF('ADV - FB'!L:L,$A52,'ADV - FB'!H:H)/(SUMIF('ADV - FB'!L:L,$A52,'ADV - FB'!G:G)),"-")</f>
        <v>-</v>
      </c>
      <c r="I52" s="321" t="str">
        <f>IFERROR(SUMIF('ADV - FB'!L:L,$A52,'ADV - FB'!E:E)/(SUMIF('ADV - FB'!L:L,$A52,'ADV - FB'!F:F)),"-")</f>
        <v>-</v>
      </c>
      <c r="J52" s="315">
        <f>SUMIF('ADV - FB'!L:L,$A52,'ADV - FB'!I:I)+SUMIF('ADV - FB'!L:L,$A52,'ADV - FB'!J:J)+SUMIF('ADV - FB'!L:L,$A52,'ADV - FB'!K:K)</f>
        <v>0</v>
      </c>
      <c r="K52" s="321" t="str">
        <f t="shared" si="2"/>
        <v>-</v>
      </c>
      <c r="L52" s="322"/>
      <c r="M52" s="322"/>
      <c r="N52" s="322"/>
      <c r="O52" s="322"/>
      <c r="P52" s="322"/>
      <c r="Q52" s="322"/>
      <c r="R52" s="322"/>
      <c r="S52" s="322"/>
      <c r="T52" s="16"/>
      <c r="U52" s="16"/>
      <c r="V52" s="16"/>
      <c r="W52" s="16"/>
      <c r="X52" s="16"/>
    </row>
    <row r="53" ht="15.75" customHeight="1">
      <c r="A53" s="313" t="s">
        <v>322</v>
      </c>
      <c r="B53" s="314"/>
      <c r="C53" s="315"/>
      <c r="D53" s="315"/>
      <c r="E53" s="317"/>
      <c r="F53" s="318" t="str">
        <f t="shared" si="1"/>
        <v>TP52 -  -  - </v>
      </c>
      <c r="G53" s="319">
        <f>SUMIF('ADV - FB'!L:L,$A53,'ADV - FB'!E:E)</f>
        <v>0</v>
      </c>
      <c r="H53" s="320" t="str">
        <f>IFERROR(SUMIF('ADV - FB'!L:L,$A53,'ADV - FB'!H:H)/(SUMIF('ADV - FB'!L:L,$A53,'ADV - FB'!G:G)),"-")</f>
        <v>-</v>
      </c>
      <c r="I53" s="321" t="str">
        <f>IFERROR(SUMIF('ADV - FB'!L:L,$A53,'ADV - FB'!E:E)/(SUMIF('ADV - FB'!L:L,$A53,'ADV - FB'!F:F)),"-")</f>
        <v>-</v>
      </c>
      <c r="J53" s="315">
        <f>SUMIF('ADV - FB'!L:L,$A53,'ADV - FB'!I:I)+SUMIF('ADV - FB'!L:L,$A53,'ADV - FB'!J:J)+SUMIF('ADV - FB'!L:L,$A53,'ADV - FB'!K:K)</f>
        <v>0</v>
      </c>
      <c r="K53" s="321" t="str">
        <f t="shared" si="2"/>
        <v>-</v>
      </c>
      <c r="L53" s="322"/>
      <c r="M53" s="322"/>
      <c r="N53" s="322"/>
      <c r="O53" s="322"/>
      <c r="P53" s="322"/>
      <c r="Q53" s="322"/>
      <c r="R53" s="322"/>
      <c r="S53" s="322"/>
      <c r="T53" s="16"/>
      <c r="U53" s="16"/>
      <c r="V53" s="16"/>
      <c r="W53" s="16"/>
      <c r="X53" s="16"/>
    </row>
    <row r="54" ht="15.75" customHeight="1">
      <c r="A54" s="313" t="s">
        <v>323</v>
      </c>
      <c r="B54" s="314"/>
      <c r="C54" s="315"/>
      <c r="D54" s="315"/>
      <c r="E54" s="317"/>
      <c r="F54" s="318" t="str">
        <f t="shared" si="1"/>
        <v>TP53 -  -  - </v>
      </c>
      <c r="G54" s="319">
        <f>SUMIF('ADV - FB'!L:L,$A54,'ADV - FB'!E:E)</f>
        <v>0</v>
      </c>
      <c r="H54" s="320" t="str">
        <f>IFERROR(SUMIF('ADV - FB'!L:L,$A54,'ADV - FB'!H:H)/(SUMIF('ADV - FB'!L:L,$A54,'ADV - FB'!G:G)),"-")</f>
        <v>-</v>
      </c>
      <c r="I54" s="321" t="str">
        <f>IFERROR(SUMIF('ADV - FB'!L:L,$A54,'ADV - FB'!E:E)/(SUMIF('ADV - FB'!L:L,$A54,'ADV - FB'!F:F)),"-")</f>
        <v>-</v>
      </c>
      <c r="J54" s="315">
        <f>SUMIF('ADV - FB'!L:L,$A54,'ADV - FB'!I:I)+SUMIF('ADV - FB'!L:L,$A54,'ADV - FB'!J:J)+SUMIF('ADV - FB'!L:L,$A54,'ADV - FB'!K:K)</f>
        <v>0</v>
      </c>
      <c r="K54" s="321" t="str">
        <f t="shared" si="2"/>
        <v>-</v>
      </c>
      <c r="L54" s="322"/>
      <c r="M54" s="322"/>
      <c r="N54" s="322"/>
      <c r="O54" s="322"/>
      <c r="P54" s="322"/>
      <c r="Q54" s="322"/>
      <c r="R54" s="322"/>
      <c r="S54" s="322"/>
      <c r="T54" s="16"/>
      <c r="U54" s="16"/>
      <c r="V54" s="16"/>
      <c r="W54" s="16"/>
      <c r="X54" s="16"/>
    </row>
    <row r="55" ht="15.75" customHeight="1">
      <c r="A55" s="313" t="s">
        <v>324</v>
      </c>
      <c r="B55" s="314"/>
      <c r="C55" s="315"/>
      <c r="D55" s="315"/>
      <c r="E55" s="317"/>
      <c r="F55" s="318" t="str">
        <f t="shared" si="1"/>
        <v>TP54 -  -  - </v>
      </c>
      <c r="G55" s="319">
        <f>SUMIF('ADV - FB'!L:L,$A55,'ADV - FB'!E:E)</f>
        <v>0</v>
      </c>
      <c r="H55" s="320" t="str">
        <f>IFERROR(SUMIF('ADV - FB'!L:L,$A55,'ADV - FB'!H:H)/(SUMIF('ADV - FB'!L:L,$A55,'ADV - FB'!G:G)),"-")</f>
        <v>-</v>
      </c>
      <c r="I55" s="321" t="str">
        <f>IFERROR(SUMIF('ADV - FB'!L:L,$A55,'ADV - FB'!E:E)/(SUMIF('ADV - FB'!L:L,$A55,'ADV - FB'!F:F)),"-")</f>
        <v>-</v>
      </c>
      <c r="J55" s="315">
        <f>SUMIF('ADV - FB'!L:L,$A55,'ADV - FB'!I:I)+SUMIF('ADV - FB'!L:L,$A55,'ADV - FB'!J:J)+SUMIF('ADV - FB'!L:L,$A55,'ADV - FB'!K:K)</f>
        <v>0</v>
      </c>
      <c r="K55" s="321" t="str">
        <f t="shared" si="2"/>
        <v>-</v>
      </c>
      <c r="L55" s="322"/>
      <c r="M55" s="322"/>
      <c r="N55" s="322"/>
      <c r="O55" s="322"/>
      <c r="P55" s="322"/>
      <c r="Q55" s="322"/>
      <c r="R55" s="322"/>
      <c r="S55" s="322"/>
      <c r="T55" s="16"/>
      <c r="U55" s="16"/>
      <c r="V55" s="16"/>
      <c r="W55" s="16"/>
      <c r="X55" s="16"/>
    </row>
    <row r="56" ht="15.75" customHeight="1">
      <c r="A56" s="313" t="s">
        <v>325</v>
      </c>
      <c r="B56" s="314"/>
      <c r="C56" s="315"/>
      <c r="D56" s="315"/>
      <c r="E56" s="317"/>
      <c r="F56" s="318" t="str">
        <f t="shared" si="1"/>
        <v>TP55 -  -  - </v>
      </c>
      <c r="G56" s="319">
        <f>SUMIF('ADV - FB'!L:L,$A56,'ADV - FB'!E:E)</f>
        <v>0</v>
      </c>
      <c r="H56" s="320" t="str">
        <f>IFERROR(SUMIF('ADV - FB'!L:L,$A56,'ADV - FB'!H:H)/(SUMIF('ADV - FB'!L:L,$A56,'ADV - FB'!G:G)),"-")</f>
        <v>-</v>
      </c>
      <c r="I56" s="321" t="str">
        <f>IFERROR(SUMIF('ADV - FB'!L:L,$A56,'ADV - FB'!E:E)/(SUMIF('ADV - FB'!L:L,$A56,'ADV - FB'!F:F)),"-")</f>
        <v>-</v>
      </c>
      <c r="J56" s="315">
        <f>SUMIF('ADV - FB'!L:L,$A56,'ADV - FB'!I:I)+SUMIF('ADV - FB'!L:L,$A56,'ADV - FB'!J:J)+SUMIF('ADV - FB'!L:L,$A56,'ADV - FB'!K:K)</f>
        <v>0</v>
      </c>
      <c r="K56" s="321" t="str">
        <f t="shared" si="2"/>
        <v>-</v>
      </c>
      <c r="L56" s="322"/>
      <c r="M56" s="322"/>
      <c r="N56" s="322"/>
      <c r="O56" s="322"/>
      <c r="P56" s="322"/>
      <c r="Q56" s="322"/>
      <c r="R56" s="322"/>
      <c r="S56" s="322"/>
      <c r="T56" s="16"/>
      <c r="U56" s="16"/>
      <c r="V56" s="16"/>
      <c r="W56" s="16"/>
      <c r="X56" s="16"/>
    </row>
    <row r="57" ht="15.75" customHeight="1">
      <c r="A57" s="313" t="s">
        <v>326</v>
      </c>
      <c r="B57" s="314"/>
      <c r="C57" s="315"/>
      <c r="D57" s="315"/>
      <c r="E57" s="317"/>
      <c r="F57" s="318" t="str">
        <f t="shared" si="1"/>
        <v>TP56 -  -  - </v>
      </c>
      <c r="G57" s="319">
        <f>SUMIF('ADV - FB'!L:L,$A57,'ADV - FB'!E:E)</f>
        <v>0</v>
      </c>
      <c r="H57" s="320" t="str">
        <f>IFERROR(SUMIF('ADV - FB'!L:L,$A57,'ADV - FB'!H:H)/(SUMIF('ADV - FB'!L:L,$A57,'ADV - FB'!G:G)),"-")</f>
        <v>-</v>
      </c>
      <c r="I57" s="321" t="str">
        <f>IFERROR(SUMIF('ADV - FB'!L:L,$A57,'ADV - FB'!E:E)/(SUMIF('ADV - FB'!L:L,$A57,'ADV - FB'!F:F)),"-")</f>
        <v>-</v>
      </c>
      <c r="J57" s="315">
        <f>SUMIF('ADV - FB'!L:L,$A57,'ADV - FB'!I:I)+SUMIF('ADV - FB'!L:L,$A57,'ADV - FB'!J:J)+SUMIF('ADV - FB'!L:L,$A57,'ADV - FB'!K:K)</f>
        <v>0</v>
      </c>
      <c r="K57" s="321" t="str">
        <f t="shared" si="2"/>
        <v>-</v>
      </c>
      <c r="L57" s="322"/>
      <c r="M57" s="322"/>
      <c r="N57" s="322"/>
      <c r="O57" s="322"/>
      <c r="P57" s="322"/>
      <c r="Q57" s="322"/>
      <c r="R57" s="322"/>
      <c r="S57" s="322"/>
      <c r="T57" s="16"/>
      <c r="U57" s="16"/>
      <c r="V57" s="16"/>
      <c r="W57" s="16"/>
      <c r="X57" s="16"/>
    </row>
    <row r="58" ht="15.75" customHeight="1">
      <c r="A58" s="313" t="s">
        <v>327</v>
      </c>
      <c r="B58" s="314"/>
      <c r="C58" s="315"/>
      <c r="D58" s="315"/>
      <c r="E58" s="317"/>
      <c r="F58" s="318" t="str">
        <f t="shared" si="1"/>
        <v>TP57 -  -  - </v>
      </c>
      <c r="G58" s="319">
        <f>SUMIF('ADV - FB'!L:L,$A58,'ADV - FB'!E:E)</f>
        <v>0</v>
      </c>
      <c r="H58" s="320" t="str">
        <f>IFERROR(SUMIF('ADV - FB'!L:L,$A58,'ADV - FB'!H:H)/(SUMIF('ADV - FB'!L:L,$A58,'ADV - FB'!G:G)),"-")</f>
        <v>-</v>
      </c>
      <c r="I58" s="321" t="str">
        <f>IFERROR(SUMIF('ADV - FB'!L:L,$A58,'ADV - FB'!E:E)/(SUMIF('ADV - FB'!L:L,$A58,'ADV - FB'!F:F)),"-")</f>
        <v>-</v>
      </c>
      <c r="J58" s="315">
        <f>SUMIF('ADV - FB'!L:L,$A58,'ADV - FB'!I:I)+SUMIF('ADV - FB'!L:L,$A58,'ADV - FB'!J:J)+SUMIF('ADV - FB'!L:L,$A58,'ADV - FB'!K:K)</f>
        <v>0</v>
      </c>
      <c r="K58" s="321" t="str">
        <f t="shared" si="2"/>
        <v>-</v>
      </c>
      <c r="L58" s="322"/>
      <c r="M58" s="322"/>
      <c r="N58" s="322"/>
      <c r="O58" s="322"/>
      <c r="P58" s="322"/>
      <c r="Q58" s="322"/>
      <c r="R58" s="322"/>
      <c r="S58" s="322"/>
      <c r="T58" s="16"/>
      <c r="U58" s="16"/>
      <c r="V58" s="16"/>
      <c r="W58" s="16"/>
      <c r="X58" s="16"/>
    </row>
    <row r="59" ht="15.75" customHeight="1">
      <c r="A59" s="313" t="s">
        <v>328</v>
      </c>
      <c r="B59" s="314"/>
      <c r="C59" s="315"/>
      <c r="D59" s="315"/>
      <c r="E59" s="317"/>
      <c r="F59" s="318" t="str">
        <f t="shared" si="1"/>
        <v>TP58 -  -  - </v>
      </c>
      <c r="G59" s="319">
        <f>SUMIF('ADV - FB'!L:L,$A59,'ADV - FB'!E:E)</f>
        <v>0</v>
      </c>
      <c r="H59" s="320" t="str">
        <f>IFERROR(SUMIF('ADV - FB'!L:L,$A59,'ADV - FB'!H:H)/(SUMIF('ADV - FB'!L:L,$A59,'ADV - FB'!G:G)),"-")</f>
        <v>-</v>
      </c>
      <c r="I59" s="321" t="str">
        <f>IFERROR(SUMIF('ADV - FB'!L:L,$A59,'ADV - FB'!E:E)/(SUMIF('ADV - FB'!L:L,$A59,'ADV - FB'!F:F)),"-")</f>
        <v>-</v>
      </c>
      <c r="J59" s="315">
        <f>SUMIF('ADV - FB'!L:L,$A59,'ADV - FB'!I:I)+SUMIF('ADV - FB'!L:L,$A59,'ADV - FB'!J:J)+SUMIF('ADV - FB'!L:L,$A59,'ADV - FB'!K:K)</f>
        <v>0</v>
      </c>
      <c r="K59" s="321" t="str">
        <f t="shared" si="2"/>
        <v>-</v>
      </c>
      <c r="L59" s="322"/>
      <c r="M59" s="322"/>
      <c r="N59" s="322"/>
      <c r="O59" s="322"/>
      <c r="P59" s="322"/>
      <c r="Q59" s="322"/>
      <c r="R59" s="322"/>
      <c r="S59" s="322"/>
      <c r="T59" s="16"/>
      <c r="U59" s="16"/>
      <c r="V59" s="16"/>
      <c r="W59" s="16"/>
      <c r="X59" s="16"/>
    </row>
    <row r="60" ht="15.75" customHeight="1">
      <c r="A60" s="313" t="s">
        <v>329</v>
      </c>
      <c r="B60" s="314"/>
      <c r="C60" s="315"/>
      <c r="D60" s="315"/>
      <c r="E60" s="317"/>
      <c r="F60" s="318" t="str">
        <f t="shared" si="1"/>
        <v>TP59 -  -  - </v>
      </c>
      <c r="G60" s="319">
        <f>SUMIF('ADV - FB'!L:L,$A60,'ADV - FB'!E:E)</f>
        <v>0</v>
      </c>
      <c r="H60" s="320" t="str">
        <f>IFERROR(SUMIF('ADV - FB'!L:L,$A60,'ADV - FB'!H:H)/(SUMIF('ADV - FB'!L:L,$A60,'ADV - FB'!G:G)),"-")</f>
        <v>-</v>
      </c>
      <c r="I60" s="321" t="str">
        <f>IFERROR(SUMIF('ADV - FB'!L:L,$A60,'ADV - FB'!E:E)/(SUMIF('ADV - FB'!L:L,$A60,'ADV - FB'!F:F)),"-")</f>
        <v>-</v>
      </c>
      <c r="J60" s="315">
        <f>SUMIF('ADV - FB'!L:L,$A60,'ADV - FB'!I:I)+SUMIF('ADV - FB'!L:L,$A60,'ADV - FB'!J:J)+SUMIF('ADV - FB'!L:L,$A60,'ADV - FB'!K:K)</f>
        <v>0</v>
      </c>
      <c r="K60" s="321" t="str">
        <f t="shared" si="2"/>
        <v>-</v>
      </c>
      <c r="L60" s="322"/>
      <c r="M60" s="322"/>
      <c r="N60" s="322"/>
      <c r="O60" s="322"/>
      <c r="P60" s="322"/>
      <c r="Q60" s="322"/>
      <c r="R60" s="322"/>
      <c r="S60" s="322"/>
      <c r="T60" s="16"/>
      <c r="U60" s="16"/>
      <c r="V60" s="16"/>
      <c r="W60" s="16"/>
      <c r="X60" s="16"/>
    </row>
    <row r="61" ht="15.75" customHeight="1">
      <c r="A61" s="313" t="s">
        <v>330</v>
      </c>
      <c r="B61" s="314"/>
      <c r="C61" s="315"/>
      <c r="D61" s="315"/>
      <c r="E61" s="317"/>
      <c r="F61" s="318" t="str">
        <f t="shared" si="1"/>
        <v>TP60 -  -  - </v>
      </c>
      <c r="G61" s="319">
        <f>SUMIF('ADV - FB'!L:L,$A61,'ADV - FB'!E:E)</f>
        <v>0</v>
      </c>
      <c r="H61" s="320" t="str">
        <f>IFERROR(SUMIF('ADV - FB'!L:L,$A61,'ADV - FB'!H:H)/(SUMIF('ADV - FB'!L:L,$A61,'ADV - FB'!G:G)),"-")</f>
        <v>-</v>
      </c>
      <c r="I61" s="321" t="str">
        <f>IFERROR(SUMIF('ADV - FB'!L:L,$A61,'ADV - FB'!E:E)/(SUMIF('ADV - FB'!L:L,$A61,'ADV - FB'!F:F)),"-")</f>
        <v>-</v>
      </c>
      <c r="J61" s="315">
        <f>SUMIF('ADV - FB'!L:L,$A61,'ADV - FB'!I:I)+SUMIF('ADV - FB'!L:L,$A61,'ADV - FB'!J:J)+SUMIF('ADV - FB'!L:L,$A61,'ADV - FB'!K:K)</f>
        <v>0</v>
      </c>
      <c r="K61" s="321" t="str">
        <f t="shared" si="2"/>
        <v>-</v>
      </c>
      <c r="L61" s="322"/>
      <c r="M61" s="322"/>
      <c r="N61" s="322"/>
      <c r="O61" s="322"/>
      <c r="P61" s="322"/>
      <c r="Q61" s="322"/>
      <c r="R61" s="322"/>
      <c r="S61" s="322"/>
      <c r="T61" s="16"/>
      <c r="U61" s="16"/>
      <c r="V61" s="16"/>
      <c r="W61" s="16"/>
      <c r="X61" s="16"/>
    </row>
    <row r="62" ht="15.75" customHeight="1">
      <c r="A62" s="313" t="s">
        <v>331</v>
      </c>
      <c r="B62" s="314"/>
      <c r="C62" s="315"/>
      <c r="D62" s="315"/>
      <c r="E62" s="317"/>
      <c r="F62" s="318" t="str">
        <f t="shared" si="1"/>
        <v>TP61 -  -  - </v>
      </c>
      <c r="G62" s="319">
        <f>SUMIF('ADV - FB'!L:L,$A62,'ADV - FB'!E:E)</f>
        <v>0</v>
      </c>
      <c r="H62" s="320" t="str">
        <f>IFERROR(SUMIF('ADV - FB'!L:L,$A62,'ADV - FB'!H:H)/(SUMIF('ADV - FB'!L:L,$A62,'ADV - FB'!G:G)),"-")</f>
        <v>-</v>
      </c>
      <c r="I62" s="321" t="str">
        <f>IFERROR(SUMIF('ADV - FB'!L:L,$A62,'ADV - FB'!E:E)/(SUMIF('ADV - FB'!L:L,$A62,'ADV - FB'!F:F)),"-")</f>
        <v>-</v>
      </c>
      <c r="J62" s="315">
        <f>SUMIF('ADV - FB'!L:L,$A62,'ADV - FB'!I:I)+SUMIF('ADV - FB'!L:L,$A62,'ADV - FB'!J:J)+SUMIF('ADV - FB'!L:L,$A62,'ADV - FB'!K:K)</f>
        <v>0</v>
      </c>
      <c r="K62" s="321" t="str">
        <f t="shared" si="2"/>
        <v>-</v>
      </c>
      <c r="L62" s="322"/>
      <c r="M62" s="322"/>
      <c r="N62" s="322"/>
      <c r="O62" s="322"/>
      <c r="P62" s="322"/>
      <c r="Q62" s="322"/>
      <c r="R62" s="322"/>
      <c r="S62" s="322"/>
      <c r="T62" s="16"/>
      <c r="U62" s="16"/>
      <c r="V62" s="16"/>
      <c r="W62" s="16"/>
      <c r="X62" s="16"/>
    </row>
    <row r="63" ht="15.75" customHeight="1">
      <c r="A63" s="313" t="s">
        <v>332</v>
      </c>
      <c r="B63" s="314"/>
      <c r="C63" s="315"/>
      <c r="D63" s="315"/>
      <c r="E63" s="317"/>
      <c r="F63" s="318" t="str">
        <f t="shared" si="1"/>
        <v>TP62 -  -  - </v>
      </c>
      <c r="G63" s="319">
        <f>SUMIF('ADV - FB'!L:L,$A63,'ADV - FB'!E:E)</f>
        <v>0</v>
      </c>
      <c r="H63" s="320" t="str">
        <f>IFERROR(SUMIF('ADV - FB'!L:L,$A63,'ADV - FB'!H:H)/(SUMIF('ADV - FB'!L:L,$A63,'ADV - FB'!G:G)),"-")</f>
        <v>-</v>
      </c>
      <c r="I63" s="321" t="str">
        <f>IFERROR(SUMIF('ADV - FB'!L:L,$A63,'ADV - FB'!E:E)/(SUMIF('ADV - FB'!L:L,$A63,'ADV - FB'!F:F)),"-")</f>
        <v>-</v>
      </c>
      <c r="J63" s="315">
        <f>SUMIF('ADV - FB'!L:L,$A63,'ADV - FB'!I:I)+SUMIF('ADV - FB'!L:L,$A63,'ADV - FB'!J:J)+SUMIF('ADV - FB'!L:L,$A63,'ADV - FB'!K:K)</f>
        <v>0</v>
      </c>
      <c r="K63" s="321" t="str">
        <f t="shared" si="2"/>
        <v>-</v>
      </c>
      <c r="L63" s="322"/>
      <c r="M63" s="322"/>
      <c r="N63" s="322"/>
      <c r="O63" s="322"/>
      <c r="P63" s="322"/>
      <c r="Q63" s="322"/>
      <c r="R63" s="322"/>
      <c r="S63" s="322"/>
      <c r="T63" s="16"/>
      <c r="U63" s="16"/>
      <c r="V63" s="16"/>
      <c r="W63" s="16"/>
      <c r="X63" s="16"/>
    </row>
    <row r="64" ht="15.75" customHeight="1">
      <c r="A64" s="313" t="s">
        <v>333</v>
      </c>
      <c r="B64" s="314"/>
      <c r="C64" s="315"/>
      <c r="D64" s="315"/>
      <c r="E64" s="317"/>
      <c r="F64" s="318" t="str">
        <f t="shared" si="1"/>
        <v>TP63 -  -  - </v>
      </c>
      <c r="G64" s="319">
        <f>SUMIF('ADV - FB'!L:L,$A64,'ADV - FB'!E:E)</f>
        <v>0</v>
      </c>
      <c r="H64" s="320" t="str">
        <f>IFERROR(SUMIF('ADV - FB'!L:L,$A64,'ADV - FB'!H:H)/(SUMIF('ADV - FB'!L:L,$A64,'ADV - FB'!G:G)),"-")</f>
        <v>-</v>
      </c>
      <c r="I64" s="321" t="str">
        <f>IFERROR(SUMIF('ADV - FB'!L:L,$A64,'ADV - FB'!E:E)/(SUMIF('ADV - FB'!L:L,$A64,'ADV - FB'!F:F)),"-")</f>
        <v>-</v>
      </c>
      <c r="J64" s="315">
        <f>SUMIF('ADV - FB'!L:L,$A64,'ADV - FB'!I:I)+SUMIF('ADV - FB'!L:L,$A64,'ADV - FB'!J:J)+SUMIF('ADV - FB'!L:L,$A64,'ADV - FB'!K:K)</f>
        <v>0</v>
      </c>
      <c r="K64" s="321" t="str">
        <f t="shared" si="2"/>
        <v>-</v>
      </c>
      <c r="L64" s="322"/>
      <c r="M64" s="322"/>
      <c r="N64" s="322"/>
      <c r="O64" s="322"/>
      <c r="P64" s="322"/>
      <c r="Q64" s="322"/>
      <c r="R64" s="322"/>
      <c r="S64" s="322"/>
      <c r="T64" s="16"/>
      <c r="U64" s="16"/>
      <c r="V64" s="16"/>
      <c r="W64" s="16"/>
      <c r="X64" s="16"/>
    </row>
    <row r="65" ht="15.75" customHeight="1">
      <c r="A65" s="313" t="s">
        <v>334</v>
      </c>
      <c r="B65" s="314"/>
      <c r="C65" s="315"/>
      <c r="D65" s="315"/>
      <c r="E65" s="317"/>
      <c r="F65" s="318" t="str">
        <f t="shared" si="1"/>
        <v>TP64 -  -  - </v>
      </c>
      <c r="G65" s="319">
        <f>SUMIF('ADV - FB'!L:L,$A65,'ADV - FB'!E:E)</f>
        <v>0</v>
      </c>
      <c r="H65" s="320" t="str">
        <f>IFERROR(SUMIF('ADV - FB'!L:L,$A65,'ADV - FB'!H:H)/(SUMIF('ADV - FB'!L:L,$A65,'ADV - FB'!G:G)),"-")</f>
        <v>-</v>
      </c>
      <c r="I65" s="321" t="str">
        <f>IFERROR(SUMIF('ADV - FB'!L:L,$A65,'ADV - FB'!E:E)/(SUMIF('ADV - FB'!L:L,$A65,'ADV - FB'!F:F)),"-")</f>
        <v>-</v>
      </c>
      <c r="J65" s="315">
        <f>SUMIF('ADV - FB'!L:L,$A65,'ADV - FB'!I:I)+SUMIF('ADV - FB'!L:L,$A65,'ADV - FB'!J:J)+SUMIF('ADV - FB'!L:L,$A65,'ADV - FB'!K:K)</f>
        <v>0</v>
      </c>
      <c r="K65" s="321" t="str">
        <f t="shared" si="2"/>
        <v>-</v>
      </c>
      <c r="L65" s="322"/>
      <c r="M65" s="322"/>
      <c r="N65" s="322"/>
      <c r="O65" s="322"/>
      <c r="P65" s="322"/>
      <c r="Q65" s="322"/>
      <c r="R65" s="322"/>
      <c r="S65" s="322"/>
      <c r="T65" s="16"/>
      <c r="U65" s="16"/>
      <c r="V65" s="16"/>
      <c r="W65" s="16"/>
      <c r="X65" s="16"/>
    </row>
    <row r="66" ht="15.75" customHeight="1">
      <c r="A66" s="313" t="s">
        <v>335</v>
      </c>
      <c r="B66" s="314"/>
      <c r="C66" s="315"/>
      <c r="D66" s="315"/>
      <c r="E66" s="317"/>
      <c r="F66" s="318" t="str">
        <f t="shared" si="1"/>
        <v>TP65 -  -  - </v>
      </c>
      <c r="G66" s="319">
        <f>SUMIF('ADV - FB'!L:L,$A66,'ADV - FB'!E:E)</f>
        <v>0</v>
      </c>
      <c r="H66" s="320" t="str">
        <f>IFERROR(SUMIF('ADV - FB'!L:L,$A66,'ADV - FB'!H:H)/(SUMIF('ADV - FB'!L:L,$A66,'ADV - FB'!G:G)),"-")</f>
        <v>-</v>
      </c>
      <c r="I66" s="321" t="str">
        <f>IFERROR(SUMIF('ADV - FB'!L:L,$A66,'ADV - FB'!E:E)/(SUMIF('ADV - FB'!L:L,$A66,'ADV - FB'!F:F)),"-")</f>
        <v>-</v>
      </c>
      <c r="J66" s="315">
        <f>SUMIF('ADV - FB'!L:L,$A66,'ADV - FB'!I:I)+SUMIF('ADV - FB'!L:L,$A66,'ADV - FB'!J:J)+SUMIF('ADV - FB'!L:L,$A66,'ADV - FB'!K:K)</f>
        <v>0</v>
      </c>
      <c r="K66" s="321" t="str">
        <f t="shared" si="2"/>
        <v>-</v>
      </c>
      <c r="L66" s="322"/>
      <c r="M66" s="322"/>
      <c r="N66" s="322"/>
      <c r="O66" s="322"/>
      <c r="P66" s="322"/>
      <c r="Q66" s="322"/>
      <c r="R66" s="322"/>
      <c r="S66" s="322"/>
      <c r="T66" s="16"/>
      <c r="U66" s="16"/>
      <c r="V66" s="16"/>
      <c r="W66" s="16"/>
      <c r="X66" s="16"/>
    </row>
    <row r="67" ht="15.75" customHeight="1">
      <c r="A67" s="313" t="s">
        <v>336</v>
      </c>
      <c r="B67" s="314"/>
      <c r="C67" s="315"/>
      <c r="D67" s="315"/>
      <c r="E67" s="317"/>
      <c r="F67" s="318" t="str">
        <f t="shared" si="1"/>
        <v>TP66 -  -  - </v>
      </c>
      <c r="G67" s="319">
        <f>SUMIF('ADV - FB'!L:L,$A67,'ADV - FB'!E:E)</f>
        <v>0</v>
      </c>
      <c r="H67" s="320" t="str">
        <f>IFERROR(SUMIF('ADV - FB'!L:L,$A67,'ADV - FB'!H:H)/(SUMIF('ADV - FB'!L:L,$A67,'ADV - FB'!G:G)),"-")</f>
        <v>-</v>
      </c>
      <c r="I67" s="321" t="str">
        <f>IFERROR(SUMIF('ADV - FB'!L:L,$A67,'ADV - FB'!E:E)/(SUMIF('ADV - FB'!L:L,$A67,'ADV - FB'!F:F)),"-")</f>
        <v>-</v>
      </c>
      <c r="J67" s="315">
        <f>SUMIF('ADV - FB'!L:L,$A67,'ADV - FB'!I:I)+SUMIF('ADV - FB'!L:L,$A67,'ADV - FB'!J:J)+SUMIF('ADV - FB'!L:L,$A67,'ADV - FB'!K:K)</f>
        <v>0</v>
      </c>
      <c r="K67" s="321" t="str">
        <f t="shared" si="2"/>
        <v>-</v>
      </c>
      <c r="L67" s="322"/>
      <c r="M67" s="322"/>
      <c r="N67" s="322"/>
      <c r="O67" s="322"/>
      <c r="P67" s="322"/>
      <c r="Q67" s="322"/>
      <c r="R67" s="322"/>
      <c r="S67" s="322"/>
      <c r="T67" s="16"/>
      <c r="U67" s="16"/>
      <c r="V67" s="16"/>
      <c r="W67" s="16"/>
      <c r="X67" s="16"/>
    </row>
    <row r="68" ht="15.75" customHeight="1">
      <c r="A68" s="313" t="s">
        <v>337</v>
      </c>
      <c r="B68" s="314"/>
      <c r="C68" s="315"/>
      <c r="D68" s="315"/>
      <c r="E68" s="317"/>
      <c r="F68" s="318" t="str">
        <f t="shared" si="1"/>
        <v>TP67 -  -  - </v>
      </c>
      <c r="G68" s="319">
        <f>SUMIF('ADV - FB'!L:L,$A68,'ADV - FB'!E:E)</f>
        <v>0</v>
      </c>
      <c r="H68" s="320" t="str">
        <f>IFERROR(SUMIF('ADV - FB'!L:L,$A68,'ADV - FB'!H:H)/(SUMIF('ADV - FB'!L:L,$A68,'ADV - FB'!G:G)),"-")</f>
        <v>-</v>
      </c>
      <c r="I68" s="321" t="str">
        <f>IFERROR(SUMIF('ADV - FB'!L:L,$A68,'ADV - FB'!E:E)/(SUMIF('ADV - FB'!L:L,$A68,'ADV - FB'!F:F)),"-")</f>
        <v>-</v>
      </c>
      <c r="J68" s="315">
        <f>SUMIF('ADV - FB'!L:L,$A68,'ADV - FB'!I:I)+SUMIF('ADV - FB'!L:L,$A68,'ADV - FB'!J:J)+SUMIF('ADV - FB'!L:L,$A68,'ADV - FB'!K:K)</f>
        <v>0</v>
      </c>
      <c r="K68" s="321" t="str">
        <f t="shared" si="2"/>
        <v>-</v>
      </c>
      <c r="L68" s="322"/>
      <c r="M68" s="322"/>
      <c r="N68" s="322"/>
      <c r="O68" s="322"/>
      <c r="P68" s="322"/>
      <c r="Q68" s="322"/>
      <c r="R68" s="322"/>
      <c r="S68" s="322"/>
      <c r="T68" s="16"/>
      <c r="U68" s="16"/>
      <c r="V68" s="16"/>
      <c r="W68" s="16"/>
      <c r="X68" s="16"/>
    </row>
    <row r="69" ht="15.75" customHeight="1">
      <c r="A69" s="313" t="s">
        <v>338</v>
      </c>
      <c r="B69" s="314"/>
      <c r="C69" s="315"/>
      <c r="D69" s="315"/>
      <c r="E69" s="317"/>
      <c r="F69" s="318" t="str">
        <f t="shared" si="1"/>
        <v>TP68 -  -  - </v>
      </c>
      <c r="G69" s="319">
        <f>SUMIF('ADV - FB'!L:L,$A69,'ADV - FB'!E:E)</f>
        <v>0</v>
      </c>
      <c r="H69" s="320" t="str">
        <f>IFERROR(SUMIF('ADV - FB'!L:L,$A69,'ADV - FB'!H:H)/(SUMIF('ADV - FB'!L:L,$A69,'ADV - FB'!G:G)),"-")</f>
        <v>-</v>
      </c>
      <c r="I69" s="321" t="str">
        <f>IFERROR(SUMIF('ADV - FB'!L:L,$A69,'ADV - FB'!E:E)/(SUMIF('ADV - FB'!L:L,$A69,'ADV - FB'!F:F)),"-")</f>
        <v>-</v>
      </c>
      <c r="J69" s="315">
        <f>SUMIF('ADV - FB'!L:L,$A69,'ADV - FB'!I:I)+SUMIF('ADV - FB'!L:L,$A69,'ADV - FB'!J:J)+SUMIF('ADV - FB'!L:L,$A69,'ADV - FB'!K:K)</f>
        <v>0</v>
      </c>
      <c r="K69" s="321" t="str">
        <f t="shared" si="2"/>
        <v>-</v>
      </c>
      <c r="L69" s="322"/>
      <c r="M69" s="322"/>
      <c r="N69" s="322"/>
      <c r="O69" s="322"/>
      <c r="P69" s="322"/>
      <c r="Q69" s="322"/>
      <c r="R69" s="322"/>
      <c r="S69" s="322"/>
      <c r="T69" s="16"/>
      <c r="U69" s="16"/>
      <c r="V69" s="16"/>
      <c r="W69" s="16"/>
      <c r="X69" s="16"/>
    </row>
    <row r="70" ht="15.75" customHeight="1">
      <c r="A70" s="313" t="s">
        <v>339</v>
      </c>
      <c r="B70" s="314"/>
      <c r="C70" s="315"/>
      <c r="D70" s="315"/>
      <c r="E70" s="317"/>
      <c r="F70" s="318" t="str">
        <f t="shared" si="1"/>
        <v>TP69 -  -  - </v>
      </c>
      <c r="G70" s="319">
        <f>SUMIF('ADV - FB'!L:L,$A70,'ADV - FB'!E:E)</f>
        <v>0</v>
      </c>
      <c r="H70" s="320" t="str">
        <f>IFERROR(SUMIF('ADV - FB'!L:L,$A70,'ADV - FB'!H:H)/(SUMIF('ADV - FB'!L:L,$A70,'ADV - FB'!G:G)),"-")</f>
        <v>-</v>
      </c>
      <c r="I70" s="321" t="str">
        <f>IFERROR(SUMIF('ADV - FB'!L:L,$A70,'ADV - FB'!E:E)/(SUMIF('ADV - FB'!L:L,$A70,'ADV - FB'!F:F)),"-")</f>
        <v>-</v>
      </c>
      <c r="J70" s="315">
        <f>SUMIF('ADV - FB'!L:L,$A70,'ADV - FB'!I:I)+SUMIF('ADV - FB'!L:L,$A70,'ADV - FB'!J:J)+SUMIF('ADV - FB'!L:L,$A70,'ADV - FB'!K:K)</f>
        <v>0</v>
      </c>
      <c r="K70" s="321" t="str">
        <f t="shared" si="2"/>
        <v>-</v>
      </c>
      <c r="L70" s="322"/>
      <c r="M70" s="322"/>
      <c r="N70" s="322"/>
      <c r="O70" s="322"/>
      <c r="P70" s="322"/>
      <c r="Q70" s="322"/>
      <c r="R70" s="322"/>
      <c r="S70" s="322"/>
      <c r="T70" s="16"/>
      <c r="U70" s="16"/>
      <c r="V70" s="16"/>
      <c r="W70" s="16"/>
      <c r="X70" s="16"/>
    </row>
    <row r="71" ht="15.75" customHeight="1">
      <c r="A71" s="313" t="s">
        <v>340</v>
      </c>
      <c r="B71" s="314"/>
      <c r="C71" s="315"/>
      <c r="D71" s="315"/>
      <c r="E71" s="317"/>
      <c r="F71" s="318" t="str">
        <f t="shared" si="1"/>
        <v>TP70 -  -  - </v>
      </c>
      <c r="G71" s="319">
        <f>SUMIF('ADV - FB'!L:L,$A71,'ADV - FB'!E:E)</f>
        <v>0</v>
      </c>
      <c r="H71" s="320" t="str">
        <f>IFERROR(SUMIF('ADV - FB'!L:L,$A71,'ADV - FB'!H:H)/(SUMIF('ADV - FB'!L:L,$A71,'ADV - FB'!G:G)),"-")</f>
        <v>-</v>
      </c>
      <c r="I71" s="321" t="str">
        <f>IFERROR(SUMIF('ADV - FB'!L:L,$A71,'ADV - FB'!E:E)/(SUMIF('ADV - FB'!L:L,$A71,'ADV - FB'!F:F)),"-")</f>
        <v>-</v>
      </c>
      <c r="J71" s="315">
        <f>SUMIF('ADV - FB'!L:L,$A71,'ADV - FB'!I:I)+SUMIF('ADV - FB'!L:L,$A71,'ADV - FB'!J:J)+SUMIF('ADV - FB'!L:L,$A71,'ADV - FB'!K:K)</f>
        <v>0</v>
      </c>
      <c r="K71" s="321" t="str">
        <f t="shared" si="2"/>
        <v>-</v>
      </c>
      <c r="L71" s="322"/>
      <c r="M71" s="322"/>
      <c r="N71" s="322"/>
      <c r="O71" s="322"/>
      <c r="P71" s="322"/>
      <c r="Q71" s="322"/>
      <c r="R71" s="322"/>
      <c r="S71" s="322"/>
      <c r="T71" s="16"/>
      <c r="U71" s="16"/>
      <c r="V71" s="16"/>
      <c r="W71" s="16"/>
      <c r="X71" s="16"/>
    </row>
    <row r="72" ht="15.75" customHeight="1">
      <c r="A72" s="313" t="s">
        <v>341</v>
      </c>
      <c r="B72" s="314"/>
      <c r="C72" s="315"/>
      <c r="D72" s="315"/>
      <c r="E72" s="317"/>
      <c r="F72" s="318" t="str">
        <f t="shared" si="1"/>
        <v>TP71 -  -  - </v>
      </c>
      <c r="G72" s="319">
        <f>SUMIF('ADV - FB'!L:L,$A72,'ADV - FB'!E:E)</f>
        <v>0</v>
      </c>
      <c r="H72" s="320" t="str">
        <f>IFERROR(SUMIF('ADV - FB'!L:L,$A72,'ADV - FB'!H:H)/(SUMIF('ADV - FB'!L:L,$A72,'ADV - FB'!G:G)),"-")</f>
        <v>-</v>
      </c>
      <c r="I72" s="321" t="str">
        <f>IFERROR(SUMIF('ADV - FB'!L:L,$A72,'ADV - FB'!E:E)/(SUMIF('ADV - FB'!L:L,$A72,'ADV - FB'!F:F)),"-")</f>
        <v>-</v>
      </c>
      <c r="J72" s="315">
        <f>SUMIF('ADV - FB'!L:L,$A72,'ADV - FB'!I:I)+SUMIF('ADV - FB'!L:L,$A72,'ADV - FB'!J:J)+SUMIF('ADV - FB'!L:L,$A72,'ADV - FB'!K:K)</f>
        <v>0</v>
      </c>
      <c r="K72" s="321" t="str">
        <f t="shared" si="2"/>
        <v>-</v>
      </c>
      <c r="L72" s="322"/>
      <c r="M72" s="322"/>
      <c r="N72" s="322"/>
      <c r="O72" s="322"/>
      <c r="P72" s="322"/>
      <c r="Q72" s="322"/>
      <c r="R72" s="322"/>
      <c r="S72" s="322"/>
      <c r="T72" s="16"/>
      <c r="U72" s="16"/>
      <c r="V72" s="16"/>
      <c r="W72" s="16"/>
      <c r="X72" s="16"/>
    </row>
    <row r="73" ht="15.75" customHeight="1">
      <c r="A73" s="313" t="s">
        <v>342</v>
      </c>
      <c r="B73" s="314"/>
      <c r="C73" s="315"/>
      <c r="D73" s="315"/>
      <c r="E73" s="317"/>
      <c r="F73" s="318" t="str">
        <f t="shared" si="1"/>
        <v>TP72 -  -  - </v>
      </c>
      <c r="G73" s="319">
        <f>SUMIF('ADV - FB'!L:L,$A73,'ADV - FB'!E:E)</f>
        <v>0</v>
      </c>
      <c r="H73" s="320" t="str">
        <f>IFERROR(SUMIF('ADV - FB'!L:L,$A73,'ADV - FB'!H:H)/(SUMIF('ADV - FB'!L:L,$A73,'ADV - FB'!G:G)),"-")</f>
        <v>-</v>
      </c>
      <c r="I73" s="321" t="str">
        <f>IFERROR(SUMIF('ADV - FB'!L:L,$A73,'ADV - FB'!E:E)/(SUMIF('ADV - FB'!L:L,$A73,'ADV - FB'!F:F)),"-")</f>
        <v>-</v>
      </c>
      <c r="J73" s="315">
        <f>SUMIF('ADV - FB'!L:L,$A73,'ADV - FB'!I:I)+SUMIF('ADV - FB'!L:L,$A73,'ADV - FB'!J:J)+SUMIF('ADV - FB'!L:L,$A73,'ADV - FB'!K:K)</f>
        <v>0</v>
      </c>
      <c r="K73" s="321" t="str">
        <f t="shared" si="2"/>
        <v>-</v>
      </c>
      <c r="L73" s="322"/>
      <c r="M73" s="322"/>
      <c r="N73" s="322"/>
      <c r="O73" s="322"/>
      <c r="P73" s="322"/>
      <c r="Q73" s="322"/>
      <c r="R73" s="322"/>
      <c r="S73" s="322"/>
      <c r="T73" s="16"/>
      <c r="U73" s="16"/>
      <c r="V73" s="16"/>
      <c r="W73" s="16"/>
      <c r="X73" s="16"/>
    </row>
    <row r="74" ht="15.75" customHeight="1">
      <c r="A74" s="313" t="s">
        <v>343</v>
      </c>
      <c r="B74" s="314"/>
      <c r="C74" s="315"/>
      <c r="D74" s="315"/>
      <c r="E74" s="317"/>
      <c r="F74" s="318" t="str">
        <f t="shared" si="1"/>
        <v>TP73 -  -  - </v>
      </c>
      <c r="G74" s="319">
        <f>SUMIF('ADV - FB'!L:L,$A74,'ADV - FB'!E:E)</f>
        <v>0</v>
      </c>
      <c r="H74" s="320" t="str">
        <f>IFERROR(SUMIF('ADV - FB'!L:L,$A74,'ADV - FB'!H:H)/(SUMIF('ADV - FB'!L:L,$A74,'ADV - FB'!G:G)),"-")</f>
        <v>-</v>
      </c>
      <c r="I74" s="321" t="str">
        <f>IFERROR(SUMIF('ADV - FB'!L:L,$A74,'ADV - FB'!E:E)/(SUMIF('ADV - FB'!L:L,$A74,'ADV - FB'!F:F)),"-")</f>
        <v>-</v>
      </c>
      <c r="J74" s="315">
        <f>SUMIF('ADV - FB'!L:L,$A74,'ADV - FB'!I:I)+SUMIF('ADV - FB'!L:L,$A74,'ADV - FB'!J:J)+SUMIF('ADV - FB'!L:L,$A74,'ADV - FB'!K:K)</f>
        <v>0</v>
      </c>
      <c r="K74" s="321" t="str">
        <f t="shared" si="2"/>
        <v>-</v>
      </c>
      <c r="L74" s="322"/>
      <c r="M74" s="322"/>
      <c r="N74" s="322"/>
      <c r="O74" s="322"/>
      <c r="P74" s="322"/>
      <c r="Q74" s="322"/>
      <c r="R74" s="322"/>
      <c r="S74" s="322"/>
      <c r="T74" s="16"/>
      <c r="U74" s="16"/>
      <c r="V74" s="16"/>
      <c r="W74" s="16"/>
      <c r="X74" s="16"/>
    </row>
    <row r="75" ht="15.75" customHeight="1">
      <c r="A75" s="313" t="s">
        <v>344</v>
      </c>
      <c r="B75" s="314"/>
      <c r="C75" s="315"/>
      <c r="D75" s="315"/>
      <c r="E75" s="317"/>
      <c r="F75" s="318" t="str">
        <f t="shared" si="1"/>
        <v>TP74 -  -  - </v>
      </c>
      <c r="G75" s="319">
        <f>SUMIF('ADV - FB'!L:L,$A75,'ADV - FB'!E:E)</f>
        <v>0</v>
      </c>
      <c r="H75" s="320" t="str">
        <f>IFERROR(SUMIF('ADV - FB'!L:L,$A75,'ADV - FB'!H:H)/(SUMIF('ADV - FB'!L:L,$A75,'ADV - FB'!G:G)),"-")</f>
        <v>-</v>
      </c>
      <c r="I75" s="321" t="str">
        <f>IFERROR(SUMIF('ADV - FB'!L:L,$A75,'ADV - FB'!E:E)/(SUMIF('ADV - FB'!L:L,$A75,'ADV - FB'!F:F)),"-")</f>
        <v>-</v>
      </c>
      <c r="J75" s="315">
        <f>SUMIF('ADV - FB'!L:L,$A75,'ADV - FB'!I:I)+SUMIF('ADV - FB'!L:L,$A75,'ADV - FB'!J:J)+SUMIF('ADV - FB'!L:L,$A75,'ADV - FB'!K:K)</f>
        <v>0</v>
      </c>
      <c r="K75" s="321" t="str">
        <f t="shared" si="2"/>
        <v>-</v>
      </c>
      <c r="L75" s="322"/>
      <c r="M75" s="322"/>
      <c r="N75" s="322"/>
      <c r="O75" s="322"/>
      <c r="P75" s="322"/>
      <c r="Q75" s="322"/>
      <c r="R75" s="322"/>
      <c r="S75" s="322"/>
      <c r="T75" s="16"/>
      <c r="U75" s="16"/>
      <c r="V75" s="16"/>
      <c r="W75" s="16"/>
      <c r="X75" s="16"/>
    </row>
    <row r="76" ht="15.75" customHeight="1">
      <c r="A76" s="313" t="s">
        <v>345</v>
      </c>
      <c r="B76" s="314"/>
      <c r="C76" s="315"/>
      <c r="D76" s="315"/>
      <c r="E76" s="317"/>
      <c r="F76" s="318" t="str">
        <f t="shared" si="1"/>
        <v>TP75 -  -  - </v>
      </c>
      <c r="G76" s="319">
        <f>SUMIF('ADV - FB'!L:L,$A76,'ADV - FB'!E:E)</f>
        <v>0</v>
      </c>
      <c r="H76" s="320" t="str">
        <f>IFERROR(SUMIF('ADV - FB'!L:L,$A76,'ADV - FB'!H:H)/(SUMIF('ADV - FB'!L:L,$A76,'ADV - FB'!G:G)),"-")</f>
        <v>-</v>
      </c>
      <c r="I76" s="321" t="str">
        <f>IFERROR(SUMIF('ADV - FB'!L:L,$A76,'ADV - FB'!E:E)/(SUMIF('ADV - FB'!L:L,$A76,'ADV - FB'!F:F)),"-")</f>
        <v>-</v>
      </c>
      <c r="J76" s="315">
        <f>SUMIF('ADV - FB'!L:L,$A76,'ADV - FB'!I:I)+SUMIF('ADV - FB'!L:L,$A76,'ADV - FB'!J:J)+SUMIF('ADV - FB'!L:L,$A76,'ADV - FB'!K:K)</f>
        <v>0</v>
      </c>
      <c r="K76" s="321" t="str">
        <f t="shared" si="2"/>
        <v>-</v>
      </c>
      <c r="L76" s="322"/>
      <c r="M76" s="322"/>
      <c r="N76" s="322"/>
      <c r="O76" s="322"/>
      <c r="P76" s="322"/>
      <c r="Q76" s="322"/>
      <c r="R76" s="322"/>
      <c r="S76" s="322"/>
      <c r="T76" s="16"/>
      <c r="U76" s="16"/>
      <c r="V76" s="16"/>
      <c r="W76" s="16"/>
      <c r="X76" s="16"/>
    </row>
    <row r="77" ht="15.75" customHeight="1">
      <c r="A77" s="313" t="s">
        <v>346</v>
      </c>
      <c r="B77" s="314"/>
      <c r="C77" s="315"/>
      <c r="D77" s="315"/>
      <c r="E77" s="317"/>
      <c r="F77" s="318" t="str">
        <f t="shared" si="1"/>
        <v>TP76 -  -  - </v>
      </c>
      <c r="G77" s="319">
        <f>SUMIF('ADV - FB'!L:L,$A77,'ADV - FB'!E:E)</f>
        <v>0</v>
      </c>
      <c r="H77" s="320" t="str">
        <f>IFERROR(SUMIF('ADV - FB'!L:L,$A77,'ADV - FB'!H:H)/(SUMIF('ADV - FB'!L:L,$A77,'ADV - FB'!G:G)),"-")</f>
        <v>-</v>
      </c>
      <c r="I77" s="321" t="str">
        <f>IFERROR(SUMIF('ADV - FB'!L:L,$A77,'ADV - FB'!E:E)/(SUMIF('ADV - FB'!L:L,$A77,'ADV - FB'!F:F)),"-")</f>
        <v>-</v>
      </c>
      <c r="J77" s="315">
        <f>SUMIF('ADV - FB'!L:L,$A77,'ADV - FB'!I:I)+SUMIF('ADV - FB'!L:L,$A77,'ADV - FB'!J:J)+SUMIF('ADV - FB'!L:L,$A77,'ADV - FB'!K:K)</f>
        <v>0</v>
      </c>
      <c r="K77" s="321" t="str">
        <f t="shared" si="2"/>
        <v>-</v>
      </c>
      <c r="L77" s="322"/>
      <c r="M77" s="322"/>
      <c r="N77" s="322"/>
      <c r="O77" s="322"/>
      <c r="P77" s="322"/>
      <c r="Q77" s="322"/>
      <c r="R77" s="322"/>
      <c r="S77" s="322"/>
      <c r="T77" s="16"/>
      <c r="U77" s="16"/>
      <c r="V77" s="16"/>
      <c r="W77" s="16"/>
      <c r="X77" s="16"/>
    </row>
    <row r="78" ht="15.75" customHeight="1">
      <c r="A78" s="313" t="s">
        <v>347</v>
      </c>
      <c r="B78" s="314"/>
      <c r="C78" s="315"/>
      <c r="D78" s="315"/>
      <c r="E78" s="317"/>
      <c r="F78" s="318" t="str">
        <f t="shared" si="1"/>
        <v>TP77 -  -  - </v>
      </c>
      <c r="G78" s="319">
        <f>SUMIF('ADV - FB'!L:L,$A78,'ADV - FB'!E:E)</f>
        <v>0</v>
      </c>
      <c r="H78" s="320" t="str">
        <f>IFERROR(SUMIF('ADV - FB'!L:L,$A78,'ADV - FB'!H:H)/(SUMIF('ADV - FB'!L:L,$A78,'ADV - FB'!G:G)),"-")</f>
        <v>-</v>
      </c>
      <c r="I78" s="321" t="str">
        <f>IFERROR(SUMIF('ADV - FB'!L:L,$A78,'ADV - FB'!E:E)/(SUMIF('ADV - FB'!L:L,$A78,'ADV - FB'!F:F)),"-")</f>
        <v>-</v>
      </c>
      <c r="J78" s="315">
        <f>SUMIF('ADV - FB'!L:L,$A78,'ADV - FB'!I:I)+SUMIF('ADV - FB'!L:L,$A78,'ADV - FB'!J:J)+SUMIF('ADV - FB'!L:L,$A78,'ADV - FB'!K:K)</f>
        <v>0</v>
      </c>
      <c r="K78" s="321" t="str">
        <f t="shared" si="2"/>
        <v>-</v>
      </c>
      <c r="L78" s="322"/>
      <c r="M78" s="322"/>
      <c r="N78" s="322"/>
      <c r="O78" s="322"/>
      <c r="P78" s="322"/>
      <c r="Q78" s="322"/>
      <c r="R78" s="322"/>
      <c r="S78" s="322"/>
      <c r="T78" s="16"/>
      <c r="U78" s="16"/>
      <c r="V78" s="16"/>
      <c r="W78" s="16"/>
      <c r="X78" s="16"/>
    </row>
    <row r="79" ht="15.75" customHeight="1">
      <c r="A79" s="313" t="s">
        <v>348</v>
      </c>
      <c r="B79" s="314"/>
      <c r="C79" s="315"/>
      <c r="D79" s="315"/>
      <c r="E79" s="317"/>
      <c r="F79" s="318" t="str">
        <f t="shared" si="1"/>
        <v>TP78 -  -  - </v>
      </c>
      <c r="G79" s="319">
        <f>SUMIF('ADV - FB'!L:L,$A79,'ADV - FB'!E:E)</f>
        <v>0</v>
      </c>
      <c r="H79" s="320" t="str">
        <f>IFERROR(SUMIF('ADV - FB'!L:L,$A79,'ADV - FB'!H:H)/(SUMIF('ADV - FB'!L:L,$A79,'ADV - FB'!G:G)),"-")</f>
        <v>-</v>
      </c>
      <c r="I79" s="321" t="str">
        <f>IFERROR(SUMIF('ADV - FB'!L:L,$A79,'ADV - FB'!E:E)/(SUMIF('ADV - FB'!L:L,$A79,'ADV - FB'!F:F)),"-")</f>
        <v>-</v>
      </c>
      <c r="J79" s="315">
        <f>SUMIF('ADV - FB'!L:L,$A79,'ADV - FB'!I:I)+SUMIF('ADV - FB'!L:L,$A79,'ADV - FB'!J:J)+SUMIF('ADV - FB'!L:L,$A79,'ADV - FB'!K:K)</f>
        <v>0</v>
      </c>
      <c r="K79" s="321" t="str">
        <f t="shared" si="2"/>
        <v>-</v>
      </c>
      <c r="L79" s="322"/>
      <c r="M79" s="322"/>
      <c r="N79" s="322"/>
      <c r="O79" s="322"/>
      <c r="P79" s="322"/>
      <c r="Q79" s="322"/>
      <c r="R79" s="322"/>
      <c r="S79" s="322"/>
      <c r="T79" s="16"/>
      <c r="U79" s="16"/>
      <c r="V79" s="16"/>
      <c r="W79" s="16"/>
      <c r="X79" s="16"/>
    </row>
    <row r="80" ht="15.75" customHeight="1">
      <c r="A80" s="313" t="s">
        <v>349</v>
      </c>
      <c r="B80" s="314"/>
      <c r="C80" s="315"/>
      <c r="D80" s="315"/>
      <c r="E80" s="317"/>
      <c r="F80" s="318" t="str">
        <f t="shared" si="1"/>
        <v>TP79 -  -  - </v>
      </c>
      <c r="G80" s="319">
        <f>SUMIF('ADV - FB'!L:L,$A80,'ADV - FB'!E:E)</f>
        <v>0</v>
      </c>
      <c r="H80" s="320" t="str">
        <f>IFERROR(SUMIF('ADV - FB'!L:L,$A80,'ADV - FB'!H:H)/(SUMIF('ADV - FB'!L:L,$A80,'ADV - FB'!G:G)),"-")</f>
        <v>-</v>
      </c>
      <c r="I80" s="321" t="str">
        <f>IFERROR(SUMIF('ADV - FB'!L:L,$A80,'ADV - FB'!E:E)/(SUMIF('ADV - FB'!L:L,$A80,'ADV - FB'!F:F)),"-")</f>
        <v>-</v>
      </c>
      <c r="J80" s="315">
        <f>SUMIF('ADV - FB'!L:L,$A80,'ADV - FB'!I:I)+SUMIF('ADV - FB'!L:L,$A80,'ADV - FB'!J:J)+SUMIF('ADV - FB'!L:L,$A80,'ADV - FB'!K:K)</f>
        <v>0</v>
      </c>
      <c r="K80" s="321" t="str">
        <f t="shared" si="2"/>
        <v>-</v>
      </c>
      <c r="L80" s="322"/>
      <c r="M80" s="322"/>
      <c r="N80" s="322"/>
      <c r="O80" s="322"/>
      <c r="P80" s="322"/>
      <c r="Q80" s="322"/>
      <c r="R80" s="322"/>
      <c r="S80" s="322"/>
      <c r="T80" s="16"/>
      <c r="U80" s="16"/>
      <c r="V80" s="16"/>
      <c r="W80" s="16"/>
      <c r="X80" s="16"/>
    </row>
    <row r="81" ht="15.75" customHeight="1">
      <c r="A81" s="313" t="s">
        <v>350</v>
      </c>
      <c r="B81" s="314"/>
      <c r="C81" s="315"/>
      <c r="D81" s="315"/>
      <c r="E81" s="317"/>
      <c r="F81" s="318" t="str">
        <f t="shared" si="1"/>
        <v>TP80 -  -  - </v>
      </c>
      <c r="G81" s="319">
        <f>SUMIF('ADV - FB'!L:L,$A81,'ADV - FB'!E:E)</f>
        <v>0</v>
      </c>
      <c r="H81" s="320" t="str">
        <f>IFERROR(SUMIF('ADV - FB'!L:L,$A81,'ADV - FB'!H:H)/(SUMIF('ADV - FB'!L:L,$A81,'ADV - FB'!G:G)),"-")</f>
        <v>-</v>
      </c>
      <c r="I81" s="321" t="str">
        <f>IFERROR(SUMIF('ADV - FB'!L:L,$A81,'ADV - FB'!E:E)/(SUMIF('ADV - FB'!L:L,$A81,'ADV - FB'!F:F)),"-")</f>
        <v>-</v>
      </c>
      <c r="J81" s="315">
        <f>SUMIF('ADV - FB'!L:L,$A81,'ADV - FB'!I:I)+SUMIF('ADV - FB'!L:L,$A81,'ADV - FB'!J:J)+SUMIF('ADV - FB'!L:L,$A81,'ADV - FB'!K:K)</f>
        <v>0</v>
      </c>
      <c r="K81" s="321" t="str">
        <f t="shared" si="2"/>
        <v>-</v>
      </c>
      <c r="L81" s="322"/>
      <c r="M81" s="322"/>
      <c r="N81" s="322"/>
      <c r="O81" s="322"/>
      <c r="P81" s="322"/>
      <c r="Q81" s="322"/>
      <c r="R81" s="322"/>
      <c r="S81" s="322"/>
      <c r="T81" s="16"/>
      <c r="U81" s="16"/>
      <c r="V81" s="16"/>
      <c r="W81" s="16"/>
      <c r="X81" s="16"/>
    </row>
    <row r="82" ht="15.75" customHeight="1">
      <c r="A82" s="313" t="s">
        <v>351</v>
      </c>
      <c r="B82" s="314"/>
      <c r="C82" s="315"/>
      <c r="D82" s="315"/>
      <c r="E82" s="317"/>
      <c r="F82" s="318" t="str">
        <f t="shared" si="1"/>
        <v>TP81 -  -  - </v>
      </c>
      <c r="G82" s="319">
        <f>SUMIF('ADV - FB'!L:L,$A82,'ADV - FB'!E:E)</f>
        <v>0</v>
      </c>
      <c r="H82" s="320" t="str">
        <f>IFERROR(SUMIF('ADV - FB'!L:L,$A82,'ADV - FB'!H:H)/(SUMIF('ADV - FB'!L:L,$A82,'ADV - FB'!G:G)),"-")</f>
        <v>-</v>
      </c>
      <c r="I82" s="321" t="str">
        <f>IFERROR(SUMIF('ADV - FB'!L:L,$A82,'ADV - FB'!E:E)/(SUMIF('ADV - FB'!L:L,$A82,'ADV - FB'!F:F)),"-")</f>
        <v>-</v>
      </c>
      <c r="J82" s="315">
        <f>SUMIF('ADV - FB'!L:L,$A82,'ADV - FB'!I:I)+SUMIF('ADV - FB'!L:L,$A82,'ADV - FB'!J:J)+SUMIF('ADV - FB'!L:L,$A82,'ADV - FB'!K:K)</f>
        <v>0</v>
      </c>
      <c r="K82" s="321" t="str">
        <f t="shared" si="2"/>
        <v>-</v>
      </c>
      <c r="L82" s="322"/>
      <c r="M82" s="322"/>
      <c r="N82" s="322"/>
      <c r="O82" s="322"/>
      <c r="P82" s="322"/>
      <c r="Q82" s="322"/>
      <c r="R82" s="322"/>
      <c r="S82" s="322"/>
      <c r="T82" s="16"/>
      <c r="U82" s="16"/>
      <c r="V82" s="16"/>
      <c r="W82" s="16"/>
      <c r="X82" s="16"/>
    </row>
    <row r="83" ht="15.75" customHeight="1">
      <c r="A83" s="313" t="s">
        <v>352</v>
      </c>
      <c r="B83" s="314"/>
      <c r="C83" s="315"/>
      <c r="D83" s="315"/>
      <c r="E83" s="317"/>
      <c r="F83" s="318" t="str">
        <f t="shared" si="1"/>
        <v>TP82 -  -  - </v>
      </c>
      <c r="G83" s="319">
        <f>SUMIF('ADV - FB'!L:L,$A83,'ADV - FB'!E:E)</f>
        <v>0</v>
      </c>
      <c r="H83" s="320" t="str">
        <f>IFERROR(SUMIF('ADV - FB'!L:L,$A83,'ADV - FB'!H:H)/(SUMIF('ADV - FB'!L:L,$A83,'ADV - FB'!G:G)),"-")</f>
        <v>-</v>
      </c>
      <c r="I83" s="321" t="str">
        <f>IFERROR(SUMIF('ADV - FB'!L:L,$A83,'ADV - FB'!E:E)/(SUMIF('ADV - FB'!L:L,$A83,'ADV - FB'!F:F)),"-")</f>
        <v>-</v>
      </c>
      <c r="J83" s="315">
        <f>SUMIF('ADV - FB'!L:L,$A83,'ADV - FB'!I:I)+SUMIF('ADV - FB'!L:L,$A83,'ADV - FB'!J:J)+SUMIF('ADV - FB'!L:L,$A83,'ADV - FB'!K:K)</f>
        <v>0</v>
      </c>
      <c r="K83" s="321" t="str">
        <f t="shared" si="2"/>
        <v>-</v>
      </c>
      <c r="L83" s="322"/>
      <c r="M83" s="322"/>
      <c r="N83" s="322"/>
      <c r="O83" s="322"/>
      <c r="P83" s="322"/>
      <c r="Q83" s="322"/>
      <c r="R83" s="322"/>
      <c r="S83" s="322"/>
      <c r="T83" s="16"/>
      <c r="U83" s="16"/>
      <c r="V83" s="16"/>
      <c r="W83" s="16"/>
      <c r="X83" s="16"/>
    </row>
    <row r="84" ht="15.75" customHeight="1">
      <c r="A84" s="313" t="s">
        <v>353</v>
      </c>
      <c r="B84" s="314"/>
      <c r="C84" s="315"/>
      <c r="D84" s="315"/>
      <c r="E84" s="317"/>
      <c r="F84" s="318" t="str">
        <f t="shared" si="1"/>
        <v>TP83 -  -  - </v>
      </c>
      <c r="G84" s="319">
        <f>SUMIF('ADV - FB'!L:L,$A84,'ADV - FB'!E:E)</f>
        <v>0</v>
      </c>
      <c r="H84" s="320" t="str">
        <f>IFERROR(SUMIF('ADV - FB'!L:L,$A84,'ADV - FB'!H:H)/(SUMIF('ADV - FB'!L:L,$A84,'ADV - FB'!G:G)),"-")</f>
        <v>-</v>
      </c>
      <c r="I84" s="321" t="str">
        <f>IFERROR(SUMIF('ADV - FB'!L:L,$A84,'ADV - FB'!E:E)/(SUMIF('ADV - FB'!L:L,$A84,'ADV - FB'!F:F)),"-")</f>
        <v>-</v>
      </c>
      <c r="J84" s="315">
        <f>SUMIF('ADV - FB'!L:L,$A84,'ADV - FB'!I:I)+SUMIF('ADV - FB'!L:L,$A84,'ADV - FB'!J:J)+SUMIF('ADV - FB'!L:L,$A84,'ADV - FB'!K:K)</f>
        <v>0</v>
      </c>
      <c r="K84" s="321" t="str">
        <f t="shared" si="2"/>
        <v>-</v>
      </c>
      <c r="L84" s="322"/>
      <c r="M84" s="322"/>
      <c r="N84" s="322"/>
      <c r="O84" s="322"/>
      <c r="P84" s="322"/>
      <c r="Q84" s="322"/>
      <c r="R84" s="322"/>
      <c r="S84" s="322"/>
      <c r="T84" s="16"/>
      <c r="U84" s="16"/>
      <c r="V84" s="16"/>
      <c r="W84" s="16"/>
      <c r="X84" s="16"/>
    </row>
    <row r="85" ht="15.75" customHeight="1">
      <c r="A85" s="313" t="s">
        <v>354</v>
      </c>
      <c r="B85" s="314"/>
      <c r="C85" s="315"/>
      <c r="D85" s="315"/>
      <c r="E85" s="317"/>
      <c r="F85" s="318" t="str">
        <f t="shared" si="1"/>
        <v>TP84 -  -  - </v>
      </c>
      <c r="G85" s="319">
        <f>SUMIF('ADV - FB'!L:L,$A85,'ADV - FB'!E:E)</f>
        <v>0</v>
      </c>
      <c r="H85" s="320" t="str">
        <f>IFERROR(SUMIF('ADV - FB'!L:L,$A85,'ADV - FB'!H:H)/(SUMIF('ADV - FB'!L:L,$A85,'ADV - FB'!G:G)),"-")</f>
        <v>-</v>
      </c>
      <c r="I85" s="321" t="str">
        <f>IFERROR(SUMIF('ADV - FB'!L:L,$A85,'ADV - FB'!E:E)/(SUMIF('ADV - FB'!L:L,$A85,'ADV - FB'!F:F)),"-")</f>
        <v>-</v>
      </c>
      <c r="J85" s="315">
        <f>SUMIF('ADV - FB'!L:L,$A85,'ADV - FB'!I:I)+SUMIF('ADV - FB'!L:L,$A85,'ADV - FB'!J:J)+SUMIF('ADV - FB'!L:L,$A85,'ADV - FB'!K:K)</f>
        <v>0</v>
      </c>
      <c r="K85" s="321" t="str">
        <f t="shared" si="2"/>
        <v>-</v>
      </c>
      <c r="L85" s="322"/>
      <c r="M85" s="322"/>
      <c r="N85" s="322"/>
      <c r="O85" s="322"/>
      <c r="P85" s="322"/>
      <c r="Q85" s="322"/>
      <c r="R85" s="322"/>
      <c r="S85" s="322"/>
      <c r="T85" s="16"/>
      <c r="U85" s="16"/>
      <c r="V85" s="16"/>
      <c r="W85" s="16"/>
      <c r="X85" s="16"/>
    </row>
    <row r="86" ht="15.75" customHeight="1">
      <c r="A86" s="313" t="s">
        <v>355</v>
      </c>
      <c r="B86" s="314"/>
      <c r="C86" s="315"/>
      <c r="D86" s="315"/>
      <c r="E86" s="317"/>
      <c r="F86" s="318" t="str">
        <f t="shared" si="1"/>
        <v>TP85 -  -  - </v>
      </c>
      <c r="G86" s="319">
        <f>SUMIF('ADV - FB'!L:L,$A86,'ADV - FB'!E:E)</f>
        <v>0</v>
      </c>
      <c r="H86" s="320" t="str">
        <f>IFERROR(SUMIF('ADV - FB'!L:L,$A86,'ADV - FB'!H:H)/(SUMIF('ADV - FB'!L:L,$A86,'ADV - FB'!G:G)),"-")</f>
        <v>-</v>
      </c>
      <c r="I86" s="321" t="str">
        <f>IFERROR(SUMIF('ADV - FB'!L:L,$A86,'ADV - FB'!E:E)/(SUMIF('ADV - FB'!L:L,$A86,'ADV - FB'!F:F)),"-")</f>
        <v>-</v>
      </c>
      <c r="J86" s="315">
        <f>SUMIF('ADV - FB'!L:L,$A86,'ADV - FB'!I:I)+SUMIF('ADV - FB'!L:L,$A86,'ADV - FB'!J:J)+SUMIF('ADV - FB'!L:L,$A86,'ADV - FB'!K:K)</f>
        <v>0</v>
      </c>
      <c r="K86" s="321" t="str">
        <f t="shared" si="2"/>
        <v>-</v>
      </c>
      <c r="L86" s="322"/>
      <c r="M86" s="322"/>
      <c r="N86" s="322"/>
      <c r="O86" s="322"/>
      <c r="P86" s="322"/>
      <c r="Q86" s="322"/>
      <c r="R86" s="322"/>
      <c r="S86" s="322"/>
      <c r="T86" s="16"/>
      <c r="U86" s="16"/>
      <c r="V86" s="16"/>
      <c r="W86" s="16"/>
      <c r="X86" s="16"/>
    </row>
    <row r="87" ht="15.75" customHeight="1">
      <c r="A87" s="313" t="s">
        <v>356</v>
      </c>
      <c r="B87" s="314"/>
      <c r="C87" s="315"/>
      <c r="D87" s="315"/>
      <c r="E87" s="317"/>
      <c r="F87" s="318" t="str">
        <f t="shared" si="1"/>
        <v>TP86 -  -  - </v>
      </c>
      <c r="G87" s="319">
        <f>SUMIF('ADV - FB'!L:L,$A87,'ADV - FB'!E:E)</f>
        <v>0</v>
      </c>
      <c r="H87" s="320" t="str">
        <f>IFERROR(SUMIF('ADV - FB'!L:L,$A87,'ADV - FB'!H:H)/(SUMIF('ADV - FB'!L:L,$A87,'ADV - FB'!G:G)),"-")</f>
        <v>-</v>
      </c>
      <c r="I87" s="321" t="str">
        <f>IFERROR(SUMIF('ADV - FB'!L:L,$A87,'ADV - FB'!E:E)/(SUMIF('ADV - FB'!L:L,$A87,'ADV - FB'!F:F)),"-")</f>
        <v>-</v>
      </c>
      <c r="J87" s="315">
        <f>SUMIF('ADV - FB'!L:L,$A87,'ADV - FB'!I:I)+SUMIF('ADV - FB'!L:L,$A87,'ADV - FB'!J:J)+SUMIF('ADV - FB'!L:L,$A87,'ADV - FB'!K:K)</f>
        <v>0</v>
      </c>
      <c r="K87" s="321" t="str">
        <f t="shared" si="2"/>
        <v>-</v>
      </c>
      <c r="L87" s="322"/>
      <c r="M87" s="322"/>
      <c r="N87" s="322"/>
      <c r="O87" s="322"/>
      <c r="P87" s="322"/>
      <c r="Q87" s="322"/>
      <c r="R87" s="322"/>
      <c r="S87" s="322"/>
      <c r="T87" s="16"/>
      <c r="U87" s="16"/>
      <c r="V87" s="16"/>
      <c r="W87" s="16"/>
      <c r="X87" s="16"/>
    </row>
    <row r="88" ht="15.75" customHeight="1">
      <c r="A88" s="313" t="s">
        <v>357</v>
      </c>
      <c r="B88" s="314"/>
      <c r="C88" s="315"/>
      <c r="D88" s="315"/>
      <c r="E88" s="317"/>
      <c r="F88" s="318" t="str">
        <f t="shared" si="1"/>
        <v>TP87 -  -  - </v>
      </c>
      <c r="G88" s="319">
        <f>SUMIF('ADV - FB'!L:L,$A88,'ADV - FB'!E:E)</f>
        <v>0</v>
      </c>
      <c r="H88" s="320" t="str">
        <f>IFERROR(SUMIF('ADV - FB'!L:L,$A88,'ADV - FB'!H:H)/(SUMIF('ADV - FB'!L:L,$A88,'ADV - FB'!G:G)),"-")</f>
        <v>-</v>
      </c>
      <c r="I88" s="321" t="str">
        <f>IFERROR(SUMIF('ADV - FB'!L:L,$A88,'ADV - FB'!E:E)/(SUMIF('ADV - FB'!L:L,$A88,'ADV - FB'!F:F)),"-")</f>
        <v>-</v>
      </c>
      <c r="J88" s="315">
        <f>SUMIF('ADV - FB'!L:L,$A88,'ADV - FB'!I:I)+SUMIF('ADV - FB'!L:L,$A88,'ADV - FB'!J:J)+SUMIF('ADV - FB'!L:L,$A88,'ADV - FB'!K:K)</f>
        <v>0</v>
      </c>
      <c r="K88" s="321" t="str">
        <f t="shared" si="2"/>
        <v>-</v>
      </c>
      <c r="L88" s="322"/>
      <c r="M88" s="322"/>
      <c r="N88" s="322"/>
      <c r="O88" s="322"/>
      <c r="P88" s="322"/>
      <c r="Q88" s="322"/>
      <c r="R88" s="322"/>
      <c r="S88" s="322"/>
      <c r="T88" s="16"/>
      <c r="U88" s="16"/>
      <c r="V88" s="16"/>
      <c r="W88" s="16"/>
      <c r="X88" s="16"/>
    </row>
    <row r="89" ht="15.75" customHeight="1">
      <c r="A89" s="313" t="s">
        <v>358</v>
      </c>
      <c r="B89" s="314"/>
      <c r="C89" s="315"/>
      <c r="D89" s="315"/>
      <c r="E89" s="317"/>
      <c r="F89" s="318" t="str">
        <f t="shared" si="1"/>
        <v>TP88 -  -  - </v>
      </c>
      <c r="G89" s="319">
        <f>SUMIF('ADV - FB'!L:L,$A89,'ADV - FB'!E:E)</f>
        <v>0</v>
      </c>
      <c r="H89" s="320" t="str">
        <f>IFERROR(SUMIF('ADV - FB'!L:L,$A89,'ADV - FB'!H:H)/(SUMIF('ADV - FB'!L:L,$A89,'ADV - FB'!G:G)),"-")</f>
        <v>-</v>
      </c>
      <c r="I89" s="321" t="str">
        <f>IFERROR(SUMIF('ADV - FB'!L:L,$A89,'ADV - FB'!E:E)/(SUMIF('ADV - FB'!L:L,$A89,'ADV - FB'!F:F)),"-")</f>
        <v>-</v>
      </c>
      <c r="J89" s="315">
        <f>SUMIF('ADV - FB'!L:L,$A89,'ADV - FB'!I:I)+SUMIF('ADV - FB'!L:L,$A89,'ADV - FB'!J:J)+SUMIF('ADV - FB'!L:L,$A89,'ADV - FB'!K:K)</f>
        <v>0</v>
      </c>
      <c r="K89" s="321" t="str">
        <f t="shared" si="2"/>
        <v>-</v>
      </c>
      <c r="L89" s="322"/>
      <c r="M89" s="322"/>
      <c r="N89" s="322"/>
      <c r="O89" s="322"/>
      <c r="P89" s="322"/>
      <c r="Q89" s="322"/>
      <c r="R89" s="322"/>
      <c r="S89" s="322"/>
      <c r="T89" s="16"/>
      <c r="U89" s="16"/>
      <c r="V89" s="16"/>
      <c r="W89" s="16"/>
      <c r="X89" s="16"/>
    </row>
    <row r="90" ht="15.75" customHeight="1">
      <c r="A90" s="313" t="s">
        <v>359</v>
      </c>
      <c r="B90" s="314"/>
      <c r="C90" s="315"/>
      <c r="D90" s="315"/>
      <c r="E90" s="317"/>
      <c r="F90" s="318" t="str">
        <f t="shared" si="1"/>
        <v>TP89 -  -  - </v>
      </c>
      <c r="G90" s="319">
        <f>SUMIF('ADV - FB'!L:L,$A90,'ADV - FB'!E:E)</f>
        <v>0</v>
      </c>
      <c r="H90" s="320" t="str">
        <f>IFERROR(SUMIF('ADV - FB'!L:L,$A90,'ADV - FB'!H:H)/(SUMIF('ADV - FB'!L:L,$A90,'ADV - FB'!G:G)),"-")</f>
        <v>-</v>
      </c>
      <c r="I90" s="321" t="str">
        <f>IFERROR(SUMIF('ADV - FB'!L:L,$A90,'ADV - FB'!E:E)/(SUMIF('ADV - FB'!L:L,$A90,'ADV - FB'!F:F)),"-")</f>
        <v>-</v>
      </c>
      <c r="J90" s="315">
        <f>SUMIF('ADV - FB'!L:L,$A90,'ADV - FB'!I:I)+SUMIF('ADV - FB'!L:L,$A90,'ADV - FB'!J:J)+SUMIF('ADV - FB'!L:L,$A90,'ADV - FB'!K:K)</f>
        <v>0</v>
      </c>
      <c r="K90" s="321" t="str">
        <f t="shared" si="2"/>
        <v>-</v>
      </c>
      <c r="L90" s="322"/>
      <c r="M90" s="322"/>
      <c r="N90" s="322"/>
      <c r="O90" s="322"/>
      <c r="P90" s="322"/>
      <c r="Q90" s="322"/>
      <c r="R90" s="322"/>
      <c r="S90" s="322"/>
      <c r="T90" s="16"/>
      <c r="U90" s="16"/>
      <c r="V90" s="16"/>
      <c r="W90" s="16"/>
      <c r="X90" s="16"/>
    </row>
    <row r="91" ht="15.75" customHeight="1">
      <c r="A91" s="313" t="s">
        <v>360</v>
      </c>
      <c r="B91" s="314"/>
      <c r="C91" s="315"/>
      <c r="D91" s="315"/>
      <c r="E91" s="317"/>
      <c r="F91" s="318" t="str">
        <f t="shared" si="1"/>
        <v>TP90 -  -  - </v>
      </c>
      <c r="G91" s="319">
        <f>SUMIF('ADV - FB'!L:L,$A91,'ADV - FB'!E:E)</f>
        <v>0</v>
      </c>
      <c r="H91" s="320" t="str">
        <f>IFERROR(SUMIF('ADV - FB'!L:L,$A91,'ADV - FB'!H:H)/(SUMIF('ADV - FB'!L:L,$A91,'ADV - FB'!G:G)),"-")</f>
        <v>-</v>
      </c>
      <c r="I91" s="321" t="str">
        <f>IFERROR(SUMIF('ADV - FB'!L:L,$A91,'ADV - FB'!E:E)/(SUMIF('ADV - FB'!L:L,$A91,'ADV - FB'!F:F)),"-")</f>
        <v>-</v>
      </c>
      <c r="J91" s="315">
        <f>SUMIF('ADV - FB'!L:L,$A91,'ADV - FB'!I:I)+SUMIF('ADV - FB'!L:L,$A91,'ADV - FB'!J:J)+SUMIF('ADV - FB'!L:L,$A91,'ADV - FB'!K:K)</f>
        <v>0</v>
      </c>
      <c r="K91" s="321" t="str">
        <f t="shared" si="2"/>
        <v>-</v>
      </c>
      <c r="L91" s="322"/>
      <c r="M91" s="322"/>
      <c r="N91" s="322"/>
      <c r="O91" s="322"/>
      <c r="P91" s="322"/>
      <c r="Q91" s="322"/>
      <c r="R91" s="322"/>
      <c r="S91" s="322"/>
      <c r="T91" s="16"/>
      <c r="U91" s="16"/>
      <c r="V91" s="16"/>
      <c r="W91" s="16"/>
      <c r="X91" s="16"/>
    </row>
    <row r="92" ht="15.75" customHeight="1">
      <c r="A92" s="313" t="s">
        <v>361</v>
      </c>
      <c r="B92" s="314"/>
      <c r="C92" s="315"/>
      <c r="D92" s="315"/>
      <c r="E92" s="317"/>
      <c r="F92" s="318" t="str">
        <f t="shared" si="1"/>
        <v>TP91 -  -  - </v>
      </c>
      <c r="G92" s="319">
        <f>SUMIF('ADV - FB'!L:L,$A92,'ADV - FB'!E:E)</f>
        <v>0</v>
      </c>
      <c r="H92" s="320" t="str">
        <f>IFERROR(SUMIF('ADV - FB'!L:L,$A92,'ADV - FB'!H:H)/(SUMIF('ADV - FB'!L:L,$A92,'ADV - FB'!G:G)),"-")</f>
        <v>-</v>
      </c>
      <c r="I92" s="321" t="str">
        <f>IFERROR(SUMIF('ADV - FB'!L:L,$A92,'ADV - FB'!E:E)/(SUMIF('ADV - FB'!L:L,$A92,'ADV - FB'!F:F)),"-")</f>
        <v>-</v>
      </c>
      <c r="J92" s="315">
        <f>SUMIF('ADV - FB'!L:L,$A92,'ADV - FB'!I:I)+SUMIF('ADV - FB'!L:L,$A92,'ADV - FB'!J:J)+SUMIF('ADV - FB'!L:L,$A92,'ADV - FB'!K:K)</f>
        <v>0</v>
      </c>
      <c r="K92" s="321" t="str">
        <f t="shared" si="2"/>
        <v>-</v>
      </c>
      <c r="L92" s="322"/>
      <c r="M92" s="322"/>
      <c r="N92" s="322"/>
      <c r="O92" s="322"/>
      <c r="P92" s="322"/>
      <c r="Q92" s="322"/>
      <c r="R92" s="322"/>
      <c r="S92" s="322"/>
      <c r="T92" s="16"/>
      <c r="U92" s="16"/>
      <c r="V92" s="16"/>
      <c r="W92" s="16"/>
      <c r="X92" s="16"/>
    </row>
    <row r="93" ht="15.75" customHeight="1">
      <c r="A93" s="313" t="s">
        <v>362</v>
      </c>
      <c r="B93" s="314"/>
      <c r="C93" s="315"/>
      <c r="D93" s="315"/>
      <c r="E93" s="317"/>
      <c r="F93" s="318" t="str">
        <f t="shared" si="1"/>
        <v>TP92 -  -  - </v>
      </c>
      <c r="G93" s="319">
        <f>SUMIF('ADV - FB'!L:L,$A93,'ADV - FB'!E:E)</f>
        <v>0</v>
      </c>
      <c r="H93" s="320" t="str">
        <f>IFERROR(SUMIF('ADV - FB'!L:L,$A93,'ADV - FB'!H:H)/(SUMIF('ADV - FB'!L:L,$A93,'ADV - FB'!G:G)),"-")</f>
        <v>-</v>
      </c>
      <c r="I93" s="321" t="str">
        <f>IFERROR(SUMIF('ADV - FB'!L:L,$A93,'ADV - FB'!E:E)/(SUMIF('ADV - FB'!L:L,$A93,'ADV - FB'!F:F)),"-")</f>
        <v>-</v>
      </c>
      <c r="J93" s="315">
        <f>SUMIF('ADV - FB'!L:L,$A93,'ADV - FB'!I:I)+SUMIF('ADV - FB'!L:L,$A93,'ADV - FB'!J:J)+SUMIF('ADV - FB'!L:L,$A93,'ADV - FB'!K:K)</f>
        <v>0</v>
      </c>
      <c r="K93" s="321" t="str">
        <f t="shared" si="2"/>
        <v>-</v>
      </c>
      <c r="L93" s="322"/>
      <c r="M93" s="322"/>
      <c r="N93" s="322"/>
      <c r="O93" s="322"/>
      <c r="P93" s="322"/>
      <c r="Q93" s="322"/>
      <c r="R93" s="322"/>
      <c r="S93" s="322"/>
      <c r="T93" s="16"/>
      <c r="U93" s="16"/>
      <c r="V93" s="16"/>
      <c r="W93" s="16"/>
      <c r="X93" s="16"/>
    </row>
    <row r="94" ht="15.75" customHeight="1">
      <c r="A94" s="313" t="s">
        <v>363</v>
      </c>
      <c r="B94" s="314"/>
      <c r="C94" s="315"/>
      <c r="D94" s="315"/>
      <c r="E94" s="317"/>
      <c r="F94" s="318" t="str">
        <f t="shared" si="1"/>
        <v>TP93 -  -  - </v>
      </c>
      <c r="G94" s="319">
        <f>SUMIF('ADV - FB'!L:L,$A94,'ADV - FB'!E:E)</f>
        <v>0</v>
      </c>
      <c r="H94" s="320" t="str">
        <f>IFERROR(SUMIF('ADV - FB'!L:L,$A94,'ADV - FB'!H:H)/(SUMIF('ADV - FB'!L:L,$A94,'ADV - FB'!G:G)),"-")</f>
        <v>-</v>
      </c>
      <c r="I94" s="321" t="str">
        <f>IFERROR(SUMIF('ADV - FB'!L:L,$A94,'ADV - FB'!E:E)/(SUMIF('ADV - FB'!L:L,$A94,'ADV - FB'!F:F)),"-")</f>
        <v>-</v>
      </c>
      <c r="J94" s="315">
        <f>SUMIF('ADV - FB'!L:L,$A94,'ADV - FB'!I:I)+SUMIF('ADV - FB'!L:L,$A94,'ADV - FB'!J:J)+SUMIF('ADV - FB'!L:L,$A94,'ADV - FB'!K:K)</f>
        <v>0</v>
      </c>
      <c r="K94" s="321" t="str">
        <f t="shared" si="2"/>
        <v>-</v>
      </c>
      <c r="L94" s="322"/>
      <c r="M94" s="322"/>
      <c r="N94" s="322"/>
      <c r="O94" s="322"/>
      <c r="P94" s="322"/>
      <c r="Q94" s="322"/>
      <c r="R94" s="322"/>
      <c r="S94" s="322"/>
      <c r="T94" s="16"/>
      <c r="U94" s="16"/>
      <c r="V94" s="16"/>
      <c r="W94" s="16"/>
      <c r="X94" s="16"/>
    </row>
    <row r="95" ht="15.75" customHeight="1">
      <c r="A95" s="313" t="s">
        <v>364</v>
      </c>
      <c r="B95" s="314"/>
      <c r="C95" s="315"/>
      <c r="D95" s="315"/>
      <c r="E95" s="317"/>
      <c r="F95" s="318" t="str">
        <f t="shared" si="1"/>
        <v>TP94 -  -  - </v>
      </c>
      <c r="G95" s="319">
        <f>SUMIF('ADV - FB'!L:L,$A95,'ADV - FB'!E:E)</f>
        <v>0</v>
      </c>
      <c r="H95" s="320" t="str">
        <f>IFERROR(SUMIF('ADV - FB'!L:L,$A95,'ADV - FB'!H:H)/(SUMIF('ADV - FB'!L:L,$A95,'ADV - FB'!G:G)),"-")</f>
        <v>-</v>
      </c>
      <c r="I95" s="321" t="str">
        <f>IFERROR(SUMIF('ADV - FB'!L:L,$A95,'ADV - FB'!E:E)/(SUMIF('ADV - FB'!L:L,$A95,'ADV - FB'!F:F)),"-")</f>
        <v>-</v>
      </c>
      <c r="J95" s="315">
        <f>SUMIF('ADV - FB'!L:L,$A95,'ADV - FB'!I:I)+SUMIF('ADV - FB'!L:L,$A95,'ADV - FB'!J:J)+SUMIF('ADV - FB'!L:L,$A95,'ADV - FB'!K:K)</f>
        <v>0</v>
      </c>
      <c r="K95" s="321" t="str">
        <f t="shared" si="2"/>
        <v>-</v>
      </c>
      <c r="L95" s="322"/>
      <c r="M95" s="322"/>
      <c r="N95" s="322"/>
      <c r="O95" s="322"/>
      <c r="P95" s="322"/>
      <c r="Q95" s="322"/>
      <c r="R95" s="322"/>
      <c r="S95" s="322"/>
      <c r="T95" s="16"/>
      <c r="U95" s="16"/>
      <c r="V95" s="16"/>
      <c r="W95" s="16"/>
      <c r="X95" s="16"/>
    </row>
    <row r="96" ht="15.75" customHeight="1">
      <c r="A96" s="313" t="s">
        <v>365</v>
      </c>
      <c r="B96" s="314"/>
      <c r="C96" s="315"/>
      <c r="D96" s="315"/>
      <c r="E96" s="317"/>
      <c r="F96" s="318" t="str">
        <f t="shared" si="1"/>
        <v>TP95 -  -  - </v>
      </c>
      <c r="G96" s="319">
        <f>SUMIF('ADV - FB'!L:L,$A96,'ADV - FB'!E:E)</f>
        <v>0</v>
      </c>
      <c r="H96" s="320" t="str">
        <f>IFERROR(SUMIF('ADV - FB'!L:L,$A96,'ADV - FB'!H:H)/(SUMIF('ADV - FB'!L:L,$A96,'ADV - FB'!G:G)),"-")</f>
        <v>-</v>
      </c>
      <c r="I96" s="321" t="str">
        <f>IFERROR(SUMIF('ADV - FB'!L:L,$A96,'ADV - FB'!E:E)/(SUMIF('ADV - FB'!L:L,$A96,'ADV - FB'!F:F)),"-")</f>
        <v>-</v>
      </c>
      <c r="J96" s="315">
        <f>SUMIF('ADV - FB'!L:L,$A96,'ADV - FB'!I:I)+SUMIF('ADV - FB'!L:L,$A96,'ADV - FB'!J:J)+SUMIF('ADV - FB'!L:L,$A96,'ADV - FB'!K:K)</f>
        <v>0</v>
      </c>
      <c r="K96" s="321" t="str">
        <f t="shared" si="2"/>
        <v>-</v>
      </c>
      <c r="L96" s="322"/>
      <c r="M96" s="322"/>
      <c r="N96" s="322"/>
      <c r="O96" s="322"/>
      <c r="P96" s="322"/>
      <c r="Q96" s="322"/>
      <c r="R96" s="322"/>
      <c r="S96" s="322"/>
      <c r="T96" s="16"/>
      <c r="U96" s="16"/>
      <c r="V96" s="16"/>
      <c r="W96" s="16"/>
      <c r="X96" s="16"/>
    </row>
    <row r="97" ht="15.75" customHeight="1">
      <c r="A97" s="313" t="s">
        <v>366</v>
      </c>
      <c r="B97" s="314"/>
      <c r="C97" s="315"/>
      <c r="D97" s="315"/>
      <c r="E97" s="317"/>
      <c r="F97" s="318" t="str">
        <f t="shared" si="1"/>
        <v>TP96 -  -  - </v>
      </c>
      <c r="G97" s="319">
        <f>SUMIF('ADV - FB'!L:L,$A97,'ADV - FB'!E:E)</f>
        <v>0</v>
      </c>
      <c r="H97" s="320" t="str">
        <f>IFERROR(SUMIF('ADV - FB'!L:L,$A97,'ADV - FB'!H:H)/(SUMIF('ADV - FB'!L:L,$A97,'ADV - FB'!G:G)),"-")</f>
        <v>-</v>
      </c>
      <c r="I97" s="321" t="str">
        <f>IFERROR(SUMIF('ADV - FB'!L:L,$A97,'ADV - FB'!E:E)/(SUMIF('ADV - FB'!L:L,$A97,'ADV - FB'!F:F)),"-")</f>
        <v>-</v>
      </c>
      <c r="J97" s="315">
        <f>SUMIF('ADV - FB'!L:L,$A97,'ADV - FB'!I:I)+SUMIF('ADV - FB'!L:L,$A97,'ADV - FB'!J:J)+SUMIF('ADV - FB'!L:L,$A97,'ADV - FB'!K:K)</f>
        <v>0</v>
      </c>
      <c r="K97" s="321" t="str">
        <f t="shared" si="2"/>
        <v>-</v>
      </c>
      <c r="L97" s="322"/>
      <c r="M97" s="322"/>
      <c r="N97" s="322"/>
      <c r="O97" s="322"/>
      <c r="P97" s="322"/>
      <c r="Q97" s="322"/>
      <c r="R97" s="322"/>
      <c r="S97" s="322"/>
      <c r="T97" s="16"/>
      <c r="U97" s="16"/>
      <c r="V97" s="16"/>
      <c r="W97" s="16"/>
      <c r="X97" s="16"/>
    </row>
    <row r="98" ht="15.75" customHeight="1">
      <c r="A98" s="313" t="s">
        <v>367</v>
      </c>
      <c r="B98" s="314"/>
      <c r="C98" s="315"/>
      <c r="D98" s="315"/>
      <c r="E98" s="317"/>
      <c r="F98" s="318" t="str">
        <f t="shared" si="1"/>
        <v>TP97 -  -  - </v>
      </c>
      <c r="G98" s="319">
        <f>SUMIF('ADV - FB'!L:L,$A98,'ADV - FB'!E:E)</f>
        <v>0</v>
      </c>
      <c r="H98" s="320" t="str">
        <f>IFERROR(SUMIF('ADV - FB'!L:L,$A98,'ADV - FB'!H:H)/(SUMIF('ADV - FB'!L:L,$A98,'ADV - FB'!G:G)),"-")</f>
        <v>-</v>
      </c>
      <c r="I98" s="321" t="str">
        <f>IFERROR(SUMIF('ADV - FB'!L:L,$A98,'ADV - FB'!E:E)/(SUMIF('ADV - FB'!L:L,$A98,'ADV - FB'!F:F)),"-")</f>
        <v>-</v>
      </c>
      <c r="J98" s="315">
        <f>SUMIF('ADV - FB'!L:L,$A98,'ADV - FB'!I:I)+SUMIF('ADV - FB'!L:L,$A98,'ADV - FB'!J:J)+SUMIF('ADV - FB'!L:L,$A98,'ADV - FB'!K:K)</f>
        <v>0</v>
      </c>
      <c r="K98" s="321" t="str">
        <f t="shared" si="2"/>
        <v>-</v>
      </c>
      <c r="L98" s="322"/>
      <c r="M98" s="322"/>
      <c r="N98" s="322"/>
      <c r="O98" s="322"/>
      <c r="P98" s="322"/>
      <c r="Q98" s="322"/>
      <c r="R98" s="322"/>
      <c r="S98" s="322"/>
      <c r="T98" s="16"/>
      <c r="U98" s="16"/>
      <c r="V98" s="16"/>
      <c r="W98" s="16"/>
      <c r="X98" s="16"/>
    </row>
    <row r="99" ht="15.75" customHeight="1">
      <c r="A99" s="313" t="s">
        <v>368</v>
      </c>
      <c r="B99" s="314"/>
      <c r="C99" s="315"/>
      <c r="D99" s="315"/>
      <c r="E99" s="317"/>
      <c r="F99" s="318" t="str">
        <f t="shared" si="1"/>
        <v>TP98 -  -  - </v>
      </c>
      <c r="G99" s="319">
        <f>SUMIF('ADV - FB'!L:L,$A99,'ADV - FB'!E:E)</f>
        <v>0</v>
      </c>
      <c r="H99" s="320" t="str">
        <f>IFERROR(SUMIF('ADV - FB'!L:L,$A99,'ADV - FB'!H:H)/(SUMIF('ADV - FB'!L:L,$A99,'ADV - FB'!G:G)),"-")</f>
        <v>-</v>
      </c>
      <c r="I99" s="321" t="str">
        <f>IFERROR(SUMIF('ADV - FB'!L:L,$A99,'ADV - FB'!E:E)/(SUMIF('ADV - FB'!L:L,$A99,'ADV - FB'!F:F)),"-")</f>
        <v>-</v>
      </c>
      <c r="J99" s="315">
        <f>SUMIF('ADV - FB'!L:L,$A99,'ADV - FB'!I:I)+SUMIF('ADV - FB'!L:L,$A99,'ADV - FB'!J:J)+SUMIF('ADV - FB'!L:L,$A99,'ADV - FB'!K:K)</f>
        <v>0</v>
      </c>
      <c r="K99" s="321" t="str">
        <f t="shared" si="2"/>
        <v>-</v>
      </c>
      <c r="L99" s="322"/>
      <c r="M99" s="322"/>
      <c r="N99" s="322"/>
      <c r="O99" s="322"/>
      <c r="P99" s="322"/>
      <c r="Q99" s="322"/>
      <c r="R99" s="322"/>
      <c r="S99" s="322"/>
      <c r="T99" s="16"/>
      <c r="U99" s="16"/>
      <c r="V99" s="16"/>
      <c r="W99" s="16"/>
      <c r="X99" s="16"/>
    </row>
    <row r="100" ht="15.75" customHeight="1">
      <c r="A100" s="313" t="s">
        <v>369</v>
      </c>
      <c r="B100" s="314"/>
      <c r="C100" s="315"/>
      <c r="D100" s="315"/>
      <c r="E100" s="317"/>
      <c r="F100" s="318" t="str">
        <f t="shared" si="1"/>
        <v>TP99 -  -  - </v>
      </c>
      <c r="G100" s="319">
        <f>SUMIF('ADV - FB'!L:L,$A100,'ADV - FB'!E:E)</f>
        <v>0</v>
      </c>
      <c r="H100" s="320" t="str">
        <f>IFERROR(SUMIF('ADV - FB'!L:L,$A100,'ADV - FB'!H:H)/(SUMIF('ADV - FB'!L:L,$A100,'ADV - FB'!G:G)),"-")</f>
        <v>-</v>
      </c>
      <c r="I100" s="321" t="str">
        <f>IFERROR(SUMIF('ADV - FB'!L:L,$A100,'ADV - FB'!E:E)/(SUMIF('ADV - FB'!L:L,$A100,'ADV - FB'!F:F)),"-")</f>
        <v>-</v>
      </c>
      <c r="J100" s="315">
        <f>SUMIF('ADV - FB'!L:L,$A100,'ADV - FB'!I:I)+SUMIF('ADV - FB'!L:L,$A100,'ADV - FB'!J:J)+SUMIF('ADV - FB'!L:L,$A100,'ADV - FB'!K:K)</f>
        <v>0</v>
      </c>
      <c r="K100" s="321" t="str">
        <f t="shared" si="2"/>
        <v>-</v>
      </c>
      <c r="L100" s="322"/>
      <c r="M100" s="322"/>
      <c r="N100" s="322"/>
      <c r="O100" s="322"/>
      <c r="P100" s="322"/>
      <c r="Q100" s="322"/>
      <c r="R100" s="322"/>
      <c r="S100" s="322"/>
      <c r="T100" s="16"/>
      <c r="U100" s="16"/>
      <c r="V100" s="16"/>
      <c r="W100" s="16"/>
      <c r="X100" s="16"/>
    </row>
    <row r="101" ht="15.75" customHeight="1">
      <c r="A101" s="313" t="s">
        <v>370</v>
      </c>
      <c r="B101" s="314"/>
      <c r="C101" s="315"/>
      <c r="D101" s="315"/>
      <c r="E101" s="317"/>
      <c r="F101" s="318" t="str">
        <f t="shared" si="1"/>
        <v>TP100 -  -  - </v>
      </c>
      <c r="G101" s="319">
        <f>SUMIF('ADV - FB'!L:L,$A101,'ADV - FB'!E:E)</f>
        <v>0</v>
      </c>
      <c r="H101" s="320" t="str">
        <f>IFERROR(SUMIF('ADV - FB'!L:L,$A101,'ADV - FB'!H:H)/(SUMIF('ADV - FB'!L:L,$A101,'ADV - FB'!G:G)),"-")</f>
        <v>-</v>
      </c>
      <c r="I101" s="321" t="str">
        <f>IFERROR(SUMIF('ADV - FB'!L:L,$A101,'ADV - FB'!E:E)/(SUMIF('ADV - FB'!L:L,$A101,'ADV - FB'!F:F)),"-")</f>
        <v>-</v>
      </c>
      <c r="J101" s="315">
        <f>SUMIF('ADV - FB'!L:L,$A101,'ADV - FB'!I:I)+SUMIF('ADV - FB'!L:L,$A101,'ADV - FB'!J:J)+SUMIF('ADV - FB'!L:L,$A101,'ADV - FB'!K:K)</f>
        <v>0</v>
      </c>
      <c r="K101" s="321" t="str">
        <f t="shared" si="2"/>
        <v>-</v>
      </c>
      <c r="L101" s="322"/>
      <c r="M101" s="322"/>
      <c r="N101" s="322"/>
      <c r="O101" s="322"/>
      <c r="P101" s="322"/>
      <c r="Q101" s="322"/>
      <c r="R101" s="322"/>
      <c r="S101" s="322"/>
      <c r="T101" s="16"/>
      <c r="U101" s="16"/>
      <c r="V101" s="16"/>
      <c r="W101" s="16"/>
      <c r="X101" s="16"/>
    </row>
    <row r="102" ht="15.75" customHeight="1">
      <c r="A102" s="313" t="s">
        <v>371</v>
      </c>
      <c r="B102" s="314"/>
      <c r="C102" s="315"/>
      <c r="D102" s="315"/>
      <c r="E102" s="317"/>
      <c r="F102" s="318" t="str">
        <f t="shared" si="1"/>
        <v>TP101 -  -  - </v>
      </c>
      <c r="G102" s="319">
        <f>SUMIF('ADV - FB'!L:L,$A102,'ADV - FB'!E:E)</f>
        <v>0</v>
      </c>
      <c r="H102" s="320" t="str">
        <f>IFERROR(SUMIF('ADV - FB'!L:L,$A102,'ADV - FB'!H:H)/(SUMIF('ADV - FB'!L:L,$A102,'ADV - FB'!G:G)),"-")</f>
        <v>-</v>
      </c>
      <c r="I102" s="321" t="str">
        <f>IFERROR(SUMIF('ADV - FB'!L:L,$A102,'ADV - FB'!E:E)/(SUMIF('ADV - FB'!L:L,$A102,'ADV - FB'!F:F)),"-")</f>
        <v>-</v>
      </c>
      <c r="J102" s="315">
        <f>SUMIF('ADV - FB'!L:L,$A102,'ADV - FB'!I:I)+SUMIF('ADV - FB'!L:L,$A102,'ADV - FB'!J:J)+SUMIF('ADV - FB'!L:L,$A102,'ADV - FB'!K:K)</f>
        <v>0</v>
      </c>
      <c r="K102" s="321" t="str">
        <f t="shared" si="2"/>
        <v>-</v>
      </c>
      <c r="L102" s="322"/>
      <c r="M102" s="322"/>
      <c r="N102" s="322"/>
      <c r="O102" s="322"/>
      <c r="P102" s="322"/>
      <c r="Q102" s="322"/>
      <c r="R102" s="322"/>
      <c r="S102" s="322"/>
      <c r="T102" s="16"/>
      <c r="U102" s="16"/>
      <c r="V102" s="16"/>
      <c r="W102" s="16"/>
      <c r="X102" s="16"/>
    </row>
    <row r="103" ht="15.75" customHeight="1">
      <c r="A103" s="313" t="s">
        <v>372</v>
      </c>
      <c r="B103" s="314"/>
      <c r="C103" s="315"/>
      <c r="D103" s="315"/>
      <c r="E103" s="317"/>
      <c r="F103" s="318" t="str">
        <f t="shared" si="1"/>
        <v>TP102 -  -  - </v>
      </c>
      <c r="G103" s="319">
        <f>SUMIF('ADV - FB'!L:L,$A103,'ADV - FB'!E:E)</f>
        <v>0</v>
      </c>
      <c r="H103" s="320" t="str">
        <f>IFERROR(SUMIF('ADV - FB'!L:L,$A103,'ADV - FB'!H:H)/(SUMIF('ADV - FB'!L:L,$A103,'ADV - FB'!G:G)),"-")</f>
        <v>-</v>
      </c>
      <c r="I103" s="321" t="str">
        <f>IFERROR(SUMIF('ADV - FB'!L:L,$A103,'ADV - FB'!E:E)/(SUMIF('ADV - FB'!L:L,$A103,'ADV - FB'!F:F)),"-")</f>
        <v>-</v>
      </c>
      <c r="J103" s="315">
        <f>SUMIF('ADV - FB'!L:L,$A103,'ADV - FB'!I:I)+SUMIF('ADV - FB'!L:L,$A103,'ADV - FB'!J:J)+SUMIF('ADV - FB'!L:L,$A103,'ADV - FB'!K:K)</f>
        <v>0</v>
      </c>
      <c r="K103" s="321" t="str">
        <f t="shared" si="2"/>
        <v>-</v>
      </c>
      <c r="L103" s="322"/>
      <c r="M103" s="322"/>
      <c r="N103" s="322"/>
      <c r="O103" s="322"/>
      <c r="P103" s="322"/>
      <c r="Q103" s="322"/>
      <c r="R103" s="322"/>
      <c r="S103" s="322"/>
      <c r="T103" s="16"/>
      <c r="U103" s="16"/>
      <c r="V103" s="16"/>
      <c r="W103" s="16"/>
      <c r="X103" s="16"/>
    </row>
    <row r="104" ht="15.75" customHeight="1">
      <c r="A104" s="313" t="s">
        <v>373</v>
      </c>
      <c r="B104" s="314"/>
      <c r="C104" s="315"/>
      <c r="D104" s="315"/>
      <c r="E104" s="317"/>
      <c r="F104" s="318" t="str">
        <f t="shared" si="1"/>
        <v>TP103 -  -  - </v>
      </c>
      <c r="G104" s="319">
        <f>SUMIF('ADV - FB'!L:L,$A104,'ADV - FB'!E:E)</f>
        <v>0</v>
      </c>
      <c r="H104" s="320" t="str">
        <f>IFERROR(SUMIF('ADV - FB'!L:L,$A104,'ADV - FB'!H:H)/(SUMIF('ADV - FB'!L:L,$A104,'ADV - FB'!G:G)),"-")</f>
        <v>-</v>
      </c>
      <c r="I104" s="321" t="str">
        <f>IFERROR(SUMIF('ADV - FB'!L:L,$A104,'ADV - FB'!E:E)/(SUMIF('ADV - FB'!L:L,$A104,'ADV - FB'!F:F)),"-")</f>
        <v>-</v>
      </c>
      <c r="J104" s="315">
        <f>SUMIF('ADV - FB'!L:L,$A104,'ADV - FB'!I:I)+SUMIF('ADV - FB'!L:L,$A104,'ADV - FB'!J:J)+SUMIF('ADV - FB'!L:L,$A104,'ADV - FB'!K:K)</f>
        <v>0</v>
      </c>
      <c r="K104" s="321" t="str">
        <f t="shared" si="2"/>
        <v>-</v>
      </c>
      <c r="L104" s="322"/>
      <c r="M104" s="322"/>
      <c r="N104" s="322"/>
      <c r="O104" s="322"/>
      <c r="P104" s="322"/>
      <c r="Q104" s="322"/>
      <c r="R104" s="322"/>
      <c r="S104" s="322"/>
      <c r="T104" s="16"/>
      <c r="U104" s="16"/>
      <c r="V104" s="16"/>
      <c r="W104" s="16"/>
      <c r="X104" s="16"/>
    </row>
    <row r="105" ht="15.75" customHeight="1">
      <c r="A105" s="313" t="s">
        <v>374</v>
      </c>
      <c r="B105" s="314"/>
      <c r="C105" s="315"/>
      <c r="D105" s="315"/>
      <c r="E105" s="317"/>
      <c r="F105" s="318" t="str">
        <f t="shared" si="1"/>
        <v>TP104 -  -  - </v>
      </c>
      <c r="G105" s="319">
        <f>SUMIF('ADV - FB'!L:L,$A105,'ADV - FB'!E:E)</f>
        <v>0</v>
      </c>
      <c r="H105" s="320" t="str">
        <f>IFERROR(SUMIF('ADV - FB'!L:L,$A105,'ADV - FB'!H:H)/(SUMIF('ADV - FB'!L:L,$A105,'ADV - FB'!G:G)),"-")</f>
        <v>-</v>
      </c>
      <c r="I105" s="321" t="str">
        <f>IFERROR(SUMIF('ADV - FB'!L:L,$A105,'ADV - FB'!E:E)/(SUMIF('ADV - FB'!L:L,$A105,'ADV - FB'!F:F)),"-")</f>
        <v>-</v>
      </c>
      <c r="J105" s="315">
        <f>SUMIF('ADV - FB'!L:L,$A105,'ADV - FB'!I:I)+SUMIF('ADV - FB'!L:L,$A105,'ADV - FB'!J:J)+SUMIF('ADV - FB'!L:L,$A105,'ADV - FB'!K:K)</f>
        <v>0</v>
      </c>
      <c r="K105" s="321" t="str">
        <f t="shared" si="2"/>
        <v>-</v>
      </c>
      <c r="L105" s="322"/>
      <c r="M105" s="322"/>
      <c r="N105" s="322"/>
      <c r="O105" s="322"/>
      <c r="P105" s="322"/>
      <c r="Q105" s="322"/>
      <c r="R105" s="322"/>
      <c r="S105" s="322"/>
      <c r="T105" s="16"/>
      <c r="U105" s="16"/>
      <c r="V105" s="16"/>
      <c r="W105" s="16"/>
      <c r="X105" s="16"/>
    </row>
    <row r="106" ht="15.75" customHeight="1">
      <c r="A106" s="313" t="s">
        <v>375</v>
      </c>
      <c r="B106" s="314"/>
      <c r="C106" s="315"/>
      <c r="D106" s="315"/>
      <c r="E106" s="317"/>
      <c r="F106" s="318" t="str">
        <f t="shared" si="1"/>
        <v>TP105 -  -  - </v>
      </c>
      <c r="G106" s="319">
        <f>SUMIF('ADV - FB'!L:L,$A106,'ADV - FB'!E:E)</f>
        <v>0</v>
      </c>
      <c r="H106" s="320" t="str">
        <f>IFERROR(SUMIF('ADV - FB'!L:L,$A106,'ADV - FB'!H:H)/(SUMIF('ADV - FB'!L:L,$A106,'ADV - FB'!G:G)),"-")</f>
        <v>-</v>
      </c>
      <c r="I106" s="321" t="str">
        <f>IFERROR(SUMIF('ADV - FB'!L:L,$A106,'ADV - FB'!E:E)/(SUMIF('ADV - FB'!L:L,$A106,'ADV - FB'!F:F)),"-")</f>
        <v>-</v>
      </c>
      <c r="J106" s="315">
        <f>SUMIF('ADV - FB'!L:L,$A106,'ADV - FB'!I:I)+SUMIF('ADV - FB'!L:L,$A106,'ADV - FB'!J:J)+SUMIF('ADV - FB'!L:L,$A106,'ADV - FB'!K:K)</f>
        <v>0</v>
      </c>
      <c r="K106" s="321" t="str">
        <f t="shared" si="2"/>
        <v>-</v>
      </c>
      <c r="L106" s="322"/>
      <c r="M106" s="322"/>
      <c r="N106" s="322"/>
      <c r="O106" s="322"/>
      <c r="P106" s="322"/>
      <c r="Q106" s="322"/>
      <c r="R106" s="322"/>
      <c r="S106" s="322"/>
      <c r="T106" s="16"/>
      <c r="U106" s="16"/>
      <c r="V106" s="16"/>
      <c r="W106" s="16"/>
      <c r="X106" s="16"/>
    </row>
    <row r="107" ht="15.75" customHeight="1">
      <c r="A107" s="313" t="s">
        <v>376</v>
      </c>
      <c r="B107" s="314"/>
      <c r="C107" s="315"/>
      <c r="D107" s="315"/>
      <c r="E107" s="317"/>
      <c r="F107" s="318" t="str">
        <f t="shared" si="1"/>
        <v>TP106 -  -  - </v>
      </c>
      <c r="G107" s="319">
        <f>SUMIF('ADV - FB'!L:L,$A107,'ADV - FB'!E:E)</f>
        <v>0</v>
      </c>
      <c r="H107" s="320" t="str">
        <f>IFERROR(SUMIF('ADV - FB'!L:L,$A107,'ADV - FB'!H:H)/(SUMIF('ADV - FB'!L:L,$A107,'ADV - FB'!G:G)),"-")</f>
        <v>-</v>
      </c>
      <c r="I107" s="321" t="str">
        <f>IFERROR(SUMIF('ADV - FB'!L:L,$A107,'ADV - FB'!E:E)/(SUMIF('ADV - FB'!L:L,$A107,'ADV - FB'!F:F)),"-")</f>
        <v>-</v>
      </c>
      <c r="J107" s="315">
        <f>SUMIF('ADV - FB'!L:L,$A107,'ADV - FB'!I:I)+SUMIF('ADV - FB'!L:L,$A107,'ADV - FB'!J:J)+SUMIF('ADV - FB'!L:L,$A107,'ADV - FB'!K:K)</f>
        <v>0</v>
      </c>
      <c r="K107" s="321" t="str">
        <f t="shared" si="2"/>
        <v>-</v>
      </c>
      <c r="L107" s="322"/>
      <c r="M107" s="322"/>
      <c r="N107" s="322"/>
      <c r="O107" s="322"/>
      <c r="P107" s="322"/>
      <c r="Q107" s="322"/>
      <c r="R107" s="322"/>
      <c r="S107" s="322"/>
      <c r="T107" s="16"/>
      <c r="U107" s="16"/>
      <c r="V107" s="16"/>
      <c r="W107" s="16"/>
      <c r="X107" s="16"/>
    </row>
    <row r="108" ht="15.75" customHeight="1">
      <c r="A108" s="313" t="s">
        <v>377</v>
      </c>
      <c r="B108" s="314"/>
      <c r="C108" s="315"/>
      <c r="D108" s="315"/>
      <c r="E108" s="317"/>
      <c r="F108" s="318" t="str">
        <f t="shared" si="1"/>
        <v>TP107 -  -  - </v>
      </c>
      <c r="G108" s="319">
        <f>SUMIF('ADV - FB'!L:L,$A108,'ADV - FB'!E:E)</f>
        <v>0</v>
      </c>
      <c r="H108" s="320" t="str">
        <f>IFERROR(SUMIF('ADV - FB'!L:L,$A108,'ADV - FB'!H:H)/(SUMIF('ADV - FB'!L:L,$A108,'ADV - FB'!G:G)),"-")</f>
        <v>-</v>
      </c>
      <c r="I108" s="321" t="str">
        <f>IFERROR(SUMIF('ADV - FB'!L:L,$A108,'ADV - FB'!E:E)/(SUMIF('ADV - FB'!L:L,$A108,'ADV - FB'!F:F)),"-")</f>
        <v>-</v>
      </c>
      <c r="J108" s="315">
        <f>SUMIF('ADV - FB'!L:L,$A108,'ADV - FB'!I:I)+SUMIF('ADV - FB'!L:L,$A108,'ADV - FB'!J:J)+SUMIF('ADV - FB'!L:L,$A108,'ADV - FB'!K:K)</f>
        <v>0</v>
      </c>
      <c r="K108" s="321" t="str">
        <f t="shared" si="2"/>
        <v>-</v>
      </c>
      <c r="L108" s="322"/>
      <c r="M108" s="322"/>
      <c r="N108" s="322"/>
      <c r="O108" s="322"/>
      <c r="P108" s="322"/>
      <c r="Q108" s="322"/>
      <c r="R108" s="322"/>
      <c r="S108" s="322"/>
      <c r="T108" s="16"/>
      <c r="U108" s="16"/>
      <c r="V108" s="16"/>
      <c r="W108" s="16"/>
      <c r="X108" s="16"/>
    </row>
    <row r="109" ht="15.75" customHeight="1">
      <c r="A109" s="313" t="s">
        <v>378</v>
      </c>
      <c r="B109" s="314"/>
      <c r="C109" s="315"/>
      <c r="D109" s="315"/>
      <c r="E109" s="317"/>
      <c r="F109" s="318" t="str">
        <f t="shared" si="1"/>
        <v>TP108 -  -  - </v>
      </c>
      <c r="G109" s="319">
        <f>SUMIF('ADV - FB'!L:L,$A109,'ADV - FB'!E:E)</f>
        <v>0</v>
      </c>
      <c r="H109" s="320" t="str">
        <f>IFERROR(SUMIF('ADV - FB'!L:L,$A109,'ADV - FB'!H:H)/(SUMIF('ADV - FB'!L:L,$A109,'ADV - FB'!G:G)),"-")</f>
        <v>-</v>
      </c>
      <c r="I109" s="321" t="str">
        <f>IFERROR(SUMIF('ADV - FB'!L:L,$A109,'ADV - FB'!E:E)/(SUMIF('ADV - FB'!L:L,$A109,'ADV - FB'!F:F)),"-")</f>
        <v>-</v>
      </c>
      <c r="J109" s="315">
        <f>SUMIF('ADV - FB'!L:L,$A109,'ADV - FB'!I:I)+SUMIF('ADV - FB'!L:L,$A109,'ADV - FB'!J:J)+SUMIF('ADV - FB'!L:L,$A109,'ADV - FB'!K:K)</f>
        <v>0</v>
      </c>
      <c r="K109" s="321" t="str">
        <f t="shared" si="2"/>
        <v>-</v>
      </c>
      <c r="L109" s="322"/>
      <c r="M109" s="322"/>
      <c r="N109" s="322"/>
      <c r="O109" s="322"/>
      <c r="P109" s="322"/>
      <c r="Q109" s="322"/>
      <c r="R109" s="322"/>
      <c r="S109" s="322"/>
      <c r="T109" s="16"/>
      <c r="U109" s="16"/>
      <c r="V109" s="16"/>
      <c r="W109" s="16"/>
      <c r="X109" s="16"/>
    </row>
    <row r="110" ht="15.75" customHeight="1">
      <c r="A110" s="313" t="s">
        <v>379</v>
      </c>
      <c r="B110" s="314"/>
      <c r="C110" s="315"/>
      <c r="D110" s="315"/>
      <c r="E110" s="317"/>
      <c r="F110" s="318" t="str">
        <f t="shared" si="1"/>
        <v>TP109 -  -  - </v>
      </c>
      <c r="G110" s="319">
        <f>SUMIF('ADV - FB'!L:L,$A110,'ADV - FB'!E:E)</f>
        <v>0</v>
      </c>
      <c r="H110" s="320" t="str">
        <f>IFERROR(SUMIF('ADV - FB'!L:L,$A110,'ADV - FB'!H:H)/(SUMIF('ADV - FB'!L:L,$A110,'ADV - FB'!G:G)),"-")</f>
        <v>-</v>
      </c>
      <c r="I110" s="321" t="str">
        <f>IFERROR(SUMIF('ADV - FB'!L:L,$A110,'ADV - FB'!E:E)/(SUMIF('ADV - FB'!L:L,$A110,'ADV - FB'!F:F)),"-")</f>
        <v>-</v>
      </c>
      <c r="J110" s="315">
        <f>SUMIF('ADV - FB'!L:L,$A110,'ADV - FB'!I:I)+SUMIF('ADV - FB'!L:L,$A110,'ADV - FB'!J:J)+SUMIF('ADV - FB'!L:L,$A110,'ADV - FB'!K:K)</f>
        <v>0</v>
      </c>
      <c r="K110" s="321" t="str">
        <f t="shared" si="2"/>
        <v>-</v>
      </c>
      <c r="L110" s="322"/>
      <c r="M110" s="322"/>
      <c r="N110" s="322"/>
      <c r="O110" s="322"/>
      <c r="P110" s="322"/>
      <c r="Q110" s="322"/>
      <c r="R110" s="322"/>
      <c r="S110" s="322"/>
      <c r="T110" s="16"/>
      <c r="U110" s="16"/>
      <c r="V110" s="16"/>
      <c r="W110" s="16"/>
      <c r="X110" s="16"/>
    </row>
    <row r="111" ht="15.75" customHeight="1">
      <c r="A111" s="313" t="s">
        <v>380</v>
      </c>
      <c r="B111" s="314"/>
      <c r="C111" s="315"/>
      <c r="D111" s="315"/>
      <c r="E111" s="317"/>
      <c r="F111" s="318" t="str">
        <f t="shared" si="1"/>
        <v>TP110 -  -  - </v>
      </c>
      <c r="G111" s="319">
        <f>SUMIF('ADV - FB'!L:L,$A111,'ADV - FB'!E:E)</f>
        <v>0</v>
      </c>
      <c r="H111" s="320" t="str">
        <f>IFERROR(SUMIF('ADV - FB'!L:L,$A111,'ADV - FB'!H:H)/(SUMIF('ADV - FB'!L:L,$A111,'ADV - FB'!G:G)),"-")</f>
        <v>-</v>
      </c>
      <c r="I111" s="321" t="str">
        <f>IFERROR(SUMIF('ADV - FB'!L:L,$A111,'ADV - FB'!E:E)/(SUMIF('ADV - FB'!L:L,$A111,'ADV - FB'!F:F)),"-")</f>
        <v>-</v>
      </c>
      <c r="J111" s="315">
        <f>SUMIF('ADV - FB'!L:L,$A111,'ADV - FB'!I:I)+SUMIF('ADV - FB'!L:L,$A111,'ADV - FB'!J:J)+SUMIF('ADV - FB'!L:L,$A111,'ADV - FB'!K:K)</f>
        <v>0</v>
      </c>
      <c r="K111" s="321" t="str">
        <f t="shared" si="2"/>
        <v>-</v>
      </c>
      <c r="L111" s="322"/>
      <c r="M111" s="322"/>
      <c r="N111" s="322"/>
      <c r="O111" s="322"/>
      <c r="P111" s="322"/>
      <c r="Q111" s="322"/>
      <c r="R111" s="322"/>
      <c r="S111" s="322"/>
      <c r="T111" s="16"/>
      <c r="U111" s="16"/>
      <c r="V111" s="16"/>
      <c r="W111" s="16"/>
      <c r="X111" s="16"/>
    </row>
    <row r="112" ht="15.75" customHeight="1">
      <c r="A112" s="313" t="s">
        <v>381</v>
      </c>
      <c r="B112" s="314"/>
      <c r="C112" s="315"/>
      <c r="D112" s="315"/>
      <c r="E112" s="317"/>
      <c r="F112" s="318" t="str">
        <f t="shared" si="1"/>
        <v>TP111 -  -  - </v>
      </c>
      <c r="G112" s="319">
        <f>SUMIF('ADV - FB'!L:L,$A112,'ADV - FB'!E:E)</f>
        <v>0</v>
      </c>
      <c r="H112" s="320" t="str">
        <f>IFERROR(SUMIF('ADV - FB'!L:L,$A112,'ADV - FB'!H:H)/(SUMIF('ADV - FB'!L:L,$A112,'ADV - FB'!G:G)),"-")</f>
        <v>-</v>
      </c>
      <c r="I112" s="321" t="str">
        <f>IFERROR(SUMIF('ADV - FB'!L:L,$A112,'ADV - FB'!E:E)/(SUMIF('ADV - FB'!L:L,$A112,'ADV - FB'!F:F)),"-")</f>
        <v>-</v>
      </c>
      <c r="J112" s="315">
        <f>SUMIF('ADV - FB'!L:L,$A112,'ADV - FB'!I:I)+SUMIF('ADV - FB'!L:L,$A112,'ADV - FB'!J:J)+SUMIF('ADV - FB'!L:L,$A112,'ADV - FB'!K:K)</f>
        <v>0</v>
      </c>
      <c r="K112" s="321" t="str">
        <f t="shared" si="2"/>
        <v>-</v>
      </c>
      <c r="L112" s="322"/>
      <c r="M112" s="322"/>
      <c r="N112" s="322"/>
      <c r="O112" s="322"/>
      <c r="P112" s="322"/>
      <c r="Q112" s="322"/>
      <c r="R112" s="322"/>
      <c r="S112" s="322"/>
      <c r="T112" s="16"/>
      <c r="U112" s="16"/>
      <c r="V112" s="16"/>
      <c r="W112" s="16"/>
      <c r="X112" s="16"/>
    </row>
    <row r="113" ht="15.75" customHeight="1">
      <c r="A113" s="313" t="s">
        <v>382</v>
      </c>
      <c r="B113" s="314"/>
      <c r="C113" s="315"/>
      <c r="D113" s="315"/>
      <c r="E113" s="317"/>
      <c r="F113" s="318" t="str">
        <f t="shared" si="1"/>
        <v>TP112 -  -  - </v>
      </c>
      <c r="G113" s="319">
        <f>SUMIF('ADV - FB'!L:L,$A113,'ADV - FB'!E:E)</f>
        <v>0</v>
      </c>
      <c r="H113" s="320" t="str">
        <f>IFERROR(SUMIF('ADV - FB'!L:L,$A113,'ADV - FB'!H:H)/(SUMIF('ADV - FB'!L:L,$A113,'ADV - FB'!G:G)),"-")</f>
        <v>-</v>
      </c>
      <c r="I113" s="321" t="str">
        <f>IFERROR(SUMIF('ADV - FB'!L:L,$A113,'ADV - FB'!E:E)/(SUMIF('ADV - FB'!L:L,$A113,'ADV - FB'!F:F)),"-")</f>
        <v>-</v>
      </c>
      <c r="J113" s="315">
        <f>SUMIF('ADV - FB'!L:L,$A113,'ADV - FB'!I:I)+SUMIF('ADV - FB'!L:L,$A113,'ADV - FB'!J:J)+SUMIF('ADV - FB'!L:L,$A113,'ADV - FB'!K:K)</f>
        <v>0</v>
      </c>
      <c r="K113" s="321" t="str">
        <f t="shared" si="2"/>
        <v>-</v>
      </c>
      <c r="L113" s="322"/>
      <c r="M113" s="322"/>
      <c r="N113" s="322"/>
      <c r="O113" s="322"/>
      <c r="P113" s="322"/>
      <c r="Q113" s="322"/>
      <c r="R113" s="322"/>
      <c r="S113" s="322"/>
      <c r="T113" s="16"/>
      <c r="U113" s="16"/>
      <c r="V113" s="16"/>
      <c r="W113" s="16"/>
      <c r="X113" s="16"/>
    </row>
    <row r="114" ht="15.75" customHeight="1">
      <c r="A114" s="313" t="s">
        <v>383</v>
      </c>
      <c r="B114" s="314"/>
      <c r="C114" s="315"/>
      <c r="D114" s="315"/>
      <c r="E114" s="317"/>
      <c r="F114" s="318" t="str">
        <f t="shared" si="1"/>
        <v>TP113 -  -  - </v>
      </c>
      <c r="G114" s="319">
        <f>SUMIF('ADV - FB'!L:L,$A114,'ADV - FB'!E:E)</f>
        <v>0</v>
      </c>
      <c r="H114" s="320" t="str">
        <f>IFERROR(SUMIF('ADV - FB'!L:L,$A114,'ADV - FB'!H:H)/(SUMIF('ADV - FB'!L:L,$A114,'ADV - FB'!G:G)),"-")</f>
        <v>-</v>
      </c>
      <c r="I114" s="321" t="str">
        <f>IFERROR(SUMIF('ADV - FB'!L:L,$A114,'ADV - FB'!E:E)/(SUMIF('ADV - FB'!L:L,$A114,'ADV - FB'!F:F)),"-")</f>
        <v>-</v>
      </c>
      <c r="J114" s="315">
        <f>SUMIF('ADV - FB'!L:L,$A114,'ADV - FB'!I:I)+SUMIF('ADV - FB'!L:L,$A114,'ADV - FB'!J:J)+SUMIF('ADV - FB'!L:L,$A114,'ADV - FB'!K:K)</f>
        <v>0</v>
      </c>
      <c r="K114" s="321" t="str">
        <f t="shared" si="2"/>
        <v>-</v>
      </c>
      <c r="L114" s="322"/>
      <c r="M114" s="322"/>
      <c r="N114" s="322"/>
      <c r="O114" s="322"/>
      <c r="P114" s="322"/>
      <c r="Q114" s="322"/>
      <c r="R114" s="322"/>
      <c r="S114" s="322"/>
      <c r="T114" s="16"/>
      <c r="U114" s="16"/>
      <c r="V114" s="16"/>
      <c r="W114" s="16"/>
      <c r="X114" s="16"/>
    </row>
    <row r="115" ht="15.75" customHeight="1">
      <c r="A115" s="313" t="s">
        <v>384</v>
      </c>
      <c r="B115" s="314"/>
      <c r="C115" s="315"/>
      <c r="D115" s="315"/>
      <c r="E115" s="317"/>
      <c r="F115" s="318" t="str">
        <f t="shared" si="1"/>
        <v>TP114 -  -  - </v>
      </c>
      <c r="G115" s="319">
        <f>SUMIF('ADV - FB'!L:L,$A115,'ADV - FB'!E:E)</f>
        <v>0</v>
      </c>
      <c r="H115" s="320" t="str">
        <f>IFERROR(SUMIF('ADV - FB'!L:L,$A115,'ADV - FB'!H:H)/(SUMIF('ADV - FB'!L:L,$A115,'ADV - FB'!G:G)),"-")</f>
        <v>-</v>
      </c>
      <c r="I115" s="321" t="str">
        <f>IFERROR(SUMIF('ADV - FB'!L:L,$A115,'ADV - FB'!E:E)/(SUMIF('ADV - FB'!L:L,$A115,'ADV - FB'!F:F)),"-")</f>
        <v>-</v>
      </c>
      <c r="J115" s="315">
        <f>SUMIF('ADV - FB'!L:L,$A115,'ADV - FB'!I:I)+SUMIF('ADV - FB'!L:L,$A115,'ADV - FB'!J:J)+SUMIF('ADV - FB'!L:L,$A115,'ADV - FB'!K:K)</f>
        <v>0</v>
      </c>
      <c r="K115" s="321" t="str">
        <f t="shared" si="2"/>
        <v>-</v>
      </c>
      <c r="L115" s="322"/>
      <c r="M115" s="322"/>
      <c r="N115" s="322"/>
      <c r="O115" s="322"/>
      <c r="P115" s="322"/>
      <c r="Q115" s="322"/>
      <c r="R115" s="322"/>
      <c r="S115" s="322"/>
      <c r="T115" s="16"/>
      <c r="U115" s="16"/>
      <c r="V115" s="16"/>
      <c r="W115" s="16"/>
      <c r="X115" s="16"/>
    </row>
    <row r="116" ht="15.75" customHeight="1">
      <c r="A116" s="313" t="s">
        <v>385</v>
      </c>
      <c r="B116" s="314"/>
      <c r="C116" s="315"/>
      <c r="D116" s="315"/>
      <c r="E116" s="317"/>
      <c r="F116" s="318" t="str">
        <f t="shared" si="1"/>
        <v>TP115 -  -  - </v>
      </c>
      <c r="G116" s="319">
        <f>SUMIF('ADV - FB'!L:L,$A116,'ADV - FB'!E:E)</f>
        <v>0</v>
      </c>
      <c r="H116" s="320" t="str">
        <f>IFERROR(SUMIF('ADV - FB'!L:L,$A116,'ADV - FB'!H:H)/(SUMIF('ADV - FB'!L:L,$A116,'ADV - FB'!G:G)),"-")</f>
        <v>-</v>
      </c>
      <c r="I116" s="321" t="str">
        <f>IFERROR(SUMIF('ADV - FB'!L:L,$A116,'ADV - FB'!E:E)/(SUMIF('ADV - FB'!L:L,$A116,'ADV - FB'!F:F)),"-")</f>
        <v>-</v>
      </c>
      <c r="J116" s="315">
        <f>SUMIF('ADV - FB'!L:L,$A116,'ADV - FB'!I:I)+SUMIF('ADV - FB'!L:L,$A116,'ADV - FB'!J:J)+SUMIF('ADV - FB'!L:L,$A116,'ADV - FB'!K:K)</f>
        <v>0</v>
      </c>
      <c r="K116" s="321" t="str">
        <f t="shared" si="2"/>
        <v>-</v>
      </c>
      <c r="L116" s="322"/>
      <c r="M116" s="322"/>
      <c r="N116" s="322"/>
      <c r="O116" s="322"/>
      <c r="P116" s="322"/>
      <c r="Q116" s="322"/>
      <c r="R116" s="322"/>
      <c r="S116" s="322"/>
      <c r="T116" s="16"/>
      <c r="U116" s="16"/>
      <c r="V116" s="16"/>
      <c r="W116" s="16"/>
      <c r="X116" s="16"/>
    </row>
    <row r="117" ht="15.75" customHeight="1">
      <c r="A117" s="313" t="s">
        <v>386</v>
      </c>
      <c r="B117" s="314"/>
      <c r="C117" s="315"/>
      <c r="D117" s="315"/>
      <c r="E117" s="317"/>
      <c r="F117" s="318" t="str">
        <f t="shared" si="1"/>
        <v>TP116 -  -  - </v>
      </c>
      <c r="G117" s="319">
        <f>SUMIF('ADV - FB'!L:L,$A117,'ADV - FB'!E:E)</f>
        <v>0</v>
      </c>
      <c r="H117" s="320" t="str">
        <f>IFERROR(SUMIF('ADV - FB'!L:L,$A117,'ADV - FB'!H:H)/(SUMIF('ADV - FB'!L:L,$A117,'ADV - FB'!G:G)),"-")</f>
        <v>-</v>
      </c>
      <c r="I117" s="321" t="str">
        <f>IFERROR(SUMIF('ADV - FB'!L:L,$A117,'ADV - FB'!E:E)/(SUMIF('ADV - FB'!L:L,$A117,'ADV - FB'!F:F)),"-")</f>
        <v>-</v>
      </c>
      <c r="J117" s="315">
        <f>SUMIF('ADV - FB'!L:L,$A117,'ADV - FB'!I:I)+SUMIF('ADV - FB'!L:L,$A117,'ADV - FB'!J:J)+SUMIF('ADV - FB'!L:L,$A117,'ADV - FB'!K:K)</f>
        <v>0</v>
      </c>
      <c r="K117" s="321" t="str">
        <f t="shared" si="2"/>
        <v>-</v>
      </c>
      <c r="L117" s="322"/>
      <c r="M117" s="322"/>
      <c r="N117" s="322"/>
      <c r="O117" s="322"/>
      <c r="P117" s="322"/>
      <c r="Q117" s="322"/>
      <c r="R117" s="322"/>
      <c r="S117" s="322"/>
      <c r="T117" s="16"/>
      <c r="U117" s="16"/>
      <c r="V117" s="16"/>
      <c r="W117" s="16"/>
      <c r="X117" s="16"/>
    </row>
    <row r="118" ht="15.75" customHeight="1">
      <c r="A118" s="313" t="s">
        <v>387</v>
      </c>
      <c r="B118" s="314"/>
      <c r="C118" s="315"/>
      <c r="D118" s="315"/>
      <c r="E118" s="317"/>
      <c r="F118" s="318" t="str">
        <f t="shared" si="1"/>
        <v>TP117 -  -  - </v>
      </c>
      <c r="G118" s="319">
        <f>SUMIF('ADV - FB'!L:L,$A118,'ADV - FB'!E:E)</f>
        <v>0</v>
      </c>
      <c r="H118" s="320" t="str">
        <f>IFERROR(SUMIF('ADV - FB'!L:L,$A118,'ADV - FB'!H:H)/(SUMIF('ADV - FB'!L:L,$A118,'ADV - FB'!G:G)),"-")</f>
        <v>-</v>
      </c>
      <c r="I118" s="321" t="str">
        <f>IFERROR(SUMIF('ADV - FB'!L:L,$A118,'ADV - FB'!E:E)/(SUMIF('ADV - FB'!L:L,$A118,'ADV - FB'!F:F)),"-")</f>
        <v>-</v>
      </c>
      <c r="J118" s="315">
        <f>SUMIF('ADV - FB'!L:L,$A118,'ADV - FB'!I:I)+SUMIF('ADV - FB'!L:L,$A118,'ADV - FB'!J:J)+SUMIF('ADV - FB'!L:L,$A118,'ADV - FB'!K:K)</f>
        <v>0</v>
      </c>
      <c r="K118" s="321" t="str">
        <f t="shared" si="2"/>
        <v>-</v>
      </c>
      <c r="L118" s="322"/>
      <c r="M118" s="322"/>
      <c r="N118" s="322"/>
      <c r="O118" s="322"/>
      <c r="P118" s="322"/>
      <c r="Q118" s="322"/>
      <c r="R118" s="322"/>
      <c r="S118" s="322"/>
      <c r="T118" s="16"/>
      <c r="U118" s="16"/>
      <c r="V118" s="16"/>
      <c r="W118" s="16"/>
      <c r="X118" s="16"/>
    </row>
    <row r="119" ht="15.75" customHeight="1">
      <c r="A119" s="313" t="s">
        <v>388</v>
      </c>
      <c r="B119" s="314"/>
      <c r="C119" s="315"/>
      <c r="D119" s="315"/>
      <c r="E119" s="317"/>
      <c r="F119" s="318" t="str">
        <f t="shared" si="1"/>
        <v>TP118 -  -  - </v>
      </c>
      <c r="G119" s="319">
        <f>SUMIF('ADV - FB'!L:L,$A119,'ADV - FB'!E:E)</f>
        <v>0</v>
      </c>
      <c r="H119" s="320" t="str">
        <f>IFERROR(SUMIF('ADV - FB'!L:L,$A119,'ADV - FB'!H:H)/(SUMIF('ADV - FB'!L:L,$A119,'ADV - FB'!G:G)),"-")</f>
        <v>-</v>
      </c>
      <c r="I119" s="321" t="str">
        <f>IFERROR(SUMIF('ADV - FB'!L:L,$A119,'ADV - FB'!E:E)/(SUMIF('ADV - FB'!L:L,$A119,'ADV - FB'!F:F)),"-")</f>
        <v>-</v>
      </c>
      <c r="J119" s="315">
        <f>SUMIF('ADV - FB'!L:L,$A119,'ADV - FB'!I:I)+SUMIF('ADV - FB'!L:L,$A119,'ADV - FB'!J:J)+SUMIF('ADV - FB'!L:L,$A119,'ADV - FB'!K:K)</f>
        <v>0</v>
      </c>
      <c r="K119" s="321" t="str">
        <f t="shared" si="2"/>
        <v>-</v>
      </c>
      <c r="L119" s="322"/>
      <c r="M119" s="322"/>
      <c r="N119" s="322"/>
      <c r="O119" s="322"/>
      <c r="P119" s="322"/>
      <c r="Q119" s="322"/>
      <c r="R119" s="322"/>
      <c r="S119" s="322"/>
      <c r="T119" s="16"/>
      <c r="U119" s="16"/>
      <c r="V119" s="16"/>
      <c r="W119" s="16"/>
      <c r="X119" s="16"/>
    </row>
    <row r="120" ht="15.75" customHeight="1">
      <c r="A120" s="313" t="s">
        <v>389</v>
      </c>
      <c r="B120" s="314"/>
      <c r="C120" s="315"/>
      <c r="D120" s="315"/>
      <c r="E120" s="317"/>
      <c r="F120" s="318" t="str">
        <f t="shared" si="1"/>
        <v>TP119 -  -  - </v>
      </c>
      <c r="G120" s="319">
        <f>SUMIF('ADV - FB'!L:L,$A120,'ADV - FB'!E:E)</f>
        <v>0</v>
      </c>
      <c r="H120" s="320" t="str">
        <f>IFERROR(SUMIF('ADV - FB'!L:L,$A120,'ADV - FB'!H:H)/(SUMIF('ADV - FB'!L:L,$A120,'ADV - FB'!G:G)),"-")</f>
        <v>-</v>
      </c>
      <c r="I120" s="321" t="str">
        <f>IFERROR(SUMIF('ADV - FB'!L:L,$A120,'ADV - FB'!E:E)/(SUMIF('ADV - FB'!L:L,$A120,'ADV - FB'!F:F)),"-")</f>
        <v>-</v>
      </c>
      <c r="J120" s="315">
        <f>SUMIF('ADV - FB'!L:L,$A120,'ADV - FB'!I:I)+SUMIF('ADV - FB'!L:L,$A120,'ADV - FB'!J:J)+SUMIF('ADV - FB'!L:L,$A120,'ADV - FB'!K:K)</f>
        <v>0</v>
      </c>
      <c r="K120" s="321" t="str">
        <f t="shared" si="2"/>
        <v>-</v>
      </c>
      <c r="L120" s="322"/>
      <c r="M120" s="322"/>
      <c r="N120" s="322"/>
      <c r="O120" s="322"/>
      <c r="P120" s="322"/>
      <c r="Q120" s="322"/>
      <c r="R120" s="322"/>
      <c r="S120" s="322"/>
      <c r="T120" s="16"/>
      <c r="U120" s="16"/>
      <c r="V120" s="16"/>
      <c r="W120" s="16"/>
      <c r="X120" s="16"/>
    </row>
    <row r="121" ht="15.75" customHeight="1">
      <c r="A121" s="313" t="s">
        <v>390</v>
      </c>
      <c r="B121" s="314"/>
      <c r="C121" s="315"/>
      <c r="D121" s="315"/>
      <c r="E121" s="317"/>
      <c r="F121" s="318" t="str">
        <f t="shared" si="1"/>
        <v>TP120 -  -  - </v>
      </c>
      <c r="G121" s="319">
        <f>SUMIF('ADV - FB'!L:L,$A121,'ADV - FB'!E:E)</f>
        <v>0</v>
      </c>
      <c r="H121" s="320" t="str">
        <f>IFERROR(SUMIF('ADV - FB'!L:L,$A121,'ADV - FB'!H:H)/(SUMIF('ADV - FB'!L:L,$A121,'ADV - FB'!G:G)),"-")</f>
        <v>-</v>
      </c>
      <c r="I121" s="321" t="str">
        <f>IFERROR(SUMIF('ADV - FB'!L:L,$A121,'ADV - FB'!E:E)/(SUMIF('ADV - FB'!L:L,$A121,'ADV - FB'!F:F)),"-")</f>
        <v>-</v>
      </c>
      <c r="J121" s="315">
        <f>SUMIF('ADV - FB'!L:L,$A121,'ADV - FB'!I:I)+SUMIF('ADV - FB'!L:L,$A121,'ADV - FB'!J:J)+SUMIF('ADV - FB'!L:L,$A121,'ADV - FB'!K:K)</f>
        <v>0</v>
      </c>
      <c r="K121" s="321" t="str">
        <f t="shared" si="2"/>
        <v>-</v>
      </c>
      <c r="L121" s="322"/>
      <c r="M121" s="322"/>
      <c r="N121" s="322"/>
      <c r="O121" s="322"/>
      <c r="P121" s="322"/>
      <c r="Q121" s="322"/>
      <c r="R121" s="322"/>
      <c r="S121" s="322"/>
      <c r="T121" s="16"/>
      <c r="U121" s="16"/>
      <c r="V121" s="16"/>
      <c r="W121" s="16"/>
      <c r="X121" s="16"/>
    </row>
    <row r="122" ht="15.75" customHeight="1">
      <c r="A122" s="313" t="s">
        <v>391</v>
      </c>
      <c r="B122" s="314"/>
      <c r="C122" s="315"/>
      <c r="D122" s="315"/>
      <c r="E122" s="317"/>
      <c r="F122" s="318" t="str">
        <f t="shared" si="1"/>
        <v>TP121 -  -  - </v>
      </c>
      <c r="G122" s="319">
        <f>SUMIF('ADV - FB'!L:L,$A122,'ADV - FB'!E:E)</f>
        <v>0</v>
      </c>
      <c r="H122" s="320" t="str">
        <f>IFERROR(SUMIF('ADV - FB'!L:L,$A122,'ADV - FB'!H:H)/(SUMIF('ADV - FB'!L:L,$A122,'ADV - FB'!G:G)),"-")</f>
        <v>-</v>
      </c>
      <c r="I122" s="321" t="str">
        <f>IFERROR(SUMIF('ADV - FB'!L:L,$A122,'ADV - FB'!E:E)/(SUMIF('ADV - FB'!L:L,$A122,'ADV - FB'!F:F)),"-")</f>
        <v>-</v>
      </c>
      <c r="J122" s="315">
        <f>SUMIF('ADV - FB'!L:L,$A122,'ADV - FB'!I:I)+SUMIF('ADV - FB'!L:L,$A122,'ADV - FB'!J:J)+SUMIF('ADV - FB'!L:L,$A122,'ADV - FB'!K:K)</f>
        <v>0</v>
      </c>
      <c r="K122" s="321" t="str">
        <f t="shared" si="2"/>
        <v>-</v>
      </c>
      <c r="L122" s="322"/>
      <c r="M122" s="322"/>
      <c r="N122" s="322"/>
      <c r="O122" s="322"/>
      <c r="P122" s="322"/>
      <c r="Q122" s="322"/>
      <c r="R122" s="322"/>
      <c r="S122" s="322"/>
      <c r="T122" s="16"/>
      <c r="U122" s="16"/>
      <c r="V122" s="16"/>
      <c r="W122" s="16"/>
      <c r="X122" s="16"/>
    </row>
    <row r="123" ht="15.75" customHeight="1">
      <c r="A123" s="313" t="s">
        <v>392</v>
      </c>
      <c r="B123" s="314"/>
      <c r="C123" s="315"/>
      <c r="D123" s="315"/>
      <c r="E123" s="317"/>
      <c r="F123" s="318" t="str">
        <f t="shared" si="1"/>
        <v>TP122 -  -  - </v>
      </c>
      <c r="G123" s="319">
        <f>SUMIF('ADV - FB'!L:L,$A123,'ADV - FB'!E:E)</f>
        <v>0</v>
      </c>
      <c r="H123" s="320" t="str">
        <f>IFERROR(SUMIF('ADV - FB'!L:L,$A123,'ADV - FB'!H:H)/(SUMIF('ADV - FB'!L:L,$A123,'ADV - FB'!G:G)),"-")</f>
        <v>-</v>
      </c>
      <c r="I123" s="321" t="str">
        <f>IFERROR(SUMIF('ADV - FB'!L:L,$A123,'ADV - FB'!E:E)/(SUMIF('ADV - FB'!L:L,$A123,'ADV - FB'!F:F)),"-")</f>
        <v>-</v>
      </c>
      <c r="J123" s="315">
        <f>SUMIF('ADV - FB'!L:L,$A123,'ADV - FB'!I:I)+SUMIF('ADV - FB'!L:L,$A123,'ADV - FB'!J:J)+SUMIF('ADV - FB'!L:L,$A123,'ADV - FB'!K:K)</f>
        <v>0</v>
      </c>
      <c r="K123" s="321" t="str">
        <f t="shared" si="2"/>
        <v>-</v>
      </c>
      <c r="L123" s="322"/>
      <c r="M123" s="322"/>
      <c r="N123" s="322"/>
      <c r="O123" s="322"/>
      <c r="P123" s="322"/>
      <c r="Q123" s="322"/>
      <c r="R123" s="322"/>
      <c r="S123" s="322"/>
      <c r="T123" s="16"/>
      <c r="U123" s="16"/>
      <c r="V123" s="16"/>
      <c r="W123" s="16"/>
      <c r="X123" s="16"/>
    </row>
    <row r="124" ht="15.75" customHeight="1">
      <c r="A124" s="313" t="s">
        <v>393</v>
      </c>
      <c r="B124" s="314"/>
      <c r="C124" s="315"/>
      <c r="D124" s="315"/>
      <c r="E124" s="317"/>
      <c r="F124" s="318" t="str">
        <f t="shared" si="1"/>
        <v>TP123 -  -  - </v>
      </c>
      <c r="G124" s="319">
        <f>SUMIF('ADV - FB'!L:L,$A124,'ADV - FB'!E:E)</f>
        <v>0</v>
      </c>
      <c r="H124" s="320" t="str">
        <f>IFERROR(SUMIF('ADV - FB'!L:L,$A124,'ADV - FB'!H:H)/(SUMIF('ADV - FB'!L:L,$A124,'ADV - FB'!G:G)),"-")</f>
        <v>-</v>
      </c>
      <c r="I124" s="321" t="str">
        <f>IFERROR(SUMIF('ADV - FB'!L:L,$A124,'ADV - FB'!E:E)/(SUMIF('ADV - FB'!L:L,$A124,'ADV - FB'!F:F)),"-")</f>
        <v>-</v>
      </c>
      <c r="J124" s="315">
        <f>SUMIF('ADV - FB'!L:L,$A124,'ADV - FB'!I:I)+SUMIF('ADV - FB'!L:L,$A124,'ADV - FB'!J:J)+SUMIF('ADV - FB'!L:L,$A124,'ADV - FB'!K:K)</f>
        <v>0</v>
      </c>
      <c r="K124" s="321" t="str">
        <f t="shared" si="2"/>
        <v>-</v>
      </c>
      <c r="L124" s="322"/>
      <c r="M124" s="322"/>
      <c r="N124" s="322"/>
      <c r="O124" s="322"/>
      <c r="P124" s="322"/>
      <c r="Q124" s="322"/>
      <c r="R124" s="322"/>
      <c r="S124" s="322"/>
      <c r="T124" s="16"/>
      <c r="U124" s="16"/>
      <c r="V124" s="16"/>
      <c r="W124" s="16"/>
      <c r="X124" s="16"/>
    </row>
    <row r="125" ht="15.75" customHeight="1">
      <c r="A125" s="313" t="s">
        <v>394</v>
      </c>
      <c r="B125" s="314"/>
      <c r="C125" s="315"/>
      <c r="D125" s="315"/>
      <c r="E125" s="317"/>
      <c r="F125" s="318" t="str">
        <f t="shared" si="1"/>
        <v>TP124 -  -  - </v>
      </c>
      <c r="G125" s="319">
        <f>SUMIF('ADV - FB'!L:L,$A125,'ADV - FB'!E:E)</f>
        <v>0</v>
      </c>
      <c r="H125" s="320" t="str">
        <f>IFERROR(SUMIF('ADV - FB'!L:L,$A125,'ADV - FB'!H:H)/(SUMIF('ADV - FB'!L:L,$A125,'ADV - FB'!G:G)),"-")</f>
        <v>-</v>
      </c>
      <c r="I125" s="321" t="str">
        <f>IFERROR(SUMIF('ADV - FB'!L:L,$A125,'ADV - FB'!E:E)/(SUMIF('ADV - FB'!L:L,$A125,'ADV - FB'!F:F)),"-")</f>
        <v>-</v>
      </c>
      <c r="J125" s="315">
        <f>SUMIF('ADV - FB'!L:L,$A125,'ADV - FB'!I:I)+SUMIF('ADV - FB'!L:L,$A125,'ADV - FB'!J:J)+SUMIF('ADV - FB'!L:L,$A125,'ADV - FB'!K:K)</f>
        <v>0</v>
      </c>
      <c r="K125" s="321" t="str">
        <f t="shared" si="2"/>
        <v>-</v>
      </c>
      <c r="L125" s="322"/>
      <c r="M125" s="322"/>
      <c r="N125" s="322"/>
      <c r="O125" s="322"/>
      <c r="P125" s="322"/>
      <c r="Q125" s="322"/>
      <c r="R125" s="322"/>
      <c r="S125" s="322"/>
      <c r="T125" s="16"/>
      <c r="U125" s="16"/>
      <c r="V125" s="16"/>
      <c r="W125" s="16"/>
      <c r="X125" s="16"/>
    </row>
    <row r="126" ht="15.75" customHeight="1">
      <c r="A126" s="313" t="s">
        <v>395</v>
      </c>
      <c r="B126" s="314"/>
      <c r="C126" s="315"/>
      <c r="D126" s="315"/>
      <c r="E126" s="317"/>
      <c r="F126" s="318" t="str">
        <f t="shared" si="1"/>
        <v>TP125 -  -  - </v>
      </c>
      <c r="G126" s="319">
        <f>SUMIF('ADV - FB'!L:L,$A126,'ADV - FB'!E:E)</f>
        <v>0</v>
      </c>
      <c r="H126" s="320" t="str">
        <f>IFERROR(SUMIF('ADV - FB'!L:L,$A126,'ADV - FB'!H:H)/(SUMIF('ADV - FB'!L:L,$A126,'ADV - FB'!G:G)),"-")</f>
        <v>-</v>
      </c>
      <c r="I126" s="321" t="str">
        <f>IFERROR(SUMIF('ADV - FB'!L:L,$A126,'ADV - FB'!E:E)/(SUMIF('ADV - FB'!L:L,$A126,'ADV - FB'!F:F)),"-")</f>
        <v>-</v>
      </c>
      <c r="J126" s="315">
        <f>SUMIF('ADV - FB'!L:L,$A126,'ADV - FB'!I:I)+SUMIF('ADV - FB'!L:L,$A126,'ADV - FB'!J:J)+SUMIF('ADV - FB'!L:L,$A126,'ADV - FB'!K:K)</f>
        <v>0</v>
      </c>
      <c r="K126" s="321" t="str">
        <f t="shared" si="2"/>
        <v>-</v>
      </c>
      <c r="L126" s="322"/>
      <c r="M126" s="322"/>
      <c r="N126" s="322"/>
      <c r="O126" s="322"/>
      <c r="P126" s="322"/>
      <c r="Q126" s="322"/>
      <c r="R126" s="322"/>
      <c r="S126" s="322"/>
      <c r="T126" s="16"/>
      <c r="U126" s="16"/>
      <c r="V126" s="16"/>
      <c r="W126" s="16"/>
      <c r="X126" s="16"/>
    </row>
    <row r="127" ht="15.75" customHeight="1">
      <c r="A127" s="313" t="s">
        <v>396</v>
      </c>
      <c r="B127" s="314"/>
      <c r="C127" s="315"/>
      <c r="D127" s="315"/>
      <c r="E127" s="317"/>
      <c r="F127" s="318" t="str">
        <f t="shared" si="1"/>
        <v>TP126 -  -  - </v>
      </c>
      <c r="G127" s="319">
        <f>SUMIF('ADV - FB'!L:L,$A127,'ADV - FB'!E:E)</f>
        <v>0</v>
      </c>
      <c r="H127" s="320" t="str">
        <f>IFERROR(SUMIF('ADV - FB'!L:L,$A127,'ADV - FB'!H:H)/(SUMIF('ADV - FB'!L:L,$A127,'ADV - FB'!G:G)),"-")</f>
        <v>-</v>
      </c>
      <c r="I127" s="321" t="str">
        <f>IFERROR(SUMIF('ADV - FB'!L:L,$A127,'ADV - FB'!E:E)/(SUMIF('ADV - FB'!L:L,$A127,'ADV - FB'!F:F)),"-")</f>
        <v>-</v>
      </c>
      <c r="J127" s="315">
        <f>SUMIF('ADV - FB'!L:L,$A127,'ADV - FB'!I:I)+SUMIF('ADV - FB'!L:L,$A127,'ADV - FB'!J:J)+SUMIF('ADV - FB'!L:L,$A127,'ADV - FB'!K:K)</f>
        <v>0</v>
      </c>
      <c r="K127" s="321" t="str">
        <f t="shared" si="2"/>
        <v>-</v>
      </c>
      <c r="L127" s="322"/>
      <c r="M127" s="322"/>
      <c r="N127" s="322"/>
      <c r="O127" s="322"/>
      <c r="P127" s="322"/>
      <c r="Q127" s="322"/>
      <c r="R127" s="322"/>
      <c r="S127" s="322"/>
      <c r="T127" s="16"/>
      <c r="U127" s="16"/>
      <c r="V127" s="16"/>
      <c r="W127" s="16"/>
      <c r="X127" s="16"/>
    </row>
    <row r="128" ht="15.75" customHeight="1">
      <c r="A128" s="313" t="s">
        <v>397</v>
      </c>
      <c r="B128" s="314"/>
      <c r="C128" s="315"/>
      <c r="D128" s="315"/>
      <c r="E128" s="317"/>
      <c r="F128" s="318" t="str">
        <f t="shared" si="1"/>
        <v>TP127 -  -  - </v>
      </c>
      <c r="G128" s="319">
        <f>SUMIF('ADV - FB'!L:L,$A128,'ADV - FB'!E:E)</f>
        <v>0</v>
      </c>
      <c r="H128" s="320" t="str">
        <f>IFERROR(SUMIF('ADV - FB'!L:L,$A128,'ADV - FB'!H:H)/(SUMIF('ADV - FB'!L:L,$A128,'ADV - FB'!G:G)),"-")</f>
        <v>-</v>
      </c>
      <c r="I128" s="321" t="str">
        <f>IFERROR(SUMIF('ADV - FB'!L:L,$A128,'ADV - FB'!E:E)/(SUMIF('ADV - FB'!L:L,$A128,'ADV - FB'!F:F)),"-")</f>
        <v>-</v>
      </c>
      <c r="J128" s="315">
        <f>SUMIF('ADV - FB'!L:L,$A128,'ADV - FB'!I:I)+SUMIF('ADV - FB'!L:L,$A128,'ADV - FB'!J:J)+SUMIF('ADV - FB'!L:L,$A128,'ADV - FB'!K:K)</f>
        <v>0</v>
      </c>
      <c r="K128" s="321" t="str">
        <f t="shared" si="2"/>
        <v>-</v>
      </c>
      <c r="L128" s="322"/>
      <c r="M128" s="322"/>
      <c r="N128" s="322"/>
      <c r="O128" s="322"/>
      <c r="P128" s="322"/>
      <c r="Q128" s="322"/>
      <c r="R128" s="322"/>
      <c r="S128" s="322"/>
      <c r="T128" s="16"/>
      <c r="U128" s="16"/>
      <c r="V128" s="16"/>
      <c r="W128" s="16"/>
      <c r="X128" s="16"/>
    </row>
    <row r="129" ht="15.75" customHeight="1">
      <c r="A129" s="313" t="s">
        <v>398</v>
      </c>
      <c r="B129" s="314"/>
      <c r="C129" s="315"/>
      <c r="D129" s="315"/>
      <c r="E129" s="317"/>
      <c r="F129" s="318" t="str">
        <f t="shared" si="1"/>
        <v>TP128 -  -  - </v>
      </c>
      <c r="G129" s="319">
        <f>SUMIF('ADV - FB'!L:L,$A129,'ADV - FB'!E:E)</f>
        <v>0</v>
      </c>
      <c r="H129" s="320" t="str">
        <f>IFERROR(SUMIF('ADV - FB'!L:L,$A129,'ADV - FB'!H:H)/(SUMIF('ADV - FB'!L:L,$A129,'ADV - FB'!G:G)),"-")</f>
        <v>-</v>
      </c>
      <c r="I129" s="321" t="str">
        <f>IFERROR(SUMIF('ADV - FB'!L:L,$A129,'ADV - FB'!E:E)/(SUMIF('ADV - FB'!L:L,$A129,'ADV - FB'!F:F)),"-")</f>
        <v>-</v>
      </c>
      <c r="J129" s="315">
        <f>SUMIF('ADV - FB'!L:L,$A129,'ADV - FB'!I:I)+SUMIF('ADV - FB'!L:L,$A129,'ADV - FB'!J:J)+SUMIF('ADV - FB'!L:L,$A129,'ADV - FB'!K:K)</f>
        <v>0</v>
      </c>
      <c r="K129" s="321" t="str">
        <f t="shared" si="2"/>
        <v>-</v>
      </c>
      <c r="L129" s="322"/>
      <c r="M129" s="322"/>
      <c r="N129" s="322"/>
      <c r="O129" s="322"/>
      <c r="P129" s="322"/>
      <c r="Q129" s="322"/>
      <c r="R129" s="322"/>
      <c r="S129" s="322"/>
      <c r="T129" s="16"/>
      <c r="U129" s="16"/>
      <c r="V129" s="16"/>
      <c r="W129" s="16"/>
      <c r="X129" s="16"/>
    </row>
    <row r="130" ht="15.75" customHeight="1">
      <c r="A130" s="313" t="s">
        <v>399</v>
      </c>
      <c r="B130" s="314"/>
      <c r="C130" s="315"/>
      <c r="D130" s="315"/>
      <c r="E130" s="317"/>
      <c r="F130" s="318" t="str">
        <f t="shared" si="1"/>
        <v>TP129 -  -  - </v>
      </c>
      <c r="G130" s="319">
        <f>SUMIF('ADV - FB'!L:L,$A130,'ADV - FB'!E:E)</f>
        <v>0</v>
      </c>
      <c r="H130" s="320" t="str">
        <f>IFERROR(SUMIF('ADV - FB'!L:L,$A130,'ADV - FB'!H:H)/(SUMIF('ADV - FB'!L:L,$A130,'ADV - FB'!G:G)),"-")</f>
        <v>-</v>
      </c>
      <c r="I130" s="321" t="str">
        <f>IFERROR(SUMIF('ADV - FB'!L:L,$A130,'ADV - FB'!E:E)/(SUMIF('ADV - FB'!L:L,$A130,'ADV - FB'!F:F)),"-")</f>
        <v>-</v>
      </c>
      <c r="J130" s="315">
        <f>SUMIF('ADV - FB'!L:L,$A130,'ADV - FB'!I:I)+SUMIF('ADV - FB'!L:L,$A130,'ADV - FB'!J:J)+SUMIF('ADV - FB'!L:L,$A130,'ADV - FB'!K:K)</f>
        <v>0</v>
      </c>
      <c r="K130" s="321" t="str">
        <f t="shared" si="2"/>
        <v>-</v>
      </c>
      <c r="L130" s="322"/>
      <c r="M130" s="322"/>
      <c r="N130" s="322"/>
      <c r="O130" s="322"/>
      <c r="P130" s="322"/>
      <c r="Q130" s="322"/>
      <c r="R130" s="322"/>
      <c r="S130" s="322"/>
      <c r="T130" s="16"/>
      <c r="U130" s="16"/>
      <c r="V130" s="16"/>
      <c r="W130" s="16"/>
      <c r="X130" s="16"/>
    </row>
    <row r="131" ht="15.75" customHeight="1">
      <c r="A131" s="313" t="s">
        <v>400</v>
      </c>
      <c r="B131" s="314"/>
      <c r="C131" s="315"/>
      <c r="D131" s="315"/>
      <c r="E131" s="317"/>
      <c r="F131" s="318" t="str">
        <f t="shared" si="1"/>
        <v>TP130 -  -  - </v>
      </c>
      <c r="G131" s="319">
        <f>SUMIF('ADV - FB'!L:L,$A131,'ADV - FB'!E:E)</f>
        <v>0</v>
      </c>
      <c r="H131" s="320" t="str">
        <f>IFERROR(SUMIF('ADV - FB'!L:L,$A131,'ADV - FB'!H:H)/(SUMIF('ADV - FB'!L:L,$A131,'ADV - FB'!G:G)),"-")</f>
        <v>-</v>
      </c>
      <c r="I131" s="321" t="str">
        <f>IFERROR(SUMIF('ADV - FB'!L:L,$A131,'ADV - FB'!E:E)/(SUMIF('ADV - FB'!L:L,$A131,'ADV - FB'!F:F)),"-")</f>
        <v>-</v>
      </c>
      <c r="J131" s="315">
        <f>SUMIF('ADV - FB'!L:L,$A131,'ADV - FB'!I:I)+SUMIF('ADV - FB'!L:L,$A131,'ADV - FB'!J:J)+SUMIF('ADV - FB'!L:L,$A131,'ADV - FB'!K:K)</f>
        <v>0</v>
      </c>
      <c r="K131" s="321" t="str">
        <f t="shared" si="2"/>
        <v>-</v>
      </c>
      <c r="L131" s="322"/>
      <c r="M131" s="322"/>
      <c r="N131" s="322"/>
      <c r="O131" s="322"/>
      <c r="P131" s="322"/>
      <c r="Q131" s="322"/>
      <c r="R131" s="322"/>
      <c r="S131" s="322"/>
      <c r="T131" s="16"/>
      <c r="U131" s="16"/>
      <c r="V131" s="16"/>
      <c r="W131" s="16"/>
      <c r="X131" s="16"/>
    </row>
    <row r="132" ht="15.75" customHeight="1">
      <c r="A132" s="313" t="s">
        <v>401</v>
      </c>
      <c r="B132" s="314"/>
      <c r="C132" s="315"/>
      <c r="D132" s="315"/>
      <c r="E132" s="317"/>
      <c r="F132" s="318" t="str">
        <f t="shared" si="1"/>
        <v>TP131 -  -  - </v>
      </c>
      <c r="G132" s="319">
        <f>SUMIF('ADV - FB'!L:L,$A132,'ADV - FB'!E:E)</f>
        <v>0</v>
      </c>
      <c r="H132" s="320" t="str">
        <f>IFERROR(SUMIF('ADV - FB'!L:L,$A132,'ADV - FB'!H:H)/(SUMIF('ADV - FB'!L:L,$A132,'ADV - FB'!G:G)),"-")</f>
        <v>-</v>
      </c>
      <c r="I132" s="321" t="str">
        <f>IFERROR(SUMIF('ADV - FB'!L:L,$A132,'ADV - FB'!E:E)/(SUMIF('ADV - FB'!L:L,$A132,'ADV - FB'!F:F)),"-")</f>
        <v>-</v>
      </c>
      <c r="J132" s="315">
        <f>SUMIF('ADV - FB'!L:L,$A132,'ADV - FB'!I:I)+SUMIF('ADV - FB'!L:L,$A132,'ADV - FB'!J:J)+SUMIF('ADV - FB'!L:L,$A132,'ADV - FB'!K:K)</f>
        <v>0</v>
      </c>
      <c r="K132" s="321" t="str">
        <f t="shared" si="2"/>
        <v>-</v>
      </c>
      <c r="L132" s="322"/>
      <c r="M132" s="322"/>
      <c r="N132" s="322"/>
      <c r="O132" s="322"/>
      <c r="P132" s="322"/>
      <c r="Q132" s="322"/>
      <c r="R132" s="322"/>
      <c r="S132" s="322"/>
      <c r="T132" s="16"/>
      <c r="U132" s="16"/>
      <c r="V132" s="16"/>
      <c r="W132" s="16"/>
      <c r="X132" s="16"/>
    </row>
    <row r="133" ht="15.75" customHeight="1">
      <c r="A133" s="313" t="s">
        <v>402</v>
      </c>
      <c r="B133" s="314"/>
      <c r="C133" s="315"/>
      <c r="D133" s="315"/>
      <c r="E133" s="317"/>
      <c r="F133" s="318" t="str">
        <f t="shared" si="1"/>
        <v>TP132 -  -  - </v>
      </c>
      <c r="G133" s="319">
        <f>SUMIF('ADV - FB'!L:L,$A133,'ADV - FB'!E:E)</f>
        <v>0</v>
      </c>
      <c r="H133" s="320" t="str">
        <f>IFERROR(SUMIF('ADV - FB'!L:L,$A133,'ADV - FB'!H:H)/(SUMIF('ADV - FB'!L:L,$A133,'ADV - FB'!G:G)),"-")</f>
        <v>-</v>
      </c>
      <c r="I133" s="321" t="str">
        <f>IFERROR(SUMIF('ADV - FB'!L:L,$A133,'ADV - FB'!E:E)/(SUMIF('ADV - FB'!L:L,$A133,'ADV - FB'!F:F)),"-")</f>
        <v>-</v>
      </c>
      <c r="J133" s="315">
        <f>SUMIF('ADV - FB'!L:L,$A133,'ADV - FB'!I:I)+SUMIF('ADV - FB'!L:L,$A133,'ADV - FB'!J:J)+SUMIF('ADV - FB'!L:L,$A133,'ADV - FB'!K:K)</f>
        <v>0</v>
      </c>
      <c r="K133" s="321" t="str">
        <f t="shared" si="2"/>
        <v>-</v>
      </c>
      <c r="L133" s="322"/>
      <c r="M133" s="322"/>
      <c r="N133" s="322"/>
      <c r="O133" s="322"/>
      <c r="P133" s="322"/>
      <c r="Q133" s="322"/>
      <c r="R133" s="322"/>
      <c r="S133" s="322"/>
      <c r="T133" s="16"/>
      <c r="U133" s="16"/>
      <c r="V133" s="16"/>
      <c r="W133" s="16"/>
      <c r="X133" s="16"/>
    </row>
    <row r="134" ht="15.75" customHeight="1">
      <c r="A134" s="313" t="s">
        <v>403</v>
      </c>
      <c r="B134" s="314"/>
      <c r="C134" s="315"/>
      <c r="D134" s="315"/>
      <c r="E134" s="317"/>
      <c r="F134" s="318" t="str">
        <f t="shared" si="1"/>
        <v>TP133 -  -  - </v>
      </c>
      <c r="G134" s="319">
        <f>SUMIF('ADV - FB'!L:L,$A134,'ADV - FB'!E:E)</f>
        <v>0</v>
      </c>
      <c r="H134" s="320" t="str">
        <f>IFERROR(SUMIF('ADV - FB'!L:L,$A134,'ADV - FB'!H:H)/(SUMIF('ADV - FB'!L:L,$A134,'ADV - FB'!G:G)),"-")</f>
        <v>-</v>
      </c>
      <c r="I134" s="321" t="str">
        <f>IFERROR(SUMIF('ADV - FB'!L:L,$A134,'ADV - FB'!E:E)/(SUMIF('ADV - FB'!L:L,$A134,'ADV - FB'!F:F)),"-")</f>
        <v>-</v>
      </c>
      <c r="J134" s="315">
        <f>SUMIF('ADV - FB'!L:L,$A134,'ADV - FB'!I:I)+SUMIF('ADV - FB'!L:L,$A134,'ADV - FB'!J:J)+SUMIF('ADV - FB'!L:L,$A134,'ADV - FB'!K:K)</f>
        <v>0</v>
      </c>
      <c r="K134" s="321" t="str">
        <f t="shared" si="2"/>
        <v>-</v>
      </c>
      <c r="L134" s="322"/>
      <c r="M134" s="322"/>
      <c r="N134" s="322"/>
      <c r="O134" s="322"/>
      <c r="P134" s="322"/>
      <c r="Q134" s="322"/>
      <c r="R134" s="322"/>
      <c r="S134" s="322"/>
      <c r="T134" s="16"/>
      <c r="U134" s="16"/>
      <c r="V134" s="16"/>
      <c r="W134" s="16"/>
      <c r="X134" s="16"/>
    </row>
    <row r="135" ht="15.75" customHeight="1">
      <c r="A135" s="313" t="s">
        <v>404</v>
      </c>
      <c r="B135" s="314"/>
      <c r="C135" s="315"/>
      <c r="D135" s="315"/>
      <c r="E135" s="317"/>
      <c r="F135" s="318" t="str">
        <f t="shared" si="1"/>
        <v>TP134 -  -  - </v>
      </c>
      <c r="G135" s="319">
        <f>SUMIF('ADV - FB'!L:L,$A135,'ADV - FB'!E:E)</f>
        <v>0</v>
      </c>
      <c r="H135" s="320" t="str">
        <f>IFERROR(SUMIF('ADV - FB'!L:L,$A135,'ADV - FB'!H:H)/(SUMIF('ADV - FB'!L:L,$A135,'ADV - FB'!G:G)),"-")</f>
        <v>-</v>
      </c>
      <c r="I135" s="321" t="str">
        <f>IFERROR(SUMIF('ADV - FB'!L:L,$A135,'ADV - FB'!E:E)/(SUMIF('ADV - FB'!L:L,$A135,'ADV - FB'!F:F)),"-")</f>
        <v>-</v>
      </c>
      <c r="J135" s="315">
        <f>SUMIF('ADV - FB'!L:L,$A135,'ADV - FB'!I:I)+SUMIF('ADV - FB'!L:L,$A135,'ADV - FB'!J:J)+SUMIF('ADV - FB'!L:L,$A135,'ADV - FB'!K:K)</f>
        <v>0</v>
      </c>
      <c r="K135" s="321" t="str">
        <f t="shared" si="2"/>
        <v>-</v>
      </c>
      <c r="L135" s="322"/>
      <c r="M135" s="322"/>
      <c r="N135" s="322"/>
      <c r="O135" s="322"/>
      <c r="P135" s="322"/>
      <c r="Q135" s="322"/>
      <c r="R135" s="322"/>
      <c r="S135" s="322"/>
      <c r="T135" s="16"/>
      <c r="U135" s="16"/>
      <c r="V135" s="16"/>
      <c r="W135" s="16"/>
      <c r="X135" s="16"/>
    </row>
    <row r="136" ht="15.75" customHeight="1">
      <c r="A136" s="313" t="s">
        <v>405</v>
      </c>
      <c r="B136" s="314"/>
      <c r="C136" s="315"/>
      <c r="D136" s="315"/>
      <c r="E136" s="317"/>
      <c r="F136" s="318" t="str">
        <f t="shared" si="1"/>
        <v>TP135 -  -  - </v>
      </c>
      <c r="G136" s="319">
        <f>SUMIF('ADV - FB'!L:L,$A136,'ADV - FB'!E:E)</f>
        <v>0</v>
      </c>
      <c r="H136" s="320" t="str">
        <f>IFERROR(SUMIF('ADV - FB'!L:L,$A136,'ADV - FB'!H:H)/(SUMIF('ADV - FB'!L:L,$A136,'ADV - FB'!G:G)),"-")</f>
        <v>-</v>
      </c>
      <c r="I136" s="321" t="str">
        <f>IFERROR(SUMIF('ADV - FB'!L:L,$A136,'ADV - FB'!E:E)/(SUMIF('ADV - FB'!L:L,$A136,'ADV - FB'!F:F)),"-")</f>
        <v>-</v>
      </c>
      <c r="J136" s="315">
        <f>SUMIF('ADV - FB'!L:L,$A136,'ADV - FB'!I:I)+SUMIF('ADV - FB'!L:L,$A136,'ADV - FB'!J:J)+SUMIF('ADV - FB'!L:L,$A136,'ADV - FB'!K:K)</f>
        <v>0</v>
      </c>
      <c r="K136" s="321" t="str">
        <f t="shared" si="2"/>
        <v>-</v>
      </c>
      <c r="L136" s="322"/>
      <c r="M136" s="322"/>
      <c r="N136" s="322"/>
      <c r="O136" s="322"/>
      <c r="P136" s="322"/>
      <c r="Q136" s="322"/>
      <c r="R136" s="322"/>
      <c r="S136" s="322"/>
      <c r="T136" s="16"/>
      <c r="U136" s="16"/>
      <c r="V136" s="16"/>
      <c r="W136" s="16"/>
      <c r="X136" s="16"/>
    </row>
    <row r="137" ht="15.75" customHeight="1">
      <c r="A137" s="313" t="s">
        <v>406</v>
      </c>
      <c r="B137" s="314"/>
      <c r="C137" s="315"/>
      <c r="D137" s="315"/>
      <c r="E137" s="317"/>
      <c r="F137" s="318" t="str">
        <f t="shared" si="1"/>
        <v>TP136 -  -  - </v>
      </c>
      <c r="G137" s="319">
        <f>SUMIF('ADV - FB'!L:L,$A137,'ADV - FB'!E:E)</f>
        <v>0</v>
      </c>
      <c r="H137" s="320" t="str">
        <f>IFERROR(SUMIF('ADV - FB'!L:L,$A137,'ADV - FB'!H:H)/(SUMIF('ADV - FB'!L:L,$A137,'ADV - FB'!G:G)),"-")</f>
        <v>-</v>
      </c>
      <c r="I137" s="321" t="str">
        <f>IFERROR(SUMIF('ADV - FB'!L:L,$A137,'ADV - FB'!E:E)/(SUMIF('ADV - FB'!L:L,$A137,'ADV - FB'!F:F)),"-")</f>
        <v>-</v>
      </c>
      <c r="J137" s="315">
        <f>SUMIF('ADV - FB'!L:L,$A137,'ADV - FB'!I:I)+SUMIF('ADV - FB'!L:L,$A137,'ADV - FB'!J:J)+SUMIF('ADV - FB'!L:L,$A137,'ADV - FB'!K:K)</f>
        <v>0</v>
      </c>
      <c r="K137" s="321" t="str">
        <f t="shared" si="2"/>
        <v>-</v>
      </c>
      <c r="L137" s="322"/>
      <c r="M137" s="322"/>
      <c r="N137" s="322"/>
      <c r="O137" s="322"/>
      <c r="P137" s="322"/>
      <c r="Q137" s="322"/>
      <c r="R137" s="322"/>
      <c r="S137" s="322"/>
      <c r="T137" s="16"/>
      <c r="U137" s="16"/>
      <c r="V137" s="16"/>
      <c r="W137" s="16"/>
      <c r="X137" s="16"/>
    </row>
    <row r="138" ht="15.75" customHeight="1">
      <c r="A138" s="313" t="s">
        <v>407</v>
      </c>
      <c r="B138" s="314"/>
      <c r="C138" s="315"/>
      <c r="D138" s="315"/>
      <c r="E138" s="317"/>
      <c r="F138" s="318" t="str">
        <f t="shared" si="1"/>
        <v>TP137 -  -  - </v>
      </c>
      <c r="G138" s="319">
        <f>SUMIF('ADV - FB'!L:L,$A138,'ADV - FB'!E:E)</f>
        <v>0</v>
      </c>
      <c r="H138" s="320" t="str">
        <f>IFERROR(SUMIF('ADV - FB'!L:L,$A138,'ADV - FB'!H:H)/(SUMIF('ADV - FB'!L:L,$A138,'ADV - FB'!G:G)),"-")</f>
        <v>-</v>
      </c>
      <c r="I138" s="321" t="str">
        <f>IFERROR(SUMIF('ADV - FB'!L:L,$A138,'ADV - FB'!E:E)/(SUMIF('ADV - FB'!L:L,$A138,'ADV - FB'!F:F)),"-")</f>
        <v>-</v>
      </c>
      <c r="J138" s="315">
        <f>SUMIF('ADV - FB'!L:L,$A138,'ADV - FB'!I:I)+SUMIF('ADV - FB'!L:L,$A138,'ADV - FB'!J:J)+SUMIF('ADV - FB'!L:L,$A138,'ADV - FB'!K:K)</f>
        <v>0</v>
      </c>
      <c r="K138" s="321" t="str">
        <f t="shared" si="2"/>
        <v>-</v>
      </c>
      <c r="L138" s="322"/>
      <c r="M138" s="322"/>
      <c r="N138" s="322"/>
      <c r="O138" s="322"/>
      <c r="P138" s="322"/>
      <c r="Q138" s="322"/>
      <c r="R138" s="322"/>
      <c r="S138" s="322"/>
      <c r="T138" s="16"/>
      <c r="U138" s="16"/>
      <c r="V138" s="16"/>
      <c r="W138" s="16"/>
      <c r="X138" s="16"/>
    </row>
    <row r="139" ht="15.75" customHeight="1">
      <c r="A139" s="313" t="s">
        <v>408</v>
      </c>
      <c r="B139" s="314"/>
      <c r="C139" s="315"/>
      <c r="D139" s="315"/>
      <c r="E139" s="317"/>
      <c r="F139" s="318" t="str">
        <f t="shared" si="1"/>
        <v>TP138 -  -  - </v>
      </c>
      <c r="G139" s="319">
        <f>SUMIF('ADV - FB'!L:L,$A139,'ADV - FB'!E:E)</f>
        <v>0</v>
      </c>
      <c r="H139" s="320" t="str">
        <f>IFERROR(SUMIF('ADV - FB'!L:L,$A139,'ADV - FB'!H:H)/(SUMIF('ADV - FB'!L:L,$A139,'ADV - FB'!G:G)),"-")</f>
        <v>-</v>
      </c>
      <c r="I139" s="321" t="str">
        <f>IFERROR(SUMIF('ADV - FB'!L:L,$A139,'ADV - FB'!E:E)/(SUMIF('ADV - FB'!L:L,$A139,'ADV - FB'!F:F)),"-")</f>
        <v>-</v>
      </c>
      <c r="J139" s="315">
        <f>SUMIF('ADV - FB'!L:L,$A139,'ADV - FB'!I:I)+SUMIF('ADV - FB'!L:L,$A139,'ADV - FB'!J:J)+SUMIF('ADV - FB'!L:L,$A139,'ADV - FB'!K:K)</f>
        <v>0</v>
      </c>
      <c r="K139" s="321" t="str">
        <f t="shared" si="2"/>
        <v>-</v>
      </c>
      <c r="L139" s="322"/>
      <c r="M139" s="322"/>
      <c r="N139" s="322"/>
      <c r="O139" s="322"/>
      <c r="P139" s="322"/>
      <c r="Q139" s="322"/>
      <c r="R139" s="322"/>
      <c r="S139" s="322"/>
      <c r="T139" s="16"/>
      <c r="U139" s="16"/>
      <c r="V139" s="16"/>
      <c r="W139" s="16"/>
      <c r="X139" s="16"/>
    </row>
    <row r="140" ht="15.75" customHeight="1">
      <c r="A140" s="313" t="s">
        <v>409</v>
      </c>
      <c r="B140" s="314"/>
      <c r="C140" s="315"/>
      <c r="D140" s="315"/>
      <c r="E140" s="317"/>
      <c r="F140" s="318" t="str">
        <f t="shared" si="1"/>
        <v>TP139 -  -  - </v>
      </c>
      <c r="G140" s="319">
        <f>SUMIF('ADV - FB'!L:L,$A140,'ADV - FB'!E:E)</f>
        <v>0</v>
      </c>
      <c r="H140" s="320" t="str">
        <f>IFERROR(SUMIF('ADV - FB'!L:L,$A140,'ADV - FB'!H:H)/(SUMIF('ADV - FB'!L:L,$A140,'ADV - FB'!G:G)),"-")</f>
        <v>-</v>
      </c>
      <c r="I140" s="321" t="str">
        <f>IFERROR(SUMIF('ADV - FB'!L:L,$A140,'ADV - FB'!E:E)/(SUMIF('ADV - FB'!L:L,$A140,'ADV - FB'!F:F)),"-")</f>
        <v>-</v>
      </c>
      <c r="J140" s="315">
        <f>SUMIF('ADV - FB'!L:L,$A140,'ADV - FB'!I:I)+SUMIF('ADV - FB'!L:L,$A140,'ADV - FB'!J:J)+SUMIF('ADV - FB'!L:L,$A140,'ADV - FB'!K:K)</f>
        <v>0</v>
      </c>
      <c r="K140" s="321" t="str">
        <f t="shared" si="2"/>
        <v>-</v>
      </c>
      <c r="L140" s="322"/>
      <c r="M140" s="322"/>
      <c r="N140" s="322"/>
      <c r="O140" s="322"/>
      <c r="P140" s="322"/>
      <c r="Q140" s="322"/>
      <c r="R140" s="322"/>
      <c r="S140" s="322"/>
      <c r="T140" s="16"/>
      <c r="U140" s="16"/>
      <c r="V140" s="16"/>
      <c r="W140" s="16"/>
      <c r="X140" s="16"/>
    </row>
    <row r="141" ht="15.75" customHeight="1">
      <c r="A141" s="313" t="s">
        <v>410</v>
      </c>
      <c r="B141" s="314"/>
      <c r="C141" s="315"/>
      <c r="D141" s="315"/>
      <c r="E141" s="317"/>
      <c r="F141" s="318" t="str">
        <f t="shared" si="1"/>
        <v>TP140 -  -  - </v>
      </c>
      <c r="G141" s="319">
        <f>SUMIF('ADV - FB'!L:L,$A141,'ADV - FB'!E:E)</f>
        <v>0</v>
      </c>
      <c r="H141" s="320" t="str">
        <f>IFERROR(SUMIF('ADV - FB'!L:L,$A141,'ADV - FB'!H:H)/(SUMIF('ADV - FB'!L:L,$A141,'ADV - FB'!G:G)),"-")</f>
        <v>-</v>
      </c>
      <c r="I141" s="321" t="str">
        <f>IFERROR(SUMIF('ADV - FB'!L:L,$A141,'ADV - FB'!E:E)/(SUMIF('ADV - FB'!L:L,$A141,'ADV - FB'!F:F)),"-")</f>
        <v>-</v>
      </c>
      <c r="J141" s="315">
        <f>SUMIF('ADV - FB'!L:L,$A141,'ADV - FB'!I:I)+SUMIF('ADV - FB'!L:L,$A141,'ADV - FB'!J:J)+SUMIF('ADV - FB'!L:L,$A141,'ADV - FB'!K:K)</f>
        <v>0</v>
      </c>
      <c r="K141" s="321" t="str">
        <f t="shared" si="2"/>
        <v>-</v>
      </c>
      <c r="L141" s="322"/>
      <c r="M141" s="322"/>
      <c r="N141" s="322"/>
      <c r="O141" s="322"/>
      <c r="P141" s="322"/>
      <c r="Q141" s="322"/>
      <c r="R141" s="322"/>
      <c r="S141" s="322"/>
      <c r="T141" s="16"/>
      <c r="U141" s="16"/>
      <c r="V141" s="16"/>
      <c r="W141" s="16"/>
      <c r="X141" s="16"/>
    </row>
    <row r="142" ht="15.75" customHeight="1">
      <c r="A142" s="313" t="s">
        <v>411</v>
      </c>
      <c r="B142" s="314"/>
      <c r="C142" s="315"/>
      <c r="D142" s="315"/>
      <c r="E142" s="317"/>
      <c r="F142" s="318" t="str">
        <f t="shared" si="1"/>
        <v>TP141 -  -  - </v>
      </c>
      <c r="G142" s="319">
        <f>SUMIF('ADV - FB'!L:L,$A142,'ADV - FB'!E:E)</f>
        <v>0</v>
      </c>
      <c r="H142" s="320" t="str">
        <f>IFERROR(SUMIF('ADV - FB'!L:L,$A142,'ADV - FB'!H:H)/(SUMIF('ADV - FB'!L:L,$A142,'ADV - FB'!G:G)),"-")</f>
        <v>-</v>
      </c>
      <c r="I142" s="321" t="str">
        <f>IFERROR(SUMIF('ADV - FB'!L:L,$A142,'ADV - FB'!E:E)/(SUMIF('ADV - FB'!L:L,$A142,'ADV - FB'!F:F)),"-")</f>
        <v>-</v>
      </c>
      <c r="J142" s="315">
        <f>SUMIF('ADV - FB'!L:L,$A142,'ADV - FB'!I:I)+SUMIF('ADV - FB'!L:L,$A142,'ADV - FB'!J:J)+SUMIF('ADV - FB'!L:L,$A142,'ADV - FB'!K:K)</f>
        <v>0</v>
      </c>
      <c r="K142" s="321" t="str">
        <f t="shared" si="2"/>
        <v>-</v>
      </c>
      <c r="L142" s="322"/>
      <c r="M142" s="322"/>
      <c r="N142" s="322"/>
      <c r="O142" s="322"/>
      <c r="P142" s="322"/>
      <c r="Q142" s="322"/>
      <c r="R142" s="322"/>
      <c r="S142" s="322"/>
      <c r="T142" s="16"/>
      <c r="U142" s="16"/>
      <c r="V142" s="16"/>
      <c r="W142" s="16"/>
      <c r="X142" s="16"/>
    </row>
    <row r="143" ht="15.75" customHeight="1">
      <c r="A143" s="313" t="s">
        <v>412</v>
      </c>
      <c r="B143" s="314"/>
      <c r="C143" s="315"/>
      <c r="D143" s="315"/>
      <c r="E143" s="317"/>
      <c r="F143" s="318" t="str">
        <f t="shared" si="1"/>
        <v>TP142 -  -  - </v>
      </c>
      <c r="G143" s="319">
        <f>SUMIF('ADV - FB'!L:L,$A143,'ADV - FB'!E:E)</f>
        <v>0</v>
      </c>
      <c r="H143" s="320" t="str">
        <f>IFERROR(SUMIF('ADV - FB'!L:L,$A143,'ADV - FB'!H:H)/(SUMIF('ADV - FB'!L:L,$A143,'ADV - FB'!G:G)),"-")</f>
        <v>-</v>
      </c>
      <c r="I143" s="321" t="str">
        <f>IFERROR(SUMIF('ADV - FB'!L:L,$A143,'ADV - FB'!E:E)/(SUMIF('ADV - FB'!L:L,$A143,'ADV - FB'!F:F)),"-")</f>
        <v>-</v>
      </c>
      <c r="J143" s="315">
        <f>SUMIF('ADV - FB'!L:L,$A143,'ADV - FB'!I:I)+SUMIF('ADV - FB'!L:L,$A143,'ADV - FB'!J:J)+SUMIF('ADV - FB'!L:L,$A143,'ADV - FB'!K:K)</f>
        <v>0</v>
      </c>
      <c r="K143" s="321" t="str">
        <f t="shared" si="2"/>
        <v>-</v>
      </c>
      <c r="L143" s="322"/>
      <c r="M143" s="322"/>
      <c r="N143" s="322"/>
      <c r="O143" s="322"/>
      <c r="P143" s="322"/>
      <c r="Q143" s="322"/>
      <c r="R143" s="322"/>
      <c r="S143" s="322"/>
      <c r="T143" s="16"/>
      <c r="U143" s="16"/>
      <c r="V143" s="16"/>
      <c r="W143" s="16"/>
      <c r="X143" s="16"/>
    </row>
    <row r="144" ht="15.75" customHeight="1">
      <c r="A144" s="313" t="s">
        <v>413</v>
      </c>
      <c r="B144" s="314"/>
      <c r="C144" s="315"/>
      <c r="D144" s="315"/>
      <c r="E144" s="317"/>
      <c r="F144" s="318" t="str">
        <f t="shared" si="1"/>
        <v>TP143 -  -  - </v>
      </c>
      <c r="G144" s="319">
        <f>SUMIF('ADV - FB'!L:L,$A144,'ADV - FB'!E:E)</f>
        <v>0</v>
      </c>
      <c r="H144" s="320" t="str">
        <f>IFERROR(SUMIF('ADV - FB'!L:L,$A144,'ADV - FB'!H:H)/(SUMIF('ADV - FB'!L:L,$A144,'ADV - FB'!G:G)),"-")</f>
        <v>-</v>
      </c>
      <c r="I144" s="321" t="str">
        <f>IFERROR(SUMIF('ADV - FB'!L:L,$A144,'ADV - FB'!E:E)/(SUMIF('ADV - FB'!L:L,$A144,'ADV - FB'!F:F)),"-")</f>
        <v>-</v>
      </c>
      <c r="J144" s="315">
        <f>SUMIF('ADV - FB'!L:L,$A144,'ADV - FB'!I:I)+SUMIF('ADV - FB'!L:L,$A144,'ADV - FB'!J:J)+SUMIF('ADV - FB'!L:L,$A144,'ADV - FB'!K:K)</f>
        <v>0</v>
      </c>
      <c r="K144" s="321" t="str">
        <f t="shared" si="2"/>
        <v>-</v>
      </c>
      <c r="L144" s="322"/>
      <c r="M144" s="322"/>
      <c r="N144" s="322"/>
      <c r="O144" s="322"/>
      <c r="P144" s="322"/>
      <c r="Q144" s="322"/>
      <c r="R144" s="322"/>
      <c r="S144" s="322"/>
      <c r="T144" s="16"/>
      <c r="U144" s="16"/>
      <c r="V144" s="16"/>
      <c r="W144" s="16"/>
      <c r="X144" s="16"/>
    </row>
    <row r="145" ht="15.75" customHeight="1">
      <c r="A145" s="313" t="s">
        <v>414</v>
      </c>
      <c r="B145" s="314"/>
      <c r="C145" s="315"/>
      <c r="D145" s="315"/>
      <c r="E145" s="317"/>
      <c r="F145" s="318" t="str">
        <f t="shared" si="1"/>
        <v>TP144 -  -  - </v>
      </c>
      <c r="G145" s="319">
        <f>SUMIF('ADV - FB'!L:L,$A145,'ADV - FB'!E:E)</f>
        <v>0</v>
      </c>
      <c r="H145" s="320" t="str">
        <f>IFERROR(SUMIF('ADV - FB'!L:L,$A145,'ADV - FB'!H:H)/(SUMIF('ADV - FB'!L:L,$A145,'ADV - FB'!G:G)),"-")</f>
        <v>-</v>
      </c>
      <c r="I145" s="321" t="str">
        <f>IFERROR(SUMIF('ADV - FB'!L:L,$A145,'ADV - FB'!E:E)/(SUMIF('ADV - FB'!L:L,$A145,'ADV - FB'!F:F)),"-")</f>
        <v>-</v>
      </c>
      <c r="J145" s="315">
        <f>SUMIF('ADV - FB'!L:L,$A145,'ADV - FB'!I:I)+SUMIF('ADV - FB'!L:L,$A145,'ADV - FB'!J:J)+SUMIF('ADV - FB'!L:L,$A145,'ADV - FB'!K:K)</f>
        <v>0</v>
      </c>
      <c r="K145" s="321" t="str">
        <f t="shared" si="2"/>
        <v>-</v>
      </c>
      <c r="L145" s="322"/>
      <c r="M145" s="322"/>
      <c r="N145" s="322"/>
      <c r="O145" s="322"/>
      <c r="P145" s="322"/>
      <c r="Q145" s="322"/>
      <c r="R145" s="322"/>
      <c r="S145" s="322"/>
      <c r="T145" s="16"/>
      <c r="U145" s="16"/>
      <c r="V145" s="16"/>
      <c r="W145" s="16"/>
      <c r="X145" s="16"/>
    </row>
    <row r="146" ht="15.75" customHeight="1">
      <c r="A146" s="313" t="s">
        <v>415</v>
      </c>
      <c r="B146" s="314"/>
      <c r="C146" s="315"/>
      <c r="D146" s="315"/>
      <c r="E146" s="317"/>
      <c r="F146" s="318" t="str">
        <f t="shared" si="1"/>
        <v>TP145 -  -  - </v>
      </c>
      <c r="G146" s="319">
        <f>SUMIF('ADV - FB'!L:L,$A146,'ADV - FB'!E:E)</f>
        <v>0</v>
      </c>
      <c r="H146" s="320" t="str">
        <f>IFERROR(SUMIF('ADV - FB'!L:L,$A146,'ADV - FB'!H:H)/(SUMIF('ADV - FB'!L:L,$A146,'ADV - FB'!G:G)),"-")</f>
        <v>-</v>
      </c>
      <c r="I146" s="321" t="str">
        <f>IFERROR(SUMIF('ADV - FB'!L:L,$A146,'ADV - FB'!E:E)/(SUMIF('ADV - FB'!L:L,$A146,'ADV - FB'!F:F)),"-")</f>
        <v>-</v>
      </c>
      <c r="J146" s="315">
        <f>SUMIF('ADV - FB'!L:L,$A146,'ADV - FB'!I:I)+SUMIF('ADV - FB'!L:L,$A146,'ADV - FB'!J:J)+SUMIF('ADV - FB'!L:L,$A146,'ADV - FB'!K:K)</f>
        <v>0</v>
      </c>
      <c r="K146" s="321" t="str">
        <f t="shared" si="2"/>
        <v>-</v>
      </c>
      <c r="L146" s="322"/>
      <c r="M146" s="322"/>
      <c r="N146" s="322"/>
      <c r="O146" s="322"/>
      <c r="P146" s="322"/>
      <c r="Q146" s="322"/>
      <c r="R146" s="322"/>
      <c r="S146" s="322"/>
      <c r="T146" s="16"/>
      <c r="U146" s="16"/>
      <c r="V146" s="16"/>
      <c r="W146" s="16"/>
      <c r="X146" s="16"/>
    </row>
    <row r="147" ht="15.75" customHeight="1">
      <c r="A147" s="313" t="s">
        <v>416</v>
      </c>
      <c r="B147" s="314"/>
      <c r="C147" s="315"/>
      <c r="D147" s="315"/>
      <c r="E147" s="317"/>
      <c r="F147" s="318" t="str">
        <f t="shared" si="1"/>
        <v>TP146 -  -  - </v>
      </c>
      <c r="G147" s="319">
        <f>SUMIF('ADV - FB'!L:L,$A147,'ADV - FB'!E:E)</f>
        <v>0</v>
      </c>
      <c r="H147" s="320" t="str">
        <f>IFERROR(SUMIF('ADV - FB'!L:L,$A147,'ADV - FB'!H:H)/(SUMIF('ADV - FB'!L:L,$A147,'ADV - FB'!G:G)),"-")</f>
        <v>-</v>
      </c>
      <c r="I147" s="321" t="str">
        <f>IFERROR(SUMIF('ADV - FB'!L:L,$A147,'ADV - FB'!E:E)/(SUMIF('ADV - FB'!L:L,$A147,'ADV - FB'!F:F)),"-")</f>
        <v>-</v>
      </c>
      <c r="J147" s="315">
        <f>SUMIF('ADV - FB'!L:L,$A147,'ADV - FB'!I:I)+SUMIF('ADV - FB'!L:L,$A147,'ADV - FB'!J:J)+SUMIF('ADV - FB'!L:L,$A147,'ADV - FB'!K:K)</f>
        <v>0</v>
      </c>
      <c r="K147" s="321" t="str">
        <f t="shared" si="2"/>
        <v>-</v>
      </c>
      <c r="L147" s="322"/>
      <c r="M147" s="322"/>
      <c r="N147" s="322"/>
      <c r="O147" s="322"/>
      <c r="P147" s="322"/>
      <c r="Q147" s="322"/>
      <c r="R147" s="322"/>
      <c r="S147" s="322"/>
      <c r="T147" s="16"/>
      <c r="U147" s="16"/>
      <c r="V147" s="16"/>
      <c r="W147" s="16"/>
      <c r="X147" s="16"/>
    </row>
    <row r="148" ht="15.75" customHeight="1">
      <c r="A148" s="313" t="s">
        <v>417</v>
      </c>
      <c r="B148" s="314"/>
      <c r="C148" s="315"/>
      <c r="D148" s="315"/>
      <c r="E148" s="317"/>
      <c r="F148" s="318" t="str">
        <f t="shared" si="1"/>
        <v>TP147 -  -  - </v>
      </c>
      <c r="G148" s="319">
        <f>SUMIF('ADV - FB'!L:L,$A148,'ADV - FB'!E:E)</f>
        <v>0</v>
      </c>
      <c r="H148" s="320" t="str">
        <f>IFERROR(SUMIF('ADV - FB'!L:L,$A148,'ADV - FB'!H:H)/(SUMIF('ADV - FB'!L:L,$A148,'ADV - FB'!G:G)),"-")</f>
        <v>-</v>
      </c>
      <c r="I148" s="321" t="str">
        <f>IFERROR(SUMIF('ADV - FB'!L:L,$A148,'ADV - FB'!E:E)/(SUMIF('ADV - FB'!L:L,$A148,'ADV - FB'!F:F)),"-")</f>
        <v>-</v>
      </c>
      <c r="J148" s="315">
        <f>SUMIF('ADV - FB'!L:L,$A148,'ADV - FB'!I:I)+SUMIF('ADV - FB'!L:L,$A148,'ADV - FB'!J:J)+SUMIF('ADV - FB'!L:L,$A148,'ADV - FB'!K:K)</f>
        <v>0</v>
      </c>
      <c r="K148" s="321" t="str">
        <f t="shared" si="2"/>
        <v>-</v>
      </c>
      <c r="L148" s="322"/>
      <c r="M148" s="322"/>
      <c r="N148" s="322"/>
      <c r="O148" s="322"/>
      <c r="P148" s="322"/>
      <c r="Q148" s="322"/>
      <c r="R148" s="322"/>
      <c r="S148" s="322"/>
      <c r="T148" s="16"/>
      <c r="U148" s="16"/>
      <c r="V148" s="16"/>
      <c r="W148" s="16"/>
      <c r="X148" s="16"/>
    </row>
    <row r="149" ht="15.75" customHeight="1">
      <c r="A149" s="313" t="s">
        <v>418</v>
      </c>
      <c r="B149" s="314"/>
      <c r="C149" s="315"/>
      <c r="D149" s="315"/>
      <c r="E149" s="317"/>
      <c r="F149" s="318" t="str">
        <f t="shared" si="1"/>
        <v>TP148 -  -  - </v>
      </c>
      <c r="G149" s="319">
        <f>SUMIF('ADV - FB'!L:L,$A149,'ADV - FB'!E:E)</f>
        <v>0</v>
      </c>
      <c r="H149" s="320" t="str">
        <f>IFERROR(SUMIF('ADV - FB'!L:L,$A149,'ADV - FB'!H:H)/(SUMIF('ADV - FB'!L:L,$A149,'ADV - FB'!G:G)),"-")</f>
        <v>-</v>
      </c>
      <c r="I149" s="321" t="str">
        <f>IFERROR(SUMIF('ADV - FB'!L:L,$A149,'ADV - FB'!E:E)/(SUMIF('ADV - FB'!L:L,$A149,'ADV - FB'!F:F)),"-")</f>
        <v>-</v>
      </c>
      <c r="J149" s="315">
        <f>SUMIF('ADV - FB'!L:L,$A149,'ADV - FB'!I:I)+SUMIF('ADV - FB'!L:L,$A149,'ADV - FB'!J:J)+SUMIF('ADV - FB'!L:L,$A149,'ADV - FB'!K:K)</f>
        <v>0</v>
      </c>
      <c r="K149" s="321" t="str">
        <f t="shared" si="2"/>
        <v>-</v>
      </c>
      <c r="L149" s="322"/>
      <c r="M149" s="322"/>
      <c r="N149" s="322"/>
      <c r="O149" s="322"/>
      <c r="P149" s="322"/>
      <c r="Q149" s="322"/>
      <c r="R149" s="322"/>
      <c r="S149" s="322"/>
      <c r="T149" s="16"/>
      <c r="U149" s="16"/>
      <c r="V149" s="16"/>
      <c r="W149" s="16"/>
      <c r="X149" s="16"/>
    </row>
    <row r="150" ht="15.75" customHeight="1">
      <c r="A150" s="313" t="s">
        <v>419</v>
      </c>
      <c r="B150" s="314"/>
      <c r="C150" s="315"/>
      <c r="D150" s="315"/>
      <c r="E150" s="317"/>
      <c r="F150" s="318" t="str">
        <f t="shared" si="1"/>
        <v>TP149 -  -  - </v>
      </c>
      <c r="G150" s="319">
        <f>SUMIF('ADV - FB'!L:L,$A150,'ADV - FB'!E:E)</f>
        <v>0</v>
      </c>
      <c r="H150" s="320" t="str">
        <f>IFERROR(SUMIF('ADV - FB'!L:L,$A150,'ADV - FB'!H:H)/(SUMIF('ADV - FB'!L:L,$A150,'ADV - FB'!G:G)),"-")</f>
        <v>-</v>
      </c>
      <c r="I150" s="321" t="str">
        <f>IFERROR(SUMIF('ADV - FB'!L:L,$A150,'ADV - FB'!E:E)/(SUMIF('ADV - FB'!L:L,$A150,'ADV - FB'!F:F)),"-")</f>
        <v>-</v>
      </c>
      <c r="J150" s="315">
        <f>SUMIF('ADV - FB'!L:L,$A150,'ADV - FB'!I:I)+SUMIF('ADV - FB'!L:L,$A150,'ADV - FB'!J:J)+SUMIF('ADV - FB'!L:L,$A150,'ADV - FB'!K:K)</f>
        <v>0</v>
      </c>
      <c r="K150" s="321" t="str">
        <f t="shared" si="2"/>
        <v>-</v>
      </c>
      <c r="L150" s="322"/>
      <c r="M150" s="322"/>
      <c r="N150" s="322"/>
      <c r="O150" s="322"/>
      <c r="P150" s="322"/>
      <c r="Q150" s="322"/>
      <c r="R150" s="322"/>
      <c r="S150" s="322"/>
      <c r="T150" s="16"/>
      <c r="U150" s="16"/>
      <c r="V150" s="16"/>
      <c r="W150" s="16"/>
      <c r="X150" s="16"/>
    </row>
    <row r="151" ht="15.75" customHeight="1">
      <c r="A151" s="313" t="s">
        <v>420</v>
      </c>
      <c r="B151" s="314"/>
      <c r="C151" s="315"/>
      <c r="D151" s="315"/>
      <c r="E151" s="317"/>
      <c r="F151" s="318" t="str">
        <f t="shared" si="1"/>
        <v>TP150 -  -  - </v>
      </c>
      <c r="G151" s="319">
        <f>SUMIF('ADV - FB'!L:L,$A151,'ADV - FB'!E:E)</f>
        <v>0</v>
      </c>
      <c r="H151" s="320" t="str">
        <f>IFERROR(SUMIF('ADV - FB'!L:L,$A151,'ADV - FB'!H:H)/(SUMIF('ADV - FB'!L:L,$A151,'ADV - FB'!G:G)),"-")</f>
        <v>-</v>
      </c>
      <c r="I151" s="321" t="str">
        <f>IFERROR(SUMIF('ADV - FB'!L:L,$A151,'ADV - FB'!E:E)/(SUMIF('ADV - FB'!L:L,$A151,'ADV - FB'!F:F)),"-")</f>
        <v>-</v>
      </c>
      <c r="J151" s="315">
        <f>SUMIF('ADV - FB'!L:L,$A151,'ADV - FB'!I:I)+SUMIF('ADV - FB'!L:L,$A151,'ADV - FB'!J:J)+SUMIF('ADV - FB'!L:L,$A151,'ADV - FB'!K:K)</f>
        <v>0</v>
      </c>
      <c r="K151" s="321" t="str">
        <f t="shared" si="2"/>
        <v>-</v>
      </c>
      <c r="L151" s="322"/>
      <c r="M151" s="322"/>
      <c r="N151" s="322"/>
      <c r="O151" s="322"/>
      <c r="P151" s="322"/>
      <c r="Q151" s="322"/>
      <c r="R151" s="322"/>
      <c r="S151" s="322"/>
      <c r="T151" s="16"/>
      <c r="U151" s="16"/>
      <c r="V151" s="16"/>
      <c r="W151" s="16"/>
      <c r="X151" s="16"/>
    </row>
    <row r="152" ht="15.75" customHeight="1">
      <c r="A152" s="313" t="s">
        <v>421</v>
      </c>
      <c r="B152" s="314"/>
      <c r="C152" s="315"/>
      <c r="D152" s="315"/>
      <c r="E152" s="317"/>
      <c r="F152" s="318" t="str">
        <f t="shared" si="1"/>
        <v>TP151 -  -  - </v>
      </c>
      <c r="G152" s="319">
        <f>SUMIF('ADV - FB'!L:L,$A152,'ADV - FB'!E:E)</f>
        <v>0</v>
      </c>
      <c r="H152" s="320" t="str">
        <f>IFERROR(SUMIF('ADV - FB'!L:L,$A152,'ADV - FB'!H:H)/(SUMIF('ADV - FB'!L:L,$A152,'ADV - FB'!G:G)),"-")</f>
        <v>-</v>
      </c>
      <c r="I152" s="321" t="str">
        <f>IFERROR(SUMIF('ADV - FB'!L:L,$A152,'ADV - FB'!E:E)/(SUMIF('ADV - FB'!L:L,$A152,'ADV - FB'!F:F)),"-")</f>
        <v>-</v>
      </c>
      <c r="J152" s="315">
        <f>SUMIF('ADV - FB'!L:L,$A152,'ADV - FB'!I:I)+SUMIF('ADV - FB'!L:L,$A152,'ADV - FB'!J:J)+SUMIF('ADV - FB'!L:L,$A152,'ADV - FB'!K:K)</f>
        <v>0</v>
      </c>
      <c r="K152" s="321" t="str">
        <f t="shared" si="2"/>
        <v>-</v>
      </c>
      <c r="L152" s="322"/>
      <c r="M152" s="322"/>
      <c r="N152" s="322"/>
      <c r="O152" s="322"/>
      <c r="P152" s="322"/>
      <c r="Q152" s="322"/>
      <c r="R152" s="322"/>
      <c r="S152" s="322"/>
      <c r="T152" s="16"/>
      <c r="U152" s="16"/>
      <c r="V152" s="16"/>
      <c r="W152" s="16"/>
      <c r="X152" s="16"/>
    </row>
    <row r="153" ht="15.75" customHeight="1">
      <c r="A153" s="313" t="s">
        <v>422</v>
      </c>
      <c r="B153" s="314"/>
      <c r="C153" s="315"/>
      <c r="D153" s="315"/>
      <c r="E153" s="317"/>
      <c r="F153" s="318" t="str">
        <f t="shared" si="1"/>
        <v>TP152 -  -  - </v>
      </c>
      <c r="G153" s="319">
        <f>SUMIF('ADV - FB'!L:L,$A153,'ADV - FB'!E:E)</f>
        <v>0</v>
      </c>
      <c r="H153" s="320" t="str">
        <f>IFERROR(SUMIF('ADV - FB'!L:L,$A153,'ADV - FB'!H:H)/(SUMIF('ADV - FB'!L:L,$A153,'ADV - FB'!G:G)),"-")</f>
        <v>-</v>
      </c>
      <c r="I153" s="321" t="str">
        <f>IFERROR(SUMIF('ADV - FB'!L:L,$A153,'ADV - FB'!E:E)/(SUMIF('ADV - FB'!L:L,$A153,'ADV - FB'!F:F)),"-")</f>
        <v>-</v>
      </c>
      <c r="J153" s="315">
        <f>SUMIF('ADV - FB'!L:L,$A153,'ADV - FB'!I:I)+SUMIF('ADV - FB'!L:L,$A153,'ADV - FB'!J:J)+SUMIF('ADV - FB'!L:L,$A153,'ADV - FB'!K:K)</f>
        <v>0</v>
      </c>
      <c r="K153" s="321" t="str">
        <f t="shared" si="2"/>
        <v>-</v>
      </c>
      <c r="L153" s="322"/>
      <c r="M153" s="322"/>
      <c r="N153" s="322"/>
      <c r="O153" s="322"/>
      <c r="P153" s="322"/>
      <c r="Q153" s="322"/>
      <c r="R153" s="322"/>
      <c r="S153" s="322"/>
      <c r="T153" s="16"/>
      <c r="U153" s="16"/>
      <c r="V153" s="16"/>
      <c r="W153" s="16"/>
      <c r="X153" s="16"/>
    </row>
    <row r="154" ht="15.75" customHeight="1">
      <c r="A154" s="313" t="s">
        <v>423</v>
      </c>
      <c r="B154" s="314"/>
      <c r="C154" s="315"/>
      <c r="D154" s="315"/>
      <c r="E154" s="317"/>
      <c r="F154" s="318" t="str">
        <f t="shared" si="1"/>
        <v>TP153 -  -  - </v>
      </c>
      <c r="G154" s="319">
        <f>SUMIF('ADV - FB'!L:L,$A154,'ADV - FB'!E:E)</f>
        <v>0</v>
      </c>
      <c r="H154" s="320" t="str">
        <f>IFERROR(SUMIF('ADV - FB'!L:L,$A154,'ADV - FB'!H:H)/(SUMIF('ADV - FB'!L:L,$A154,'ADV - FB'!G:G)),"-")</f>
        <v>-</v>
      </c>
      <c r="I154" s="321" t="str">
        <f>IFERROR(SUMIF('ADV - FB'!L:L,$A154,'ADV - FB'!E:E)/(SUMIF('ADV - FB'!L:L,$A154,'ADV - FB'!F:F)),"-")</f>
        <v>-</v>
      </c>
      <c r="J154" s="315">
        <f>SUMIF('ADV - FB'!L:L,$A154,'ADV - FB'!I:I)+SUMIF('ADV - FB'!L:L,$A154,'ADV - FB'!J:J)+SUMIF('ADV - FB'!L:L,$A154,'ADV - FB'!K:K)</f>
        <v>0</v>
      </c>
      <c r="K154" s="321" t="str">
        <f t="shared" si="2"/>
        <v>-</v>
      </c>
      <c r="L154" s="322"/>
      <c r="M154" s="322"/>
      <c r="N154" s="322"/>
      <c r="O154" s="322"/>
      <c r="P154" s="322"/>
      <c r="Q154" s="322"/>
      <c r="R154" s="322"/>
      <c r="S154" s="322"/>
      <c r="T154" s="16"/>
      <c r="U154" s="16"/>
      <c r="V154" s="16"/>
      <c r="W154" s="16"/>
      <c r="X154" s="16"/>
    </row>
    <row r="155" ht="15.75" customHeight="1">
      <c r="A155" s="313" t="s">
        <v>424</v>
      </c>
      <c r="B155" s="314"/>
      <c r="C155" s="315"/>
      <c r="D155" s="315"/>
      <c r="E155" s="317"/>
      <c r="F155" s="318" t="str">
        <f t="shared" si="1"/>
        <v>TP154 -  -  - </v>
      </c>
      <c r="G155" s="319">
        <f>SUMIF('ADV - FB'!L:L,$A155,'ADV - FB'!E:E)</f>
        <v>0</v>
      </c>
      <c r="H155" s="320" t="str">
        <f>IFERROR(SUMIF('ADV - FB'!L:L,$A155,'ADV - FB'!H:H)/(SUMIF('ADV - FB'!L:L,$A155,'ADV - FB'!G:G)),"-")</f>
        <v>-</v>
      </c>
      <c r="I155" s="321" t="str">
        <f>IFERROR(SUMIF('ADV - FB'!L:L,$A155,'ADV - FB'!E:E)/(SUMIF('ADV - FB'!L:L,$A155,'ADV - FB'!F:F)),"-")</f>
        <v>-</v>
      </c>
      <c r="J155" s="315">
        <f>SUMIF('ADV - FB'!L:L,$A155,'ADV - FB'!I:I)+SUMIF('ADV - FB'!L:L,$A155,'ADV - FB'!J:J)+SUMIF('ADV - FB'!L:L,$A155,'ADV - FB'!K:K)</f>
        <v>0</v>
      </c>
      <c r="K155" s="321" t="str">
        <f t="shared" si="2"/>
        <v>-</v>
      </c>
      <c r="L155" s="322"/>
      <c r="M155" s="322"/>
      <c r="N155" s="322"/>
      <c r="O155" s="322"/>
      <c r="P155" s="322"/>
      <c r="Q155" s="322"/>
      <c r="R155" s="322"/>
      <c r="S155" s="322"/>
      <c r="T155" s="16"/>
      <c r="U155" s="16"/>
      <c r="V155" s="16"/>
      <c r="W155" s="16"/>
      <c r="X155" s="16"/>
    </row>
    <row r="156" ht="15.75" customHeight="1">
      <c r="A156" s="313" t="s">
        <v>425</v>
      </c>
      <c r="B156" s="314"/>
      <c r="C156" s="315"/>
      <c r="D156" s="315"/>
      <c r="E156" s="317"/>
      <c r="F156" s="318" t="str">
        <f t="shared" si="1"/>
        <v>TP155 -  -  - </v>
      </c>
      <c r="G156" s="319">
        <f>SUMIF('ADV - FB'!L:L,$A156,'ADV - FB'!E:E)</f>
        <v>0</v>
      </c>
      <c r="H156" s="320" t="str">
        <f>IFERROR(SUMIF('ADV - FB'!L:L,$A156,'ADV - FB'!H:H)/(SUMIF('ADV - FB'!L:L,$A156,'ADV - FB'!G:G)),"-")</f>
        <v>-</v>
      </c>
      <c r="I156" s="321" t="str">
        <f>IFERROR(SUMIF('ADV - FB'!L:L,$A156,'ADV - FB'!E:E)/(SUMIF('ADV - FB'!L:L,$A156,'ADV - FB'!F:F)),"-")</f>
        <v>-</v>
      </c>
      <c r="J156" s="315">
        <f>SUMIF('ADV - FB'!L:L,$A156,'ADV - FB'!I:I)+SUMIF('ADV - FB'!L:L,$A156,'ADV - FB'!J:J)+SUMIF('ADV - FB'!L:L,$A156,'ADV - FB'!K:K)</f>
        <v>0</v>
      </c>
      <c r="K156" s="321" t="str">
        <f t="shared" si="2"/>
        <v>-</v>
      </c>
      <c r="L156" s="322"/>
      <c r="M156" s="322"/>
      <c r="N156" s="322"/>
      <c r="O156" s="322"/>
      <c r="P156" s="322"/>
      <c r="Q156" s="322"/>
      <c r="R156" s="322"/>
      <c r="S156" s="322"/>
      <c r="T156" s="16"/>
      <c r="U156" s="16"/>
      <c r="V156" s="16"/>
      <c r="W156" s="16"/>
      <c r="X156" s="16"/>
    </row>
    <row r="157" ht="15.75" customHeight="1">
      <c r="A157" s="313" t="s">
        <v>426</v>
      </c>
      <c r="B157" s="314"/>
      <c r="C157" s="315"/>
      <c r="D157" s="315"/>
      <c r="E157" s="317"/>
      <c r="F157" s="318" t="str">
        <f t="shared" si="1"/>
        <v>TP156 -  -  - </v>
      </c>
      <c r="G157" s="319">
        <f>SUMIF('ADV - FB'!L:L,$A157,'ADV - FB'!E:E)</f>
        <v>0</v>
      </c>
      <c r="H157" s="320" t="str">
        <f>IFERROR(SUMIF('ADV - FB'!L:L,$A157,'ADV - FB'!H:H)/(SUMIF('ADV - FB'!L:L,$A157,'ADV - FB'!G:G)),"-")</f>
        <v>-</v>
      </c>
      <c r="I157" s="321" t="str">
        <f>IFERROR(SUMIF('ADV - FB'!L:L,$A157,'ADV - FB'!E:E)/(SUMIF('ADV - FB'!L:L,$A157,'ADV - FB'!F:F)),"-")</f>
        <v>-</v>
      </c>
      <c r="J157" s="315">
        <f>SUMIF('ADV - FB'!L:L,$A157,'ADV - FB'!I:I)+SUMIF('ADV - FB'!L:L,$A157,'ADV - FB'!J:J)+SUMIF('ADV - FB'!L:L,$A157,'ADV - FB'!K:K)</f>
        <v>0</v>
      </c>
      <c r="K157" s="321" t="str">
        <f t="shared" si="2"/>
        <v>-</v>
      </c>
      <c r="L157" s="322"/>
      <c r="M157" s="322"/>
      <c r="N157" s="322"/>
      <c r="O157" s="322"/>
      <c r="P157" s="322"/>
      <c r="Q157" s="322"/>
      <c r="R157" s="322"/>
      <c r="S157" s="322"/>
      <c r="T157" s="16"/>
      <c r="U157" s="16"/>
      <c r="V157" s="16"/>
      <c r="W157" s="16"/>
      <c r="X157" s="16"/>
    </row>
    <row r="158" ht="15.75" customHeight="1">
      <c r="A158" s="313" t="s">
        <v>427</v>
      </c>
      <c r="B158" s="314"/>
      <c r="C158" s="315"/>
      <c r="D158" s="315"/>
      <c r="E158" s="317"/>
      <c r="F158" s="318" t="str">
        <f t="shared" si="1"/>
        <v>TP157 -  -  - </v>
      </c>
      <c r="G158" s="319">
        <f>SUMIF('ADV - FB'!L:L,$A158,'ADV - FB'!E:E)</f>
        <v>0</v>
      </c>
      <c r="H158" s="320" t="str">
        <f>IFERROR(SUMIF('ADV - FB'!L:L,$A158,'ADV - FB'!H:H)/(SUMIF('ADV - FB'!L:L,$A158,'ADV - FB'!G:G)),"-")</f>
        <v>-</v>
      </c>
      <c r="I158" s="321" t="str">
        <f>IFERROR(SUMIF('ADV - FB'!L:L,$A158,'ADV - FB'!E:E)/(SUMIF('ADV - FB'!L:L,$A158,'ADV - FB'!F:F)),"-")</f>
        <v>-</v>
      </c>
      <c r="J158" s="315">
        <f>SUMIF('ADV - FB'!L:L,$A158,'ADV - FB'!I:I)+SUMIF('ADV - FB'!L:L,$A158,'ADV - FB'!J:J)+SUMIF('ADV - FB'!L:L,$A158,'ADV - FB'!K:K)</f>
        <v>0</v>
      </c>
      <c r="K158" s="321" t="str">
        <f t="shared" si="2"/>
        <v>-</v>
      </c>
      <c r="L158" s="322"/>
      <c r="M158" s="322"/>
      <c r="N158" s="322"/>
      <c r="O158" s="322"/>
      <c r="P158" s="322"/>
      <c r="Q158" s="322"/>
      <c r="R158" s="322"/>
      <c r="S158" s="322"/>
      <c r="T158" s="16"/>
      <c r="U158" s="16"/>
      <c r="V158" s="16"/>
      <c r="W158" s="16"/>
      <c r="X158" s="16"/>
    </row>
    <row r="159" ht="15.75" customHeight="1">
      <c r="A159" s="313" t="s">
        <v>428</v>
      </c>
      <c r="B159" s="314"/>
      <c r="C159" s="315"/>
      <c r="D159" s="315"/>
      <c r="E159" s="317"/>
      <c r="F159" s="318" t="str">
        <f t="shared" si="1"/>
        <v>TP158 -  -  - </v>
      </c>
      <c r="G159" s="319">
        <f>SUMIF('ADV - FB'!L:L,$A159,'ADV - FB'!E:E)</f>
        <v>0</v>
      </c>
      <c r="H159" s="320" t="str">
        <f>IFERROR(SUMIF('ADV - FB'!L:L,$A159,'ADV - FB'!H:H)/(SUMIF('ADV - FB'!L:L,$A159,'ADV - FB'!G:G)),"-")</f>
        <v>-</v>
      </c>
      <c r="I159" s="321" t="str">
        <f>IFERROR(SUMIF('ADV - FB'!L:L,$A159,'ADV - FB'!E:E)/(SUMIF('ADV - FB'!L:L,$A159,'ADV - FB'!F:F)),"-")</f>
        <v>-</v>
      </c>
      <c r="J159" s="315">
        <f>SUMIF('ADV - FB'!L:L,$A159,'ADV - FB'!I:I)+SUMIF('ADV - FB'!L:L,$A159,'ADV - FB'!J:J)+SUMIF('ADV - FB'!L:L,$A159,'ADV - FB'!K:K)</f>
        <v>0</v>
      </c>
      <c r="K159" s="321" t="str">
        <f t="shared" si="2"/>
        <v>-</v>
      </c>
      <c r="L159" s="322"/>
      <c r="M159" s="322"/>
      <c r="N159" s="322"/>
      <c r="O159" s="322"/>
      <c r="P159" s="322"/>
      <c r="Q159" s="322"/>
      <c r="R159" s="322"/>
      <c r="S159" s="322"/>
      <c r="T159" s="16"/>
      <c r="U159" s="16"/>
      <c r="V159" s="16"/>
      <c r="W159" s="16"/>
      <c r="X159" s="16"/>
    </row>
    <row r="160" ht="15.75" customHeight="1">
      <c r="A160" s="313" t="s">
        <v>429</v>
      </c>
      <c r="B160" s="314"/>
      <c r="C160" s="315"/>
      <c r="D160" s="315"/>
      <c r="E160" s="317"/>
      <c r="F160" s="318" t="str">
        <f t="shared" si="1"/>
        <v>TP159 -  -  - </v>
      </c>
      <c r="G160" s="319">
        <f>SUMIF('ADV - FB'!L:L,$A160,'ADV - FB'!E:E)</f>
        <v>0</v>
      </c>
      <c r="H160" s="320" t="str">
        <f>IFERROR(SUMIF('ADV - FB'!L:L,$A160,'ADV - FB'!H:H)/(SUMIF('ADV - FB'!L:L,$A160,'ADV - FB'!G:G)),"-")</f>
        <v>-</v>
      </c>
      <c r="I160" s="321" t="str">
        <f>IFERROR(SUMIF('ADV - FB'!L:L,$A160,'ADV - FB'!E:E)/(SUMIF('ADV - FB'!L:L,$A160,'ADV - FB'!F:F)),"-")</f>
        <v>-</v>
      </c>
      <c r="J160" s="315">
        <f>SUMIF('ADV - FB'!L:L,$A160,'ADV - FB'!I:I)+SUMIF('ADV - FB'!L:L,$A160,'ADV - FB'!J:J)+SUMIF('ADV - FB'!L:L,$A160,'ADV - FB'!K:K)</f>
        <v>0</v>
      </c>
      <c r="K160" s="321" t="str">
        <f t="shared" si="2"/>
        <v>-</v>
      </c>
      <c r="L160" s="322"/>
      <c r="M160" s="322"/>
      <c r="N160" s="322"/>
      <c r="O160" s="322"/>
      <c r="P160" s="322"/>
      <c r="Q160" s="322"/>
      <c r="R160" s="322"/>
      <c r="S160" s="322"/>
      <c r="T160" s="16"/>
      <c r="U160" s="16"/>
      <c r="V160" s="16"/>
      <c r="W160" s="16"/>
      <c r="X160" s="16"/>
    </row>
    <row r="161" ht="15.75" customHeight="1">
      <c r="A161" s="313" t="s">
        <v>430</v>
      </c>
      <c r="B161" s="314"/>
      <c r="C161" s="315"/>
      <c r="D161" s="315"/>
      <c r="E161" s="317"/>
      <c r="F161" s="318" t="str">
        <f t="shared" si="1"/>
        <v>TP160 -  -  - </v>
      </c>
      <c r="G161" s="319">
        <f>SUMIF('ADV - FB'!L:L,$A161,'ADV - FB'!E:E)</f>
        <v>0</v>
      </c>
      <c r="H161" s="320" t="str">
        <f>IFERROR(SUMIF('ADV - FB'!L:L,$A161,'ADV - FB'!H:H)/(SUMIF('ADV - FB'!L:L,$A161,'ADV - FB'!G:G)),"-")</f>
        <v>-</v>
      </c>
      <c r="I161" s="321" t="str">
        <f>IFERROR(SUMIF('ADV - FB'!L:L,$A161,'ADV - FB'!E:E)/(SUMIF('ADV - FB'!L:L,$A161,'ADV - FB'!F:F)),"-")</f>
        <v>-</v>
      </c>
      <c r="J161" s="315">
        <f>SUMIF('ADV - FB'!L:L,$A161,'ADV - FB'!I:I)+SUMIF('ADV - FB'!L:L,$A161,'ADV - FB'!J:J)+SUMIF('ADV - FB'!L:L,$A161,'ADV - FB'!K:K)</f>
        <v>0</v>
      </c>
      <c r="K161" s="321" t="str">
        <f t="shared" si="2"/>
        <v>-</v>
      </c>
      <c r="L161" s="322"/>
      <c r="M161" s="322"/>
      <c r="N161" s="322"/>
      <c r="O161" s="322"/>
      <c r="P161" s="322"/>
      <c r="Q161" s="322"/>
      <c r="R161" s="322"/>
      <c r="S161" s="322"/>
      <c r="T161" s="16"/>
      <c r="U161" s="16"/>
      <c r="V161" s="16"/>
      <c r="W161" s="16"/>
      <c r="X161" s="16"/>
    </row>
    <row r="162" ht="15.75" customHeight="1">
      <c r="A162" s="313" t="s">
        <v>431</v>
      </c>
      <c r="B162" s="314"/>
      <c r="C162" s="315"/>
      <c r="D162" s="315"/>
      <c r="E162" s="317"/>
      <c r="F162" s="318" t="str">
        <f t="shared" si="1"/>
        <v>TP161 -  -  - </v>
      </c>
      <c r="G162" s="319">
        <f>SUMIF('ADV - FB'!L:L,$A162,'ADV - FB'!E:E)</f>
        <v>0</v>
      </c>
      <c r="H162" s="320" t="str">
        <f>IFERROR(SUMIF('ADV - FB'!L:L,$A162,'ADV - FB'!H:H)/(SUMIF('ADV - FB'!L:L,$A162,'ADV - FB'!G:G)),"-")</f>
        <v>-</v>
      </c>
      <c r="I162" s="321" t="str">
        <f>IFERROR(SUMIF('ADV - FB'!L:L,$A162,'ADV - FB'!E:E)/(SUMIF('ADV - FB'!L:L,$A162,'ADV - FB'!F:F)),"-")</f>
        <v>-</v>
      </c>
      <c r="J162" s="315">
        <f>SUMIF('ADV - FB'!L:L,$A162,'ADV - FB'!I:I)+SUMIF('ADV - FB'!L:L,$A162,'ADV - FB'!J:J)+SUMIF('ADV - FB'!L:L,$A162,'ADV - FB'!K:K)</f>
        <v>0</v>
      </c>
      <c r="K162" s="321" t="str">
        <f t="shared" si="2"/>
        <v>-</v>
      </c>
      <c r="L162" s="322"/>
      <c r="M162" s="322"/>
      <c r="N162" s="322"/>
      <c r="O162" s="322"/>
      <c r="P162" s="322"/>
      <c r="Q162" s="322"/>
      <c r="R162" s="322"/>
      <c r="S162" s="322"/>
      <c r="T162" s="16"/>
      <c r="U162" s="16"/>
      <c r="V162" s="16"/>
      <c r="W162" s="16"/>
      <c r="X162" s="16"/>
    </row>
    <row r="163" ht="15.75" customHeight="1">
      <c r="A163" s="313" t="s">
        <v>432</v>
      </c>
      <c r="B163" s="314"/>
      <c r="C163" s="315"/>
      <c r="D163" s="315"/>
      <c r="E163" s="317"/>
      <c r="F163" s="318" t="str">
        <f t="shared" si="1"/>
        <v>TP162 -  -  - </v>
      </c>
      <c r="G163" s="319">
        <f>SUMIF('ADV - FB'!L:L,$A163,'ADV - FB'!E:E)</f>
        <v>0</v>
      </c>
      <c r="H163" s="320" t="str">
        <f>IFERROR(SUMIF('ADV - FB'!L:L,$A163,'ADV - FB'!H:H)/(SUMIF('ADV - FB'!L:L,$A163,'ADV - FB'!G:G)),"-")</f>
        <v>-</v>
      </c>
      <c r="I163" s="321" t="str">
        <f>IFERROR(SUMIF('ADV - FB'!L:L,$A163,'ADV - FB'!E:E)/(SUMIF('ADV - FB'!L:L,$A163,'ADV - FB'!F:F)),"-")</f>
        <v>-</v>
      </c>
      <c r="J163" s="315">
        <f>SUMIF('ADV - FB'!L:L,$A163,'ADV - FB'!I:I)+SUMIF('ADV - FB'!L:L,$A163,'ADV - FB'!J:J)+SUMIF('ADV - FB'!L:L,$A163,'ADV - FB'!K:K)</f>
        <v>0</v>
      </c>
      <c r="K163" s="321" t="str">
        <f t="shared" si="2"/>
        <v>-</v>
      </c>
      <c r="L163" s="322"/>
      <c r="M163" s="322"/>
      <c r="N163" s="322"/>
      <c r="O163" s="322"/>
      <c r="P163" s="322"/>
      <c r="Q163" s="322"/>
      <c r="R163" s="322"/>
      <c r="S163" s="322"/>
      <c r="T163" s="16"/>
      <c r="U163" s="16"/>
      <c r="V163" s="16"/>
      <c r="W163" s="16"/>
      <c r="X163" s="16"/>
    </row>
    <row r="164" ht="15.75" customHeight="1">
      <c r="A164" s="313" t="s">
        <v>433</v>
      </c>
      <c r="B164" s="314"/>
      <c r="C164" s="315"/>
      <c r="D164" s="315"/>
      <c r="E164" s="317"/>
      <c r="F164" s="318" t="str">
        <f t="shared" si="1"/>
        <v>TP163 -  -  - </v>
      </c>
      <c r="G164" s="319">
        <f>SUMIF('ADV - FB'!L:L,$A164,'ADV - FB'!E:E)</f>
        <v>0</v>
      </c>
      <c r="H164" s="320" t="str">
        <f>IFERROR(SUMIF('ADV - FB'!L:L,$A164,'ADV - FB'!H:H)/(SUMIF('ADV - FB'!L:L,$A164,'ADV - FB'!G:G)),"-")</f>
        <v>-</v>
      </c>
      <c r="I164" s="321" t="str">
        <f>IFERROR(SUMIF('ADV - FB'!L:L,$A164,'ADV - FB'!E:E)/(SUMIF('ADV - FB'!L:L,$A164,'ADV - FB'!F:F)),"-")</f>
        <v>-</v>
      </c>
      <c r="J164" s="315">
        <f>SUMIF('ADV - FB'!L:L,$A164,'ADV - FB'!I:I)+SUMIF('ADV - FB'!L:L,$A164,'ADV - FB'!J:J)+SUMIF('ADV - FB'!L:L,$A164,'ADV - FB'!K:K)</f>
        <v>0</v>
      </c>
      <c r="K164" s="321" t="str">
        <f t="shared" si="2"/>
        <v>-</v>
      </c>
      <c r="L164" s="322"/>
      <c r="M164" s="322"/>
      <c r="N164" s="322"/>
      <c r="O164" s="322"/>
      <c r="P164" s="322"/>
      <c r="Q164" s="322"/>
      <c r="R164" s="322"/>
      <c r="S164" s="322"/>
      <c r="T164" s="16"/>
      <c r="U164" s="16"/>
      <c r="V164" s="16"/>
      <c r="W164" s="16"/>
      <c r="X164" s="16"/>
    </row>
    <row r="165" ht="15.75" customHeight="1">
      <c r="A165" s="313" t="s">
        <v>434</v>
      </c>
      <c r="B165" s="314"/>
      <c r="C165" s="315"/>
      <c r="D165" s="315"/>
      <c r="E165" s="317"/>
      <c r="F165" s="318" t="str">
        <f t="shared" si="1"/>
        <v>TP164 -  -  - </v>
      </c>
      <c r="G165" s="319">
        <f>SUMIF('ADV - FB'!L:L,$A165,'ADV - FB'!E:E)</f>
        <v>0</v>
      </c>
      <c r="H165" s="320" t="str">
        <f>IFERROR(SUMIF('ADV - FB'!L:L,$A165,'ADV - FB'!H:H)/(SUMIF('ADV - FB'!L:L,$A165,'ADV - FB'!G:G)),"-")</f>
        <v>-</v>
      </c>
      <c r="I165" s="321" t="str">
        <f>IFERROR(SUMIF('ADV - FB'!L:L,$A165,'ADV - FB'!E:E)/(SUMIF('ADV - FB'!L:L,$A165,'ADV - FB'!F:F)),"-")</f>
        <v>-</v>
      </c>
      <c r="J165" s="315">
        <f>SUMIF('ADV - FB'!L:L,$A165,'ADV - FB'!I:I)+SUMIF('ADV - FB'!L:L,$A165,'ADV - FB'!J:J)+SUMIF('ADV - FB'!L:L,$A165,'ADV - FB'!K:K)</f>
        <v>0</v>
      </c>
      <c r="K165" s="321" t="str">
        <f t="shared" si="2"/>
        <v>-</v>
      </c>
      <c r="L165" s="322"/>
      <c r="M165" s="322"/>
      <c r="N165" s="322"/>
      <c r="O165" s="322"/>
      <c r="P165" s="322"/>
      <c r="Q165" s="322"/>
      <c r="R165" s="322"/>
      <c r="S165" s="322"/>
      <c r="T165" s="16"/>
      <c r="U165" s="16"/>
      <c r="V165" s="16"/>
      <c r="W165" s="16"/>
      <c r="X165" s="16"/>
    </row>
    <row r="166" ht="15.75" customHeight="1">
      <c r="A166" s="313" t="s">
        <v>435</v>
      </c>
      <c r="B166" s="314"/>
      <c r="C166" s="315"/>
      <c r="D166" s="315"/>
      <c r="E166" s="317"/>
      <c r="F166" s="318" t="str">
        <f t="shared" si="1"/>
        <v>TP165 -  -  - </v>
      </c>
      <c r="G166" s="319">
        <f>SUMIF('ADV - FB'!L:L,$A166,'ADV - FB'!E:E)</f>
        <v>0</v>
      </c>
      <c r="H166" s="320" t="str">
        <f>IFERROR(SUMIF('ADV - FB'!L:L,$A166,'ADV - FB'!H:H)/(SUMIF('ADV - FB'!L:L,$A166,'ADV - FB'!G:G)),"-")</f>
        <v>-</v>
      </c>
      <c r="I166" s="321" t="str">
        <f>IFERROR(SUMIF('ADV - FB'!L:L,$A166,'ADV - FB'!E:E)/(SUMIF('ADV - FB'!L:L,$A166,'ADV - FB'!F:F)),"-")</f>
        <v>-</v>
      </c>
      <c r="J166" s="315">
        <f>SUMIF('ADV - FB'!L:L,$A166,'ADV - FB'!I:I)+SUMIF('ADV - FB'!L:L,$A166,'ADV - FB'!J:J)+SUMIF('ADV - FB'!L:L,$A166,'ADV - FB'!K:K)</f>
        <v>0</v>
      </c>
      <c r="K166" s="321" t="str">
        <f t="shared" si="2"/>
        <v>-</v>
      </c>
      <c r="L166" s="322"/>
      <c r="M166" s="322"/>
      <c r="N166" s="322"/>
      <c r="O166" s="322"/>
      <c r="P166" s="322"/>
      <c r="Q166" s="322"/>
      <c r="R166" s="322"/>
      <c r="S166" s="322"/>
      <c r="T166" s="16"/>
      <c r="U166" s="16"/>
      <c r="V166" s="16"/>
      <c r="W166" s="16"/>
      <c r="X166" s="16"/>
    </row>
    <row r="167" ht="15.75" customHeight="1">
      <c r="A167" s="313" t="s">
        <v>436</v>
      </c>
      <c r="B167" s="314"/>
      <c r="C167" s="315"/>
      <c r="D167" s="315"/>
      <c r="E167" s="317"/>
      <c r="F167" s="318" t="str">
        <f t="shared" si="1"/>
        <v>TP166 -  -  - </v>
      </c>
      <c r="G167" s="319">
        <f>SUMIF('ADV - FB'!L:L,$A167,'ADV - FB'!E:E)</f>
        <v>0</v>
      </c>
      <c r="H167" s="320" t="str">
        <f>IFERROR(SUMIF('ADV - FB'!L:L,$A167,'ADV - FB'!H:H)/(SUMIF('ADV - FB'!L:L,$A167,'ADV - FB'!G:G)),"-")</f>
        <v>-</v>
      </c>
      <c r="I167" s="321" t="str">
        <f>IFERROR(SUMIF('ADV - FB'!L:L,$A167,'ADV - FB'!E:E)/(SUMIF('ADV - FB'!L:L,$A167,'ADV - FB'!F:F)),"-")</f>
        <v>-</v>
      </c>
      <c r="J167" s="315">
        <f>SUMIF('ADV - FB'!L:L,$A167,'ADV - FB'!I:I)+SUMIF('ADV - FB'!L:L,$A167,'ADV - FB'!J:J)+SUMIF('ADV - FB'!L:L,$A167,'ADV - FB'!K:K)</f>
        <v>0</v>
      </c>
      <c r="K167" s="321" t="str">
        <f t="shared" si="2"/>
        <v>-</v>
      </c>
      <c r="L167" s="322"/>
      <c r="M167" s="322"/>
      <c r="N167" s="322"/>
      <c r="O167" s="322"/>
      <c r="P167" s="322"/>
      <c r="Q167" s="322"/>
      <c r="R167" s="322"/>
      <c r="S167" s="322"/>
      <c r="T167" s="16"/>
      <c r="U167" s="16"/>
      <c r="V167" s="16"/>
      <c r="W167" s="16"/>
      <c r="X167" s="16"/>
    </row>
    <row r="168" ht="15.75" customHeight="1">
      <c r="A168" s="313" t="s">
        <v>437</v>
      </c>
      <c r="B168" s="314"/>
      <c r="C168" s="315"/>
      <c r="D168" s="315"/>
      <c r="E168" s="317"/>
      <c r="F168" s="318" t="str">
        <f t="shared" si="1"/>
        <v>TP167 -  -  - </v>
      </c>
      <c r="G168" s="319">
        <f>SUMIF('ADV - FB'!L:L,$A168,'ADV - FB'!E:E)</f>
        <v>0</v>
      </c>
      <c r="H168" s="320" t="str">
        <f>IFERROR(SUMIF('ADV - FB'!L:L,$A168,'ADV - FB'!H:H)/(SUMIF('ADV - FB'!L:L,$A168,'ADV - FB'!G:G)),"-")</f>
        <v>-</v>
      </c>
      <c r="I168" s="321" t="str">
        <f>IFERROR(SUMIF('ADV - FB'!L:L,$A168,'ADV - FB'!E:E)/(SUMIF('ADV - FB'!L:L,$A168,'ADV - FB'!F:F)),"-")</f>
        <v>-</v>
      </c>
      <c r="J168" s="315">
        <f>SUMIF('ADV - FB'!L:L,$A168,'ADV - FB'!I:I)+SUMIF('ADV - FB'!L:L,$A168,'ADV - FB'!J:J)+SUMIF('ADV - FB'!L:L,$A168,'ADV - FB'!K:K)</f>
        <v>0</v>
      </c>
      <c r="K168" s="321" t="str">
        <f t="shared" si="2"/>
        <v>-</v>
      </c>
      <c r="L168" s="322"/>
      <c r="M168" s="322"/>
      <c r="N168" s="322"/>
      <c r="O168" s="322"/>
      <c r="P168" s="322"/>
      <c r="Q168" s="322"/>
      <c r="R168" s="322"/>
      <c r="S168" s="322"/>
      <c r="T168" s="16"/>
      <c r="U168" s="16"/>
      <c r="V168" s="16"/>
      <c r="W168" s="16"/>
      <c r="X168" s="16"/>
    </row>
    <row r="169" ht="15.75" customHeight="1">
      <c r="A169" s="313" t="s">
        <v>438</v>
      </c>
      <c r="B169" s="314"/>
      <c r="C169" s="315"/>
      <c r="D169" s="315"/>
      <c r="E169" s="317"/>
      <c r="F169" s="318" t="str">
        <f t="shared" si="1"/>
        <v>TP168 -  -  - </v>
      </c>
      <c r="G169" s="319">
        <f>SUMIF('ADV - FB'!L:L,$A169,'ADV - FB'!E:E)</f>
        <v>0</v>
      </c>
      <c r="H169" s="320" t="str">
        <f>IFERROR(SUMIF('ADV - FB'!L:L,$A169,'ADV - FB'!H:H)/(SUMIF('ADV - FB'!L:L,$A169,'ADV - FB'!G:G)),"-")</f>
        <v>-</v>
      </c>
      <c r="I169" s="321" t="str">
        <f>IFERROR(SUMIF('ADV - FB'!L:L,$A169,'ADV - FB'!E:E)/(SUMIF('ADV - FB'!L:L,$A169,'ADV - FB'!F:F)),"-")</f>
        <v>-</v>
      </c>
      <c r="J169" s="315">
        <f>SUMIF('ADV - FB'!L:L,$A169,'ADV - FB'!I:I)+SUMIF('ADV - FB'!L:L,$A169,'ADV - FB'!J:J)+SUMIF('ADV - FB'!L:L,$A169,'ADV - FB'!K:K)</f>
        <v>0</v>
      </c>
      <c r="K169" s="321" t="str">
        <f t="shared" si="2"/>
        <v>-</v>
      </c>
      <c r="L169" s="322"/>
      <c r="M169" s="322"/>
      <c r="N169" s="322"/>
      <c r="O169" s="322"/>
      <c r="P169" s="322"/>
      <c r="Q169" s="322"/>
      <c r="R169" s="322"/>
      <c r="S169" s="322"/>
      <c r="T169" s="16"/>
      <c r="U169" s="16"/>
      <c r="V169" s="16"/>
      <c r="W169" s="16"/>
      <c r="X169" s="16"/>
    </row>
    <row r="170" ht="15.75" customHeight="1">
      <c r="A170" s="313" t="s">
        <v>439</v>
      </c>
      <c r="B170" s="314"/>
      <c r="C170" s="315"/>
      <c r="D170" s="315"/>
      <c r="E170" s="317"/>
      <c r="F170" s="318" t="str">
        <f t="shared" si="1"/>
        <v>TP169 -  -  - </v>
      </c>
      <c r="G170" s="319">
        <f>SUMIF('ADV - FB'!L:L,$A170,'ADV - FB'!E:E)</f>
        <v>0</v>
      </c>
      <c r="H170" s="320" t="str">
        <f>IFERROR(SUMIF('ADV - FB'!L:L,$A170,'ADV - FB'!H:H)/(SUMIF('ADV - FB'!L:L,$A170,'ADV - FB'!G:G)),"-")</f>
        <v>-</v>
      </c>
      <c r="I170" s="321" t="str">
        <f>IFERROR(SUMIF('ADV - FB'!L:L,$A170,'ADV - FB'!E:E)/(SUMIF('ADV - FB'!L:L,$A170,'ADV - FB'!F:F)),"-")</f>
        <v>-</v>
      </c>
      <c r="J170" s="315">
        <f>SUMIF('ADV - FB'!L:L,$A170,'ADV - FB'!I:I)+SUMIF('ADV - FB'!L:L,$A170,'ADV - FB'!J:J)+SUMIF('ADV - FB'!L:L,$A170,'ADV - FB'!K:K)</f>
        <v>0</v>
      </c>
      <c r="K170" s="321" t="str">
        <f t="shared" si="2"/>
        <v>-</v>
      </c>
      <c r="L170" s="322"/>
      <c r="M170" s="322"/>
      <c r="N170" s="322"/>
      <c r="O170" s="322"/>
      <c r="P170" s="322"/>
      <c r="Q170" s="322"/>
      <c r="R170" s="322"/>
      <c r="S170" s="322"/>
      <c r="T170" s="16"/>
      <c r="U170" s="16"/>
      <c r="V170" s="16"/>
      <c r="W170" s="16"/>
      <c r="X170" s="16"/>
    </row>
    <row r="171" ht="15.75" customHeight="1">
      <c r="A171" s="313" t="s">
        <v>440</v>
      </c>
      <c r="B171" s="314"/>
      <c r="C171" s="315"/>
      <c r="D171" s="315"/>
      <c r="E171" s="317"/>
      <c r="F171" s="318" t="str">
        <f t="shared" si="1"/>
        <v>TP170 -  -  - </v>
      </c>
      <c r="G171" s="319">
        <f>SUMIF('ADV - FB'!L:L,$A171,'ADV - FB'!E:E)</f>
        <v>0</v>
      </c>
      <c r="H171" s="320" t="str">
        <f>IFERROR(SUMIF('ADV - FB'!L:L,$A171,'ADV - FB'!H:H)/(SUMIF('ADV - FB'!L:L,$A171,'ADV - FB'!G:G)),"-")</f>
        <v>-</v>
      </c>
      <c r="I171" s="321" t="str">
        <f>IFERROR(SUMIF('ADV - FB'!L:L,$A171,'ADV - FB'!E:E)/(SUMIF('ADV - FB'!L:L,$A171,'ADV - FB'!F:F)),"-")</f>
        <v>-</v>
      </c>
      <c r="J171" s="315">
        <f>SUMIF('ADV - FB'!L:L,$A171,'ADV - FB'!I:I)+SUMIF('ADV - FB'!L:L,$A171,'ADV - FB'!J:J)+SUMIF('ADV - FB'!L:L,$A171,'ADV - FB'!K:K)</f>
        <v>0</v>
      </c>
      <c r="K171" s="321" t="str">
        <f t="shared" si="2"/>
        <v>-</v>
      </c>
      <c r="L171" s="322"/>
      <c r="M171" s="322"/>
      <c r="N171" s="322"/>
      <c r="O171" s="322"/>
      <c r="P171" s="322"/>
      <c r="Q171" s="322"/>
      <c r="R171" s="322"/>
      <c r="S171" s="322"/>
      <c r="T171" s="16"/>
      <c r="U171" s="16"/>
      <c r="V171" s="16"/>
      <c r="W171" s="16"/>
      <c r="X171" s="16"/>
    </row>
    <row r="172" ht="15.75" customHeight="1">
      <c r="A172" s="313" t="s">
        <v>441</v>
      </c>
      <c r="B172" s="314"/>
      <c r="C172" s="315"/>
      <c r="D172" s="315"/>
      <c r="E172" s="317"/>
      <c r="F172" s="318" t="str">
        <f t="shared" si="1"/>
        <v>TP171 -  -  - </v>
      </c>
      <c r="G172" s="319">
        <f>SUMIF('ADV - FB'!L:L,$A172,'ADV - FB'!E:E)</f>
        <v>0</v>
      </c>
      <c r="H172" s="320" t="str">
        <f>IFERROR(SUMIF('ADV - FB'!L:L,$A172,'ADV - FB'!H:H)/(SUMIF('ADV - FB'!L:L,$A172,'ADV - FB'!G:G)),"-")</f>
        <v>-</v>
      </c>
      <c r="I172" s="321" t="str">
        <f>IFERROR(SUMIF('ADV - FB'!L:L,$A172,'ADV - FB'!E:E)/(SUMIF('ADV - FB'!L:L,$A172,'ADV - FB'!F:F)),"-")</f>
        <v>-</v>
      </c>
      <c r="J172" s="315">
        <f>SUMIF('ADV - FB'!L:L,$A172,'ADV - FB'!I:I)+SUMIF('ADV - FB'!L:L,$A172,'ADV - FB'!J:J)+SUMIF('ADV - FB'!L:L,$A172,'ADV - FB'!K:K)</f>
        <v>0</v>
      </c>
      <c r="K172" s="321" t="str">
        <f t="shared" si="2"/>
        <v>-</v>
      </c>
      <c r="L172" s="322"/>
      <c r="M172" s="322"/>
      <c r="N172" s="322"/>
      <c r="O172" s="322"/>
      <c r="P172" s="322"/>
      <c r="Q172" s="322"/>
      <c r="R172" s="322"/>
      <c r="S172" s="322"/>
      <c r="T172" s="16"/>
      <c r="U172" s="16"/>
      <c r="V172" s="16"/>
      <c r="W172" s="16"/>
      <c r="X172" s="16"/>
    </row>
    <row r="173" ht="15.75" customHeight="1">
      <c r="A173" s="313" t="s">
        <v>442</v>
      </c>
      <c r="B173" s="314"/>
      <c r="C173" s="315"/>
      <c r="D173" s="315"/>
      <c r="E173" s="317"/>
      <c r="F173" s="318" t="str">
        <f t="shared" si="1"/>
        <v>TP172 -  -  - </v>
      </c>
      <c r="G173" s="319">
        <f>SUMIF('ADV - FB'!L:L,$A173,'ADV - FB'!E:E)</f>
        <v>0</v>
      </c>
      <c r="H173" s="320" t="str">
        <f>IFERROR(SUMIF('ADV - FB'!L:L,$A173,'ADV - FB'!H:H)/(SUMIF('ADV - FB'!L:L,$A173,'ADV - FB'!G:G)),"-")</f>
        <v>-</v>
      </c>
      <c r="I173" s="321" t="str">
        <f>IFERROR(SUMIF('ADV - FB'!L:L,$A173,'ADV - FB'!E:E)/(SUMIF('ADV - FB'!L:L,$A173,'ADV - FB'!F:F)),"-")</f>
        <v>-</v>
      </c>
      <c r="J173" s="315">
        <f>SUMIF('ADV - FB'!L:L,$A173,'ADV - FB'!I:I)+SUMIF('ADV - FB'!L:L,$A173,'ADV - FB'!J:J)+SUMIF('ADV - FB'!L:L,$A173,'ADV - FB'!K:K)</f>
        <v>0</v>
      </c>
      <c r="K173" s="321" t="str">
        <f t="shared" si="2"/>
        <v>-</v>
      </c>
      <c r="L173" s="322"/>
      <c r="M173" s="322"/>
      <c r="N173" s="322"/>
      <c r="O173" s="322"/>
      <c r="P173" s="322"/>
      <c r="Q173" s="322"/>
      <c r="R173" s="322"/>
      <c r="S173" s="322"/>
      <c r="T173" s="16"/>
      <c r="U173" s="16"/>
      <c r="V173" s="16"/>
      <c r="W173" s="16"/>
      <c r="X173" s="16"/>
    </row>
    <row r="174" ht="15.75" customHeight="1">
      <c r="A174" s="313" t="s">
        <v>443</v>
      </c>
      <c r="B174" s="314"/>
      <c r="C174" s="315"/>
      <c r="D174" s="315"/>
      <c r="E174" s="317"/>
      <c r="F174" s="318" t="str">
        <f t="shared" si="1"/>
        <v>TP173 -  -  - </v>
      </c>
      <c r="G174" s="319">
        <f>SUMIF('ADV - FB'!L:L,$A174,'ADV - FB'!E:E)</f>
        <v>0</v>
      </c>
      <c r="H174" s="320" t="str">
        <f>IFERROR(SUMIF('ADV - FB'!L:L,$A174,'ADV - FB'!H:H)/(SUMIF('ADV - FB'!L:L,$A174,'ADV - FB'!G:G)),"-")</f>
        <v>-</v>
      </c>
      <c r="I174" s="321" t="str">
        <f>IFERROR(SUMIF('ADV - FB'!L:L,$A174,'ADV - FB'!E:E)/(SUMIF('ADV - FB'!L:L,$A174,'ADV - FB'!F:F)),"-")</f>
        <v>-</v>
      </c>
      <c r="J174" s="315">
        <f>SUMIF('ADV - FB'!L:L,$A174,'ADV - FB'!I:I)+SUMIF('ADV - FB'!L:L,$A174,'ADV - FB'!J:J)+SUMIF('ADV - FB'!L:L,$A174,'ADV - FB'!K:K)</f>
        <v>0</v>
      </c>
      <c r="K174" s="321" t="str">
        <f t="shared" si="2"/>
        <v>-</v>
      </c>
      <c r="L174" s="322"/>
      <c r="M174" s="322"/>
      <c r="N174" s="322"/>
      <c r="O174" s="322"/>
      <c r="P174" s="322"/>
      <c r="Q174" s="322"/>
      <c r="R174" s="322"/>
      <c r="S174" s="322"/>
      <c r="T174" s="16"/>
      <c r="U174" s="16"/>
      <c r="V174" s="16"/>
      <c r="W174" s="16"/>
      <c r="X174" s="16"/>
    </row>
    <row r="175" ht="15.75" customHeight="1">
      <c r="A175" s="313" t="s">
        <v>444</v>
      </c>
      <c r="B175" s="314"/>
      <c r="C175" s="315"/>
      <c r="D175" s="315"/>
      <c r="E175" s="317"/>
      <c r="F175" s="318" t="str">
        <f t="shared" si="1"/>
        <v>TP174 -  -  - </v>
      </c>
      <c r="G175" s="319">
        <f>SUMIF('ADV - FB'!L:L,$A175,'ADV - FB'!E:E)</f>
        <v>0</v>
      </c>
      <c r="H175" s="320" t="str">
        <f>IFERROR(SUMIF('ADV - FB'!L:L,$A175,'ADV - FB'!H:H)/(SUMIF('ADV - FB'!L:L,$A175,'ADV - FB'!G:G)),"-")</f>
        <v>-</v>
      </c>
      <c r="I175" s="321" t="str">
        <f>IFERROR(SUMIF('ADV - FB'!L:L,$A175,'ADV - FB'!E:E)/(SUMIF('ADV - FB'!L:L,$A175,'ADV - FB'!F:F)),"-")</f>
        <v>-</v>
      </c>
      <c r="J175" s="315">
        <f>SUMIF('ADV - FB'!L:L,$A175,'ADV - FB'!I:I)+SUMIF('ADV - FB'!L:L,$A175,'ADV - FB'!J:J)+SUMIF('ADV - FB'!L:L,$A175,'ADV - FB'!K:K)</f>
        <v>0</v>
      </c>
      <c r="K175" s="321" t="str">
        <f t="shared" si="2"/>
        <v>-</v>
      </c>
      <c r="L175" s="322"/>
      <c r="M175" s="322"/>
      <c r="N175" s="322"/>
      <c r="O175" s="322"/>
      <c r="P175" s="322"/>
      <c r="Q175" s="322"/>
      <c r="R175" s="322"/>
      <c r="S175" s="322"/>
      <c r="T175" s="16"/>
      <c r="U175" s="16"/>
      <c r="V175" s="16"/>
      <c r="W175" s="16"/>
      <c r="X175" s="16"/>
    </row>
    <row r="176" ht="15.75" customHeight="1">
      <c r="A176" s="313" t="s">
        <v>445</v>
      </c>
      <c r="B176" s="314"/>
      <c r="C176" s="315"/>
      <c r="D176" s="315"/>
      <c r="E176" s="317"/>
      <c r="F176" s="318" t="str">
        <f t="shared" si="1"/>
        <v>TP175 -  -  - </v>
      </c>
      <c r="G176" s="319">
        <f>SUMIF('ADV - FB'!L:L,$A176,'ADV - FB'!E:E)</f>
        <v>0</v>
      </c>
      <c r="H176" s="320" t="str">
        <f>IFERROR(SUMIF('ADV - FB'!L:L,$A176,'ADV - FB'!H:H)/(SUMIF('ADV - FB'!L:L,$A176,'ADV - FB'!G:G)),"-")</f>
        <v>-</v>
      </c>
      <c r="I176" s="321" t="str">
        <f>IFERROR(SUMIF('ADV - FB'!L:L,$A176,'ADV - FB'!E:E)/(SUMIF('ADV - FB'!L:L,$A176,'ADV - FB'!F:F)),"-")</f>
        <v>-</v>
      </c>
      <c r="J176" s="315">
        <f>SUMIF('ADV - FB'!L:L,$A176,'ADV - FB'!I:I)+SUMIF('ADV - FB'!L:L,$A176,'ADV - FB'!J:J)+SUMIF('ADV - FB'!L:L,$A176,'ADV - FB'!K:K)</f>
        <v>0</v>
      </c>
      <c r="K176" s="321" t="str">
        <f t="shared" si="2"/>
        <v>-</v>
      </c>
      <c r="L176" s="322"/>
      <c r="M176" s="322"/>
      <c r="N176" s="322"/>
      <c r="O176" s="322"/>
      <c r="P176" s="322"/>
      <c r="Q176" s="322"/>
      <c r="R176" s="322"/>
      <c r="S176" s="322"/>
      <c r="T176" s="16"/>
      <c r="U176" s="16"/>
      <c r="V176" s="16"/>
      <c r="W176" s="16"/>
      <c r="X176" s="16"/>
    </row>
    <row r="177" ht="15.75" customHeight="1">
      <c r="A177" s="313" t="s">
        <v>446</v>
      </c>
      <c r="B177" s="314"/>
      <c r="C177" s="315"/>
      <c r="D177" s="315"/>
      <c r="E177" s="317"/>
      <c r="F177" s="318" t="str">
        <f t="shared" si="1"/>
        <v>TP176 -  -  - </v>
      </c>
      <c r="G177" s="319">
        <f>SUMIF('ADV - FB'!L:L,$A177,'ADV - FB'!E:E)</f>
        <v>0</v>
      </c>
      <c r="H177" s="320" t="str">
        <f>IFERROR(SUMIF('ADV - FB'!L:L,$A177,'ADV - FB'!H:H)/(SUMIF('ADV - FB'!L:L,$A177,'ADV - FB'!G:G)),"-")</f>
        <v>-</v>
      </c>
      <c r="I177" s="321" t="str">
        <f>IFERROR(SUMIF('ADV - FB'!L:L,$A177,'ADV - FB'!E:E)/(SUMIF('ADV - FB'!L:L,$A177,'ADV - FB'!F:F)),"-")</f>
        <v>-</v>
      </c>
      <c r="J177" s="315">
        <f>SUMIF('ADV - FB'!L:L,$A177,'ADV - FB'!I:I)+SUMIF('ADV - FB'!L:L,$A177,'ADV - FB'!J:J)+SUMIF('ADV - FB'!L:L,$A177,'ADV - FB'!K:K)</f>
        <v>0</v>
      </c>
      <c r="K177" s="321" t="str">
        <f t="shared" si="2"/>
        <v>-</v>
      </c>
      <c r="L177" s="322"/>
      <c r="M177" s="322"/>
      <c r="N177" s="322"/>
      <c r="O177" s="322"/>
      <c r="P177" s="322"/>
      <c r="Q177" s="322"/>
      <c r="R177" s="322"/>
      <c r="S177" s="322"/>
      <c r="T177" s="16"/>
      <c r="U177" s="16"/>
      <c r="V177" s="16"/>
      <c r="W177" s="16"/>
      <c r="X177" s="16"/>
    </row>
    <row r="178" ht="15.75" customHeight="1">
      <c r="A178" s="313" t="s">
        <v>447</v>
      </c>
      <c r="B178" s="314"/>
      <c r="C178" s="315"/>
      <c r="D178" s="315"/>
      <c r="E178" s="317"/>
      <c r="F178" s="318" t="str">
        <f t="shared" si="1"/>
        <v>TP177 -  -  - </v>
      </c>
      <c r="G178" s="319">
        <f>SUMIF('ADV - FB'!L:L,$A178,'ADV - FB'!E:E)</f>
        <v>0</v>
      </c>
      <c r="H178" s="320" t="str">
        <f>IFERROR(SUMIF('ADV - FB'!L:L,$A178,'ADV - FB'!H:H)/(SUMIF('ADV - FB'!L:L,$A178,'ADV - FB'!G:G)),"-")</f>
        <v>-</v>
      </c>
      <c r="I178" s="321" t="str">
        <f>IFERROR(SUMIF('ADV - FB'!L:L,$A178,'ADV - FB'!E:E)/(SUMIF('ADV - FB'!L:L,$A178,'ADV - FB'!F:F)),"-")</f>
        <v>-</v>
      </c>
      <c r="J178" s="315">
        <f>SUMIF('ADV - FB'!L:L,$A178,'ADV - FB'!I:I)+SUMIF('ADV - FB'!L:L,$A178,'ADV - FB'!J:J)+SUMIF('ADV - FB'!L:L,$A178,'ADV - FB'!K:K)</f>
        <v>0</v>
      </c>
      <c r="K178" s="321" t="str">
        <f t="shared" si="2"/>
        <v>-</v>
      </c>
      <c r="L178" s="322"/>
      <c r="M178" s="322"/>
      <c r="N178" s="322"/>
      <c r="O178" s="322"/>
      <c r="P178" s="322"/>
      <c r="Q178" s="322"/>
      <c r="R178" s="322"/>
      <c r="S178" s="322"/>
      <c r="T178" s="16"/>
      <c r="U178" s="16"/>
      <c r="V178" s="16"/>
      <c r="W178" s="16"/>
      <c r="X178" s="16"/>
    </row>
    <row r="179" ht="15.75" customHeight="1">
      <c r="A179" s="313" t="s">
        <v>448</v>
      </c>
      <c r="B179" s="314"/>
      <c r="C179" s="315"/>
      <c r="D179" s="315"/>
      <c r="E179" s="317"/>
      <c r="F179" s="318" t="str">
        <f t="shared" si="1"/>
        <v>TP178 -  -  - </v>
      </c>
      <c r="G179" s="319">
        <f>SUMIF('ADV - FB'!L:L,$A179,'ADV - FB'!E:E)</f>
        <v>0</v>
      </c>
      <c r="H179" s="320" t="str">
        <f>IFERROR(SUMIF('ADV - FB'!L:L,$A179,'ADV - FB'!H:H)/(SUMIF('ADV - FB'!L:L,$A179,'ADV - FB'!G:G)),"-")</f>
        <v>-</v>
      </c>
      <c r="I179" s="321" t="str">
        <f>IFERROR(SUMIF('ADV - FB'!L:L,$A179,'ADV - FB'!E:E)/(SUMIF('ADV - FB'!L:L,$A179,'ADV - FB'!F:F)),"-")</f>
        <v>-</v>
      </c>
      <c r="J179" s="315">
        <f>SUMIF('ADV - FB'!L:L,$A179,'ADV - FB'!I:I)+SUMIF('ADV - FB'!L:L,$A179,'ADV - FB'!J:J)+SUMIF('ADV - FB'!L:L,$A179,'ADV - FB'!K:K)</f>
        <v>0</v>
      </c>
      <c r="K179" s="321" t="str">
        <f t="shared" si="2"/>
        <v>-</v>
      </c>
      <c r="L179" s="322"/>
      <c r="M179" s="322"/>
      <c r="N179" s="322"/>
      <c r="O179" s="322"/>
      <c r="P179" s="322"/>
      <c r="Q179" s="322"/>
      <c r="R179" s="322"/>
      <c r="S179" s="322"/>
      <c r="T179" s="16"/>
      <c r="U179" s="16"/>
      <c r="V179" s="16"/>
      <c r="W179" s="16"/>
      <c r="X179" s="16"/>
    </row>
    <row r="180" ht="15.75" customHeight="1">
      <c r="A180" s="313" t="s">
        <v>449</v>
      </c>
      <c r="B180" s="314"/>
      <c r="C180" s="315"/>
      <c r="D180" s="315"/>
      <c r="E180" s="317"/>
      <c r="F180" s="318" t="str">
        <f t="shared" si="1"/>
        <v>TP179 -  -  - </v>
      </c>
      <c r="G180" s="319">
        <f>SUMIF('ADV - FB'!L:L,$A180,'ADV - FB'!E:E)</f>
        <v>0</v>
      </c>
      <c r="H180" s="320" t="str">
        <f>IFERROR(SUMIF('ADV - FB'!L:L,$A180,'ADV - FB'!H:H)/(SUMIF('ADV - FB'!L:L,$A180,'ADV - FB'!G:G)),"-")</f>
        <v>-</v>
      </c>
      <c r="I180" s="321" t="str">
        <f>IFERROR(SUMIF('ADV - FB'!L:L,$A180,'ADV - FB'!E:E)/(SUMIF('ADV - FB'!L:L,$A180,'ADV - FB'!F:F)),"-")</f>
        <v>-</v>
      </c>
      <c r="J180" s="315">
        <f>SUMIF('ADV - FB'!L:L,$A180,'ADV - FB'!I:I)+SUMIF('ADV - FB'!L:L,$A180,'ADV - FB'!J:J)+SUMIF('ADV - FB'!L:L,$A180,'ADV - FB'!K:K)</f>
        <v>0</v>
      </c>
      <c r="K180" s="321" t="str">
        <f t="shared" si="2"/>
        <v>-</v>
      </c>
      <c r="L180" s="322"/>
      <c r="M180" s="322"/>
      <c r="N180" s="322"/>
      <c r="O180" s="322"/>
      <c r="P180" s="322"/>
      <c r="Q180" s="322"/>
      <c r="R180" s="322"/>
      <c r="S180" s="322"/>
      <c r="T180" s="16"/>
      <c r="U180" s="16"/>
      <c r="V180" s="16"/>
      <c r="W180" s="16"/>
      <c r="X180" s="16"/>
    </row>
    <row r="181" ht="15.75" customHeight="1">
      <c r="A181" s="313" t="s">
        <v>450</v>
      </c>
      <c r="B181" s="314"/>
      <c r="C181" s="315"/>
      <c r="D181" s="315"/>
      <c r="E181" s="317"/>
      <c r="F181" s="318" t="str">
        <f t="shared" si="1"/>
        <v>TP180 -  -  - </v>
      </c>
      <c r="G181" s="319">
        <f>SUMIF('ADV - FB'!L:L,$A181,'ADV - FB'!E:E)</f>
        <v>0</v>
      </c>
      <c r="H181" s="320" t="str">
        <f>IFERROR(SUMIF('ADV - FB'!L:L,$A181,'ADV - FB'!H:H)/(SUMIF('ADV - FB'!L:L,$A181,'ADV - FB'!G:G)),"-")</f>
        <v>-</v>
      </c>
      <c r="I181" s="321" t="str">
        <f>IFERROR(SUMIF('ADV - FB'!L:L,$A181,'ADV - FB'!E:E)/(SUMIF('ADV - FB'!L:L,$A181,'ADV - FB'!F:F)),"-")</f>
        <v>-</v>
      </c>
      <c r="J181" s="315">
        <f>SUMIF('ADV - FB'!L:L,$A181,'ADV - FB'!I:I)+SUMIF('ADV - FB'!L:L,$A181,'ADV - FB'!J:J)+SUMIF('ADV - FB'!L:L,$A181,'ADV - FB'!K:K)</f>
        <v>0</v>
      </c>
      <c r="K181" s="321" t="str">
        <f t="shared" si="2"/>
        <v>-</v>
      </c>
      <c r="L181" s="322"/>
      <c r="M181" s="322"/>
      <c r="N181" s="322"/>
      <c r="O181" s="322"/>
      <c r="P181" s="322"/>
      <c r="Q181" s="322"/>
      <c r="R181" s="322"/>
      <c r="S181" s="322"/>
      <c r="T181" s="16"/>
      <c r="U181" s="16"/>
      <c r="V181" s="16"/>
      <c r="W181" s="16"/>
      <c r="X181" s="16"/>
    </row>
    <row r="182" ht="15.75" customHeight="1">
      <c r="A182" s="313" t="s">
        <v>451</v>
      </c>
      <c r="B182" s="314"/>
      <c r="C182" s="315"/>
      <c r="D182" s="315"/>
      <c r="E182" s="317"/>
      <c r="F182" s="318" t="str">
        <f t="shared" si="1"/>
        <v>TP181 -  -  - </v>
      </c>
      <c r="G182" s="319">
        <f>SUMIF('ADV - FB'!L:L,$A182,'ADV - FB'!E:E)</f>
        <v>0</v>
      </c>
      <c r="H182" s="320" t="str">
        <f>IFERROR(SUMIF('ADV - FB'!L:L,$A182,'ADV - FB'!H:H)/(SUMIF('ADV - FB'!L:L,$A182,'ADV - FB'!G:G)),"-")</f>
        <v>-</v>
      </c>
      <c r="I182" s="321" t="str">
        <f>IFERROR(SUMIF('ADV - FB'!L:L,$A182,'ADV - FB'!E:E)/(SUMIF('ADV - FB'!L:L,$A182,'ADV - FB'!F:F)),"-")</f>
        <v>-</v>
      </c>
      <c r="J182" s="315">
        <f>SUMIF('ADV - FB'!L:L,$A182,'ADV - FB'!I:I)+SUMIF('ADV - FB'!L:L,$A182,'ADV - FB'!J:J)+SUMIF('ADV - FB'!L:L,$A182,'ADV - FB'!K:K)</f>
        <v>0</v>
      </c>
      <c r="K182" s="321" t="str">
        <f t="shared" si="2"/>
        <v>-</v>
      </c>
      <c r="L182" s="322"/>
      <c r="M182" s="322"/>
      <c r="N182" s="322"/>
      <c r="O182" s="322"/>
      <c r="P182" s="322"/>
      <c r="Q182" s="322"/>
      <c r="R182" s="322"/>
      <c r="S182" s="322"/>
      <c r="T182" s="16"/>
      <c r="U182" s="16"/>
      <c r="V182" s="16"/>
      <c r="W182" s="16"/>
      <c r="X182" s="16"/>
    </row>
    <row r="183" ht="15.75" customHeight="1">
      <c r="A183" s="313" t="s">
        <v>452</v>
      </c>
      <c r="B183" s="314"/>
      <c r="C183" s="315"/>
      <c r="D183" s="315"/>
      <c r="E183" s="317"/>
      <c r="F183" s="318" t="str">
        <f t="shared" si="1"/>
        <v>TP182 -  -  - </v>
      </c>
      <c r="G183" s="319">
        <f>SUMIF('ADV - FB'!L:L,$A183,'ADV - FB'!E:E)</f>
        <v>0</v>
      </c>
      <c r="H183" s="320" t="str">
        <f>IFERROR(SUMIF('ADV - FB'!L:L,$A183,'ADV - FB'!H:H)/(SUMIF('ADV - FB'!L:L,$A183,'ADV - FB'!G:G)),"-")</f>
        <v>-</v>
      </c>
      <c r="I183" s="321" t="str">
        <f>IFERROR(SUMIF('ADV - FB'!L:L,$A183,'ADV - FB'!E:E)/(SUMIF('ADV - FB'!L:L,$A183,'ADV - FB'!F:F)),"-")</f>
        <v>-</v>
      </c>
      <c r="J183" s="315">
        <f>SUMIF('ADV - FB'!L:L,$A183,'ADV - FB'!I:I)+SUMIF('ADV - FB'!L:L,$A183,'ADV - FB'!J:J)+SUMIF('ADV - FB'!L:L,$A183,'ADV - FB'!K:K)</f>
        <v>0</v>
      </c>
      <c r="K183" s="321" t="str">
        <f t="shared" si="2"/>
        <v>-</v>
      </c>
      <c r="L183" s="322"/>
      <c r="M183" s="322"/>
      <c r="N183" s="322"/>
      <c r="O183" s="322"/>
      <c r="P183" s="322"/>
      <c r="Q183" s="322"/>
      <c r="R183" s="322"/>
      <c r="S183" s="322"/>
      <c r="T183" s="16"/>
      <c r="U183" s="16"/>
      <c r="V183" s="16"/>
      <c r="W183" s="16"/>
      <c r="X183" s="16"/>
    </row>
    <row r="184" ht="15.75" customHeight="1">
      <c r="A184" s="313" t="s">
        <v>453</v>
      </c>
      <c r="B184" s="314"/>
      <c r="C184" s="315"/>
      <c r="D184" s="315"/>
      <c r="E184" s="317"/>
      <c r="F184" s="318" t="str">
        <f t="shared" si="1"/>
        <v>TP183 -  -  - </v>
      </c>
      <c r="G184" s="319">
        <f>SUMIF('ADV - FB'!L:L,$A184,'ADV - FB'!E:E)</f>
        <v>0</v>
      </c>
      <c r="H184" s="320" t="str">
        <f>IFERROR(SUMIF('ADV - FB'!L:L,$A184,'ADV - FB'!H:H)/(SUMIF('ADV - FB'!L:L,$A184,'ADV - FB'!G:G)),"-")</f>
        <v>-</v>
      </c>
      <c r="I184" s="321" t="str">
        <f>IFERROR(SUMIF('ADV - FB'!L:L,$A184,'ADV - FB'!E:E)/(SUMIF('ADV - FB'!L:L,$A184,'ADV - FB'!F:F)),"-")</f>
        <v>-</v>
      </c>
      <c r="J184" s="315">
        <f>SUMIF('ADV - FB'!L:L,$A184,'ADV - FB'!I:I)+SUMIF('ADV - FB'!L:L,$A184,'ADV - FB'!J:J)+SUMIF('ADV - FB'!L:L,$A184,'ADV - FB'!K:K)</f>
        <v>0</v>
      </c>
      <c r="K184" s="321" t="str">
        <f t="shared" si="2"/>
        <v>-</v>
      </c>
      <c r="L184" s="322"/>
      <c r="M184" s="322"/>
      <c r="N184" s="322"/>
      <c r="O184" s="322"/>
      <c r="P184" s="322"/>
      <c r="Q184" s="322"/>
      <c r="R184" s="322"/>
      <c r="S184" s="322"/>
      <c r="T184" s="16"/>
      <c r="U184" s="16"/>
      <c r="V184" s="16"/>
      <c r="W184" s="16"/>
      <c r="X184" s="16"/>
    </row>
    <row r="185" ht="15.75" customHeight="1">
      <c r="A185" s="313" t="s">
        <v>454</v>
      </c>
      <c r="B185" s="314"/>
      <c r="C185" s="315"/>
      <c r="D185" s="315"/>
      <c r="E185" s="317"/>
      <c r="F185" s="318" t="str">
        <f t="shared" si="1"/>
        <v>TP184 -  -  - </v>
      </c>
      <c r="G185" s="319">
        <f>SUMIF('ADV - FB'!L:L,$A185,'ADV - FB'!E:E)</f>
        <v>0</v>
      </c>
      <c r="H185" s="320" t="str">
        <f>IFERROR(SUMIF('ADV - FB'!L:L,$A185,'ADV - FB'!H:H)/(SUMIF('ADV - FB'!L:L,$A185,'ADV - FB'!G:G)),"-")</f>
        <v>-</v>
      </c>
      <c r="I185" s="321" t="str">
        <f>IFERROR(SUMIF('ADV - FB'!L:L,$A185,'ADV - FB'!E:E)/(SUMIF('ADV - FB'!L:L,$A185,'ADV - FB'!F:F)),"-")</f>
        <v>-</v>
      </c>
      <c r="J185" s="315">
        <f>SUMIF('ADV - FB'!L:L,$A185,'ADV - FB'!I:I)+SUMIF('ADV - FB'!L:L,$A185,'ADV - FB'!J:J)+SUMIF('ADV - FB'!L:L,$A185,'ADV - FB'!K:K)</f>
        <v>0</v>
      </c>
      <c r="K185" s="321" t="str">
        <f t="shared" si="2"/>
        <v>-</v>
      </c>
      <c r="L185" s="322"/>
      <c r="M185" s="322"/>
      <c r="N185" s="322"/>
      <c r="O185" s="322"/>
      <c r="P185" s="322"/>
      <c r="Q185" s="322"/>
      <c r="R185" s="322"/>
      <c r="S185" s="322"/>
      <c r="T185" s="16"/>
      <c r="U185" s="16"/>
      <c r="V185" s="16"/>
      <c r="W185" s="16"/>
      <c r="X185" s="16"/>
    </row>
    <row r="186" ht="15.75" customHeight="1">
      <c r="A186" s="313" t="s">
        <v>455</v>
      </c>
      <c r="B186" s="314"/>
      <c r="C186" s="315"/>
      <c r="D186" s="315"/>
      <c r="E186" s="317"/>
      <c r="F186" s="318" t="str">
        <f t="shared" si="1"/>
        <v>TP185 -  -  - </v>
      </c>
      <c r="G186" s="319">
        <f>SUMIF('ADV - FB'!L:L,$A186,'ADV - FB'!E:E)</f>
        <v>0</v>
      </c>
      <c r="H186" s="320" t="str">
        <f>IFERROR(SUMIF('ADV - FB'!L:L,$A186,'ADV - FB'!H:H)/(SUMIF('ADV - FB'!L:L,$A186,'ADV - FB'!G:G)),"-")</f>
        <v>-</v>
      </c>
      <c r="I186" s="321" t="str">
        <f>IFERROR(SUMIF('ADV - FB'!L:L,$A186,'ADV - FB'!E:E)/(SUMIF('ADV - FB'!L:L,$A186,'ADV - FB'!F:F)),"-")</f>
        <v>-</v>
      </c>
      <c r="J186" s="315">
        <f>SUMIF('ADV - FB'!L:L,$A186,'ADV - FB'!I:I)+SUMIF('ADV - FB'!L:L,$A186,'ADV - FB'!J:J)+SUMIF('ADV - FB'!L:L,$A186,'ADV - FB'!K:K)</f>
        <v>0</v>
      </c>
      <c r="K186" s="321" t="str">
        <f t="shared" si="2"/>
        <v>-</v>
      </c>
      <c r="L186" s="322"/>
      <c r="M186" s="322"/>
      <c r="N186" s="322"/>
      <c r="O186" s="322"/>
      <c r="P186" s="322"/>
      <c r="Q186" s="322"/>
      <c r="R186" s="322"/>
      <c r="S186" s="322"/>
      <c r="T186" s="16"/>
      <c r="U186" s="16"/>
      <c r="V186" s="16"/>
      <c r="W186" s="16"/>
      <c r="X186" s="16"/>
    </row>
    <row r="187" ht="15.75" customHeight="1">
      <c r="A187" s="313" t="s">
        <v>456</v>
      </c>
      <c r="B187" s="314"/>
      <c r="C187" s="315"/>
      <c r="D187" s="315"/>
      <c r="E187" s="317"/>
      <c r="F187" s="318" t="str">
        <f t="shared" si="1"/>
        <v>TP186 -  -  - </v>
      </c>
      <c r="G187" s="319">
        <f>SUMIF('ADV - FB'!L:L,$A187,'ADV - FB'!E:E)</f>
        <v>0</v>
      </c>
      <c r="H187" s="320" t="str">
        <f>IFERROR(SUMIF('ADV - FB'!L:L,$A187,'ADV - FB'!H:H)/(SUMIF('ADV - FB'!L:L,$A187,'ADV - FB'!G:G)),"-")</f>
        <v>-</v>
      </c>
      <c r="I187" s="321" t="str">
        <f>IFERROR(SUMIF('ADV - FB'!L:L,$A187,'ADV - FB'!E:E)/(SUMIF('ADV - FB'!L:L,$A187,'ADV - FB'!F:F)),"-")</f>
        <v>-</v>
      </c>
      <c r="J187" s="315">
        <f>SUMIF('ADV - FB'!L:L,$A187,'ADV - FB'!I:I)+SUMIF('ADV - FB'!L:L,$A187,'ADV - FB'!J:J)+SUMIF('ADV - FB'!L:L,$A187,'ADV - FB'!K:K)</f>
        <v>0</v>
      </c>
      <c r="K187" s="321" t="str">
        <f t="shared" si="2"/>
        <v>-</v>
      </c>
      <c r="L187" s="322"/>
      <c r="M187" s="322"/>
      <c r="N187" s="322"/>
      <c r="O187" s="322"/>
      <c r="P187" s="322"/>
      <c r="Q187" s="322"/>
      <c r="R187" s="322"/>
      <c r="S187" s="322"/>
      <c r="T187" s="16"/>
      <c r="U187" s="16"/>
      <c r="V187" s="16"/>
      <c r="W187" s="16"/>
      <c r="X187" s="16"/>
    </row>
    <row r="188" ht="15.75" customHeight="1">
      <c r="A188" s="313" t="s">
        <v>457</v>
      </c>
      <c r="B188" s="314"/>
      <c r="C188" s="315"/>
      <c r="D188" s="315"/>
      <c r="E188" s="317"/>
      <c r="F188" s="318" t="str">
        <f t="shared" si="1"/>
        <v>TP187 -  -  - </v>
      </c>
      <c r="G188" s="319">
        <f>SUMIF('ADV - FB'!L:L,$A188,'ADV - FB'!E:E)</f>
        <v>0</v>
      </c>
      <c r="H188" s="320" t="str">
        <f>IFERROR(SUMIF('ADV - FB'!L:L,$A188,'ADV - FB'!H:H)/(SUMIF('ADV - FB'!L:L,$A188,'ADV - FB'!G:G)),"-")</f>
        <v>-</v>
      </c>
      <c r="I188" s="321" t="str">
        <f>IFERROR(SUMIF('ADV - FB'!L:L,$A188,'ADV - FB'!E:E)/(SUMIF('ADV - FB'!L:L,$A188,'ADV - FB'!F:F)),"-")</f>
        <v>-</v>
      </c>
      <c r="J188" s="315">
        <f>SUMIF('ADV - FB'!L:L,$A188,'ADV - FB'!I:I)+SUMIF('ADV - FB'!L:L,$A188,'ADV - FB'!J:J)+SUMIF('ADV - FB'!L:L,$A188,'ADV - FB'!K:K)</f>
        <v>0</v>
      </c>
      <c r="K188" s="321" t="str">
        <f t="shared" si="2"/>
        <v>-</v>
      </c>
      <c r="L188" s="322"/>
      <c r="M188" s="322"/>
      <c r="N188" s="322"/>
      <c r="O188" s="322"/>
      <c r="P188" s="322"/>
      <c r="Q188" s="322"/>
      <c r="R188" s="322"/>
      <c r="S188" s="322"/>
      <c r="T188" s="16"/>
      <c r="U188" s="16"/>
      <c r="V188" s="16"/>
      <c r="W188" s="16"/>
      <c r="X188" s="16"/>
    </row>
    <row r="189" ht="15.75" customHeight="1">
      <c r="A189" s="313" t="s">
        <v>458</v>
      </c>
      <c r="B189" s="314"/>
      <c r="C189" s="315"/>
      <c r="D189" s="315"/>
      <c r="E189" s="317"/>
      <c r="F189" s="318" t="str">
        <f t="shared" si="1"/>
        <v>TP188 -  -  - </v>
      </c>
      <c r="G189" s="319">
        <f>SUMIF('ADV - FB'!L:L,$A189,'ADV - FB'!E:E)</f>
        <v>0</v>
      </c>
      <c r="H189" s="320" t="str">
        <f>IFERROR(SUMIF('ADV - FB'!L:L,$A189,'ADV - FB'!H:H)/(SUMIF('ADV - FB'!L:L,$A189,'ADV - FB'!G:G)),"-")</f>
        <v>-</v>
      </c>
      <c r="I189" s="321" t="str">
        <f>IFERROR(SUMIF('ADV - FB'!L:L,$A189,'ADV - FB'!E:E)/(SUMIF('ADV - FB'!L:L,$A189,'ADV - FB'!F:F)),"-")</f>
        <v>-</v>
      </c>
      <c r="J189" s="315">
        <f>SUMIF('ADV - FB'!L:L,$A189,'ADV - FB'!I:I)+SUMIF('ADV - FB'!L:L,$A189,'ADV - FB'!J:J)+SUMIF('ADV - FB'!L:L,$A189,'ADV - FB'!K:K)</f>
        <v>0</v>
      </c>
      <c r="K189" s="321" t="str">
        <f t="shared" si="2"/>
        <v>-</v>
      </c>
      <c r="L189" s="322"/>
      <c r="M189" s="322"/>
      <c r="N189" s="322"/>
      <c r="O189" s="322"/>
      <c r="P189" s="322"/>
      <c r="Q189" s="322"/>
      <c r="R189" s="322"/>
      <c r="S189" s="322"/>
      <c r="T189" s="16"/>
      <c r="U189" s="16"/>
      <c r="V189" s="16"/>
      <c r="W189" s="16"/>
      <c r="X189" s="16"/>
    </row>
    <row r="190" ht="15.75" customHeight="1">
      <c r="A190" s="313" t="s">
        <v>459</v>
      </c>
      <c r="B190" s="314"/>
      <c r="C190" s="315"/>
      <c r="D190" s="315"/>
      <c r="E190" s="317"/>
      <c r="F190" s="318" t="str">
        <f t="shared" si="1"/>
        <v>TP189 -  -  - </v>
      </c>
      <c r="G190" s="319">
        <f>SUMIF('ADV - FB'!L:L,$A190,'ADV - FB'!E:E)</f>
        <v>0</v>
      </c>
      <c r="H190" s="320" t="str">
        <f>IFERROR(SUMIF('ADV - FB'!L:L,$A190,'ADV - FB'!H:H)/(SUMIF('ADV - FB'!L:L,$A190,'ADV - FB'!G:G)),"-")</f>
        <v>-</v>
      </c>
      <c r="I190" s="321" t="str">
        <f>IFERROR(SUMIF('ADV - FB'!L:L,$A190,'ADV - FB'!E:E)/(SUMIF('ADV - FB'!L:L,$A190,'ADV - FB'!F:F)),"-")</f>
        <v>-</v>
      </c>
      <c r="J190" s="315">
        <f>SUMIF('ADV - FB'!L:L,$A190,'ADV - FB'!I:I)+SUMIF('ADV - FB'!L:L,$A190,'ADV - FB'!J:J)+SUMIF('ADV - FB'!L:L,$A190,'ADV - FB'!K:K)</f>
        <v>0</v>
      </c>
      <c r="K190" s="321" t="str">
        <f t="shared" si="2"/>
        <v>-</v>
      </c>
      <c r="L190" s="322"/>
      <c r="M190" s="322"/>
      <c r="N190" s="322"/>
      <c r="O190" s="322"/>
      <c r="P190" s="322"/>
      <c r="Q190" s="322"/>
      <c r="R190" s="322"/>
      <c r="S190" s="322"/>
      <c r="T190" s="16"/>
      <c r="U190" s="16"/>
      <c r="V190" s="16"/>
      <c r="W190" s="16"/>
      <c r="X190" s="16"/>
    </row>
    <row r="191" ht="15.75" customHeight="1">
      <c r="A191" s="313" t="s">
        <v>460</v>
      </c>
      <c r="B191" s="314"/>
      <c r="C191" s="315"/>
      <c r="D191" s="315"/>
      <c r="E191" s="317"/>
      <c r="F191" s="318" t="str">
        <f t="shared" si="1"/>
        <v>TP190 -  -  - </v>
      </c>
      <c r="G191" s="319">
        <f>SUMIF('ADV - FB'!L:L,$A191,'ADV - FB'!E:E)</f>
        <v>0</v>
      </c>
      <c r="H191" s="320" t="str">
        <f>IFERROR(SUMIF('ADV - FB'!L:L,$A191,'ADV - FB'!H:H)/(SUMIF('ADV - FB'!L:L,$A191,'ADV - FB'!G:G)),"-")</f>
        <v>-</v>
      </c>
      <c r="I191" s="321" t="str">
        <f>IFERROR(SUMIF('ADV - FB'!L:L,$A191,'ADV - FB'!E:E)/(SUMIF('ADV - FB'!L:L,$A191,'ADV - FB'!F:F)),"-")</f>
        <v>-</v>
      </c>
      <c r="J191" s="315">
        <f>SUMIF('ADV - FB'!L:L,$A191,'ADV - FB'!I:I)+SUMIF('ADV - FB'!L:L,$A191,'ADV - FB'!J:J)+SUMIF('ADV - FB'!L:L,$A191,'ADV - FB'!K:K)</f>
        <v>0</v>
      </c>
      <c r="K191" s="321" t="str">
        <f t="shared" si="2"/>
        <v>-</v>
      </c>
      <c r="L191" s="322"/>
      <c r="M191" s="322"/>
      <c r="N191" s="322"/>
      <c r="O191" s="322"/>
      <c r="P191" s="322"/>
      <c r="Q191" s="322"/>
      <c r="R191" s="322"/>
      <c r="S191" s="322"/>
      <c r="T191" s="16"/>
      <c r="U191" s="16"/>
      <c r="V191" s="16"/>
      <c r="W191" s="16"/>
      <c r="X191" s="16"/>
    </row>
    <row r="192" ht="15.75" customHeight="1">
      <c r="A192" s="313" t="s">
        <v>461</v>
      </c>
      <c r="B192" s="314"/>
      <c r="C192" s="315"/>
      <c r="D192" s="315"/>
      <c r="E192" s="317"/>
      <c r="F192" s="318" t="str">
        <f t="shared" si="1"/>
        <v>TP191 -  -  - </v>
      </c>
      <c r="G192" s="319">
        <f>SUMIF('ADV - FB'!L:L,$A192,'ADV - FB'!E:E)</f>
        <v>0</v>
      </c>
      <c r="H192" s="320" t="str">
        <f>IFERROR(SUMIF('ADV - FB'!L:L,$A192,'ADV - FB'!H:H)/(SUMIF('ADV - FB'!L:L,$A192,'ADV - FB'!G:G)),"-")</f>
        <v>-</v>
      </c>
      <c r="I192" s="321" t="str">
        <f>IFERROR(SUMIF('ADV - FB'!L:L,$A192,'ADV - FB'!E:E)/(SUMIF('ADV - FB'!L:L,$A192,'ADV - FB'!F:F)),"-")</f>
        <v>-</v>
      </c>
      <c r="J192" s="315">
        <f>SUMIF('ADV - FB'!L:L,$A192,'ADV - FB'!I:I)+SUMIF('ADV - FB'!L:L,$A192,'ADV - FB'!J:J)+SUMIF('ADV - FB'!L:L,$A192,'ADV - FB'!K:K)</f>
        <v>0</v>
      </c>
      <c r="K192" s="321" t="str">
        <f t="shared" si="2"/>
        <v>-</v>
      </c>
      <c r="L192" s="322"/>
      <c r="M192" s="322"/>
      <c r="N192" s="322"/>
      <c r="O192" s="322"/>
      <c r="P192" s="322"/>
      <c r="Q192" s="322"/>
      <c r="R192" s="322"/>
      <c r="S192" s="322"/>
      <c r="T192" s="16"/>
      <c r="U192" s="16"/>
      <c r="V192" s="16"/>
      <c r="W192" s="16"/>
      <c r="X192" s="16"/>
    </row>
    <row r="193" ht="15.75" customHeight="1">
      <c r="A193" s="313" t="s">
        <v>462</v>
      </c>
      <c r="B193" s="314"/>
      <c r="C193" s="315"/>
      <c r="D193" s="315"/>
      <c r="E193" s="317"/>
      <c r="F193" s="318" t="str">
        <f t="shared" si="1"/>
        <v>TP192 -  -  - </v>
      </c>
      <c r="G193" s="319">
        <f>SUMIF('ADV - FB'!L:L,$A193,'ADV - FB'!E:E)</f>
        <v>0</v>
      </c>
      <c r="H193" s="320" t="str">
        <f>IFERROR(SUMIF('ADV - FB'!L:L,$A193,'ADV - FB'!H:H)/(SUMIF('ADV - FB'!L:L,$A193,'ADV - FB'!G:G)),"-")</f>
        <v>-</v>
      </c>
      <c r="I193" s="321" t="str">
        <f>IFERROR(SUMIF('ADV - FB'!L:L,$A193,'ADV - FB'!E:E)/(SUMIF('ADV - FB'!L:L,$A193,'ADV - FB'!F:F)),"-")</f>
        <v>-</v>
      </c>
      <c r="J193" s="315">
        <f>SUMIF('ADV - FB'!L:L,$A193,'ADV - FB'!I:I)+SUMIF('ADV - FB'!L:L,$A193,'ADV - FB'!J:J)+SUMIF('ADV - FB'!L:L,$A193,'ADV - FB'!K:K)</f>
        <v>0</v>
      </c>
      <c r="K193" s="321" t="str">
        <f t="shared" si="2"/>
        <v>-</v>
      </c>
      <c r="L193" s="322"/>
      <c r="M193" s="322"/>
      <c r="N193" s="322"/>
      <c r="O193" s="322"/>
      <c r="P193" s="322"/>
      <c r="Q193" s="322"/>
      <c r="R193" s="322"/>
      <c r="S193" s="322"/>
      <c r="T193" s="16"/>
      <c r="U193" s="16"/>
      <c r="V193" s="16"/>
      <c r="W193" s="16"/>
      <c r="X193" s="16"/>
    </row>
    <row r="194" ht="15.75" customHeight="1">
      <c r="A194" s="313" t="s">
        <v>463</v>
      </c>
      <c r="B194" s="314"/>
      <c r="C194" s="315"/>
      <c r="D194" s="315"/>
      <c r="E194" s="317"/>
      <c r="F194" s="318" t="str">
        <f t="shared" si="1"/>
        <v>TP193 -  -  - </v>
      </c>
      <c r="G194" s="319">
        <f>SUMIF('ADV - FB'!L:L,$A194,'ADV - FB'!E:E)</f>
        <v>0</v>
      </c>
      <c r="H194" s="320" t="str">
        <f>IFERROR(SUMIF('ADV - FB'!L:L,$A194,'ADV - FB'!H:H)/(SUMIF('ADV - FB'!L:L,$A194,'ADV - FB'!G:G)),"-")</f>
        <v>-</v>
      </c>
      <c r="I194" s="321" t="str">
        <f>IFERROR(SUMIF('ADV - FB'!L:L,$A194,'ADV - FB'!E:E)/(SUMIF('ADV - FB'!L:L,$A194,'ADV - FB'!F:F)),"-")</f>
        <v>-</v>
      </c>
      <c r="J194" s="315">
        <f>SUMIF('ADV - FB'!L:L,$A194,'ADV - FB'!I:I)+SUMIF('ADV - FB'!L:L,$A194,'ADV - FB'!J:J)+SUMIF('ADV - FB'!L:L,$A194,'ADV - FB'!K:K)</f>
        <v>0</v>
      </c>
      <c r="K194" s="321" t="str">
        <f t="shared" si="2"/>
        <v>-</v>
      </c>
      <c r="L194" s="322"/>
      <c r="M194" s="322"/>
      <c r="N194" s="322"/>
      <c r="O194" s="322"/>
      <c r="P194" s="322"/>
      <c r="Q194" s="322"/>
      <c r="R194" s="322"/>
      <c r="S194" s="322"/>
      <c r="T194" s="16"/>
      <c r="U194" s="16"/>
      <c r="V194" s="16"/>
      <c r="W194" s="16"/>
      <c r="X194" s="16"/>
    </row>
    <row r="195" ht="15.75" customHeight="1">
      <c r="A195" s="313" t="s">
        <v>464</v>
      </c>
      <c r="B195" s="314"/>
      <c r="C195" s="315"/>
      <c r="D195" s="315"/>
      <c r="E195" s="317"/>
      <c r="F195" s="318" t="str">
        <f t="shared" si="1"/>
        <v>TP194 -  -  - </v>
      </c>
      <c r="G195" s="319">
        <f>SUMIF('ADV - FB'!L:L,$A195,'ADV - FB'!E:E)</f>
        <v>0</v>
      </c>
      <c r="H195" s="320" t="str">
        <f>IFERROR(SUMIF('ADV - FB'!L:L,$A195,'ADV - FB'!H:H)/(SUMIF('ADV - FB'!L:L,$A195,'ADV - FB'!G:G)),"-")</f>
        <v>-</v>
      </c>
      <c r="I195" s="321" t="str">
        <f>IFERROR(SUMIF('ADV - FB'!L:L,$A195,'ADV - FB'!E:E)/(SUMIF('ADV - FB'!L:L,$A195,'ADV - FB'!F:F)),"-")</f>
        <v>-</v>
      </c>
      <c r="J195" s="315">
        <f>SUMIF('ADV - FB'!L:L,$A195,'ADV - FB'!I:I)+SUMIF('ADV - FB'!L:L,$A195,'ADV - FB'!J:J)+SUMIF('ADV - FB'!L:L,$A195,'ADV - FB'!K:K)</f>
        <v>0</v>
      </c>
      <c r="K195" s="321" t="str">
        <f t="shared" si="2"/>
        <v>-</v>
      </c>
      <c r="L195" s="322"/>
      <c r="M195" s="322"/>
      <c r="N195" s="322"/>
      <c r="O195" s="322"/>
      <c r="P195" s="322"/>
      <c r="Q195" s="322"/>
      <c r="R195" s="322"/>
      <c r="S195" s="322"/>
      <c r="T195" s="16"/>
      <c r="U195" s="16"/>
      <c r="V195" s="16"/>
      <c r="W195" s="16"/>
      <c r="X195" s="16"/>
    </row>
    <row r="196" ht="15.75" customHeight="1">
      <c r="A196" s="313" t="s">
        <v>465</v>
      </c>
      <c r="B196" s="314"/>
      <c r="C196" s="315"/>
      <c r="D196" s="315"/>
      <c r="E196" s="317"/>
      <c r="F196" s="318" t="str">
        <f t="shared" si="1"/>
        <v>TP195 -  -  - </v>
      </c>
      <c r="G196" s="319">
        <f>SUMIF('ADV - FB'!L:L,$A196,'ADV - FB'!E:E)</f>
        <v>0</v>
      </c>
      <c r="H196" s="320" t="str">
        <f>IFERROR(SUMIF('ADV - FB'!L:L,$A196,'ADV - FB'!H:H)/(SUMIF('ADV - FB'!L:L,$A196,'ADV - FB'!G:G)),"-")</f>
        <v>-</v>
      </c>
      <c r="I196" s="321" t="str">
        <f>IFERROR(SUMIF('ADV - FB'!L:L,$A196,'ADV - FB'!E:E)/(SUMIF('ADV - FB'!L:L,$A196,'ADV - FB'!F:F)),"-")</f>
        <v>-</v>
      </c>
      <c r="J196" s="315">
        <f>SUMIF('ADV - FB'!L:L,$A196,'ADV - FB'!I:I)+SUMIF('ADV - FB'!L:L,$A196,'ADV - FB'!J:J)+SUMIF('ADV - FB'!L:L,$A196,'ADV - FB'!K:K)</f>
        <v>0</v>
      </c>
      <c r="K196" s="321" t="str">
        <f t="shared" si="2"/>
        <v>-</v>
      </c>
      <c r="L196" s="322"/>
      <c r="M196" s="322"/>
      <c r="N196" s="322"/>
      <c r="O196" s="322"/>
      <c r="P196" s="322"/>
      <c r="Q196" s="322"/>
      <c r="R196" s="322"/>
      <c r="S196" s="322"/>
      <c r="T196" s="16"/>
      <c r="U196" s="16"/>
      <c r="V196" s="16"/>
      <c r="W196" s="16"/>
      <c r="X196" s="16"/>
    </row>
    <row r="197" ht="15.75" customHeight="1">
      <c r="A197" s="313" t="s">
        <v>466</v>
      </c>
      <c r="B197" s="314"/>
      <c r="C197" s="315"/>
      <c r="D197" s="315"/>
      <c r="E197" s="317"/>
      <c r="F197" s="318" t="str">
        <f t="shared" si="1"/>
        <v>TP196 -  -  - </v>
      </c>
      <c r="G197" s="319">
        <f>SUMIF('ADV - FB'!L:L,$A197,'ADV - FB'!E:E)</f>
        <v>0</v>
      </c>
      <c r="H197" s="320" t="str">
        <f>IFERROR(SUMIF('ADV - FB'!L:L,$A197,'ADV - FB'!H:H)/(SUMIF('ADV - FB'!L:L,$A197,'ADV - FB'!G:G)),"-")</f>
        <v>-</v>
      </c>
      <c r="I197" s="321" t="str">
        <f>IFERROR(SUMIF('ADV - FB'!L:L,$A197,'ADV - FB'!E:E)/(SUMIF('ADV - FB'!L:L,$A197,'ADV - FB'!F:F)),"-")</f>
        <v>-</v>
      </c>
      <c r="J197" s="315">
        <f>SUMIF('ADV - FB'!L:L,$A197,'ADV - FB'!I:I)+SUMIF('ADV - FB'!L:L,$A197,'ADV - FB'!J:J)+SUMIF('ADV - FB'!L:L,$A197,'ADV - FB'!K:K)</f>
        <v>0</v>
      </c>
      <c r="K197" s="321" t="str">
        <f t="shared" si="2"/>
        <v>-</v>
      </c>
      <c r="L197" s="322"/>
      <c r="M197" s="322"/>
      <c r="N197" s="322"/>
      <c r="O197" s="322"/>
      <c r="P197" s="322"/>
      <c r="Q197" s="322"/>
      <c r="R197" s="322"/>
      <c r="S197" s="322"/>
      <c r="T197" s="16"/>
      <c r="U197" s="16"/>
      <c r="V197" s="16"/>
      <c r="W197" s="16"/>
      <c r="X197" s="16"/>
    </row>
    <row r="198" ht="15.75" customHeight="1">
      <c r="A198" s="313" t="s">
        <v>467</v>
      </c>
      <c r="B198" s="314"/>
      <c r="C198" s="315"/>
      <c r="D198" s="315"/>
      <c r="E198" s="317"/>
      <c r="F198" s="318" t="str">
        <f t="shared" si="1"/>
        <v>TP197 -  -  - </v>
      </c>
      <c r="G198" s="319">
        <f>SUMIF('ADV - FB'!L:L,$A198,'ADV - FB'!E:E)</f>
        <v>0</v>
      </c>
      <c r="H198" s="320" t="str">
        <f>IFERROR(SUMIF('ADV - FB'!L:L,$A198,'ADV - FB'!H:H)/(SUMIF('ADV - FB'!L:L,$A198,'ADV - FB'!G:G)),"-")</f>
        <v>-</v>
      </c>
      <c r="I198" s="321" t="str">
        <f>IFERROR(SUMIF('ADV - FB'!L:L,$A198,'ADV - FB'!E:E)/(SUMIF('ADV - FB'!L:L,$A198,'ADV - FB'!F:F)),"-")</f>
        <v>-</v>
      </c>
      <c r="J198" s="315">
        <f>SUMIF('ADV - FB'!L:L,$A198,'ADV - FB'!I:I)+SUMIF('ADV - FB'!L:L,$A198,'ADV - FB'!J:J)+SUMIF('ADV - FB'!L:L,$A198,'ADV - FB'!K:K)</f>
        <v>0</v>
      </c>
      <c r="K198" s="321" t="str">
        <f t="shared" si="2"/>
        <v>-</v>
      </c>
      <c r="L198" s="322"/>
      <c r="M198" s="322"/>
      <c r="N198" s="322"/>
      <c r="O198" s="322"/>
      <c r="P198" s="322"/>
      <c r="Q198" s="322"/>
      <c r="R198" s="322"/>
      <c r="S198" s="322"/>
      <c r="T198" s="16"/>
      <c r="U198" s="16"/>
      <c r="V198" s="16"/>
      <c r="W198" s="16"/>
      <c r="X198" s="16"/>
    </row>
    <row r="199" ht="15.75" customHeight="1">
      <c r="A199" s="313" t="s">
        <v>468</v>
      </c>
      <c r="B199" s="314"/>
      <c r="C199" s="315"/>
      <c r="D199" s="315"/>
      <c r="E199" s="317"/>
      <c r="F199" s="318" t="str">
        <f t="shared" si="1"/>
        <v>TP198 -  -  - </v>
      </c>
      <c r="G199" s="319">
        <f>SUMIF('ADV - FB'!L:L,$A199,'ADV - FB'!E:E)</f>
        <v>0</v>
      </c>
      <c r="H199" s="320" t="str">
        <f>IFERROR(SUMIF('ADV - FB'!L:L,$A199,'ADV - FB'!H:H)/(SUMIF('ADV - FB'!L:L,$A199,'ADV - FB'!G:G)),"-")</f>
        <v>-</v>
      </c>
      <c r="I199" s="321" t="str">
        <f>IFERROR(SUMIF('ADV - FB'!L:L,$A199,'ADV - FB'!E:E)/(SUMIF('ADV - FB'!L:L,$A199,'ADV - FB'!F:F)),"-")</f>
        <v>-</v>
      </c>
      <c r="J199" s="315">
        <f>SUMIF('ADV - FB'!L:L,$A199,'ADV - FB'!I:I)+SUMIF('ADV - FB'!L:L,$A199,'ADV - FB'!J:J)+SUMIF('ADV - FB'!L:L,$A199,'ADV - FB'!K:K)</f>
        <v>0</v>
      </c>
      <c r="K199" s="321" t="str">
        <f t="shared" si="2"/>
        <v>-</v>
      </c>
      <c r="L199" s="322"/>
      <c r="M199" s="322"/>
      <c r="N199" s="322"/>
      <c r="O199" s="322"/>
      <c r="P199" s="322"/>
      <c r="Q199" s="322"/>
      <c r="R199" s="322"/>
      <c r="S199" s="322"/>
      <c r="T199" s="16"/>
      <c r="U199" s="16"/>
      <c r="V199" s="16"/>
      <c r="W199" s="16"/>
      <c r="X199" s="16"/>
    </row>
    <row r="200" ht="15.75" customHeight="1">
      <c r="A200" s="313" t="s">
        <v>469</v>
      </c>
      <c r="B200" s="314"/>
      <c r="C200" s="315"/>
      <c r="D200" s="315"/>
      <c r="E200" s="317"/>
      <c r="F200" s="318" t="str">
        <f t="shared" si="1"/>
        <v>TP199 -  -  - </v>
      </c>
      <c r="G200" s="319">
        <f>SUMIF('ADV - FB'!L:L,$A200,'ADV - FB'!E:E)</f>
        <v>0</v>
      </c>
      <c r="H200" s="320" t="str">
        <f>IFERROR(SUMIF('ADV - FB'!L:L,$A200,'ADV - FB'!H:H)/(SUMIF('ADV - FB'!L:L,$A200,'ADV - FB'!G:G)),"-")</f>
        <v>-</v>
      </c>
      <c r="I200" s="321" t="str">
        <f>IFERROR(SUMIF('ADV - FB'!L:L,$A200,'ADV - FB'!E:E)/(SUMIF('ADV - FB'!L:L,$A200,'ADV - FB'!F:F)),"-")</f>
        <v>-</v>
      </c>
      <c r="J200" s="315">
        <f>SUMIF('ADV - FB'!L:L,$A200,'ADV - FB'!I:I)+SUMIF('ADV - FB'!L:L,$A200,'ADV - FB'!J:J)+SUMIF('ADV - FB'!L:L,$A200,'ADV - FB'!K:K)</f>
        <v>0</v>
      </c>
      <c r="K200" s="321" t="str">
        <f t="shared" si="2"/>
        <v>-</v>
      </c>
      <c r="L200" s="322"/>
      <c r="M200" s="322"/>
      <c r="N200" s="322"/>
      <c r="O200" s="322"/>
      <c r="P200" s="322"/>
      <c r="Q200" s="322"/>
      <c r="R200" s="322"/>
      <c r="S200" s="322"/>
      <c r="T200" s="16"/>
      <c r="U200" s="16"/>
      <c r="V200" s="16"/>
      <c r="W200" s="16"/>
      <c r="X200" s="16"/>
    </row>
    <row r="201" ht="15.75" customHeight="1">
      <c r="A201" s="313" t="s">
        <v>470</v>
      </c>
      <c r="B201" s="314"/>
      <c r="C201" s="315"/>
      <c r="D201" s="315"/>
      <c r="E201" s="317"/>
      <c r="F201" s="318" t="str">
        <f t="shared" si="1"/>
        <v>TP200 -  -  - </v>
      </c>
      <c r="G201" s="319">
        <f>SUMIF('ADV - FB'!L:L,$A201,'ADV - FB'!E:E)</f>
        <v>0</v>
      </c>
      <c r="H201" s="320" t="str">
        <f>IFERROR(SUMIF('ADV - FB'!L:L,$A201,'ADV - FB'!H:H)/(SUMIF('ADV - FB'!L:L,$A201,'ADV - FB'!G:G)),"-")</f>
        <v>-</v>
      </c>
      <c r="I201" s="321" t="str">
        <f>IFERROR(SUMIF('ADV - FB'!L:L,$A201,'ADV - FB'!E:E)/(SUMIF('ADV - FB'!L:L,$A201,'ADV - FB'!F:F)),"-")</f>
        <v>-</v>
      </c>
      <c r="J201" s="315">
        <f>SUMIF('ADV - FB'!L:L,$A201,'ADV - FB'!I:I)+SUMIF('ADV - FB'!L:L,$A201,'ADV - FB'!J:J)+SUMIF('ADV - FB'!L:L,$A201,'ADV - FB'!K:K)</f>
        <v>0</v>
      </c>
      <c r="K201" s="321" t="str">
        <f t="shared" si="2"/>
        <v>-</v>
      </c>
      <c r="L201" s="322"/>
      <c r="M201" s="322"/>
      <c r="N201" s="322"/>
      <c r="O201" s="322"/>
      <c r="P201" s="322"/>
      <c r="Q201" s="322"/>
      <c r="R201" s="322"/>
      <c r="S201" s="322"/>
      <c r="T201" s="16"/>
      <c r="U201" s="16"/>
      <c r="V201" s="16"/>
      <c r="W201" s="16"/>
      <c r="X201" s="16"/>
    </row>
    <row r="202" ht="15.75" customHeight="1">
      <c r="A202" s="313" t="s">
        <v>471</v>
      </c>
      <c r="B202" s="314"/>
      <c r="C202" s="315"/>
      <c r="D202" s="315"/>
      <c r="E202" s="317"/>
      <c r="F202" s="318" t="str">
        <f t="shared" si="1"/>
        <v>TP201 -  -  - </v>
      </c>
      <c r="G202" s="319">
        <f>SUMIF('ADV - FB'!L:L,$A202,'ADV - FB'!E:E)</f>
        <v>0</v>
      </c>
      <c r="H202" s="320" t="str">
        <f>IFERROR(SUMIF('ADV - FB'!L:L,$A202,'ADV - FB'!H:H)/(SUMIF('ADV - FB'!L:L,$A202,'ADV - FB'!G:G)),"-")</f>
        <v>-</v>
      </c>
      <c r="I202" s="321" t="str">
        <f>IFERROR(SUMIF('ADV - FB'!L:L,$A202,'ADV - FB'!E:E)/(SUMIF('ADV - FB'!L:L,$A202,'ADV - FB'!F:F)),"-")</f>
        <v>-</v>
      </c>
      <c r="J202" s="315">
        <f>SUMIF('ADV - FB'!L:L,$A202,'ADV - FB'!I:I)+SUMIF('ADV - FB'!L:L,$A202,'ADV - FB'!J:J)+SUMIF('ADV - FB'!L:L,$A202,'ADV - FB'!K:K)</f>
        <v>0</v>
      </c>
      <c r="K202" s="321" t="str">
        <f t="shared" si="2"/>
        <v>-</v>
      </c>
      <c r="L202" s="322"/>
      <c r="M202" s="322"/>
      <c r="N202" s="322"/>
      <c r="O202" s="322"/>
      <c r="P202" s="322"/>
      <c r="Q202" s="322"/>
      <c r="R202" s="322"/>
      <c r="S202" s="322"/>
      <c r="T202" s="16"/>
      <c r="U202" s="16"/>
      <c r="V202" s="16"/>
      <c r="W202" s="16"/>
      <c r="X202" s="16"/>
    </row>
    <row r="203" ht="15.75" customHeight="1">
      <c r="A203" s="313" t="s">
        <v>472</v>
      </c>
      <c r="B203" s="314"/>
      <c r="C203" s="315"/>
      <c r="D203" s="315"/>
      <c r="E203" s="317"/>
      <c r="F203" s="318" t="str">
        <f t="shared" si="1"/>
        <v>TP202 -  -  - </v>
      </c>
      <c r="G203" s="319">
        <f>SUMIF('ADV - FB'!L:L,$A203,'ADV - FB'!E:E)</f>
        <v>0</v>
      </c>
      <c r="H203" s="320" t="str">
        <f>IFERROR(SUMIF('ADV - FB'!L:L,$A203,'ADV - FB'!H:H)/(SUMIF('ADV - FB'!L:L,$A203,'ADV - FB'!G:G)),"-")</f>
        <v>-</v>
      </c>
      <c r="I203" s="321" t="str">
        <f>IFERROR(SUMIF('ADV - FB'!L:L,$A203,'ADV - FB'!E:E)/(SUMIF('ADV - FB'!L:L,$A203,'ADV - FB'!F:F)),"-")</f>
        <v>-</v>
      </c>
      <c r="J203" s="315">
        <f>SUMIF('ADV - FB'!L:L,$A203,'ADV - FB'!I:I)+SUMIF('ADV - FB'!L:L,$A203,'ADV - FB'!J:J)+SUMIF('ADV - FB'!L:L,$A203,'ADV - FB'!K:K)</f>
        <v>0</v>
      </c>
      <c r="K203" s="321" t="str">
        <f t="shared" si="2"/>
        <v>-</v>
      </c>
      <c r="L203" s="322"/>
      <c r="M203" s="322"/>
      <c r="N203" s="322"/>
      <c r="O203" s="322"/>
      <c r="P203" s="322"/>
      <c r="Q203" s="322"/>
      <c r="R203" s="322"/>
      <c r="S203" s="322"/>
      <c r="T203" s="16"/>
      <c r="U203" s="16"/>
      <c r="V203" s="16"/>
      <c r="W203" s="16"/>
      <c r="X203" s="16"/>
    </row>
    <row r="204" ht="15.75" customHeight="1">
      <c r="A204" s="313" t="s">
        <v>473</v>
      </c>
      <c r="B204" s="314"/>
      <c r="C204" s="315"/>
      <c r="D204" s="315"/>
      <c r="E204" s="317"/>
      <c r="F204" s="318" t="str">
        <f t="shared" si="1"/>
        <v>TP203 -  -  - </v>
      </c>
      <c r="G204" s="319">
        <f>SUMIF('ADV - FB'!L:L,$A204,'ADV - FB'!E:E)</f>
        <v>0</v>
      </c>
      <c r="H204" s="320" t="str">
        <f>IFERROR(SUMIF('ADV - FB'!L:L,$A204,'ADV - FB'!H:H)/(SUMIF('ADV - FB'!L:L,$A204,'ADV - FB'!G:G)),"-")</f>
        <v>-</v>
      </c>
      <c r="I204" s="321" t="str">
        <f>IFERROR(SUMIF('ADV - FB'!L:L,$A204,'ADV - FB'!E:E)/(SUMIF('ADV - FB'!L:L,$A204,'ADV - FB'!F:F)),"-")</f>
        <v>-</v>
      </c>
      <c r="J204" s="315">
        <f>SUMIF('ADV - FB'!L:L,$A204,'ADV - FB'!I:I)+SUMIF('ADV - FB'!L:L,$A204,'ADV - FB'!J:J)+SUMIF('ADV - FB'!L:L,$A204,'ADV - FB'!K:K)</f>
        <v>0</v>
      </c>
      <c r="K204" s="321" t="str">
        <f t="shared" si="2"/>
        <v>-</v>
      </c>
      <c r="L204" s="322"/>
      <c r="M204" s="322"/>
      <c r="N204" s="322"/>
      <c r="O204" s="322"/>
      <c r="P204" s="322"/>
      <c r="Q204" s="322"/>
      <c r="R204" s="322"/>
      <c r="S204" s="322"/>
      <c r="T204" s="16"/>
      <c r="U204" s="16"/>
      <c r="V204" s="16"/>
      <c r="W204" s="16"/>
      <c r="X204" s="16"/>
    </row>
    <row r="205" ht="15.75" customHeight="1">
      <c r="A205" s="313" t="s">
        <v>474</v>
      </c>
      <c r="B205" s="314"/>
      <c r="C205" s="315"/>
      <c r="D205" s="315"/>
      <c r="E205" s="317"/>
      <c r="F205" s="318" t="str">
        <f t="shared" si="1"/>
        <v>TP204 -  -  - </v>
      </c>
      <c r="G205" s="319">
        <f>SUMIF('ADV - FB'!L:L,$A205,'ADV - FB'!E:E)</f>
        <v>0</v>
      </c>
      <c r="H205" s="320" t="str">
        <f>IFERROR(SUMIF('ADV - FB'!L:L,$A205,'ADV - FB'!H:H)/(SUMIF('ADV - FB'!L:L,$A205,'ADV - FB'!G:G)),"-")</f>
        <v>-</v>
      </c>
      <c r="I205" s="321" t="str">
        <f>IFERROR(SUMIF('ADV - FB'!L:L,$A205,'ADV - FB'!E:E)/(SUMIF('ADV - FB'!L:L,$A205,'ADV - FB'!F:F)),"-")</f>
        <v>-</v>
      </c>
      <c r="J205" s="315">
        <f>SUMIF('ADV - FB'!L:L,$A205,'ADV - FB'!I:I)+SUMIF('ADV - FB'!L:L,$A205,'ADV - FB'!J:J)+SUMIF('ADV - FB'!L:L,$A205,'ADV - FB'!K:K)</f>
        <v>0</v>
      </c>
      <c r="K205" s="321" t="str">
        <f t="shared" si="2"/>
        <v>-</v>
      </c>
      <c r="L205" s="322"/>
      <c r="M205" s="322"/>
      <c r="N205" s="322"/>
      <c r="O205" s="322"/>
      <c r="P205" s="322"/>
      <c r="Q205" s="322"/>
      <c r="R205" s="322"/>
      <c r="S205" s="322"/>
      <c r="T205" s="16"/>
      <c r="U205" s="16"/>
      <c r="V205" s="16"/>
      <c r="W205" s="16"/>
      <c r="X205" s="16"/>
    </row>
    <row r="206" ht="15.75" customHeight="1">
      <c r="A206" s="313" t="s">
        <v>475</v>
      </c>
      <c r="B206" s="314"/>
      <c r="C206" s="315"/>
      <c r="D206" s="315"/>
      <c r="E206" s="317"/>
      <c r="F206" s="318" t="str">
        <f t="shared" si="1"/>
        <v>TP205 -  -  - </v>
      </c>
      <c r="G206" s="319">
        <f>SUMIF('ADV - FB'!L:L,$A206,'ADV - FB'!E:E)</f>
        <v>0</v>
      </c>
      <c r="H206" s="320" t="str">
        <f>IFERROR(SUMIF('ADV - FB'!L:L,$A206,'ADV - FB'!H:H)/(SUMIF('ADV - FB'!L:L,$A206,'ADV - FB'!G:G)),"-")</f>
        <v>-</v>
      </c>
      <c r="I206" s="321" t="str">
        <f>IFERROR(SUMIF('ADV - FB'!L:L,$A206,'ADV - FB'!E:E)/(SUMIF('ADV - FB'!L:L,$A206,'ADV - FB'!F:F)),"-")</f>
        <v>-</v>
      </c>
      <c r="J206" s="315">
        <f>SUMIF('ADV - FB'!L:L,$A206,'ADV - FB'!I:I)+SUMIF('ADV - FB'!L:L,$A206,'ADV - FB'!J:J)+SUMIF('ADV - FB'!L:L,$A206,'ADV - FB'!K:K)</f>
        <v>0</v>
      </c>
      <c r="K206" s="321" t="str">
        <f t="shared" si="2"/>
        <v>-</v>
      </c>
      <c r="L206" s="322"/>
      <c r="M206" s="322"/>
      <c r="N206" s="322"/>
      <c r="O206" s="322"/>
      <c r="P206" s="322"/>
      <c r="Q206" s="322"/>
      <c r="R206" s="322"/>
      <c r="S206" s="322"/>
      <c r="T206" s="16"/>
      <c r="U206" s="16"/>
      <c r="V206" s="16"/>
      <c r="W206" s="16"/>
      <c r="X206" s="16"/>
    </row>
    <row r="207" ht="15.75" customHeight="1">
      <c r="A207" s="313" t="s">
        <v>476</v>
      </c>
      <c r="B207" s="314"/>
      <c r="C207" s="315"/>
      <c r="D207" s="315"/>
      <c r="E207" s="317"/>
      <c r="F207" s="318" t="str">
        <f t="shared" si="1"/>
        <v>TP206 -  -  - </v>
      </c>
      <c r="G207" s="319">
        <f>SUMIF('ADV - FB'!L:L,$A207,'ADV - FB'!E:E)</f>
        <v>0</v>
      </c>
      <c r="H207" s="320" t="str">
        <f>IFERROR(SUMIF('ADV - FB'!L:L,$A207,'ADV - FB'!H:H)/(SUMIF('ADV - FB'!L:L,$A207,'ADV - FB'!G:G)),"-")</f>
        <v>-</v>
      </c>
      <c r="I207" s="321" t="str">
        <f>IFERROR(SUMIF('ADV - FB'!L:L,$A207,'ADV - FB'!E:E)/(SUMIF('ADV - FB'!L:L,$A207,'ADV - FB'!F:F)),"-")</f>
        <v>-</v>
      </c>
      <c r="J207" s="315">
        <f>SUMIF('ADV - FB'!L:L,$A207,'ADV - FB'!I:I)+SUMIF('ADV - FB'!L:L,$A207,'ADV - FB'!J:J)+SUMIF('ADV - FB'!L:L,$A207,'ADV - FB'!K:K)</f>
        <v>0</v>
      </c>
      <c r="K207" s="321" t="str">
        <f t="shared" si="2"/>
        <v>-</v>
      </c>
      <c r="L207" s="322"/>
      <c r="M207" s="322"/>
      <c r="N207" s="322"/>
      <c r="O207" s="322"/>
      <c r="P207" s="322"/>
      <c r="Q207" s="322"/>
      <c r="R207" s="322"/>
      <c r="S207" s="322"/>
      <c r="T207" s="16"/>
      <c r="U207" s="16"/>
      <c r="V207" s="16"/>
      <c r="W207" s="16"/>
      <c r="X207" s="16"/>
    </row>
    <row r="208" ht="15.75" customHeight="1">
      <c r="A208" s="313" t="s">
        <v>477</v>
      </c>
      <c r="B208" s="314"/>
      <c r="C208" s="315"/>
      <c r="D208" s="315"/>
      <c r="E208" s="317"/>
      <c r="F208" s="318" t="str">
        <f t="shared" si="1"/>
        <v>TP207 -  -  - </v>
      </c>
      <c r="G208" s="319">
        <f>SUMIF('ADV - FB'!L:L,$A208,'ADV - FB'!E:E)</f>
        <v>0</v>
      </c>
      <c r="H208" s="320" t="str">
        <f>IFERROR(SUMIF('ADV - FB'!L:L,$A208,'ADV - FB'!H:H)/(SUMIF('ADV - FB'!L:L,$A208,'ADV - FB'!G:G)),"-")</f>
        <v>-</v>
      </c>
      <c r="I208" s="321" t="str">
        <f>IFERROR(SUMIF('ADV - FB'!L:L,$A208,'ADV - FB'!E:E)/(SUMIF('ADV - FB'!L:L,$A208,'ADV - FB'!F:F)),"-")</f>
        <v>-</v>
      </c>
      <c r="J208" s="315">
        <f>SUMIF('ADV - FB'!L:L,$A208,'ADV - FB'!I:I)+SUMIF('ADV - FB'!L:L,$A208,'ADV - FB'!J:J)+SUMIF('ADV - FB'!L:L,$A208,'ADV - FB'!K:K)</f>
        <v>0</v>
      </c>
      <c r="K208" s="321" t="str">
        <f t="shared" si="2"/>
        <v>-</v>
      </c>
      <c r="L208" s="322"/>
      <c r="M208" s="322"/>
      <c r="N208" s="322"/>
      <c r="O208" s="322"/>
      <c r="P208" s="322"/>
      <c r="Q208" s="322"/>
      <c r="R208" s="322"/>
      <c r="S208" s="322"/>
      <c r="T208" s="16"/>
      <c r="U208" s="16"/>
      <c r="V208" s="16"/>
      <c r="W208" s="16"/>
      <c r="X208" s="16"/>
    </row>
    <row r="209" ht="15.75" customHeight="1">
      <c r="A209" s="313" t="s">
        <v>478</v>
      </c>
      <c r="B209" s="314"/>
      <c r="C209" s="315"/>
      <c r="D209" s="315"/>
      <c r="E209" s="317"/>
      <c r="F209" s="318" t="str">
        <f t="shared" si="1"/>
        <v>TP208 -  -  - </v>
      </c>
      <c r="G209" s="319">
        <f>SUMIF('ADV - FB'!L:L,$A209,'ADV - FB'!E:E)</f>
        <v>0</v>
      </c>
      <c r="H209" s="320" t="str">
        <f>IFERROR(SUMIF('ADV - FB'!L:L,$A209,'ADV - FB'!H:H)/(SUMIF('ADV - FB'!L:L,$A209,'ADV - FB'!G:G)),"-")</f>
        <v>-</v>
      </c>
      <c r="I209" s="321" t="str">
        <f>IFERROR(SUMIF('ADV - FB'!L:L,$A209,'ADV - FB'!E:E)/(SUMIF('ADV - FB'!L:L,$A209,'ADV - FB'!F:F)),"-")</f>
        <v>-</v>
      </c>
      <c r="J209" s="315">
        <f>SUMIF('ADV - FB'!L:L,$A209,'ADV - FB'!I:I)+SUMIF('ADV - FB'!L:L,$A209,'ADV - FB'!J:J)+SUMIF('ADV - FB'!L:L,$A209,'ADV - FB'!K:K)</f>
        <v>0</v>
      </c>
      <c r="K209" s="321" t="str">
        <f t="shared" si="2"/>
        <v>-</v>
      </c>
      <c r="L209" s="322"/>
      <c r="M209" s="322"/>
      <c r="N209" s="322"/>
      <c r="O209" s="322"/>
      <c r="P209" s="322"/>
      <c r="Q209" s="322"/>
      <c r="R209" s="322"/>
      <c r="S209" s="322"/>
      <c r="T209" s="16"/>
      <c r="U209" s="16"/>
      <c r="V209" s="16"/>
      <c r="W209" s="16"/>
      <c r="X209" s="16"/>
    </row>
    <row r="210" ht="15.75" customHeight="1">
      <c r="A210" s="313" t="s">
        <v>479</v>
      </c>
      <c r="B210" s="314"/>
      <c r="C210" s="315"/>
      <c r="D210" s="315"/>
      <c r="E210" s="317"/>
      <c r="F210" s="318" t="str">
        <f t="shared" si="1"/>
        <v>TP209 -  -  - </v>
      </c>
      <c r="G210" s="319">
        <f>SUMIF('ADV - FB'!L:L,$A210,'ADV - FB'!E:E)</f>
        <v>0</v>
      </c>
      <c r="H210" s="320" t="str">
        <f>IFERROR(SUMIF('ADV - FB'!L:L,$A210,'ADV - FB'!H:H)/(SUMIF('ADV - FB'!L:L,$A210,'ADV - FB'!G:G)),"-")</f>
        <v>-</v>
      </c>
      <c r="I210" s="321" t="str">
        <f>IFERROR(SUMIF('ADV - FB'!L:L,$A210,'ADV - FB'!E:E)/(SUMIF('ADV - FB'!L:L,$A210,'ADV - FB'!F:F)),"-")</f>
        <v>-</v>
      </c>
      <c r="J210" s="315">
        <f>SUMIF('ADV - FB'!L:L,$A210,'ADV - FB'!I:I)+SUMIF('ADV - FB'!L:L,$A210,'ADV - FB'!J:J)+SUMIF('ADV - FB'!L:L,$A210,'ADV - FB'!K:K)</f>
        <v>0</v>
      </c>
      <c r="K210" s="321" t="str">
        <f t="shared" si="2"/>
        <v>-</v>
      </c>
      <c r="L210" s="322"/>
      <c r="M210" s="322"/>
      <c r="N210" s="322"/>
      <c r="O210" s="322"/>
      <c r="P210" s="322"/>
      <c r="Q210" s="322"/>
      <c r="R210" s="322"/>
      <c r="S210" s="322"/>
      <c r="T210" s="16"/>
      <c r="U210" s="16"/>
      <c r="V210" s="16"/>
      <c r="W210" s="16"/>
      <c r="X210" s="16"/>
    </row>
    <row r="211" ht="15.75" customHeight="1">
      <c r="A211" s="313" t="s">
        <v>480</v>
      </c>
      <c r="B211" s="314"/>
      <c r="C211" s="315"/>
      <c r="D211" s="315"/>
      <c r="E211" s="317"/>
      <c r="F211" s="318" t="str">
        <f t="shared" si="1"/>
        <v>TP210 -  -  - </v>
      </c>
      <c r="G211" s="319">
        <f>SUMIF('ADV - FB'!L:L,$A211,'ADV - FB'!E:E)</f>
        <v>0</v>
      </c>
      <c r="H211" s="320" t="str">
        <f>IFERROR(SUMIF('ADV - FB'!L:L,$A211,'ADV - FB'!H:H)/(SUMIF('ADV - FB'!L:L,$A211,'ADV - FB'!G:G)),"-")</f>
        <v>-</v>
      </c>
      <c r="I211" s="321" t="str">
        <f>IFERROR(SUMIF('ADV - FB'!L:L,$A211,'ADV - FB'!E:E)/(SUMIF('ADV - FB'!L:L,$A211,'ADV - FB'!F:F)),"-")</f>
        <v>-</v>
      </c>
      <c r="J211" s="315">
        <f>SUMIF('ADV - FB'!L:L,$A211,'ADV - FB'!I:I)+SUMIF('ADV - FB'!L:L,$A211,'ADV - FB'!J:J)+SUMIF('ADV - FB'!L:L,$A211,'ADV - FB'!K:K)</f>
        <v>0</v>
      </c>
      <c r="K211" s="321" t="str">
        <f t="shared" si="2"/>
        <v>-</v>
      </c>
      <c r="L211" s="322"/>
      <c r="M211" s="322"/>
      <c r="N211" s="322"/>
      <c r="O211" s="322"/>
      <c r="P211" s="322"/>
      <c r="Q211" s="322"/>
      <c r="R211" s="322"/>
      <c r="S211" s="322"/>
      <c r="T211" s="16"/>
      <c r="U211" s="16"/>
      <c r="V211" s="16"/>
      <c r="W211" s="16"/>
      <c r="X211" s="16"/>
    </row>
    <row r="212" ht="15.75" customHeight="1">
      <c r="A212" s="313" t="s">
        <v>481</v>
      </c>
      <c r="B212" s="314"/>
      <c r="C212" s="315"/>
      <c r="D212" s="315"/>
      <c r="E212" s="317"/>
      <c r="F212" s="318" t="str">
        <f t="shared" si="1"/>
        <v>TP211 -  -  - </v>
      </c>
      <c r="G212" s="319">
        <f>SUMIF('ADV - FB'!L:L,$A212,'ADV - FB'!E:E)</f>
        <v>0</v>
      </c>
      <c r="H212" s="320" t="str">
        <f>IFERROR(SUMIF('ADV - FB'!L:L,$A212,'ADV - FB'!H:H)/(SUMIF('ADV - FB'!L:L,$A212,'ADV - FB'!G:G)),"-")</f>
        <v>-</v>
      </c>
      <c r="I212" s="321" t="str">
        <f>IFERROR(SUMIF('ADV - FB'!L:L,$A212,'ADV - FB'!E:E)/(SUMIF('ADV - FB'!L:L,$A212,'ADV - FB'!F:F)),"-")</f>
        <v>-</v>
      </c>
      <c r="J212" s="315">
        <f>SUMIF('ADV - FB'!L:L,$A212,'ADV - FB'!I:I)+SUMIF('ADV - FB'!L:L,$A212,'ADV - FB'!J:J)+SUMIF('ADV - FB'!L:L,$A212,'ADV - FB'!K:K)</f>
        <v>0</v>
      </c>
      <c r="K212" s="321" t="str">
        <f t="shared" si="2"/>
        <v>-</v>
      </c>
      <c r="L212" s="322"/>
      <c r="M212" s="322"/>
      <c r="N212" s="322"/>
      <c r="O212" s="322"/>
      <c r="P212" s="322"/>
      <c r="Q212" s="322"/>
      <c r="R212" s="322"/>
      <c r="S212" s="322"/>
      <c r="T212" s="16"/>
      <c r="U212" s="16"/>
      <c r="V212" s="16"/>
      <c r="W212" s="16"/>
      <c r="X212" s="16"/>
    </row>
    <row r="213" ht="15.75" customHeight="1">
      <c r="A213" s="313" t="s">
        <v>482</v>
      </c>
      <c r="B213" s="314"/>
      <c r="C213" s="315"/>
      <c r="D213" s="315"/>
      <c r="E213" s="317"/>
      <c r="F213" s="318" t="str">
        <f t="shared" si="1"/>
        <v>TP212 -  -  - </v>
      </c>
      <c r="G213" s="319">
        <f>SUMIF('ADV - FB'!L:L,$A213,'ADV - FB'!E:E)</f>
        <v>0</v>
      </c>
      <c r="H213" s="320" t="str">
        <f>IFERROR(SUMIF('ADV - FB'!L:L,$A213,'ADV - FB'!H:H)/(SUMIF('ADV - FB'!L:L,$A213,'ADV - FB'!G:G)),"-")</f>
        <v>-</v>
      </c>
      <c r="I213" s="321" t="str">
        <f>IFERROR(SUMIF('ADV - FB'!L:L,$A213,'ADV - FB'!E:E)/(SUMIF('ADV - FB'!L:L,$A213,'ADV - FB'!F:F)),"-")</f>
        <v>-</v>
      </c>
      <c r="J213" s="315">
        <f>SUMIF('ADV - FB'!L:L,$A213,'ADV - FB'!I:I)+SUMIF('ADV - FB'!L:L,$A213,'ADV - FB'!J:J)+SUMIF('ADV - FB'!L:L,$A213,'ADV - FB'!K:K)</f>
        <v>0</v>
      </c>
      <c r="K213" s="321" t="str">
        <f t="shared" si="2"/>
        <v>-</v>
      </c>
      <c r="L213" s="322"/>
      <c r="M213" s="322"/>
      <c r="N213" s="322"/>
      <c r="O213" s="322"/>
      <c r="P213" s="322"/>
      <c r="Q213" s="322"/>
      <c r="R213" s="322"/>
      <c r="S213" s="322"/>
      <c r="T213" s="16"/>
      <c r="U213" s="16"/>
      <c r="V213" s="16"/>
      <c r="W213" s="16"/>
      <c r="X213" s="16"/>
    </row>
    <row r="214" ht="15.75" customHeight="1">
      <c r="A214" s="313" t="s">
        <v>483</v>
      </c>
      <c r="B214" s="314"/>
      <c r="C214" s="315"/>
      <c r="D214" s="315"/>
      <c r="E214" s="317"/>
      <c r="F214" s="318" t="str">
        <f t="shared" si="1"/>
        <v>TP213 -  -  - </v>
      </c>
      <c r="G214" s="319">
        <f>SUMIF('ADV - FB'!L:L,$A214,'ADV - FB'!E:E)</f>
        <v>0</v>
      </c>
      <c r="H214" s="320" t="str">
        <f>IFERROR(SUMIF('ADV - FB'!L:L,$A214,'ADV - FB'!H:H)/(SUMIF('ADV - FB'!L:L,$A214,'ADV - FB'!G:G)),"-")</f>
        <v>-</v>
      </c>
      <c r="I214" s="321" t="str">
        <f>IFERROR(SUMIF('ADV - FB'!L:L,$A214,'ADV - FB'!E:E)/(SUMIF('ADV - FB'!L:L,$A214,'ADV - FB'!F:F)),"-")</f>
        <v>-</v>
      </c>
      <c r="J214" s="315">
        <f>SUMIF('ADV - FB'!L:L,$A214,'ADV - FB'!I:I)+SUMIF('ADV - FB'!L:L,$A214,'ADV - FB'!J:J)+SUMIF('ADV - FB'!L:L,$A214,'ADV - FB'!K:K)</f>
        <v>0</v>
      </c>
      <c r="K214" s="321" t="str">
        <f t="shared" si="2"/>
        <v>-</v>
      </c>
      <c r="L214" s="322"/>
      <c r="M214" s="322"/>
      <c r="N214" s="322"/>
      <c r="O214" s="322"/>
      <c r="P214" s="322"/>
      <c r="Q214" s="322"/>
      <c r="R214" s="322"/>
      <c r="S214" s="322"/>
      <c r="T214" s="16"/>
      <c r="U214" s="16"/>
      <c r="V214" s="16"/>
      <c r="W214" s="16"/>
      <c r="X214" s="16"/>
    </row>
    <row r="215" ht="15.75" customHeight="1">
      <c r="A215" s="313" t="s">
        <v>484</v>
      </c>
      <c r="B215" s="314"/>
      <c r="C215" s="315"/>
      <c r="D215" s="315"/>
      <c r="E215" s="317"/>
      <c r="F215" s="318" t="str">
        <f t="shared" si="1"/>
        <v>TP214 -  -  - </v>
      </c>
      <c r="G215" s="319">
        <f>SUMIF('ADV - FB'!L:L,$A215,'ADV - FB'!E:E)</f>
        <v>0</v>
      </c>
      <c r="H215" s="320" t="str">
        <f>IFERROR(SUMIF('ADV - FB'!L:L,$A215,'ADV - FB'!H:H)/(SUMIF('ADV - FB'!L:L,$A215,'ADV - FB'!G:G)),"-")</f>
        <v>-</v>
      </c>
      <c r="I215" s="321" t="str">
        <f>IFERROR(SUMIF('ADV - FB'!L:L,$A215,'ADV - FB'!E:E)/(SUMIF('ADV - FB'!L:L,$A215,'ADV - FB'!F:F)),"-")</f>
        <v>-</v>
      </c>
      <c r="J215" s="315">
        <f>SUMIF('ADV - FB'!L:L,$A215,'ADV - FB'!I:I)+SUMIF('ADV - FB'!L:L,$A215,'ADV - FB'!J:J)+SUMIF('ADV - FB'!L:L,$A215,'ADV - FB'!K:K)</f>
        <v>0</v>
      </c>
      <c r="K215" s="321" t="str">
        <f t="shared" si="2"/>
        <v>-</v>
      </c>
      <c r="L215" s="322"/>
      <c r="M215" s="322"/>
      <c r="N215" s="322"/>
      <c r="O215" s="322"/>
      <c r="P215" s="322"/>
      <c r="Q215" s="322"/>
      <c r="R215" s="322"/>
      <c r="S215" s="322"/>
      <c r="T215" s="16"/>
      <c r="U215" s="16"/>
      <c r="V215" s="16"/>
      <c r="W215" s="16"/>
      <c r="X215" s="16"/>
    </row>
    <row r="216" ht="15.75" customHeight="1">
      <c r="A216" s="313" t="s">
        <v>485</v>
      </c>
      <c r="B216" s="314"/>
      <c r="C216" s="315"/>
      <c r="D216" s="315"/>
      <c r="E216" s="317"/>
      <c r="F216" s="318" t="str">
        <f t="shared" si="1"/>
        <v>TP215 -  -  - </v>
      </c>
      <c r="G216" s="319">
        <f>SUMIF('ADV - FB'!L:L,$A216,'ADV - FB'!E:E)</f>
        <v>0</v>
      </c>
      <c r="H216" s="320" t="str">
        <f>IFERROR(SUMIF('ADV - FB'!L:L,$A216,'ADV - FB'!H:H)/(SUMIF('ADV - FB'!L:L,$A216,'ADV - FB'!G:G)),"-")</f>
        <v>-</v>
      </c>
      <c r="I216" s="321" t="str">
        <f>IFERROR(SUMIF('ADV - FB'!L:L,$A216,'ADV - FB'!E:E)/(SUMIF('ADV - FB'!L:L,$A216,'ADV - FB'!F:F)),"-")</f>
        <v>-</v>
      </c>
      <c r="J216" s="315">
        <f>SUMIF('ADV - FB'!L:L,$A216,'ADV - FB'!I:I)+SUMIF('ADV - FB'!L:L,$A216,'ADV - FB'!J:J)+SUMIF('ADV - FB'!L:L,$A216,'ADV - FB'!K:K)</f>
        <v>0</v>
      </c>
      <c r="K216" s="321" t="str">
        <f t="shared" si="2"/>
        <v>-</v>
      </c>
      <c r="L216" s="322"/>
      <c r="M216" s="322"/>
      <c r="N216" s="322"/>
      <c r="O216" s="322"/>
      <c r="P216" s="322"/>
      <c r="Q216" s="322"/>
      <c r="R216" s="322"/>
      <c r="S216" s="322"/>
      <c r="T216" s="16"/>
      <c r="U216" s="16"/>
      <c r="V216" s="16"/>
      <c r="W216" s="16"/>
      <c r="X216" s="16"/>
    </row>
    <row r="217" ht="15.75" customHeight="1">
      <c r="A217" s="313" t="s">
        <v>486</v>
      </c>
      <c r="B217" s="314"/>
      <c r="C217" s="315"/>
      <c r="D217" s="315"/>
      <c r="E217" s="317"/>
      <c r="F217" s="318" t="str">
        <f t="shared" si="1"/>
        <v>TP216 -  -  - </v>
      </c>
      <c r="G217" s="319">
        <f>SUMIF('ADV - FB'!L:L,$A217,'ADV - FB'!E:E)</f>
        <v>0</v>
      </c>
      <c r="H217" s="320" t="str">
        <f>IFERROR(SUMIF('ADV - FB'!L:L,$A217,'ADV - FB'!H:H)/(SUMIF('ADV - FB'!L:L,$A217,'ADV - FB'!G:G)),"-")</f>
        <v>-</v>
      </c>
      <c r="I217" s="321" t="str">
        <f>IFERROR(SUMIF('ADV - FB'!L:L,$A217,'ADV - FB'!E:E)/(SUMIF('ADV - FB'!L:L,$A217,'ADV - FB'!F:F)),"-")</f>
        <v>-</v>
      </c>
      <c r="J217" s="315">
        <f>SUMIF('ADV - FB'!L:L,$A217,'ADV - FB'!I:I)+SUMIF('ADV - FB'!L:L,$A217,'ADV - FB'!J:J)+SUMIF('ADV - FB'!L:L,$A217,'ADV - FB'!K:K)</f>
        <v>0</v>
      </c>
      <c r="K217" s="321" t="str">
        <f t="shared" si="2"/>
        <v>-</v>
      </c>
      <c r="L217" s="322"/>
      <c r="M217" s="322"/>
      <c r="N217" s="322"/>
      <c r="O217" s="322"/>
      <c r="P217" s="322"/>
      <c r="Q217" s="322"/>
      <c r="R217" s="322"/>
      <c r="S217" s="322"/>
      <c r="T217" s="16"/>
      <c r="U217" s="16"/>
      <c r="V217" s="16"/>
      <c r="W217" s="16"/>
      <c r="X217" s="16"/>
    </row>
    <row r="218" ht="15.75" customHeight="1">
      <c r="A218" s="313" t="s">
        <v>487</v>
      </c>
      <c r="B218" s="314"/>
      <c r="C218" s="315"/>
      <c r="D218" s="315"/>
      <c r="E218" s="317"/>
      <c r="F218" s="318" t="str">
        <f t="shared" si="1"/>
        <v>TP217 -  -  - </v>
      </c>
      <c r="G218" s="319">
        <f>SUMIF('ADV - FB'!L:L,$A218,'ADV - FB'!E:E)</f>
        <v>0</v>
      </c>
      <c r="H218" s="320" t="str">
        <f>IFERROR(SUMIF('ADV - FB'!L:L,$A218,'ADV - FB'!H:H)/(SUMIF('ADV - FB'!L:L,$A218,'ADV - FB'!G:G)),"-")</f>
        <v>-</v>
      </c>
      <c r="I218" s="321" t="str">
        <f>IFERROR(SUMIF('ADV - FB'!L:L,$A218,'ADV - FB'!E:E)/(SUMIF('ADV - FB'!L:L,$A218,'ADV - FB'!F:F)),"-")</f>
        <v>-</v>
      </c>
      <c r="J218" s="315">
        <f>SUMIF('ADV - FB'!L:L,$A218,'ADV - FB'!I:I)+SUMIF('ADV - FB'!L:L,$A218,'ADV - FB'!J:J)+SUMIF('ADV - FB'!L:L,$A218,'ADV - FB'!K:K)</f>
        <v>0</v>
      </c>
      <c r="K218" s="321" t="str">
        <f t="shared" si="2"/>
        <v>-</v>
      </c>
      <c r="L218" s="322"/>
      <c r="M218" s="322"/>
      <c r="N218" s="322"/>
      <c r="O218" s="322"/>
      <c r="P218" s="322"/>
      <c r="Q218" s="322"/>
      <c r="R218" s="322"/>
      <c r="S218" s="322"/>
      <c r="T218" s="16"/>
      <c r="U218" s="16"/>
      <c r="V218" s="16"/>
      <c r="W218" s="16"/>
      <c r="X218" s="16"/>
    </row>
    <row r="219" ht="15.75" customHeight="1">
      <c r="A219" s="313" t="s">
        <v>488</v>
      </c>
      <c r="B219" s="314"/>
      <c r="C219" s="315"/>
      <c r="D219" s="315"/>
      <c r="E219" s="317"/>
      <c r="F219" s="318" t="str">
        <f t="shared" si="1"/>
        <v>TP218 -  -  - </v>
      </c>
      <c r="G219" s="319">
        <f>SUMIF('ADV - FB'!L:L,$A219,'ADV - FB'!E:E)</f>
        <v>0</v>
      </c>
      <c r="H219" s="320" t="str">
        <f>IFERROR(SUMIF('ADV - FB'!L:L,$A219,'ADV - FB'!H:H)/(SUMIF('ADV - FB'!L:L,$A219,'ADV - FB'!G:G)),"-")</f>
        <v>-</v>
      </c>
      <c r="I219" s="321" t="str">
        <f>IFERROR(SUMIF('ADV - FB'!L:L,$A219,'ADV - FB'!E:E)/(SUMIF('ADV - FB'!L:L,$A219,'ADV - FB'!F:F)),"-")</f>
        <v>-</v>
      </c>
      <c r="J219" s="315">
        <f>SUMIF('ADV - FB'!L:L,$A219,'ADV - FB'!I:I)+SUMIF('ADV - FB'!L:L,$A219,'ADV - FB'!J:J)+SUMIF('ADV - FB'!L:L,$A219,'ADV - FB'!K:K)</f>
        <v>0</v>
      </c>
      <c r="K219" s="321" t="str">
        <f t="shared" si="2"/>
        <v>-</v>
      </c>
      <c r="L219" s="322"/>
      <c r="M219" s="322"/>
      <c r="N219" s="322"/>
      <c r="O219" s="322"/>
      <c r="P219" s="322"/>
      <c r="Q219" s="322"/>
      <c r="R219" s="322"/>
      <c r="S219" s="322"/>
      <c r="T219" s="16"/>
      <c r="U219" s="16"/>
      <c r="V219" s="16"/>
      <c r="W219" s="16"/>
      <c r="X219" s="16"/>
    </row>
    <row r="220" ht="15.75" customHeight="1">
      <c r="A220" s="313" t="s">
        <v>489</v>
      </c>
      <c r="B220" s="314"/>
      <c r="C220" s="315"/>
      <c r="D220" s="315"/>
      <c r="E220" s="317"/>
      <c r="F220" s="318" t="str">
        <f t="shared" si="1"/>
        <v>TP219 -  -  - </v>
      </c>
      <c r="G220" s="319">
        <f>SUMIF('ADV - FB'!L:L,$A220,'ADV - FB'!E:E)</f>
        <v>0</v>
      </c>
      <c r="H220" s="320" t="str">
        <f>IFERROR(SUMIF('ADV - FB'!L:L,$A220,'ADV - FB'!H:H)/(SUMIF('ADV - FB'!L:L,$A220,'ADV - FB'!G:G)),"-")</f>
        <v>-</v>
      </c>
      <c r="I220" s="321" t="str">
        <f>IFERROR(SUMIF('ADV - FB'!L:L,$A220,'ADV - FB'!E:E)/(SUMIF('ADV - FB'!L:L,$A220,'ADV - FB'!F:F)),"-")</f>
        <v>-</v>
      </c>
      <c r="J220" s="315">
        <f>SUMIF('ADV - FB'!L:L,$A220,'ADV - FB'!I:I)+SUMIF('ADV - FB'!L:L,$A220,'ADV - FB'!J:J)+SUMIF('ADV - FB'!L:L,$A220,'ADV - FB'!K:K)</f>
        <v>0</v>
      </c>
      <c r="K220" s="321" t="str">
        <f t="shared" si="2"/>
        <v>-</v>
      </c>
      <c r="L220" s="322"/>
      <c r="M220" s="322"/>
      <c r="N220" s="322"/>
      <c r="O220" s="322"/>
      <c r="P220" s="322"/>
      <c r="Q220" s="322"/>
      <c r="R220" s="322"/>
      <c r="S220" s="322"/>
      <c r="T220" s="16"/>
      <c r="U220" s="16"/>
      <c r="V220" s="16"/>
      <c r="W220" s="16"/>
      <c r="X220" s="16"/>
    </row>
    <row r="221" ht="15.75" customHeight="1">
      <c r="A221" s="313" t="s">
        <v>490</v>
      </c>
      <c r="B221" s="314"/>
      <c r="C221" s="315"/>
      <c r="D221" s="315"/>
      <c r="E221" s="317"/>
      <c r="F221" s="318" t="str">
        <f t="shared" si="1"/>
        <v>TP220 -  -  - </v>
      </c>
      <c r="G221" s="319">
        <f>SUMIF('ADV - FB'!L:L,$A221,'ADV - FB'!E:E)</f>
        <v>0</v>
      </c>
      <c r="H221" s="320" t="str">
        <f>IFERROR(SUMIF('ADV - FB'!L:L,$A221,'ADV - FB'!H:H)/(SUMIF('ADV - FB'!L:L,$A221,'ADV - FB'!G:G)),"-")</f>
        <v>-</v>
      </c>
      <c r="I221" s="321" t="str">
        <f>IFERROR(SUMIF('ADV - FB'!L:L,$A221,'ADV - FB'!E:E)/(SUMIF('ADV - FB'!L:L,$A221,'ADV - FB'!F:F)),"-")</f>
        <v>-</v>
      </c>
      <c r="J221" s="315">
        <f>SUMIF('ADV - FB'!L:L,$A221,'ADV - FB'!I:I)+SUMIF('ADV - FB'!L:L,$A221,'ADV - FB'!J:J)+SUMIF('ADV - FB'!L:L,$A221,'ADV - FB'!K:K)</f>
        <v>0</v>
      </c>
      <c r="K221" s="321" t="str">
        <f t="shared" si="2"/>
        <v>-</v>
      </c>
      <c r="L221" s="322"/>
      <c r="M221" s="322"/>
      <c r="N221" s="322"/>
      <c r="O221" s="322"/>
      <c r="P221" s="322"/>
      <c r="Q221" s="322"/>
      <c r="R221" s="322"/>
      <c r="S221" s="322"/>
      <c r="T221" s="16"/>
      <c r="U221" s="16"/>
      <c r="V221" s="16"/>
      <c r="W221" s="16"/>
      <c r="X221" s="16"/>
    </row>
    <row r="222" ht="15.75" customHeight="1">
      <c r="A222" s="313" t="s">
        <v>491</v>
      </c>
      <c r="B222" s="314"/>
      <c r="C222" s="315"/>
      <c r="D222" s="315"/>
      <c r="E222" s="317"/>
      <c r="F222" s="318" t="str">
        <f t="shared" si="1"/>
        <v>TP221 -  -  - </v>
      </c>
      <c r="G222" s="319">
        <f>SUMIF('ADV - FB'!L:L,$A222,'ADV - FB'!E:E)</f>
        <v>0</v>
      </c>
      <c r="H222" s="320" t="str">
        <f>IFERROR(SUMIF('ADV - FB'!L:L,$A222,'ADV - FB'!H:H)/(SUMIF('ADV - FB'!L:L,$A222,'ADV - FB'!G:G)),"-")</f>
        <v>-</v>
      </c>
      <c r="I222" s="321" t="str">
        <f>IFERROR(SUMIF('ADV - FB'!L:L,$A222,'ADV - FB'!E:E)/(SUMIF('ADV - FB'!L:L,$A222,'ADV - FB'!F:F)),"-")</f>
        <v>-</v>
      </c>
      <c r="J222" s="315">
        <f>SUMIF('ADV - FB'!L:L,$A222,'ADV - FB'!I:I)+SUMIF('ADV - FB'!L:L,$A222,'ADV - FB'!J:J)+SUMIF('ADV - FB'!L:L,$A222,'ADV - FB'!K:K)</f>
        <v>0</v>
      </c>
      <c r="K222" s="321" t="str">
        <f t="shared" si="2"/>
        <v>-</v>
      </c>
      <c r="L222" s="322"/>
      <c r="M222" s="322"/>
      <c r="N222" s="322"/>
      <c r="O222" s="322"/>
      <c r="P222" s="322"/>
      <c r="Q222" s="322"/>
      <c r="R222" s="322"/>
      <c r="S222" s="322"/>
      <c r="T222" s="16"/>
      <c r="U222" s="16"/>
      <c r="V222" s="16"/>
      <c r="W222" s="16"/>
      <c r="X222" s="16"/>
    </row>
    <row r="223" ht="15.75" customHeight="1">
      <c r="A223" s="313" t="s">
        <v>492</v>
      </c>
      <c r="B223" s="314"/>
      <c r="C223" s="315"/>
      <c r="D223" s="315"/>
      <c r="E223" s="317"/>
      <c r="F223" s="318" t="str">
        <f t="shared" si="1"/>
        <v>TP222 -  -  - </v>
      </c>
      <c r="G223" s="319">
        <f>SUMIF('ADV - FB'!L:L,$A223,'ADV - FB'!E:E)</f>
        <v>0</v>
      </c>
      <c r="H223" s="320" t="str">
        <f>IFERROR(SUMIF('ADV - FB'!L:L,$A223,'ADV - FB'!H:H)/(SUMIF('ADV - FB'!L:L,$A223,'ADV - FB'!G:G)),"-")</f>
        <v>-</v>
      </c>
      <c r="I223" s="321" t="str">
        <f>IFERROR(SUMIF('ADV - FB'!L:L,$A223,'ADV - FB'!E:E)/(SUMIF('ADV - FB'!L:L,$A223,'ADV - FB'!F:F)),"-")</f>
        <v>-</v>
      </c>
      <c r="J223" s="315">
        <f>SUMIF('ADV - FB'!L:L,$A223,'ADV - FB'!I:I)+SUMIF('ADV - FB'!L:L,$A223,'ADV - FB'!J:J)+SUMIF('ADV - FB'!L:L,$A223,'ADV - FB'!K:K)</f>
        <v>0</v>
      </c>
      <c r="K223" s="321" t="str">
        <f t="shared" si="2"/>
        <v>-</v>
      </c>
      <c r="L223" s="322"/>
      <c r="M223" s="322"/>
      <c r="N223" s="322"/>
      <c r="O223" s="322"/>
      <c r="P223" s="322"/>
      <c r="Q223" s="322"/>
      <c r="R223" s="322"/>
      <c r="S223" s="322"/>
      <c r="T223" s="16"/>
      <c r="U223" s="16"/>
      <c r="V223" s="16"/>
      <c r="W223" s="16"/>
      <c r="X223" s="16"/>
    </row>
    <row r="224" ht="15.75" customHeight="1">
      <c r="A224" s="313" t="s">
        <v>493</v>
      </c>
      <c r="B224" s="314"/>
      <c r="C224" s="315"/>
      <c r="D224" s="315"/>
      <c r="E224" s="317"/>
      <c r="F224" s="318" t="str">
        <f t="shared" si="1"/>
        <v>TP223 -  -  - </v>
      </c>
      <c r="G224" s="319">
        <f>SUMIF('ADV - FB'!L:L,$A224,'ADV - FB'!E:E)</f>
        <v>0</v>
      </c>
      <c r="H224" s="320" t="str">
        <f>IFERROR(SUMIF('ADV - FB'!L:L,$A224,'ADV - FB'!H:H)/(SUMIF('ADV - FB'!L:L,$A224,'ADV - FB'!G:G)),"-")</f>
        <v>-</v>
      </c>
      <c r="I224" s="321" t="str">
        <f>IFERROR(SUMIF('ADV - FB'!L:L,$A224,'ADV - FB'!E:E)/(SUMIF('ADV - FB'!L:L,$A224,'ADV - FB'!F:F)),"-")</f>
        <v>-</v>
      </c>
      <c r="J224" s="315">
        <f>SUMIF('ADV - FB'!L:L,$A224,'ADV - FB'!I:I)+SUMIF('ADV - FB'!L:L,$A224,'ADV - FB'!J:J)+SUMIF('ADV - FB'!L:L,$A224,'ADV - FB'!K:K)</f>
        <v>0</v>
      </c>
      <c r="K224" s="321" t="str">
        <f t="shared" si="2"/>
        <v>-</v>
      </c>
      <c r="L224" s="322"/>
      <c r="M224" s="322"/>
      <c r="N224" s="322"/>
      <c r="O224" s="322"/>
      <c r="P224" s="322"/>
      <c r="Q224" s="322"/>
      <c r="R224" s="322"/>
      <c r="S224" s="322"/>
      <c r="T224" s="16"/>
      <c r="U224" s="16"/>
      <c r="V224" s="16"/>
      <c r="W224" s="16"/>
      <c r="X224" s="16"/>
    </row>
    <row r="225" ht="15.75" customHeight="1">
      <c r="A225" s="313" t="s">
        <v>494</v>
      </c>
      <c r="B225" s="314"/>
      <c r="C225" s="315"/>
      <c r="D225" s="315"/>
      <c r="E225" s="317"/>
      <c r="F225" s="318" t="str">
        <f t="shared" si="1"/>
        <v>TP224 -  -  - </v>
      </c>
      <c r="G225" s="319">
        <f>SUMIF('ADV - FB'!L:L,$A225,'ADV - FB'!E:E)</f>
        <v>0</v>
      </c>
      <c r="H225" s="320" t="str">
        <f>IFERROR(SUMIF('ADV - FB'!L:L,$A225,'ADV - FB'!H:H)/(SUMIF('ADV - FB'!L:L,$A225,'ADV - FB'!G:G)),"-")</f>
        <v>-</v>
      </c>
      <c r="I225" s="321" t="str">
        <f>IFERROR(SUMIF('ADV - FB'!L:L,$A225,'ADV - FB'!E:E)/(SUMIF('ADV - FB'!L:L,$A225,'ADV - FB'!F:F)),"-")</f>
        <v>-</v>
      </c>
      <c r="J225" s="315">
        <f>SUMIF('ADV - FB'!L:L,$A225,'ADV - FB'!I:I)+SUMIF('ADV - FB'!L:L,$A225,'ADV - FB'!J:J)+SUMIF('ADV - FB'!L:L,$A225,'ADV - FB'!K:K)</f>
        <v>0</v>
      </c>
      <c r="K225" s="321" t="str">
        <f t="shared" si="2"/>
        <v>-</v>
      </c>
      <c r="L225" s="322"/>
      <c r="M225" s="322"/>
      <c r="N225" s="322"/>
      <c r="O225" s="322"/>
      <c r="P225" s="322"/>
      <c r="Q225" s="322"/>
      <c r="R225" s="322"/>
      <c r="S225" s="322"/>
      <c r="T225" s="16"/>
      <c r="U225" s="16"/>
      <c r="V225" s="16"/>
      <c r="W225" s="16"/>
      <c r="X225" s="16"/>
    </row>
    <row r="226" ht="15.75" customHeight="1">
      <c r="A226" s="313" t="s">
        <v>495</v>
      </c>
      <c r="B226" s="314"/>
      <c r="C226" s="315"/>
      <c r="D226" s="315"/>
      <c r="E226" s="317"/>
      <c r="F226" s="318" t="str">
        <f t="shared" si="1"/>
        <v>TP225 -  -  - </v>
      </c>
      <c r="G226" s="319">
        <f>SUMIF('ADV - FB'!L:L,$A226,'ADV - FB'!E:E)</f>
        <v>0</v>
      </c>
      <c r="H226" s="320" t="str">
        <f>IFERROR(SUMIF('ADV - FB'!L:L,$A226,'ADV - FB'!H:H)/(SUMIF('ADV - FB'!L:L,$A226,'ADV - FB'!G:G)),"-")</f>
        <v>-</v>
      </c>
      <c r="I226" s="321" t="str">
        <f>IFERROR(SUMIF('ADV - FB'!L:L,$A226,'ADV - FB'!E:E)/(SUMIF('ADV - FB'!L:L,$A226,'ADV - FB'!F:F)),"-")</f>
        <v>-</v>
      </c>
      <c r="J226" s="315">
        <f>SUMIF('ADV - FB'!L:L,$A226,'ADV - FB'!I:I)+SUMIF('ADV - FB'!L:L,$A226,'ADV - FB'!J:J)+SUMIF('ADV - FB'!L:L,$A226,'ADV - FB'!K:K)</f>
        <v>0</v>
      </c>
      <c r="K226" s="321" t="str">
        <f t="shared" si="2"/>
        <v>-</v>
      </c>
      <c r="L226" s="322"/>
      <c r="M226" s="322"/>
      <c r="N226" s="322"/>
      <c r="O226" s="322"/>
      <c r="P226" s="322"/>
      <c r="Q226" s="322"/>
      <c r="R226" s="322"/>
      <c r="S226" s="322"/>
      <c r="T226" s="16"/>
      <c r="U226" s="16"/>
      <c r="V226" s="16"/>
      <c r="W226" s="16"/>
      <c r="X226" s="16"/>
    </row>
    <row r="227" ht="15.75" customHeight="1">
      <c r="A227" s="313" t="s">
        <v>496</v>
      </c>
      <c r="B227" s="314"/>
      <c r="C227" s="315"/>
      <c r="D227" s="315"/>
      <c r="E227" s="317"/>
      <c r="F227" s="318" t="str">
        <f t="shared" si="1"/>
        <v>TP226 -  -  - </v>
      </c>
      <c r="G227" s="319">
        <f>SUMIF('ADV - FB'!L:L,$A227,'ADV - FB'!E:E)</f>
        <v>0</v>
      </c>
      <c r="H227" s="320" t="str">
        <f>IFERROR(SUMIF('ADV - FB'!L:L,$A227,'ADV - FB'!H:H)/(SUMIF('ADV - FB'!L:L,$A227,'ADV - FB'!G:G)),"-")</f>
        <v>-</v>
      </c>
      <c r="I227" s="321" t="str">
        <f>IFERROR(SUMIF('ADV - FB'!L:L,$A227,'ADV - FB'!E:E)/(SUMIF('ADV - FB'!L:L,$A227,'ADV - FB'!F:F)),"-")</f>
        <v>-</v>
      </c>
      <c r="J227" s="315">
        <f>SUMIF('ADV - FB'!L:L,$A227,'ADV - FB'!I:I)+SUMIF('ADV - FB'!L:L,$A227,'ADV - FB'!J:J)+SUMIF('ADV - FB'!L:L,$A227,'ADV - FB'!K:K)</f>
        <v>0</v>
      </c>
      <c r="K227" s="321" t="str">
        <f t="shared" si="2"/>
        <v>-</v>
      </c>
      <c r="L227" s="322"/>
      <c r="M227" s="322"/>
      <c r="N227" s="322"/>
      <c r="O227" s="322"/>
      <c r="P227" s="322"/>
      <c r="Q227" s="322"/>
      <c r="R227" s="322"/>
      <c r="S227" s="322"/>
      <c r="T227" s="16"/>
      <c r="U227" s="16"/>
      <c r="V227" s="16"/>
      <c r="W227" s="16"/>
      <c r="X227" s="16"/>
    </row>
    <row r="228" ht="15.75" customHeight="1">
      <c r="A228" s="313" t="s">
        <v>497</v>
      </c>
      <c r="B228" s="314"/>
      <c r="C228" s="315"/>
      <c r="D228" s="315"/>
      <c r="E228" s="317"/>
      <c r="F228" s="318" t="str">
        <f t="shared" si="1"/>
        <v>TP227 -  -  - </v>
      </c>
      <c r="G228" s="319">
        <f>SUMIF('ADV - FB'!L:L,$A228,'ADV - FB'!E:E)</f>
        <v>0</v>
      </c>
      <c r="H228" s="320" t="str">
        <f>IFERROR(SUMIF('ADV - FB'!L:L,$A228,'ADV - FB'!H:H)/(SUMIF('ADV - FB'!L:L,$A228,'ADV - FB'!G:G)),"-")</f>
        <v>-</v>
      </c>
      <c r="I228" s="321" t="str">
        <f>IFERROR(SUMIF('ADV - FB'!L:L,$A228,'ADV - FB'!E:E)/(SUMIF('ADV - FB'!L:L,$A228,'ADV - FB'!F:F)),"-")</f>
        <v>-</v>
      </c>
      <c r="J228" s="315">
        <f>SUMIF('ADV - FB'!L:L,$A228,'ADV - FB'!I:I)+SUMIF('ADV - FB'!L:L,$A228,'ADV - FB'!J:J)+SUMIF('ADV - FB'!L:L,$A228,'ADV - FB'!K:K)</f>
        <v>0</v>
      </c>
      <c r="K228" s="321" t="str">
        <f t="shared" si="2"/>
        <v>-</v>
      </c>
      <c r="L228" s="322"/>
      <c r="M228" s="322"/>
      <c r="N228" s="322"/>
      <c r="O228" s="322"/>
      <c r="P228" s="322"/>
      <c r="Q228" s="322"/>
      <c r="R228" s="322"/>
      <c r="S228" s="322"/>
      <c r="T228" s="16"/>
      <c r="U228" s="16"/>
      <c r="V228" s="16"/>
      <c r="W228" s="16"/>
      <c r="X228" s="16"/>
    </row>
    <row r="229" ht="15.75" customHeight="1">
      <c r="A229" s="313" t="s">
        <v>498</v>
      </c>
      <c r="B229" s="314"/>
      <c r="C229" s="315"/>
      <c r="D229" s="315"/>
      <c r="E229" s="317"/>
      <c r="F229" s="318" t="str">
        <f t="shared" si="1"/>
        <v>TP228 -  -  - </v>
      </c>
      <c r="G229" s="319">
        <f>SUMIF('ADV - FB'!L:L,$A229,'ADV - FB'!E:E)</f>
        <v>0</v>
      </c>
      <c r="H229" s="320" t="str">
        <f>IFERROR(SUMIF('ADV - FB'!L:L,$A229,'ADV - FB'!H:H)/(SUMIF('ADV - FB'!L:L,$A229,'ADV - FB'!G:G)),"-")</f>
        <v>-</v>
      </c>
      <c r="I229" s="321" t="str">
        <f>IFERROR(SUMIF('ADV - FB'!L:L,$A229,'ADV - FB'!E:E)/(SUMIF('ADV - FB'!L:L,$A229,'ADV - FB'!F:F)),"-")</f>
        <v>-</v>
      </c>
      <c r="J229" s="315">
        <f>SUMIF('ADV - FB'!L:L,$A229,'ADV - FB'!I:I)+SUMIF('ADV - FB'!L:L,$A229,'ADV - FB'!J:J)+SUMIF('ADV - FB'!L:L,$A229,'ADV - FB'!K:K)</f>
        <v>0</v>
      </c>
      <c r="K229" s="321" t="str">
        <f t="shared" si="2"/>
        <v>-</v>
      </c>
      <c r="L229" s="322"/>
      <c r="M229" s="322"/>
      <c r="N229" s="322"/>
      <c r="O229" s="322"/>
      <c r="P229" s="322"/>
      <c r="Q229" s="322"/>
      <c r="R229" s="322"/>
      <c r="S229" s="322"/>
      <c r="T229" s="16"/>
      <c r="U229" s="16"/>
      <c r="V229" s="16"/>
      <c r="W229" s="16"/>
      <c r="X229" s="16"/>
    </row>
    <row r="230" ht="15.75" customHeight="1">
      <c r="A230" s="313" t="s">
        <v>499</v>
      </c>
      <c r="B230" s="314"/>
      <c r="C230" s="315"/>
      <c r="D230" s="315"/>
      <c r="E230" s="317"/>
      <c r="F230" s="318" t="str">
        <f t="shared" si="1"/>
        <v>TP229 -  -  - </v>
      </c>
      <c r="G230" s="319">
        <f>SUMIF('ADV - FB'!L:L,$A230,'ADV - FB'!E:E)</f>
        <v>0</v>
      </c>
      <c r="H230" s="320" t="str">
        <f>IFERROR(SUMIF('ADV - FB'!L:L,$A230,'ADV - FB'!H:H)/(SUMIF('ADV - FB'!L:L,$A230,'ADV - FB'!G:G)),"-")</f>
        <v>-</v>
      </c>
      <c r="I230" s="321" t="str">
        <f>IFERROR(SUMIF('ADV - FB'!L:L,$A230,'ADV - FB'!E:E)/(SUMIF('ADV - FB'!L:L,$A230,'ADV - FB'!F:F)),"-")</f>
        <v>-</v>
      </c>
      <c r="J230" s="315">
        <f>SUMIF('ADV - FB'!L:L,$A230,'ADV - FB'!I:I)+SUMIF('ADV - FB'!L:L,$A230,'ADV - FB'!J:J)+SUMIF('ADV - FB'!L:L,$A230,'ADV - FB'!K:K)</f>
        <v>0</v>
      </c>
      <c r="K230" s="321" t="str">
        <f t="shared" si="2"/>
        <v>-</v>
      </c>
      <c r="L230" s="322"/>
      <c r="M230" s="322"/>
      <c r="N230" s="322"/>
      <c r="O230" s="322"/>
      <c r="P230" s="322"/>
      <c r="Q230" s="322"/>
      <c r="R230" s="322"/>
      <c r="S230" s="322"/>
      <c r="T230" s="16"/>
      <c r="U230" s="16"/>
      <c r="V230" s="16"/>
      <c r="W230" s="16"/>
      <c r="X230" s="16"/>
    </row>
    <row r="231" ht="15.75" customHeight="1">
      <c r="A231" s="313" t="s">
        <v>500</v>
      </c>
      <c r="B231" s="314"/>
      <c r="C231" s="315"/>
      <c r="D231" s="315"/>
      <c r="E231" s="317"/>
      <c r="F231" s="318" t="str">
        <f t="shared" si="1"/>
        <v>TP230 -  -  - </v>
      </c>
      <c r="G231" s="319">
        <f>SUMIF('ADV - FB'!L:L,$A231,'ADV - FB'!E:E)</f>
        <v>0</v>
      </c>
      <c r="H231" s="320" t="str">
        <f>IFERROR(SUMIF('ADV - FB'!L:L,$A231,'ADV - FB'!H:H)/(SUMIF('ADV - FB'!L:L,$A231,'ADV - FB'!G:G)),"-")</f>
        <v>-</v>
      </c>
      <c r="I231" s="321" t="str">
        <f>IFERROR(SUMIF('ADV - FB'!L:L,$A231,'ADV - FB'!E:E)/(SUMIF('ADV - FB'!L:L,$A231,'ADV - FB'!F:F)),"-")</f>
        <v>-</v>
      </c>
      <c r="J231" s="315">
        <f>SUMIF('ADV - FB'!L:L,$A231,'ADV - FB'!I:I)+SUMIF('ADV - FB'!L:L,$A231,'ADV - FB'!J:J)+SUMIF('ADV - FB'!L:L,$A231,'ADV - FB'!K:K)</f>
        <v>0</v>
      </c>
      <c r="K231" s="321" t="str">
        <f t="shared" si="2"/>
        <v>-</v>
      </c>
      <c r="L231" s="322"/>
      <c r="M231" s="322"/>
      <c r="N231" s="322"/>
      <c r="O231" s="322"/>
      <c r="P231" s="322"/>
      <c r="Q231" s="322"/>
      <c r="R231" s="322"/>
      <c r="S231" s="322"/>
      <c r="T231" s="16"/>
      <c r="U231" s="16"/>
      <c r="V231" s="16"/>
      <c r="W231" s="16"/>
      <c r="X231" s="16"/>
    </row>
    <row r="232" ht="15.75" customHeight="1">
      <c r="A232" s="313" t="s">
        <v>501</v>
      </c>
      <c r="B232" s="314"/>
      <c r="C232" s="315"/>
      <c r="D232" s="315"/>
      <c r="E232" s="317"/>
      <c r="F232" s="318" t="str">
        <f t="shared" si="1"/>
        <v>TP231 -  -  - </v>
      </c>
      <c r="G232" s="319">
        <f>SUMIF('ADV - FB'!L:L,$A232,'ADV - FB'!E:E)</f>
        <v>0</v>
      </c>
      <c r="H232" s="320" t="str">
        <f>IFERROR(SUMIF('ADV - FB'!L:L,$A232,'ADV - FB'!H:H)/(SUMIF('ADV - FB'!L:L,$A232,'ADV - FB'!G:G)),"-")</f>
        <v>-</v>
      </c>
      <c r="I232" s="321" t="str">
        <f>IFERROR(SUMIF('ADV - FB'!L:L,$A232,'ADV - FB'!E:E)/(SUMIF('ADV - FB'!L:L,$A232,'ADV - FB'!F:F)),"-")</f>
        <v>-</v>
      </c>
      <c r="J232" s="315">
        <f>SUMIF('ADV - FB'!L:L,$A232,'ADV - FB'!I:I)+SUMIF('ADV - FB'!L:L,$A232,'ADV - FB'!J:J)+SUMIF('ADV - FB'!L:L,$A232,'ADV - FB'!K:K)</f>
        <v>0</v>
      </c>
      <c r="K232" s="321" t="str">
        <f t="shared" si="2"/>
        <v>-</v>
      </c>
      <c r="L232" s="322"/>
      <c r="M232" s="322"/>
      <c r="N232" s="322"/>
      <c r="O232" s="322"/>
      <c r="P232" s="322"/>
      <c r="Q232" s="322"/>
      <c r="R232" s="322"/>
      <c r="S232" s="322"/>
      <c r="T232" s="16"/>
      <c r="U232" s="16"/>
      <c r="V232" s="16"/>
      <c r="W232" s="16"/>
      <c r="X232" s="16"/>
    </row>
    <row r="233" ht="15.75" customHeight="1">
      <c r="A233" s="313" t="s">
        <v>502</v>
      </c>
      <c r="B233" s="314"/>
      <c r="C233" s="315"/>
      <c r="D233" s="315"/>
      <c r="E233" s="317"/>
      <c r="F233" s="318" t="str">
        <f t="shared" si="1"/>
        <v>TP232 -  -  - </v>
      </c>
      <c r="G233" s="319">
        <f>SUMIF('ADV - FB'!L:L,$A233,'ADV - FB'!E:E)</f>
        <v>0</v>
      </c>
      <c r="H233" s="320" t="str">
        <f>IFERROR(SUMIF('ADV - FB'!L:L,$A233,'ADV - FB'!H:H)/(SUMIF('ADV - FB'!L:L,$A233,'ADV - FB'!G:G)),"-")</f>
        <v>-</v>
      </c>
      <c r="I233" s="321" t="str">
        <f>IFERROR(SUMIF('ADV - FB'!L:L,$A233,'ADV - FB'!E:E)/(SUMIF('ADV - FB'!L:L,$A233,'ADV - FB'!F:F)),"-")</f>
        <v>-</v>
      </c>
      <c r="J233" s="315">
        <f>SUMIF('ADV - FB'!L:L,$A233,'ADV - FB'!I:I)+SUMIF('ADV - FB'!L:L,$A233,'ADV - FB'!J:J)+SUMIF('ADV - FB'!L:L,$A233,'ADV - FB'!K:K)</f>
        <v>0</v>
      </c>
      <c r="K233" s="321" t="str">
        <f t="shared" si="2"/>
        <v>-</v>
      </c>
      <c r="L233" s="322"/>
      <c r="M233" s="322"/>
      <c r="N233" s="322"/>
      <c r="O233" s="322"/>
      <c r="P233" s="322"/>
      <c r="Q233" s="322"/>
      <c r="R233" s="322"/>
      <c r="S233" s="322"/>
      <c r="T233" s="16"/>
      <c r="U233" s="16"/>
      <c r="V233" s="16"/>
      <c r="W233" s="16"/>
      <c r="X233" s="16"/>
    </row>
    <row r="234" ht="15.75" customHeight="1">
      <c r="A234" s="313" t="s">
        <v>503</v>
      </c>
      <c r="B234" s="314"/>
      <c r="C234" s="315"/>
      <c r="D234" s="315"/>
      <c r="E234" s="317"/>
      <c r="F234" s="318" t="str">
        <f t="shared" si="1"/>
        <v>TP233 -  -  - </v>
      </c>
      <c r="G234" s="319">
        <f>SUMIF('ADV - FB'!L:L,$A234,'ADV - FB'!E:E)</f>
        <v>0</v>
      </c>
      <c r="H234" s="320" t="str">
        <f>IFERROR(SUMIF('ADV - FB'!L:L,$A234,'ADV - FB'!H:H)/(SUMIF('ADV - FB'!L:L,$A234,'ADV - FB'!G:G)),"-")</f>
        <v>-</v>
      </c>
      <c r="I234" s="321" t="str">
        <f>IFERROR(SUMIF('ADV - FB'!L:L,$A234,'ADV - FB'!E:E)/(SUMIF('ADV - FB'!L:L,$A234,'ADV - FB'!F:F)),"-")</f>
        <v>-</v>
      </c>
      <c r="J234" s="315">
        <f>SUMIF('ADV - FB'!L:L,$A234,'ADV - FB'!I:I)+SUMIF('ADV - FB'!L:L,$A234,'ADV - FB'!J:J)+SUMIF('ADV - FB'!L:L,$A234,'ADV - FB'!K:K)</f>
        <v>0</v>
      </c>
      <c r="K234" s="321" t="str">
        <f t="shared" si="2"/>
        <v>-</v>
      </c>
      <c r="L234" s="322"/>
      <c r="M234" s="322"/>
      <c r="N234" s="322"/>
      <c r="O234" s="322"/>
      <c r="P234" s="322"/>
      <c r="Q234" s="322"/>
      <c r="R234" s="322"/>
      <c r="S234" s="322"/>
      <c r="T234" s="16"/>
      <c r="U234" s="16"/>
      <c r="V234" s="16"/>
      <c r="W234" s="16"/>
      <c r="X234" s="16"/>
    </row>
    <row r="235" ht="15.75" customHeight="1">
      <c r="A235" s="313" t="s">
        <v>504</v>
      </c>
      <c r="B235" s="314"/>
      <c r="C235" s="315"/>
      <c r="D235" s="315"/>
      <c r="E235" s="317"/>
      <c r="F235" s="318" t="str">
        <f t="shared" si="1"/>
        <v>TP234 -  -  - </v>
      </c>
      <c r="G235" s="319">
        <f>SUMIF('ADV - FB'!L:L,$A235,'ADV - FB'!E:E)</f>
        <v>0</v>
      </c>
      <c r="H235" s="320" t="str">
        <f>IFERROR(SUMIF('ADV - FB'!L:L,$A235,'ADV - FB'!H:H)/(SUMIF('ADV - FB'!L:L,$A235,'ADV - FB'!G:G)),"-")</f>
        <v>-</v>
      </c>
      <c r="I235" s="321" t="str">
        <f>IFERROR(SUMIF('ADV - FB'!L:L,$A235,'ADV - FB'!E:E)/(SUMIF('ADV - FB'!L:L,$A235,'ADV - FB'!F:F)),"-")</f>
        <v>-</v>
      </c>
      <c r="J235" s="315">
        <f>SUMIF('ADV - FB'!L:L,$A235,'ADV - FB'!I:I)+SUMIF('ADV - FB'!L:L,$A235,'ADV - FB'!J:J)+SUMIF('ADV - FB'!L:L,$A235,'ADV - FB'!K:K)</f>
        <v>0</v>
      </c>
      <c r="K235" s="321" t="str">
        <f t="shared" si="2"/>
        <v>-</v>
      </c>
      <c r="L235" s="322"/>
      <c r="M235" s="322"/>
      <c r="N235" s="322"/>
      <c r="O235" s="322"/>
      <c r="P235" s="322"/>
      <c r="Q235" s="322"/>
      <c r="R235" s="322"/>
      <c r="S235" s="322"/>
      <c r="T235" s="16"/>
      <c r="U235" s="16"/>
      <c r="V235" s="16"/>
      <c r="W235" s="16"/>
      <c r="X235" s="16"/>
    </row>
    <row r="236" ht="15.75" customHeight="1">
      <c r="A236" s="313" t="s">
        <v>505</v>
      </c>
      <c r="B236" s="314"/>
      <c r="C236" s="315"/>
      <c r="D236" s="315"/>
      <c r="E236" s="317"/>
      <c r="F236" s="318" t="str">
        <f t="shared" si="1"/>
        <v>TP235 -  -  - </v>
      </c>
      <c r="G236" s="319">
        <f>SUMIF('ADV - FB'!L:L,$A236,'ADV - FB'!E:E)</f>
        <v>0</v>
      </c>
      <c r="H236" s="320" t="str">
        <f>IFERROR(SUMIF('ADV - FB'!L:L,$A236,'ADV - FB'!H:H)/(SUMIF('ADV - FB'!L:L,$A236,'ADV - FB'!G:G)),"-")</f>
        <v>-</v>
      </c>
      <c r="I236" s="321" t="str">
        <f>IFERROR(SUMIF('ADV - FB'!L:L,$A236,'ADV - FB'!E:E)/(SUMIF('ADV - FB'!L:L,$A236,'ADV - FB'!F:F)),"-")</f>
        <v>-</v>
      </c>
      <c r="J236" s="315">
        <f>SUMIF('ADV - FB'!L:L,$A236,'ADV - FB'!I:I)+SUMIF('ADV - FB'!L:L,$A236,'ADV - FB'!J:J)+SUMIF('ADV - FB'!L:L,$A236,'ADV - FB'!K:K)</f>
        <v>0</v>
      </c>
      <c r="K236" s="321" t="str">
        <f t="shared" si="2"/>
        <v>-</v>
      </c>
      <c r="L236" s="322"/>
      <c r="M236" s="322"/>
      <c r="N236" s="322"/>
      <c r="O236" s="322"/>
      <c r="P236" s="322"/>
      <c r="Q236" s="322"/>
      <c r="R236" s="322"/>
      <c r="S236" s="322"/>
      <c r="T236" s="16"/>
      <c r="U236" s="16"/>
      <c r="V236" s="16"/>
      <c r="W236" s="16"/>
      <c r="X236" s="16"/>
    </row>
    <row r="237" ht="15.75" customHeight="1">
      <c r="A237" s="313" t="s">
        <v>506</v>
      </c>
      <c r="B237" s="314"/>
      <c r="C237" s="315"/>
      <c r="D237" s="315"/>
      <c r="E237" s="317"/>
      <c r="F237" s="318" t="str">
        <f t="shared" si="1"/>
        <v>TP236 -  -  - </v>
      </c>
      <c r="G237" s="319">
        <f>SUMIF('ADV - FB'!L:L,$A237,'ADV - FB'!E:E)</f>
        <v>0</v>
      </c>
      <c r="H237" s="320" t="str">
        <f>IFERROR(SUMIF('ADV - FB'!L:L,$A237,'ADV - FB'!H:H)/(SUMIF('ADV - FB'!L:L,$A237,'ADV - FB'!G:G)),"-")</f>
        <v>-</v>
      </c>
      <c r="I237" s="321" t="str">
        <f>IFERROR(SUMIF('ADV - FB'!L:L,$A237,'ADV - FB'!E:E)/(SUMIF('ADV - FB'!L:L,$A237,'ADV - FB'!F:F)),"-")</f>
        <v>-</v>
      </c>
      <c r="J237" s="315">
        <f>SUMIF('ADV - FB'!L:L,$A237,'ADV - FB'!I:I)+SUMIF('ADV - FB'!L:L,$A237,'ADV - FB'!J:J)+SUMIF('ADV - FB'!L:L,$A237,'ADV - FB'!K:K)</f>
        <v>0</v>
      </c>
      <c r="K237" s="321" t="str">
        <f t="shared" si="2"/>
        <v>-</v>
      </c>
      <c r="L237" s="322"/>
      <c r="M237" s="322"/>
      <c r="N237" s="322"/>
      <c r="O237" s="322"/>
      <c r="P237" s="322"/>
      <c r="Q237" s="322"/>
      <c r="R237" s="322"/>
      <c r="S237" s="322"/>
      <c r="T237" s="16"/>
      <c r="U237" s="16"/>
      <c r="V237" s="16"/>
      <c r="W237" s="16"/>
      <c r="X237" s="16"/>
    </row>
    <row r="238" ht="15.75" customHeight="1">
      <c r="A238" s="313" t="s">
        <v>507</v>
      </c>
      <c r="B238" s="314"/>
      <c r="C238" s="315"/>
      <c r="D238" s="315"/>
      <c r="E238" s="317"/>
      <c r="F238" s="318" t="str">
        <f t="shared" si="1"/>
        <v>TP237 -  -  - </v>
      </c>
      <c r="G238" s="319">
        <f>SUMIF('ADV - FB'!L:L,$A238,'ADV - FB'!E:E)</f>
        <v>0</v>
      </c>
      <c r="H238" s="320" t="str">
        <f>IFERROR(SUMIF('ADV - FB'!L:L,$A238,'ADV - FB'!H:H)/(SUMIF('ADV - FB'!L:L,$A238,'ADV - FB'!G:G)),"-")</f>
        <v>-</v>
      </c>
      <c r="I238" s="321" t="str">
        <f>IFERROR(SUMIF('ADV - FB'!L:L,$A238,'ADV - FB'!E:E)/(SUMIF('ADV - FB'!L:L,$A238,'ADV - FB'!F:F)),"-")</f>
        <v>-</v>
      </c>
      <c r="J238" s="315">
        <f>SUMIF('ADV - FB'!L:L,$A238,'ADV - FB'!I:I)+SUMIF('ADV - FB'!L:L,$A238,'ADV - FB'!J:J)+SUMIF('ADV - FB'!L:L,$A238,'ADV - FB'!K:K)</f>
        <v>0</v>
      </c>
      <c r="K238" s="321" t="str">
        <f t="shared" si="2"/>
        <v>-</v>
      </c>
      <c r="L238" s="322"/>
      <c r="M238" s="322"/>
      <c r="N238" s="322"/>
      <c r="O238" s="322"/>
      <c r="P238" s="322"/>
      <c r="Q238" s="322"/>
      <c r="R238" s="322"/>
      <c r="S238" s="322"/>
      <c r="T238" s="16"/>
      <c r="U238" s="16"/>
      <c r="V238" s="16"/>
      <c r="W238" s="16"/>
      <c r="X238" s="16"/>
    </row>
    <row r="239" ht="15.75" customHeight="1">
      <c r="A239" s="313" t="s">
        <v>508</v>
      </c>
      <c r="B239" s="314"/>
      <c r="C239" s="315"/>
      <c r="D239" s="315"/>
      <c r="E239" s="317"/>
      <c r="F239" s="318" t="str">
        <f t="shared" si="1"/>
        <v>TP238 -  -  - </v>
      </c>
      <c r="G239" s="319">
        <f>SUMIF('ADV - FB'!L:L,$A239,'ADV - FB'!E:E)</f>
        <v>0</v>
      </c>
      <c r="H239" s="320" t="str">
        <f>IFERROR(SUMIF('ADV - FB'!L:L,$A239,'ADV - FB'!H:H)/(SUMIF('ADV - FB'!L:L,$A239,'ADV - FB'!G:G)),"-")</f>
        <v>-</v>
      </c>
      <c r="I239" s="321" t="str">
        <f>IFERROR(SUMIF('ADV - FB'!L:L,$A239,'ADV - FB'!E:E)/(SUMIF('ADV - FB'!L:L,$A239,'ADV - FB'!F:F)),"-")</f>
        <v>-</v>
      </c>
      <c r="J239" s="315">
        <f>SUMIF('ADV - FB'!L:L,$A239,'ADV - FB'!I:I)+SUMIF('ADV - FB'!L:L,$A239,'ADV - FB'!J:J)+SUMIF('ADV - FB'!L:L,$A239,'ADV - FB'!K:K)</f>
        <v>0</v>
      </c>
      <c r="K239" s="321" t="str">
        <f t="shared" si="2"/>
        <v>-</v>
      </c>
      <c r="L239" s="322"/>
      <c r="M239" s="322"/>
      <c r="N239" s="322"/>
      <c r="O239" s="322"/>
      <c r="P239" s="322"/>
      <c r="Q239" s="322"/>
      <c r="R239" s="322"/>
      <c r="S239" s="322"/>
      <c r="T239" s="16"/>
      <c r="U239" s="16"/>
      <c r="V239" s="16"/>
      <c r="W239" s="16"/>
      <c r="X239" s="16"/>
    </row>
    <row r="240" ht="15.75" customHeight="1">
      <c r="A240" s="313" t="s">
        <v>509</v>
      </c>
      <c r="B240" s="314"/>
      <c r="C240" s="315"/>
      <c r="D240" s="315"/>
      <c r="E240" s="317"/>
      <c r="F240" s="318" t="str">
        <f t="shared" si="1"/>
        <v>TP239 -  -  - </v>
      </c>
      <c r="G240" s="319">
        <f>SUMIF('ADV - FB'!L:L,$A240,'ADV - FB'!E:E)</f>
        <v>0</v>
      </c>
      <c r="H240" s="320" t="str">
        <f>IFERROR(SUMIF('ADV - FB'!L:L,$A240,'ADV - FB'!H:H)/(SUMIF('ADV - FB'!L:L,$A240,'ADV - FB'!G:G)),"-")</f>
        <v>-</v>
      </c>
      <c r="I240" s="321" t="str">
        <f>IFERROR(SUMIF('ADV - FB'!L:L,$A240,'ADV - FB'!E:E)/(SUMIF('ADV - FB'!L:L,$A240,'ADV - FB'!F:F)),"-")</f>
        <v>-</v>
      </c>
      <c r="J240" s="315">
        <f>SUMIF('ADV - FB'!L:L,$A240,'ADV - FB'!I:I)+SUMIF('ADV - FB'!L:L,$A240,'ADV - FB'!J:J)+SUMIF('ADV - FB'!L:L,$A240,'ADV - FB'!K:K)</f>
        <v>0</v>
      </c>
      <c r="K240" s="321" t="str">
        <f t="shared" si="2"/>
        <v>-</v>
      </c>
      <c r="L240" s="322"/>
      <c r="M240" s="322"/>
      <c r="N240" s="322"/>
      <c r="O240" s="322"/>
      <c r="P240" s="322"/>
      <c r="Q240" s="322"/>
      <c r="R240" s="322"/>
      <c r="S240" s="322"/>
      <c r="T240" s="16"/>
      <c r="U240" s="16"/>
      <c r="V240" s="16"/>
      <c r="W240" s="16"/>
      <c r="X240" s="16"/>
    </row>
    <row r="241" ht="15.75" customHeight="1">
      <c r="A241" s="313" t="s">
        <v>510</v>
      </c>
      <c r="B241" s="314"/>
      <c r="C241" s="315"/>
      <c r="D241" s="315"/>
      <c r="E241" s="317"/>
      <c r="F241" s="318" t="str">
        <f t="shared" si="1"/>
        <v>TP240 -  -  - </v>
      </c>
      <c r="G241" s="319">
        <f>SUMIF('ADV - FB'!L:L,$A241,'ADV - FB'!E:E)</f>
        <v>0</v>
      </c>
      <c r="H241" s="320" t="str">
        <f>IFERROR(SUMIF('ADV - FB'!L:L,$A241,'ADV - FB'!H:H)/(SUMIF('ADV - FB'!L:L,$A241,'ADV - FB'!G:G)),"-")</f>
        <v>-</v>
      </c>
      <c r="I241" s="321" t="str">
        <f>IFERROR(SUMIF('ADV - FB'!L:L,$A241,'ADV - FB'!E:E)/(SUMIF('ADV - FB'!L:L,$A241,'ADV - FB'!F:F)),"-")</f>
        <v>-</v>
      </c>
      <c r="J241" s="315">
        <f>SUMIF('ADV - FB'!L:L,$A241,'ADV - FB'!I:I)+SUMIF('ADV - FB'!L:L,$A241,'ADV - FB'!J:J)+SUMIF('ADV - FB'!L:L,$A241,'ADV - FB'!K:K)</f>
        <v>0</v>
      </c>
      <c r="K241" s="321" t="str">
        <f t="shared" si="2"/>
        <v>-</v>
      </c>
      <c r="L241" s="322"/>
      <c r="M241" s="322"/>
      <c r="N241" s="322"/>
      <c r="O241" s="322"/>
      <c r="P241" s="322"/>
      <c r="Q241" s="322"/>
      <c r="R241" s="322"/>
      <c r="S241" s="322"/>
      <c r="T241" s="16"/>
      <c r="U241" s="16"/>
      <c r="V241" s="16"/>
      <c r="W241" s="16"/>
      <c r="X241" s="16"/>
    </row>
    <row r="242" ht="15.75" customHeight="1">
      <c r="A242" s="313" t="s">
        <v>511</v>
      </c>
      <c r="B242" s="314"/>
      <c r="C242" s="315"/>
      <c r="D242" s="315"/>
      <c r="E242" s="317"/>
      <c r="F242" s="318" t="str">
        <f t="shared" si="1"/>
        <v>TP241 -  -  - </v>
      </c>
      <c r="G242" s="319">
        <f>SUMIF('ADV - FB'!L:L,$A242,'ADV - FB'!E:E)</f>
        <v>0</v>
      </c>
      <c r="H242" s="320" t="str">
        <f>IFERROR(SUMIF('ADV - FB'!L:L,$A242,'ADV - FB'!H:H)/(SUMIF('ADV - FB'!L:L,$A242,'ADV - FB'!G:G)),"-")</f>
        <v>-</v>
      </c>
      <c r="I242" s="321" t="str">
        <f>IFERROR(SUMIF('ADV - FB'!L:L,$A242,'ADV - FB'!E:E)/(SUMIF('ADV - FB'!L:L,$A242,'ADV - FB'!F:F)),"-")</f>
        <v>-</v>
      </c>
      <c r="J242" s="315">
        <f>SUMIF('ADV - FB'!L:L,$A242,'ADV - FB'!I:I)+SUMIF('ADV - FB'!L:L,$A242,'ADV - FB'!J:J)+SUMIF('ADV - FB'!L:L,$A242,'ADV - FB'!K:K)</f>
        <v>0</v>
      </c>
      <c r="K242" s="321" t="str">
        <f t="shared" si="2"/>
        <v>-</v>
      </c>
      <c r="L242" s="322"/>
      <c r="M242" s="322"/>
      <c r="N242" s="322"/>
      <c r="O242" s="322"/>
      <c r="P242" s="322"/>
      <c r="Q242" s="322"/>
      <c r="R242" s="322"/>
      <c r="S242" s="322"/>
      <c r="T242" s="16"/>
      <c r="U242" s="16"/>
      <c r="V242" s="16"/>
      <c r="W242" s="16"/>
      <c r="X242" s="16"/>
    </row>
    <row r="243" ht="15.75" customHeight="1">
      <c r="A243" s="313" t="s">
        <v>512</v>
      </c>
      <c r="B243" s="314"/>
      <c r="C243" s="315"/>
      <c r="D243" s="315"/>
      <c r="E243" s="317"/>
      <c r="F243" s="318" t="str">
        <f t="shared" si="1"/>
        <v>TP242 -  -  - </v>
      </c>
      <c r="G243" s="319">
        <f>SUMIF('ADV - FB'!L:L,$A243,'ADV - FB'!E:E)</f>
        <v>0</v>
      </c>
      <c r="H243" s="320" t="str">
        <f>IFERROR(SUMIF('ADV - FB'!L:L,$A243,'ADV - FB'!H:H)/(SUMIF('ADV - FB'!L:L,$A243,'ADV - FB'!G:G)),"-")</f>
        <v>-</v>
      </c>
      <c r="I243" s="321" t="str">
        <f>IFERROR(SUMIF('ADV - FB'!L:L,$A243,'ADV - FB'!E:E)/(SUMIF('ADV - FB'!L:L,$A243,'ADV - FB'!F:F)),"-")</f>
        <v>-</v>
      </c>
      <c r="J243" s="315">
        <f>SUMIF('ADV - FB'!L:L,$A243,'ADV - FB'!I:I)+SUMIF('ADV - FB'!L:L,$A243,'ADV - FB'!J:J)+SUMIF('ADV - FB'!L:L,$A243,'ADV - FB'!K:K)</f>
        <v>0</v>
      </c>
      <c r="K243" s="321" t="str">
        <f t="shared" si="2"/>
        <v>-</v>
      </c>
      <c r="L243" s="322"/>
      <c r="M243" s="322"/>
      <c r="N243" s="322"/>
      <c r="O243" s="322"/>
      <c r="P243" s="322"/>
      <c r="Q243" s="322"/>
      <c r="R243" s="322"/>
      <c r="S243" s="322"/>
      <c r="T243" s="16"/>
      <c r="U243" s="16"/>
      <c r="V243" s="16"/>
      <c r="W243" s="16"/>
      <c r="X243" s="16"/>
    </row>
    <row r="244" ht="15.75" customHeight="1">
      <c r="A244" s="313" t="s">
        <v>513</v>
      </c>
      <c r="B244" s="314"/>
      <c r="C244" s="315"/>
      <c r="D244" s="315"/>
      <c r="E244" s="317"/>
      <c r="F244" s="318" t="str">
        <f t="shared" si="1"/>
        <v>TP243 -  -  - </v>
      </c>
      <c r="G244" s="319">
        <f>SUMIF('ADV - FB'!L:L,$A244,'ADV - FB'!E:E)</f>
        <v>0</v>
      </c>
      <c r="H244" s="320" t="str">
        <f>IFERROR(SUMIF('ADV - FB'!L:L,$A244,'ADV - FB'!H:H)/(SUMIF('ADV - FB'!L:L,$A244,'ADV - FB'!G:G)),"-")</f>
        <v>-</v>
      </c>
      <c r="I244" s="321" t="str">
        <f>IFERROR(SUMIF('ADV - FB'!L:L,$A244,'ADV - FB'!E:E)/(SUMIF('ADV - FB'!L:L,$A244,'ADV - FB'!F:F)),"-")</f>
        <v>-</v>
      </c>
      <c r="J244" s="315">
        <f>SUMIF('ADV - FB'!L:L,$A244,'ADV - FB'!I:I)+SUMIF('ADV - FB'!L:L,$A244,'ADV - FB'!J:J)+SUMIF('ADV - FB'!L:L,$A244,'ADV - FB'!K:K)</f>
        <v>0</v>
      </c>
      <c r="K244" s="321" t="str">
        <f t="shared" si="2"/>
        <v>-</v>
      </c>
      <c r="L244" s="322"/>
      <c r="M244" s="322"/>
      <c r="N244" s="322"/>
      <c r="O244" s="322"/>
      <c r="P244" s="322"/>
      <c r="Q244" s="322"/>
      <c r="R244" s="322"/>
      <c r="S244" s="322"/>
      <c r="T244" s="16"/>
      <c r="U244" s="16"/>
      <c r="V244" s="16"/>
      <c r="W244" s="16"/>
      <c r="X244" s="16"/>
    </row>
    <row r="245" ht="15.75" customHeight="1">
      <c r="A245" s="313" t="s">
        <v>514</v>
      </c>
      <c r="B245" s="314"/>
      <c r="C245" s="315"/>
      <c r="D245" s="315"/>
      <c r="E245" s="317"/>
      <c r="F245" s="318" t="str">
        <f t="shared" si="1"/>
        <v>TP244 -  -  - </v>
      </c>
      <c r="G245" s="319">
        <f>SUMIF('ADV - FB'!L:L,$A245,'ADV - FB'!E:E)</f>
        <v>0</v>
      </c>
      <c r="H245" s="320" t="str">
        <f>IFERROR(SUMIF('ADV - FB'!L:L,$A245,'ADV - FB'!H:H)/(SUMIF('ADV - FB'!L:L,$A245,'ADV - FB'!G:G)),"-")</f>
        <v>-</v>
      </c>
      <c r="I245" s="321" t="str">
        <f>IFERROR(SUMIF('ADV - FB'!L:L,$A245,'ADV - FB'!E:E)/(SUMIF('ADV - FB'!L:L,$A245,'ADV - FB'!F:F)),"-")</f>
        <v>-</v>
      </c>
      <c r="J245" s="315">
        <f>SUMIF('ADV - FB'!L:L,$A245,'ADV - FB'!I:I)+SUMIF('ADV - FB'!L:L,$A245,'ADV - FB'!J:J)+SUMIF('ADV - FB'!L:L,$A245,'ADV - FB'!K:K)</f>
        <v>0</v>
      </c>
      <c r="K245" s="321" t="str">
        <f t="shared" si="2"/>
        <v>-</v>
      </c>
      <c r="L245" s="322"/>
      <c r="M245" s="322"/>
      <c r="N245" s="322"/>
      <c r="O245" s="322"/>
      <c r="P245" s="322"/>
      <c r="Q245" s="322"/>
      <c r="R245" s="322"/>
      <c r="S245" s="322"/>
      <c r="T245" s="16"/>
      <c r="U245" s="16"/>
      <c r="V245" s="16"/>
      <c r="W245" s="16"/>
      <c r="X245" s="16"/>
    </row>
    <row r="246" ht="15.75" customHeight="1">
      <c r="A246" s="313" t="s">
        <v>515</v>
      </c>
      <c r="B246" s="314"/>
      <c r="C246" s="315"/>
      <c r="D246" s="315"/>
      <c r="E246" s="317"/>
      <c r="F246" s="318" t="str">
        <f t="shared" si="1"/>
        <v>TP245 -  -  - </v>
      </c>
      <c r="G246" s="319">
        <f>SUMIF('ADV - FB'!L:L,$A246,'ADV - FB'!E:E)</f>
        <v>0</v>
      </c>
      <c r="H246" s="320" t="str">
        <f>IFERROR(SUMIF('ADV - FB'!L:L,$A246,'ADV - FB'!H:H)/(SUMIF('ADV - FB'!L:L,$A246,'ADV - FB'!G:G)),"-")</f>
        <v>-</v>
      </c>
      <c r="I246" s="321" t="str">
        <f>IFERROR(SUMIF('ADV - FB'!L:L,$A246,'ADV - FB'!E:E)/(SUMIF('ADV - FB'!L:L,$A246,'ADV - FB'!F:F)),"-")</f>
        <v>-</v>
      </c>
      <c r="J246" s="315">
        <f>SUMIF('ADV - FB'!L:L,$A246,'ADV - FB'!I:I)+SUMIF('ADV - FB'!L:L,$A246,'ADV - FB'!J:J)+SUMIF('ADV - FB'!L:L,$A246,'ADV - FB'!K:K)</f>
        <v>0</v>
      </c>
      <c r="K246" s="321" t="str">
        <f t="shared" si="2"/>
        <v>-</v>
      </c>
      <c r="L246" s="322"/>
      <c r="M246" s="322"/>
      <c r="N246" s="322"/>
      <c r="O246" s="322"/>
      <c r="P246" s="322"/>
      <c r="Q246" s="322"/>
      <c r="R246" s="322"/>
      <c r="S246" s="322"/>
      <c r="T246" s="16"/>
      <c r="U246" s="16"/>
      <c r="V246" s="16"/>
      <c r="W246" s="16"/>
      <c r="X246" s="16"/>
    </row>
    <row r="247" ht="15.75" customHeight="1">
      <c r="A247" s="313" t="s">
        <v>516</v>
      </c>
      <c r="B247" s="314"/>
      <c r="C247" s="315"/>
      <c r="D247" s="315"/>
      <c r="E247" s="317"/>
      <c r="F247" s="318" t="str">
        <f t="shared" si="1"/>
        <v>TP246 -  -  - </v>
      </c>
      <c r="G247" s="319">
        <f>SUMIF('ADV - FB'!L:L,$A247,'ADV - FB'!E:E)</f>
        <v>0</v>
      </c>
      <c r="H247" s="320" t="str">
        <f>IFERROR(SUMIF('ADV - FB'!L:L,$A247,'ADV - FB'!H:H)/(SUMIF('ADV - FB'!L:L,$A247,'ADV - FB'!G:G)),"-")</f>
        <v>-</v>
      </c>
      <c r="I247" s="321" t="str">
        <f>IFERROR(SUMIF('ADV - FB'!L:L,$A247,'ADV - FB'!E:E)/(SUMIF('ADV - FB'!L:L,$A247,'ADV - FB'!F:F)),"-")</f>
        <v>-</v>
      </c>
      <c r="J247" s="315">
        <f>SUMIF('ADV - FB'!L:L,$A247,'ADV - FB'!I:I)+SUMIF('ADV - FB'!L:L,$A247,'ADV - FB'!J:J)+SUMIF('ADV - FB'!L:L,$A247,'ADV - FB'!K:K)</f>
        <v>0</v>
      </c>
      <c r="K247" s="321" t="str">
        <f t="shared" si="2"/>
        <v>-</v>
      </c>
      <c r="L247" s="322"/>
      <c r="M247" s="322"/>
      <c r="N247" s="322"/>
      <c r="O247" s="322"/>
      <c r="P247" s="322"/>
      <c r="Q247" s="322"/>
      <c r="R247" s="322"/>
      <c r="S247" s="322"/>
      <c r="T247" s="16"/>
      <c r="U247" s="16"/>
      <c r="V247" s="16"/>
      <c r="W247" s="16"/>
      <c r="X247" s="16"/>
    </row>
    <row r="248" ht="15.75" customHeight="1">
      <c r="A248" s="313" t="s">
        <v>517</v>
      </c>
      <c r="B248" s="314"/>
      <c r="C248" s="315"/>
      <c r="D248" s="315"/>
      <c r="E248" s="317"/>
      <c r="F248" s="318" t="str">
        <f t="shared" si="1"/>
        <v>TP247 -  -  - </v>
      </c>
      <c r="G248" s="319">
        <f>SUMIF('ADV - FB'!L:L,$A248,'ADV - FB'!E:E)</f>
        <v>0</v>
      </c>
      <c r="H248" s="320" t="str">
        <f>IFERROR(SUMIF('ADV - FB'!L:L,$A248,'ADV - FB'!H:H)/(SUMIF('ADV - FB'!L:L,$A248,'ADV - FB'!G:G)),"-")</f>
        <v>-</v>
      </c>
      <c r="I248" s="321" t="str">
        <f>IFERROR(SUMIF('ADV - FB'!L:L,$A248,'ADV - FB'!E:E)/(SUMIF('ADV - FB'!L:L,$A248,'ADV - FB'!F:F)),"-")</f>
        <v>-</v>
      </c>
      <c r="J248" s="315">
        <f>SUMIF('ADV - FB'!L:L,$A248,'ADV - FB'!I:I)+SUMIF('ADV - FB'!L:L,$A248,'ADV - FB'!J:J)+SUMIF('ADV - FB'!L:L,$A248,'ADV - FB'!K:K)</f>
        <v>0</v>
      </c>
      <c r="K248" s="321" t="str">
        <f t="shared" si="2"/>
        <v>-</v>
      </c>
      <c r="L248" s="322"/>
      <c r="M248" s="322"/>
      <c r="N248" s="322"/>
      <c r="O248" s="322"/>
      <c r="P248" s="322"/>
      <c r="Q248" s="322"/>
      <c r="R248" s="322"/>
      <c r="S248" s="322"/>
      <c r="T248" s="16"/>
      <c r="U248" s="16"/>
      <c r="V248" s="16"/>
      <c r="W248" s="16"/>
      <c r="X248" s="16"/>
    </row>
    <row r="249" ht="15.75" customHeight="1">
      <c r="A249" s="313" t="s">
        <v>518</v>
      </c>
      <c r="B249" s="314"/>
      <c r="C249" s="315"/>
      <c r="D249" s="315"/>
      <c r="E249" s="317"/>
      <c r="F249" s="318" t="str">
        <f t="shared" si="1"/>
        <v>TP248 -  -  - </v>
      </c>
      <c r="G249" s="319">
        <f>SUMIF('ADV - FB'!L:L,$A249,'ADV - FB'!E:E)</f>
        <v>0</v>
      </c>
      <c r="H249" s="320" t="str">
        <f>IFERROR(SUMIF('ADV - FB'!L:L,$A249,'ADV - FB'!H:H)/(SUMIF('ADV - FB'!L:L,$A249,'ADV - FB'!G:G)),"-")</f>
        <v>-</v>
      </c>
      <c r="I249" s="321" t="str">
        <f>IFERROR(SUMIF('ADV - FB'!L:L,$A249,'ADV - FB'!E:E)/(SUMIF('ADV - FB'!L:L,$A249,'ADV - FB'!F:F)),"-")</f>
        <v>-</v>
      </c>
      <c r="J249" s="315">
        <f>SUMIF('ADV - FB'!L:L,$A249,'ADV - FB'!I:I)+SUMIF('ADV - FB'!L:L,$A249,'ADV - FB'!J:J)+SUMIF('ADV - FB'!L:L,$A249,'ADV - FB'!K:K)</f>
        <v>0</v>
      </c>
      <c r="K249" s="321" t="str">
        <f t="shared" si="2"/>
        <v>-</v>
      </c>
      <c r="L249" s="322"/>
      <c r="M249" s="322"/>
      <c r="N249" s="322"/>
      <c r="O249" s="322"/>
      <c r="P249" s="322"/>
      <c r="Q249" s="322"/>
      <c r="R249" s="322"/>
      <c r="S249" s="322"/>
      <c r="T249" s="16"/>
      <c r="U249" s="16"/>
      <c r="V249" s="16"/>
      <c r="W249" s="16"/>
      <c r="X249" s="16"/>
    </row>
    <row r="250" ht="15.75" customHeight="1">
      <c r="A250" s="313" t="s">
        <v>519</v>
      </c>
      <c r="B250" s="314"/>
      <c r="C250" s="315"/>
      <c r="D250" s="315"/>
      <c r="E250" s="317"/>
      <c r="F250" s="318" t="str">
        <f t="shared" si="1"/>
        <v>TP249 -  -  - </v>
      </c>
      <c r="G250" s="319">
        <f>SUMIF('ADV - FB'!L:L,$A250,'ADV - FB'!E:E)</f>
        <v>0</v>
      </c>
      <c r="H250" s="320" t="str">
        <f>IFERROR(SUMIF('ADV - FB'!L:L,$A250,'ADV - FB'!H:H)/(SUMIF('ADV - FB'!L:L,$A250,'ADV - FB'!G:G)),"-")</f>
        <v>-</v>
      </c>
      <c r="I250" s="321" t="str">
        <f>IFERROR(SUMIF('ADV - FB'!L:L,$A250,'ADV - FB'!E:E)/(SUMIF('ADV - FB'!L:L,$A250,'ADV - FB'!F:F)),"-")</f>
        <v>-</v>
      </c>
      <c r="J250" s="315">
        <f>SUMIF('ADV - FB'!L:L,$A250,'ADV - FB'!I:I)+SUMIF('ADV - FB'!L:L,$A250,'ADV - FB'!J:J)+SUMIF('ADV - FB'!L:L,$A250,'ADV - FB'!K:K)</f>
        <v>0</v>
      </c>
      <c r="K250" s="321" t="str">
        <f t="shared" si="2"/>
        <v>-</v>
      </c>
      <c r="L250" s="322"/>
      <c r="M250" s="322"/>
      <c r="N250" s="322"/>
      <c r="O250" s="322"/>
      <c r="P250" s="322"/>
      <c r="Q250" s="322"/>
      <c r="R250" s="322"/>
      <c r="S250" s="322"/>
      <c r="T250" s="16"/>
      <c r="U250" s="16"/>
      <c r="V250" s="16"/>
      <c r="W250" s="16"/>
      <c r="X250" s="16"/>
    </row>
    <row r="251" ht="15.75" customHeight="1">
      <c r="A251" s="313" t="s">
        <v>520</v>
      </c>
      <c r="B251" s="314"/>
      <c r="C251" s="315"/>
      <c r="D251" s="315"/>
      <c r="E251" s="317"/>
      <c r="F251" s="318" t="str">
        <f t="shared" si="1"/>
        <v>TP250 -  -  - </v>
      </c>
      <c r="G251" s="319">
        <f>SUMIF('ADV - FB'!L:L,$A251,'ADV - FB'!E:E)</f>
        <v>0</v>
      </c>
      <c r="H251" s="320" t="str">
        <f>IFERROR(SUMIF('ADV - FB'!L:L,$A251,'ADV - FB'!H:H)/(SUMIF('ADV - FB'!L:L,$A251,'ADV - FB'!G:G)),"-")</f>
        <v>-</v>
      </c>
      <c r="I251" s="321" t="str">
        <f>IFERROR(SUMIF('ADV - FB'!L:L,$A251,'ADV - FB'!E:E)/(SUMIF('ADV - FB'!L:L,$A251,'ADV - FB'!F:F)),"-")</f>
        <v>-</v>
      </c>
      <c r="J251" s="315">
        <f>SUMIF('ADV - FB'!L:L,$A251,'ADV - FB'!I:I)+SUMIF('ADV - FB'!L:L,$A251,'ADV - FB'!J:J)+SUMIF('ADV - FB'!L:L,$A251,'ADV - FB'!K:K)</f>
        <v>0</v>
      </c>
      <c r="K251" s="321" t="str">
        <f t="shared" si="2"/>
        <v>-</v>
      </c>
      <c r="L251" s="322"/>
      <c r="M251" s="322"/>
      <c r="N251" s="322"/>
      <c r="O251" s="322"/>
      <c r="P251" s="322"/>
      <c r="Q251" s="322"/>
      <c r="R251" s="322"/>
      <c r="S251" s="322"/>
      <c r="T251" s="16"/>
      <c r="U251" s="16"/>
      <c r="V251" s="16"/>
      <c r="W251" s="16"/>
      <c r="X251" s="16"/>
    </row>
    <row r="252" ht="15.75" customHeight="1">
      <c r="A252" s="313" t="s">
        <v>521</v>
      </c>
      <c r="B252" s="314"/>
      <c r="C252" s="315"/>
      <c r="D252" s="315"/>
      <c r="E252" s="317"/>
      <c r="F252" s="318" t="str">
        <f t="shared" si="1"/>
        <v>TP251 -  -  - </v>
      </c>
      <c r="G252" s="319">
        <f>SUMIF('ADV - FB'!L:L,$A252,'ADV - FB'!E:E)</f>
        <v>0</v>
      </c>
      <c r="H252" s="320" t="str">
        <f>IFERROR(SUMIF('ADV - FB'!L:L,$A252,'ADV - FB'!H:H)/(SUMIF('ADV - FB'!L:L,$A252,'ADV - FB'!G:G)),"-")</f>
        <v>-</v>
      </c>
      <c r="I252" s="321" t="str">
        <f>IFERROR(SUMIF('ADV - FB'!L:L,$A252,'ADV - FB'!E:E)/(SUMIF('ADV - FB'!L:L,$A252,'ADV - FB'!F:F)),"-")</f>
        <v>-</v>
      </c>
      <c r="J252" s="315">
        <f>SUMIF('ADV - FB'!L:L,$A252,'ADV - FB'!I:I)+SUMIF('ADV - FB'!L:L,$A252,'ADV - FB'!J:J)+SUMIF('ADV - FB'!L:L,$A252,'ADV - FB'!K:K)</f>
        <v>0</v>
      </c>
      <c r="K252" s="321" t="str">
        <f t="shared" si="2"/>
        <v>-</v>
      </c>
      <c r="L252" s="322"/>
      <c r="M252" s="322"/>
      <c r="N252" s="322"/>
      <c r="O252" s="322"/>
      <c r="P252" s="322"/>
      <c r="Q252" s="322"/>
      <c r="R252" s="322"/>
      <c r="S252" s="322"/>
      <c r="T252" s="16"/>
      <c r="U252" s="16"/>
      <c r="V252" s="16"/>
      <c r="W252" s="16"/>
      <c r="X252" s="16"/>
    </row>
    <row r="253" ht="15.75" customHeight="1">
      <c r="A253" s="313" t="s">
        <v>522</v>
      </c>
      <c r="B253" s="314"/>
      <c r="C253" s="315"/>
      <c r="D253" s="315"/>
      <c r="E253" s="317"/>
      <c r="F253" s="318" t="str">
        <f t="shared" si="1"/>
        <v>TP252 -  -  - </v>
      </c>
      <c r="G253" s="319">
        <f>SUMIF('ADV - FB'!L:L,$A253,'ADV - FB'!E:E)</f>
        <v>0</v>
      </c>
      <c r="H253" s="320" t="str">
        <f>IFERROR(SUMIF('ADV - FB'!L:L,$A253,'ADV - FB'!H:H)/(SUMIF('ADV - FB'!L:L,$A253,'ADV - FB'!G:G)),"-")</f>
        <v>-</v>
      </c>
      <c r="I253" s="321" t="str">
        <f>IFERROR(SUMIF('ADV - FB'!L:L,$A253,'ADV - FB'!E:E)/(SUMIF('ADV - FB'!L:L,$A253,'ADV - FB'!F:F)),"-")</f>
        <v>-</v>
      </c>
      <c r="J253" s="315">
        <f>SUMIF('ADV - FB'!L:L,$A253,'ADV - FB'!I:I)+SUMIF('ADV - FB'!L:L,$A253,'ADV - FB'!J:J)+SUMIF('ADV - FB'!L:L,$A253,'ADV - FB'!K:K)</f>
        <v>0</v>
      </c>
      <c r="K253" s="321" t="str">
        <f t="shared" si="2"/>
        <v>-</v>
      </c>
      <c r="L253" s="322"/>
      <c r="M253" s="322"/>
      <c r="N253" s="322"/>
      <c r="O253" s="322"/>
      <c r="P253" s="322"/>
      <c r="Q253" s="322"/>
      <c r="R253" s="322"/>
      <c r="S253" s="322"/>
      <c r="T253" s="16"/>
      <c r="U253" s="16"/>
      <c r="V253" s="16"/>
      <c r="W253" s="16"/>
      <c r="X253" s="16"/>
    </row>
    <row r="254" ht="15.75" customHeight="1">
      <c r="A254" s="313" t="s">
        <v>523</v>
      </c>
      <c r="B254" s="314"/>
      <c r="C254" s="315"/>
      <c r="D254" s="315"/>
      <c r="E254" s="317"/>
      <c r="F254" s="318" t="str">
        <f t="shared" si="1"/>
        <v>TP253 -  -  - </v>
      </c>
      <c r="G254" s="319">
        <f>SUMIF('ADV - FB'!L:L,$A254,'ADV - FB'!E:E)</f>
        <v>0</v>
      </c>
      <c r="H254" s="320" t="str">
        <f>IFERROR(SUMIF('ADV - FB'!L:L,$A254,'ADV - FB'!H:H)/(SUMIF('ADV - FB'!L:L,$A254,'ADV - FB'!G:G)),"-")</f>
        <v>-</v>
      </c>
      <c r="I254" s="321" t="str">
        <f>IFERROR(SUMIF('ADV - FB'!L:L,$A254,'ADV - FB'!E:E)/(SUMIF('ADV - FB'!L:L,$A254,'ADV - FB'!F:F)),"-")</f>
        <v>-</v>
      </c>
      <c r="J254" s="315">
        <f>SUMIF('ADV - FB'!L:L,$A254,'ADV - FB'!I:I)+SUMIF('ADV - FB'!L:L,$A254,'ADV - FB'!J:J)+SUMIF('ADV - FB'!L:L,$A254,'ADV - FB'!K:K)</f>
        <v>0</v>
      </c>
      <c r="K254" s="321" t="str">
        <f t="shared" si="2"/>
        <v>-</v>
      </c>
      <c r="L254" s="322"/>
      <c r="M254" s="322"/>
      <c r="N254" s="322"/>
      <c r="O254" s="322"/>
      <c r="P254" s="322"/>
      <c r="Q254" s="322"/>
      <c r="R254" s="322"/>
      <c r="S254" s="322"/>
      <c r="T254" s="16"/>
      <c r="U254" s="16"/>
      <c r="V254" s="16"/>
      <c r="W254" s="16"/>
      <c r="X254" s="16"/>
    </row>
    <row r="255" ht="15.75" customHeight="1">
      <c r="A255" s="313" t="s">
        <v>524</v>
      </c>
      <c r="B255" s="314"/>
      <c r="C255" s="315"/>
      <c r="D255" s="315"/>
      <c r="E255" s="317"/>
      <c r="F255" s="318" t="str">
        <f t="shared" si="1"/>
        <v>TP254 -  -  - </v>
      </c>
      <c r="G255" s="319">
        <f>SUMIF('ADV - FB'!L:L,$A255,'ADV - FB'!E:E)</f>
        <v>0</v>
      </c>
      <c r="H255" s="320" t="str">
        <f>IFERROR(SUMIF('ADV - FB'!L:L,$A255,'ADV - FB'!H:H)/(SUMIF('ADV - FB'!L:L,$A255,'ADV - FB'!G:G)),"-")</f>
        <v>-</v>
      </c>
      <c r="I255" s="321" t="str">
        <f>IFERROR(SUMIF('ADV - FB'!L:L,$A255,'ADV - FB'!E:E)/(SUMIF('ADV - FB'!L:L,$A255,'ADV - FB'!F:F)),"-")</f>
        <v>-</v>
      </c>
      <c r="J255" s="315">
        <f>SUMIF('ADV - FB'!L:L,$A255,'ADV - FB'!I:I)+SUMIF('ADV - FB'!L:L,$A255,'ADV - FB'!J:J)+SUMIF('ADV - FB'!L:L,$A255,'ADV - FB'!K:K)</f>
        <v>0</v>
      </c>
      <c r="K255" s="321" t="str">
        <f t="shared" si="2"/>
        <v>-</v>
      </c>
      <c r="L255" s="322"/>
      <c r="M255" s="322"/>
      <c r="N255" s="322"/>
      <c r="O255" s="322"/>
      <c r="P255" s="322"/>
      <c r="Q255" s="322"/>
      <c r="R255" s="322"/>
      <c r="S255" s="322"/>
      <c r="T255" s="16"/>
      <c r="U255" s="16"/>
      <c r="V255" s="16"/>
      <c r="W255" s="16"/>
      <c r="X255" s="16"/>
    </row>
    <row r="256" ht="15.75" customHeight="1">
      <c r="A256" s="313" t="s">
        <v>525</v>
      </c>
      <c r="B256" s="314"/>
      <c r="C256" s="315"/>
      <c r="D256" s="315"/>
      <c r="E256" s="317"/>
      <c r="F256" s="318" t="str">
        <f t="shared" si="1"/>
        <v>TP255 -  -  - </v>
      </c>
      <c r="G256" s="319">
        <f>SUMIF('ADV - FB'!L:L,$A256,'ADV - FB'!E:E)</f>
        <v>0</v>
      </c>
      <c r="H256" s="320" t="str">
        <f>IFERROR(SUMIF('ADV - FB'!L:L,$A256,'ADV - FB'!H:H)/(SUMIF('ADV - FB'!L:L,$A256,'ADV - FB'!G:G)),"-")</f>
        <v>-</v>
      </c>
      <c r="I256" s="321" t="str">
        <f>IFERROR(SUMIF('ADV - FB'!L:L,$A256,'ADV - FB'!E:E)/(SUMIF('ADV - FB'!L:L,$A256,'ADV - FB'!F:F)),"-")</f>
        <v>-</v>
      </c>
      <c r="J256" s="315">
        <f>SUMIF('ADV - FB'!L:L,$A256,'ADV - FB'!I:I)+SUMIF('ADV - FB'!L:L,$A256,'ADV - FB'!J:J)+SUMIF('ADV - FB'!L:L,$A256,'ADV - FB'!K:K)</f>
        <v>0</v>
      </c>
      <c r="K256" s="321" t="str">
        <f t="shared" si="2"/>
        <v>-</v>
      </c>
      <c r="L256" s="322"/>
      <c r="M256" s="322"/>
      <c r="N256" s="322"/>
      <c r="O256" s="322"/>
      <c r="P256" s="322"/>
      <c r="Q256" s="322"/>
      <c r="R256" s="322"/>
      <c r="S256" s="322"/>
      <c r="T256" s="16"/>
      <c r="U256" s="16"/>
      <c r="V256" s="16"/>
      <c r="W256" s="16"/>
      <c r="X256" s="16"/>
    </row>
    <row r="257" ht="15.75" customHeight="1">
      <c r="A257" s="313" t="s">
        <v>526</v>
      </c>
      <c r="B257" s="314"/>
      <c r="C257" s="315"/>
      <c r="D257" s="315"/>
      <c r="E257" s="317"/>
      <c r="F257" s="318" t="str">
        <f t="shared" si="1"/>
        <v>TP256 -  -  - </v>
      </c>
      <c r="G257" s="319">
        <f>SUMIF('ADV - FB'!L:L,$A257,'ADV - FB'!E:E)</f>
        <v>0</v>
      </c>
      <c r="H257" s="320" t="str">
        <f>IFERROR(SUMIF('ADV - FB'!L:L,$A257,'ADV - FB'!H:H)/(SUMIF('ADV - FB'!L:L,$A257,'ADV - FB'!G:G)),"-")</f>
        <v>-</v>
      </c>
      <c r="I257" s="321" t="str">
        <f>IFERROR(SUMIF('ADV - FB'!L:L,$A257,'ADV - FB'!E:E)/(SUMIF('ADV - FB'!L:L,$A257,'ADV - FB'!F:F)),"-")</f>
        <v>-</v>
      </c>
      <c r="J257" s="315">
        <f>SUMIF('ADV - FB'!L:L,$A257,'ADV - FB'!I:I)+SUMIF('ADV - FB'!L:L,$A257,'ADV - FB'!J:J)+SUMIF('ADV - FB'!L:L,$A257,'ADV - FB'!K:K)</f>
        <v>0</v>
      </c>
      <c r="K257" s="321" t="str">
        <f t="shared" si="2"/>
        <v>-</v>
      </c>
      <c r="L257" s="322"/>
      <c r="M257" s="322"/>
      <c r="N257" s="322"/>
      <c r="O257" s="322"/>
      <c r="P257" s="322"/>
      <c r="Q257" s="322"/>
      <c r="R257" s="322"/>
      <c r="S257" s="322"/>
      <c r="T257" s="16"/>
      <c r="U257" s="16"/>
      <c r="V257" s="16"/>
      <c r="W257" s="16"/>
      <c r="X257" s="16"/>
    </row>
    <row r="258" ht="15.75" customHeight="1">
      <c r="A258" s="313" t="s">
        <v>527</v>
      </c>
      <c r="B258" s="314"/>
      <c r="C258" s="315"/>
      <c r="D258" s="315"/>
      <c r="E258" s="317"/>
      <c r="F258" s="318" t="str">
        <f t="shared" si="1"/>
        <v>TP257 -  -  - </v>
      </c>
      <c r="G258" s="319">
        <f>SUMIF('ADV - FB'!L:L,$A258,'ADV - FB'!E:E)</f>
        <v>0</v>
      </c>
      <c r="H258" s="320" t="str">
        <f>IFERROR(SUMIF('ADV - FB'!L:L,$A258,'ADV - FB'!H:H)/(SUMIF('ADV - FB'!L:L,$A258,'ADV - FB'!G:G)),"-")</f>
        <v>-</v>
      </c>
      <c r="I258" s="321" t="str">
        <f>IFERROR(SUMIF('ADV - FB'!L:L,$A258,'ADV - FB'!E:E)/(SUMIF('ADV - FB'!L:L,$A258,'ADV - FB'!F:F)),"-")</f>
        <v>-</v>
      </c>
      <c r="J258" s="315">
        <f>SUMIF('ADV - FB'!L:L,$A258,'ADV - FB'!I:I)+SUMIF('ADV - FB'!L:L,$A258,'ADV - FB'!J:J)+SUMIF('ADV - FB'!L:L,$A258,'ADV - FB'!K:K)</f>
        <v>0</v>
      </c>
      <c r="K258" s="321" t="str">
        <f t="shared" si="2"/>
        <v>-</v>
      </c>
      <c r="L258" s="322"/>
      <c r="M258" s="322"/>
      <c r="N258" s="322"/>
      <c r="O258" s="322"/>
      <c r="P258" s="322"/>
      <c r="Q258" s="322"/>
      <c r="R258" s="322"/>
      <c r="S258" s="322"/>
      <c r="T258" s="16"/>
      <c r="U258" s="16"/>
      <c r="V258" s="16"/>
      <c r="W258" s="16"/>
      <c r="X258" s="16"/>
    </row>
    <row r="259" ht="15.75" customHeight="1">
      <c r="A259" s="313" t="s">
        <v>528</v>
      </c>
      <c r="B259" s="314"/>
      <c r="C259" s="315"/>
      <c r="D259" s="315"/>
      <c r="E259" s="317"/>
      <c r="F259" s="318" t="str">
        <f t="shared" si="1"/>
        <v>TP258 -  -  - </v>
      </c>
      <c r="G259" s="319">
        <f>SUMIF('ADV - FB'!L:L,$A259,'ADV - FB'!E:E)</f>
        <v>0</v>
      </c>
      <c r="H259" s="320" t="str">
        <f>IFERROR(SUMIF('ADV - FB'!L:L,$A259,'ADV - FB'!H:H)/(SUMIF('ADV - FB'!L:L,$A259,'ADV - FB'!G:G)),"-")</f>
        <v>-</v>
      </c>
      <c r="I259" s="321" t="str">
        <f>IFERROR(SUMIF('ADV - FB'!L:L,$A259,'ADV - FB'!E:E)/(SUMIF('ADV - FB'!L:L,$A259,'ADV - FB'!F:F)),"-")</f>
        <v>-</v>
      </c>
      <c r="J259" s="315">
        <f>SUMIF('ADV - FB'!L:L,$A259,'ADV - FB'!I:I)+SUMIF('ADV - FB'!L:L,$A259,'ADV - FB'!J:J)+SUMIF('ADV - FB'!L:L,$A259,'ADV - FB'!K:K)</f>
        <v>0</v>
      </c>
      <c r="K259" s="321" t="str">
        <f t="shared" si="2"/>
        <v>-</v>
      </c>
      <c r="L259" s="322"/>
      <c r="M259" s="322"/>
      <c r="N259" s="322"/>
      <c r="O259" s="322"/>
      <c r="P259" s="322"/>
      <c r="Q259" s="322"/>
      <c r="R259" s="322"/>
      <c r="S259" s="322"/>
      <c r="T259" s="16"/>
      <c r="U259" s="16"/>
      <c r="V259" s="16"/>
      <c r="W259" s="16"/>
      <c r="X259" s="16"/>
    </row>
    <row r="260" ht="15.75" customHeight="1">
      <c r="A260" s="313" t="s">
        <v>529</v>
      </c>
      <c r="B260" s="314"/>
      <c r="C260" s="315"/>
      <c r="D260" s="315"/>
      <c r="E260" s="317"/>
      <c r="F260" s="318" t="str">
        <f t="shared" si="1"/>
        <v>TP259 -  -  - </v>
      </c>
      <c r="G260" s="319">
        <f>SUMIF('ADV - FB'!L:L,$A260,'ADV - FB'!E:E)</f>
        <v>0</v>
      </c>
      <c r="H260" s="320" t="str">
        <f>IFERROR(SUMIF('ADV - FB'!L:L,$A260,'ADV - FB'!H:H)/(SUMIF('ADV - FB'!L:L,$A260,'ADV - FB'!G:G)),"-")</f>
        <v>-</v>
      </c>
      <c r="I260" s="321" t="str">
        <f>IFERROR(SUMIF('ADV - FB'!L:L,$A260,'ADV - FB'!E:E)/(SUMIF('ADV - FB'!L:L,$A260,'ADV - FB'!F:F)),"-")</f>
        <v>-</v>
      </c>
      <c r="J260" s="315">
        <f>SUMIF('ADV - FB'!L:L,$A260,'ADV - FB'!I:I)+SUMIF('ADV - FB'!L:L,$A260,'ADV - FB'!J:J)+SUMIF('ADV - FB'!L:L,$A260,'ADV - FB'!K:K)</f>
        <v>0</v>
      </c>
      <c r="K260" s="321" t="str">
        <f t="shared" si="2"/>
        <v>-</v>
      </c>
      <c r="L260" s="322"/>
      <c r="M260" s="322"/>
      <c r="N260" s="322"/>
      <c r="O260" s="322"/>
      <c r="P260" s="322"/>
      <c r="Q260" s="322"/>
      <c r="R260" s="322"/>
      <c r="S260" s="322"/>
      <c r="T260" s="16"/>
      <c r="U260" s="16"/>
      <c r="V260" s="16"/>
      <c r="W260" s="16"/>
      <c r="X260" s="16"/>
    </row>
    <row r="261" ht="15.75" customHeight="1">
      <c r="A261" s="313" t="s">
        <v>530</v>
      </c>
      <c r="B261" s="314"/>
      <c r="C261" s="315"/>
      <c r="D261" s="315"/>
      <c r="E261" s="317"/>
      <c r="F261" s="318" t="str">
        <f t="shared" si="1"/>
        <v>TP260 -  -  - </v>
      </c>
      <c r="G261" s="319">
        <f>SUMIF('ADV - FB'!L:L,$A261,'ADV - FB'!E:E)</f>
        <v>0</v>
      </c>
      <c r="H261" s="320" t="str">
        <f>IFERROR(SUMIF('ADV - FB'!L:L,$A261,'ADV - FB'!H:H)/(SUMIF('ADV - FB'!L:L,$A261,'ADV - FB'!G:G)),"-")</f>
        <v>-</v>
      </c>
      <c r="I261" s="321" t="str">
        <f>IFERROR(SUMIF('ADV - FB'!L:L,$A261,'ADV - FB'!E:E)/(SUMIF('ADV - FB'!L:L,$A261,'ADV - FB'!F:F)),"-")</f>
        <v>-</v>
      </c>
      <c r="J261" s="315">
        <f>SUMIF('ADV - FB'!L:L,$A261,'ADV - FB'!I:I)+SUMIF('ADV - FB'!L:L,$A261,'ADV - FB'!J:J)+SUMIF('ADV - FB'!L:L,$A261,'ADV - FB'!K:K)</f>
        <v>0</v>
      </c>
      <c r="K261" s="321" t="str">
        <f t="shared" si="2"/>
        <v>-</v>
      </c>
      <c r="L261" s="322"/>
      <c r="M261" s="322"/>
      <c r="N261" s="322"/>
      <c r="O261" s="322"/>
      <c r="P261" s="322"/>
      <c r="Q261" s="322"/>
      <c r="R261" s="322"/>
      <c r="S261" s="322"/>
      <c r="T261" s="16"/>
      <c r="U261" s="16"/>
      <c r="V261" s="16"/>
      <c r="W261" s="16"/>
      <c r="X261" s="16"/>
    </row>
    <row r="262" ht="15.75" customHeight="1">
      <c r="A262" s="313" t="s">
        <v>531</v>
      </c>
      <c r="B262" s="314"/>
      <c r="C262" s="315"/>
      <c r="D262" s="315"/>
      <c r="E262" s="317"/>
      <c r="F262" s="318" t="str">
        <f t="shared" si="1"/>
        <v>TP261 -  -  - </v>
      </c>
      <c r="G262" s="319">
        <f>SUMIF('ADV - FB'!L:L,$A262,'ADV - FB'!E:E)</f>
        <v>0</v>
      </c>
      <c r="H262" s="320" t="str">
        <f>IFERROR(SUMIF('ADV - FB'!L:L,$A262,'ADV - FB'!H:H)/(SUMIF('ADV - FB'!L:L,$A262,'ADV - FB'!G:G)),"-")</f>
        <v>-</v>
      </c>
      <c r="I262" s="321" t="str">
        <f>IFERROR(SUMIF('ADV - FB'!L:L,$A262,'ADV - FB'!E:E)/(SUMIF('ADV - FB'!L:L,$A262,'ADV - FB'!F:F)),"-")</f>
        <v>-</v>
      </c>
      <c r="J262" s="315">
        <f>SUMIF('ADV - FB'!L:L,$A262,'ADV - FB'!I:I)+SUMIF('ADV - FB'!L:L,$A262,'ADV - FB'!J:J)+SUMIF('ADV - FB'!L:L,$A262,'ADV - FB'!K:K)</f>
        <v>0</v>
      </c>
      <c r="K262" s="321" t="str">
        <f t="shared" si="2"/>
        <v>-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ht="15.75" customHeight="1">
      <c r="A263" s="313" t="s">
        <v>532</v>
      </c>
      <c r="B263" s="314"/>
      <c r="C263" s="315"/>
      <c r="D263" s="315"/>
      <c r="E263" s="317"/>
      <c r="F263" s="318" t="str">
        <f t="shared" si="1"/>
        <v>TP262 -  -  - </v>
      </c>
      <c r="G263" s="319">
        <f>SUMIF('ADV - FB'!L:L,$A263,'ADV - FB'!E:E)</f>
        <v>0</v>
      </c>
      <c r="H263" s="320" t="str">
        <f>IFERROR(SUMIF('ADV - FB'!L:L,$A263,'ADV - FB'!H:H)/(SUMIF('ADV - FB'!L:L,$A263,'ADV - FB'!G:G)),"-")</f>
        <v>-</v>
      </c>
      <c r="I263" s="321" t="str">
        <f>IFERROR(SUMIF('ADV - FB'!L:L,$A263,'ADV - FB'!E:E)/(SUMIF('ADV - FB'!L:L,$A263,'ADV - FB'!F:F)),"-")</f>
        <v>-</v>
      </c>
      <c r="J263" s="315">
        <f>SUMIF('ADV - FB'!L:L,$A263,'ADV - FB'!I:I)+SUMIF('ADV - FB'!L:L,$A263,'ADV - FB'!J:J)+SUMIF('ADV - FB'!L:L,$A263,'ADV - FB'!K:K)</f>
        <v>0</v>
      </c>
      <c r="K263" s="321" t="str">
        <f t="shared" si="2"/>
        <v>-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ht="15.75" customHeight="1">
      <c r="A264" s="313" t="s">
        <v>533</v>
      </c>
      <c r="B264" s="314"/>
      <c r="C264" s="315"/>
      <c r="D264" s="315"/>
      <c r="E264" s="317"/>
      <c r="F264" s="318" t="str">
        <f t="shared" si="1"/>
        <v>TP263 -  -  - </v>
      </c>
      <c r="G264" s="319">
        <f>SUMIF('ADV - FB'!L:L,$A264,'ADV - FB'!E:E)</f>
        <v>0</v>
      </c>
      <c r="H264" s="320" t="str">
        <f>IFERROR(SUMIF('ADV - FB'!L:L,$A264,'ADV - FB'!H:H)/(SUMIF('ADV - FB'!L:L,$A264,'ADV - FB'!G:G)),"-")</f>
        <v>-</v>
      </c>
      <c r="I264" s="321" t="str">
        <f>IFERROR(SUMIF('ADV - FB'!L:L,$A264,'ADV - FB'!E:E)/(SUMIF('ADV - FB'!L:L,$A264,'ADV - FB'!F:F)),"-")</f>
        <v>-</v>
      </c>
      <c r="J264" s="315">
        <f>SUMIF('ADV - FB'!L:L,$A264,'ADV - FB'!I:I)+SUMIF('ADV - FB'!L:L,$A264,'ADV - FB'!J:J)+SUMIF('ADV - FB'!L:L,$A264,'ADV - FB'!K:K)</f>
        <v>0</v>
      </c>
      <c r="K264" s="321" t="str">
        <f t="shared" si="2"/>
        <v>-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ht="15.75" customHeight="1">
      <c r="A265" s="313" t="s">
        <v>534</v>
      </c>
      <c r="B265" s="314"/>
      <c r="C265" s="315"/>
      <c r="D265" s="315"/>
      <c r="E265" s="317"/>
      <c r="F265" s="318" t="str">
        <f t="shared" si="1"/>
        <v>TP264 -  -  - </v>
      </c>
      <c r="G265" s="319">
        <f>SUMIF('ADV - FB'!L:L,$A265,'ADV - FB'!E:E)</f>
        <v>0</v>
      </c>
      <c r="H265" s="320" t="str">
        <f>IFERROR(SUMIF('ADV - FB'!L:L,$A265,'ADV - FB'!H:H)/(SUMIF('ADV - FB'!L:L,$A265,'ADV - FB'!G:G)),"-")</f>
        <v>-</v>
      </c>
      <c r="I265" s="321" t="str">
        <f>IFERROR(SUMIF('ADV - FB'!L:L,$A265,'ADV - FB'!E:E)/(SUMIF('ADV - FB'!L:L,$A265,'ADV - FB'!F:F)),"-")</f>
        <v>-</v>
      </c>
      <c r="J265" s="315">
        <f>SUMIF('ADV - FB'!L:L,$A265,'ADV - FB'!I:I)+SUMIF('ADV - FB'!L:L,$A265,'ADV - FB'!J:J)+SUMIF('ADV - FB'!L:L,$A265,'ADV - FB'!K:K)</f>
        <v>0</v>
      </c>
      <c r="K265" s="321" t="str">
        <f t="shared" si="2"/>
        <v>-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ht="15.75" customHeight="1">
      <c r="A266" s="313" t="s">
        <v>535</v>
      </c>
      <c r="B266" s="314"/>
      <c r="C266" s="315"/>
      <c r="D266" s="315"/>
      <c r="E266" s="317"/>
      <c r="F266" s="318" t="str">
        <f t="shared" si="1"/>
        <v>TP265 -  -  - </v>
      </c>
      <c r="G266" s="319">
        <f>SUMIF('ADV - FB'!L:L,$A266,'ADV - FB'!E:E)</f>
        <v>0</v>
      </c>
      <c r="H266" s="320" t="str">
        <f>IFERROR(SUMIF('ADV - FB'!L:L,$A266,'ADV - FB'!H:H)/(SUMIF('ADV - FB'!L:L,$A266,'ADV - FB'!G:G)),"-")</f>
        <v>-</v>
      </c>
      <c r="I266" s="321" t="str">
        <f>IFERROR(SUMIF('ADV - FB'!L:L,$A266,'ADV - FB'!E:E)/(SUMIF('ADV - FB'!L:L,$A266,'ADV - FB'!F:F)),"-")</f>
        <v>-</v>
      </c>
      <c r="J266" s="315">
        <f>SUMIF('ADV - FB'!L:L,$A266,'ADV - FB'!I:I)+SUMIF('ADV - FB'!L:L,$A266,'ADV - FB'!J:J)+SUMIF('ADV - FB'!L:L,$A266,'ADV - FB'!K:K)</f>
        <v>0</v>
      </c>
      <c r="K266" s="321" t="str">
        <f t="shared" si="2"/>
        <v>-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ht="15.75" customHeight="1">
      <c r="A267" s="313" t="s">
        <v>536</v>
      </c>
      <c r="B267" s="314"/>
      <c r="C267" s="315"/>
      <c r="D267" s="315"/>
      <c r="E267" s="317"/>
      <c r="F267" s="318" t="str">
        <f t="shared" si="1"/>
        <v>TP266 -  -  - </v>
      </c>
      <c r="G267" s="319">
        <f>SUMIF('ADV - FB'!L:L,$A267,'ADV - FB'!E:E)</f>
        <v>0</v>
      </c>
      <c r="H267" s="320" t="str">
        <f>IFERROR(SUMIF('ADV - FB'!L:L,$A267,'ADV - FB'!H:H)/(SUMIF('ADV - FB'!L:L,$A267,'ADV - FB'!G:G)),"-")</f>
        <v>-</v>
      </c>
      <c r="I267" s="321" t="str">
        <f>IFERROR(SUMIF('ADV - FB'!L:L,$A267,'ADV - FB'!E:E)/(SUMIF('ADV - FB'!L:L,$A267,'ADV - FB'!F:F)),"-")</f>
        <v>-</v>
      </c>
      <c r="J267" s="315">
        <f>SUMIF('ADV - FB'!L:L,$A267,'ADV - FB'!I:I)+SUMIF('ADV - FB'!L:L,$A267,'ADV - FB'!J:J)+SUMIF('ADV - FB'!L:L,$A267,'ADV - FB'!K:K)</f>
        <v>0</v>
      </c>
      <c r="K267" s="321" t="str">
        <f t="shared" si="2"/>
        <v>-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ht="15.75" customHeight="1">
      <c r="A268" s="313" t="s">
        <v>537</v>
      </c>
      <c r="B268" s="314"/>
      <c r="C268" s="315"/>
      <c r="D268" s="315"/>
      <c r="E268" s="317"/>
      <c r="F268" s="318" t="str">
        <f t="shared" si="1"/>
        <v>TP267 -  -  - </v>
      </c>
      <c r="G268" s="319">
        <f>SUMIF('ADV - FB'!L:L,$A268,'ADV - FB'!E:E)</f>
        <v>0</v>
      </c>
      <c r="H268" s="320" t="str">
        <f>IFERROR(SUMIF('ADV - FB'!L:L,$A268,'ADV - FB'!H:H)/(SUMIF('ADV - FB'!L:L,$A268,'ADV - FB'!G:G)),"-")</f>
        <v>-</v>
      </c>
      <c r="I268" s="321" t="str">
        <f>IFERROR(SUMIF('ADV - FB'!L:L,$A268,'ADV - FB'!E:E)/(SUMIF('ADV - FB'!L:L,$A268,'ADV - FB'!F:F)),"-")</f>
        <v>-</v>
      </c>
      <c r="J268" s="315">
        <f>SUMIF('ADV - FB'!L:L,$A268,'ADV - FB'!I:I)+SUMIF('ADV - FB'!L:L,$A268,'ADV - FB'!J:J)+SUMIF('ADV - FB'!L:L,$A268,'ADV - FB'!K:K)</f>
        <v>0</v>
      </c>
      <c r="K268" s="321" t="str">
        <f t="shared" si="2"/>
        <v>-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ht="15.75" customHeight="1">
      <c r="A269" s="313" t="s">
        <v>538</v>
      </c>
      <c r="B269" s="314"/>
      <c r="C269" s="315"/>
      <c r="D269" s="315"/>
      <c r="E269" s="317"/>
      <c r="F269" s="318" t="str">
        <f t="shared" si="1"/>
        <v>TP268 -  -  - </v>
      </c>
      <c r="G269" s="319">
        <f>SUMIF('ADV - FB'!L:L,$A269,'ADV - FB'!E:E)</f>
        <v>0</v>
      </c>
      <c r="H269" s="320" t="str">
        <f>IFERROR(SUMIF('ADV - FB'!L:L,$A269,'ADV - FB'!H:H)/(SUMIF('ADV - FB'!L:L,$A269,'ADV - FB'!G:G)),"-")</f>
        <v>-</v>
      </c>
      <c r="I269" s="321" t="str">
        <f>IFERROR(SUMIF('ADV - FB'!L:L,$A269,'ADV - FB'!E:E)/(SUMIF('ADV - FB'!L:L,$A269,'ADV - FB'!F:F)),"-")</f>
        <v>-</v>
      </c>
      <c r="J269" s="315">
        <f>SUMIF('ADV - FB'!L:L,$A269,'ADV - FB'!I:I)+SUMIF('ADV - FB'!L:L,$A269,'ADV - FB'!J:J)+SUMIF('ADV - FB'!L:L,$A269,'ADV - FB'!K:K)</f>
        <v>0</v>
      </c>
      <c r="K269" s="321" t="str">
        <f t="shared" si="2"/>
        <v>-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ht="15.75" customHeight="1">
      <c r="A270" s="313" t="s">
        <v>539</v>
      </c>
      <c r="B270" s="314"/>
      <c r="C270" s="315"/>
      <c r="D270" s="315"/>
      <c r="E270" s="317"/>
      <c r="F270" s="318" t="str">
        <f t="shared" si="1"/>
        <v>TP269 -  -  - </v>
      </c>
      <c r="G270" s="319">
        <f>SUMIF('ADV - FB'!L:L,$A270,'ADV - FB'!E:E)</f>
        <v>0</v>
      </c>
      <c r="H270" s="320" t="str">
        <f>IFERROR(SUMIF('ADV - FB'!L:L,$A270,'ADV - FB'!H:H)/(SUMIF('ADV - FB'!L:L,$A270,'ADV - FB'!G:G)),"-")</f>
        <v>-</v>
      </c>
      <c r="I270" s="321" t="str">
        <f>IFERROR(SUMIF('ADV - FB'!L:L,$A270,'ADV - FB'!E:E)/(SUMIF('ADV - FB'!L:L,$A270,'ADV - FB'!F:F)),"-")</f>
        <v>-</v>
      </c>
      <c r="J270" s="315">
        <f>SUMIF('ADV - FB'!L:L,$A270,'ADV - FB'!I:I)+SUMIF('ADV - FB'!L:L,$A270,'ADV - FB'!J:J)+SUMIF('ADV - FB'!L:L,$A270,'ADV - FB'!K:K)</f>
        <v>0</v>
      </c>
      <c r="K270" s="321" t="str">
        <f t="shared" si="2"/>
        <v>-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ht="15.75" customHeight="1">
      <c r="A271" s="313" t="s">
        <v>540</v>
      </c>
      <c r="B271" s="314"/>
      <c r="C271" s="315"/>
      <c r="D271" s="315"/>
      <c r="E271" s="317"/>
      <c r="F271" s="318" t="str">
        <f t="shared" si="1"/>
        <v>TP270 -  -  - </v>
      </c>
      <c r="G271" s="319">
        <f>SUMIF('ADV - FB'!L:L,$A271,'ADV - FB'!E:E)</f>
        <v>0</v>
      </c>
      <c r="H271" s="320" t="str">
        <f>IFERROR(SUMIF('ADV - FB'!L:L,$A271,'ADV - FB'!H:H)/(SUMIF('ADV - FB'!L:L,$A271,'ADV - FB'!G:G)),"-")</f>
        <v>-</v>
      </c>
      <c r="I271" s="321" t="str">
        <f>IFERROR(SUMIF('ADV - FB'!L:L,$A271,'ADV - FB'!E:E)/(SUMIF('ADV - FB'!L:L,$A271,'ADV - FB'!F:F)),"-")</f>
        <v>-</v>
      </c>
      <c r="J271" s="315">
        <f>SUMIF('ADV - FB'!L:L,$A271,'ADV - FB'!I:I)+SUMIF('ADV - FB'!L:L,$A271,'ADV - FB'!J:J)+SUMIF('ADV - FB'!L:L,$A271,'ADV - FB'!K:K)</f>
        <v>0</v>
      </c>
      <c r="K271" s="321" t="str">
        <f t="shared" si="2"/>
        <v>-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ht="15.75" customHeight="1">
      <c r="A272" s="313" t="s">
        <v>541</v>
      </c>
      <c r="B272" s="314"/>
      <c r="C272" s="315"/>
      <c r="D272" s="315"/>
      <c r="E272" s="317"/>
      <c r="F272" s="318" t="str">
        <f t="shared" si="1"/>
        <v>TP271 -  -  - </v>
      </c>
      <c r="G272" s="319">
        <f>SUMIF('ADV - FB'!L:L,$A272,'ADV - FB'!E:E)</f>
        <v>0</v>
      </c>
      <c r="H272" s="320" t="str">
        <f>IFERROR(SUMIF('ADV - FB'!L:L,$A272,'ADV - FB'!H:H)/(SUMIF('ADV - FB'!L:L,$A272,'ADV - FB'!G:G)),"-")</f>
        <v>-</v>
      </c>
      <c r="I272" s="321" t="str">
        <f>IFERROR(SUMIF('ADV - FB'!L:L,$A272,'ADV - FB'!E:E)/(SUMIF('ADV - FB'!L:L,$A272,'ADV - FB'!F:F)),"-")</f>
        <v>-</v>
      </c>
      <c r="J272" s="315">
        <f>SUMIF('ADV - FB'!L:L,$A272,'ADV - FB'!I:I)+SUMIF('ADV - FB'!L:L,$A272,'ADV - FB'!J:J)+SUMIF('ADV - FB'!L:L,$A272,'ADV - FB'!K:K)</f>
        <v>0</v>
      </c>
      <c r="K272" s="321" t="str">
        <f t="shared" si="2"/>
        <v>-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ht="15.75" customHeight="1">
      <c r="A273" s="313" t="s">
        <v>542</v>
      </c>
      <c r="B273" s="314"/>
      <c r="C273" s="315"/>
      <c r="D273" s="315"/>
      <c r="E273" s="317"/>
      <c r="F273" s="318" t="str">
        <f t="shared" si="1"/>
        <v>TP272 -  -  - </v>
      </c>
      <c r="G273" s="319">
        <f>SUMIF('ADV - FB'!L:L,$A273,'ADV - FB'!E:E)</f>
        <v>0</v>
      </c>
      <c r="H273" s="320" t="str">
        <f>IFERROR(SUMIF('ADV - FB'!L:L,$A273,'ADV - FB'!H:H)/(SUMIF('ADV - FB'!L:L,$A273,'ADV - FB'!G:G)),"-")</f>
        <v>-</v>
      </c>
      <c r="I273" s="321" t="str">
        <f>IFERROR(SUMIF('ADV - FB'!L:L,$A273,'ADV - FB'!E:E)/(SUMIF('ADV - FB'!L:L,$A273,'ADV - FB'!F:F)),"-")</f>
        <v>-</v>
      </c>
      <c r="J273" s="315">
        <f>SUMIF('ADV - FB'!L:L,$A273,'ADV - FB'!I:I)+SUMIF('ADV - FB'!L:L,$A273,'ADV - FB'!J:J)+SUMIF('ADV - FB'!L:L,$A273,'ADV - FB'!K:K)</f>
        <v>0</v>
      </c>
      <c r="K273" s="321" t="str">
        <f t="shared" si="2"/>
        <v>-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ht="15.75" customHeight="1">
      <c r="A274" s="313" t="s">
        <v>543</v>
      </c>
      <c r="B274" s="314"/>
      <c r="C274" s="315"/>
      <c r="D274" s="315"/>
      <c r="E274" s="317"/>
      <c r="F274" s="318" t="str">
        <f t="shared" si="1"/>
        <v>TP273 -  -  - </v>
      </c>
      <c r="G274" s="319">
        <f>SUMIF('ADV - FB'!L:L,$A274,'ADV - FB'!E:E)</f>
        <v>0</v>
      </c>
      <c r="H274" s="320" t="str">
        <f>IFERROR(SUMIF('ADV - FB'!L:L,$A274,'ADV - FB'!H:H)/(SUMIF('ADV - FB'!L:L,$A274,'ADV - FB'!G:G)),"-")</f>
        <v>-</v>
      </c>
      <c r="I274" s="321" t="str">
        <f>IFERROR(SUMIF('ADV - FB'!L:L,$A274,'ADV - FB'!E:E)/(SUMIF('ADV - FB'!L:L,$A274,'ADV - FB'!F:F)),"-")</f>
        <v>-</v>
      </c>
      <c r="J274" s="315">
        <f>SUMIF('ADV - FB'!L:L,$A274,'ADV - FB'!I:I)+SUMIF('ADV - FB'!L:L,$A274,'ADV - FB'!J:J)+SUMIF('ADV - FB'!L:L,$A274,'ADV - FB'!K:K)</f>
        <v>0</v>
      </c>
      <c r="K274" s="321" t="str">
        <f t="shared" si="2"/>
        <v>-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ht="15.75" customHeight="1">
      <c r="A275" s="313" t="s">
        <v>544</v>
      </c>
      <c r="B275" s="314"/>
      <c r="C275" s="315"/>
      <c r="D275" s="315"/>
      <c r="E275" s="317"/>
      <c r="F275" s="318" t="str">
        <f t="shared" si="1"/>
        <v>TP274 -  -  - </v>
      </c>
      <c r="G275" s="319">
        <f>SUMIF('ADV - FB'!L:L,$A275,'ADV - FB'!E:E)</f>
        <v>0</v>
      </c>
      <c r="H275" s="320" t="str">
        <f>IFERROR(SUMIF('ADV - FB'!L:L,$A275,'ADV - FB'!H:H)/(SUMIF('ADV - FB'!L:L,$A275,'ADV - FB'!G:G)),"-")</f>
        <v>-</v>
      </c>
      <c r="I275" s="321" t="str">
        <f>IFERROR(SUMIF('ADV - FB'!L:L,$A275,'ADV - FB'!E:E)/(SUMIF('ADV - FB'!L:L,$A275,'ADV - FB'!F:F)),"-")</f>
        <v>-</v>
      </c>
      <c r="J275" s="315">
        <f>SUMIF('ADV - FB'!L:L,$A275,'ADV - FB'!I:I)+SUMIF('ADV - FB'!L:L,$A275,'ADV - FB'!J:J)+SUMIF('ADV - FB'!L:L,$A275,'ADV - FB'!K:K)</f>
        <v>0</v>
      </c>
      <c r="K275" s="321" t="str">
        <f t="shared" si="2"/>
        <v>-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ht="15.75" customHeight="1">
      <c r="A276" s="313" t="s">
        <v>545</v>
      </c>
      <c r="B276" s="314"/>
      <c r="C276" s="315"/>
      <c r="D276" s="315"/>
      <c r="E276" s="317"/>
      <c r="F276" s="318" t="str">
        <f t="shared" si="1"/>
        <v>TP275 -  -  - </v>
      </c>
      <c r="G276" s="319">
        <f>SUMIF('ADV - FB'!L:L,$A276,'ADV - FB'!E:E)</f>
        <v>0</v>
      </c>
      <c r="H276" s="320" t="str">
        <f>IFERROR(SUMIF('ADV - FB'!L:L,$A276,'ADV - FB'!H:H)/(SUMIF('ADV - FB'!L:L,$A276,'ADV - FB'!G:G)),"-")</f>
        <v>-</v>
      </c>
      <c r="I276" s="321" t="str">
        <f>IFERROR(SUMIF('ADV - FB'!L:L,$A276,'ADV - FB'!E:E)/(SUMIF('ADV - FB'!L:L,$A276,'ADV - FB'!F:F)),"-")</f>
        <v>-</v>
      </c>
      <c r="J276" s="315">
        <f>SUMIF('ADV - FB'!L:L,$A276,'ADV - FB'!I:I)+SUMIF('ADV - FB'!L:L,$A276,'ADV - FB'!J:J)+SUMIF('ADV - FB'!L:L,$A276,'ADV - FB'!K:K)</f>
        <v>0</v>
      </c>
      <c r="K276" s="321" t="str">
        <f t="shared" si="2"/>
        <v>-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ht="15.75" customHeight="1">
      <c r="A277" s="313" t="s">
        <v>546</v>
      </c>
      <c r="B277" s="314"/>
      <c r="C277" s="315"/>
      <c r="D277" s="315"/>
      <c r="E277" s="317"/>
      <c r="F277" s="318" t="str">
        <f t="shared" si="1"/>
        <v>TP276 -  -  - </v>
      </c>
      <c r="G277" s="319">
        <f>SUMIF('ADV - FB'!L:L,$A277,'ADV - FB'!E:E)</f>
        <v>0</v>
      </c>
      <c r="H277" s="320" t="str">
        <f>IFERROR(SUMIF('ADV - FB'!L:L,$A277,'ADV - FB'!H:H)/(SUMIF('ADV - FB'!L:L,$A277,'ADV - FB'!G:G)),"-")</f>
        <v>-</v>
      </c>
      <c r="I277" s="321" t="str">
        <f>IFERROR(SUMIF('ADV - FB'!L:L,$A277,'ADV - FB'!E:E)/(SUMIF('ADV - FB'!L:L,$A277,'ADV - FB'!F:F)),"-")</f>
        <v>-</v>
      </c>
      <c r="J277" s="315">
        <f>SUMIF('ADV - FB'!L:L,$A277,'ADV - FB'!I:I)+SUMIF('ADV - FB'!L:L,$A277,'ADV - FB'!J:J)+SUMIF('ADV - FB'!L:L,$A277,'ADV - FB'!K:K)</f>
        <v>0</v>
      </c>
      <c r="K277" s="321" t="str">
        <f t="shared" si="2"/>
        <v>-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ht="15.75" customHeight="1">
      <c r="A278" s="313" t="s">
        <v>547</v>
      </c>
      <c r="B278" s="314"/>
      <c r="C278" s="315"/>
      <c r="D278" s="315"/>
      <c r="E278" s="317"/>
      <c r="F278" s="318" t="str">
        <f t="shared" si="1"/>
        <v>TP277 -  -  - </v>
      </c>
      <c r="G278" s="319">
        <f>SUMIF('ADV - FB'!L:L,$A278,'ADV - FB'!E:E)</f>
        <v>0</v>
      </c>
      <c r="H278" s="320" t="str">
        <f>IFERROR(SUMIF('ADV - FB'!L:L,$A278,'ADV - FB'!H:H)/(SUMIF('ADV - FB'!L:L,$A278,'ADV - FB'!G:G)),"-")</f>
        <v>-</v>
      </c>
      <c r="I278" s="321" t="str">
        <f>IFERROR(SUMIF('ADV - FB'!L:L,$A278,'ADV - FB'!E:E)/(SUMIF('ADV - FB'!L:L,$A278,'ADV - FB'!F:F)),"-")</f>
        <v>-</v>
      </c>
      <c r="J278" s="315">
        <f>SUMIF('ADV - FB'!L:L,$A278,'ADV - FB'!I:I)+SUMIF('ADV - FB'!L:L,$A278,'ADV - FB'!J:J)+SUMIF('ADV - FB'!L:L,$A278,'ADV - FB'!K:K)</f>
        <v>0</v>
      </c>
      <c r="K278" s="321" t="str">
        <f t="shared" si="2"/>
        <v>-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ht="15.75" customHeight="1">
      <c r="A279" s="313" t="s">
        <v>548</v>
      </c>
      <c r="B279" s="314"/>
      <c r="C279" s="315"/>
      <c r="D279" s="315"/>
      <c r="E279" s="317"/>
      <c r="F279" s="318" t="str">
        <f t="shared" si="1"/>
        <v>TP278 -  -  - </v>
      </c>
      <c r="G279" s="319">
        <f>SUMIF('ADV - FB'!L:L,$A279,'ADV - FB'!E:E)</f>
        <v>0</v>
      </c>
      <c r="H279" s="320" t="str">
        <f>IFERROR(SUMIF('ADV - FB'!L:L,$A279,'ADV - FB'!H:H)/(SUMIF('ADV - FB'!L:L,$A279,'ADV - FB'!G:G)),"-")</f>
        <v>-</v>
      </c>
      <c r="I279" s="321" t="str">
        <f>IFERROR(SUMIF('ADV - FB'!L:L,$A279,'ADV - FB'!E:E)/(SUMIF('ADV - FB'!L:L,$A279,'ADV - FB'!F:F)),"-")</f>
        <v>-</v>
      </c>
      <c r="J279" s="315">
        <f>SUMIF('ADV - FB'!L:L,$A279,'ADV - FB'!I:I)+SUMIF('ADV - FB'!L:L,$A279,'ADV - FB'!J:J)+SUMIF('ADV - FB'!L:L,$A279,'ADV - FB'!K:K)</f>
        <v>0</v>
      </c>
      <c r="K279" s="321" t="str">
        <f t="shared" si="2"/>
        <v>-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ht="15.75" customHeight="1">
      <c r="A280" s="313" t="s">
        <v>549</v>
      </c>
      <c r="B280" s="314"/>
      <c r="C280" s="315"/>
      <c r="D280" s="315"/>
      <c r="E280" s="317"/>
      <c r="F280" s="318" t="str">
        <f t="shared" si="1"/>
        <v>TP279 -  -  - </v>
      </c>
      <c r="G280" s="319">
        <f>SUMIF('ADV - FB'!L:L,$A280,'ADV - FB'!E:E)</f>
        <v>0</v>
      </c>
      <c r="H280" s="320" t="str">
        <f>IFERROR(SUMIF('ADV - FB'!L:L,$A280,'ADV - FB'!H:H)/(SUMIF('ADV - FB'!L:L,$A280,'ADV - FB'!G:G)),"-")</f>
        <v>-</v>
      </c>
      <c r="I280" s="321" t="str">
        <f>IFERROR(SUMIF('ADV - FB'!L:L,$A280,'ADV - FB'!E:E)/(SUMIF('ADV - FB'!L:L,$A280,'ADV - FB'!F:F)),"-")</f>
        <v>-</v>
      </c>
      <c r="J280" s="315">
        <f>SUMIF('ADV - FB'!L:L,$A280,'ADV - FB'!I:I)+SUMIF('ADV - FB'!L:L,$A280,'ADV - FB'!J:J)+SUMIF('ADV - FB'!L:L,$A280,'ADV - FB'!K:K)</f>
        <v>0</v>
      </c>
      <c r="K280" s="321" t="str">
        <f t="shared" si="2"/>
        <v>-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ht="15.75" customHeight="1">
      <c r="A281" s="313" t="s">
        <v>550</v>
      </c>
      <c r="B281" s="314"/>
      <c r="C281" s="315"/>
      <c r="D281" s="315"/>
      <c r="E281" s="317"/>
      <c r="F281" s="318" t="str">
        <f t="shared" si="1"/>
        <v>TP280 -  -  - </v>
      </c>
      <c r="G281" s="319">
        <f>SUMIF('ADV - FB'!L:L,$A281,'ADV - FB'!E:E)</f>
        <v>0</v>
      </c>
      <c r="H281" s="320" t="str">
        <f>IFERROR(SUMIF('ADV - FB'!L:L,$A281,'ADV - FB'!H:H)/(SUMIF('ADV - FB'!L:L,$A281,'ADV - FB'!G:G)),"-")</f>
        <v>-</v>
      </c>
      <c r="I281" s="321" t="str">
        <f>IFERROR(SUMIF('ADV - FB'!L:L,$A281,'ADV - FB'!E:E)/(SUMIF('ADV - FB'!L:L,$A281,'ADV - FB'!F:F)),"-")</f>
        <v>-</v>
      </c>
      <c r="J281" s="315">
        <f>SUMIF('ADV - FB'!L:L,$A281,'ADV - FB'!I:I)+SUMIF('ADV - FB'!L:L,$A281,'ADV - FB'!J:J)+SUMIF('ADV - FB'!L:L,$A281,'ADV - FB'!K:K)</f>
        <v>0</v>
      </c>
      <c r="K281" s="321" t="str">
        <f t="shared" si="2"/>
        <v>-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ht="15.75" customHeight="1">
      <c r="A282" s="313" t="s">
        <v>551</v>
      </c>
      <c r="B282" s="314"/>
      <c r="C282" s="315"/>
      <c r="D282" s="315"/>
      <c r="E282" s="317"/>
      <c r="F282" s="318" t="str">
        <f t="shared" si="1"/>
        <v>TP281 -  -  - </v>
      </c>
      <c r="G282" s="319">
        <f>SUMIF('ADV - FB'!L:L,$A282,'ADV - FB'!E:E)</f>
        <v>0</v>
      </c>
      <c r="H282" s="320" t="str">
        <f>IFERROR(SUMIF('ADV - FB'!L:L,$A282,'ADV - FB'!H:H)/(SUMIF('ADV - FB'!L:L,$A282,'ADV - FB'!G:G)),"-")</f>
        <v>-</v>
      </c>
      <c r="I282" s="321" t="str">
        <f>IFERROR(SUMIF('ADV - FB'!L:L,$A282,'ADV - FB'!E:E)/(SUMIF('ADV - FB'!L:L,$A282,'ADV - FB'!F:F)),"-")</f>
        <v>-</v>
      </c>
      <c r="J282" s="315">
        <f>SUMIF('ADV - FB'!L:L,$A282,'ADV - FB'!I:I)+SUMIF('ADV - FB'!L:L,$A282,'ADV - FB'!J:J)+SUMIF('ADV - FB'!L:L,$A282,'ADV - FB'!K:K)</f>
        <v>0</v>
      </c>
      <c r="K282" s="321" t="str">
        <f t="shared" si="2"/>
        <v>-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ht="15.75" customHeight="1">
      <c r="A283" s="313" t="s">
        <v>552</v>
      </c>
      <c r="B283" s="314"/>
      <c r="C283" s="315"/>
      <c r="D283" s="315"/>
      <c r="E283" s="317"/>
      <c r="F283" s="318" t="str">
        <f t="shared" si="1"/>
        <v>TP282 -  -  - </v>
      </c>
      <c r="G283" s="319">
        <f>SUMIF('ADV - FB'!L:L,$A283,'ADV - FB'!E:E)</f>
        <v>0</v>
      </c>
      <c r="H283" s="320" t="str">
        <f>IFERROR(SUMIF('ADV - FB'!L:L,$A283,'ADV - FB'!H:H)/(SUMIF('ADV - FB'!L:L,$A283,'ADV - FB'!G:G)),"-")</f>
        <v>-</v>
      </c>
      <c r="I283" s="321" t="str">
        <f>IFERROR(SUMIF('ADV - FB'!L:L,$A283,'ADV - FB'!E:E)/(SUMIF('ADV - FB'!L:L,$A283,'ADV - FB'!F:F)),"-")</f>
        <v>-</v>
      </c>
      <c r="J283" s="315">
        <f>SUMIF('ADV - FB'!L:L,$A283,'ADV - FB'!I:I)+SUMIF('ADV - FB'!L:L,$A283,'ADV - FB'!J:J)+SUMIF('ADV - FB'!L:L,$A283,'ADV - FB'!K:K)</f>
        <v>0</v>
      </c>
      <c r="K283" s="321" t="str">
        <f t="shared" si="2"/>
        <v>-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ht="15.75" customHeight="1">
      <c r="A284" s="313" t="s">
        <v>553</v>
      </c>
      <c r="B284" s="314"/>
      <c r="C284" s="315"/>
      <c r="D284" s="315"/>
      <c r="E284" s="317"/>
      <c r="F284" s="318" t="str">
        <f t="shared" si="1"/>
        <v>TP283 -  -  - </v>
      </c>
      <c r="G284" s="319">
        <f>SUMIF('ADV - FB'!L:L,$A284,'ADV - FB'!E:E)</f>
        <v>0</v>
      </c>
      <c r="H284" s="320" t="str">
        <f>IFERROR(SUMIF('ADV - FB'!L:L,$A284,'ADV - FB'!H:H)/(SUMIF('ADV - FB'!L:L,$A284,'ADV - FB'!G:G)),"-")</f>
        <v>-</v>
      </c>
      <c r="I284" s="321" t="str">
        <f>IFERROR(SUMIF('ADV - FB'!L:L,$A284,'ADV - FB'!E:E)/(SUMIF('ADV - FB'!L:L,$A284,'ADV - FB'!F:F)),"-")</f>
        <v>-</v>
      </c>
      <c r="J284" s="315">
        <f>SUMIF('ADV - FB'!L:L,$A284,'ADV - FB'!I:I)+SUMIF('ADV - FB'!L:L,$A284,'ADV - FB'!J:J)+SUMIF('ADV - FB'!L:L,$A284,'ADV - FB'!K:K)</f>
        <v>0</v>
      </c>
      <c r="K284" s="321" t="str">
        <f t="shared" si="2"/>
        <v>-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ht="15.75" customHeight="1">
      <c r="A285" s="313" t="s">
        <v>554</v>
      </c>
      <c r="B285" s="314"/>
      <c r="C285" s="315"/>
      <c r="D285" s="315"/>
      <c r="E285" s="317"/>
      <c r="F285" s="318" t="str">
        <f t="shared" si="1"/>
        <v>TP284 -  -  - </v>
      </c>
      <c r="G285" s="319">
        <f>SUMIF('ADV - FB'!L:L,$A285,'ADV - FB'!E:E)</f>
        <v>0</v>
      </c>
      <c r="H285" s="320" t="str">
        <f>IFERROR(SUMIF('ADV - FB'!L:L,$A285,'ADV - FB'!H:H)/(SUMIF('ADV - FB'!L:L,$A285,'ADV - FB'!G:G)),"-")</f>
        <v>-</v>
      </c>
      <c r="I285" s="321" t="str">
        <f>IFERROR(SUMIF('ADV - FB'!L:L,$A285,'ADV - FB'!E:E)/(SUMIF('ADV - FB'!L:L,$A285,'ADV - FB'!F:F)),"-")</f>
        <v>-</v>
      </c>
      <c r="J285" s="315">
        <f>SUMIF('ADV - FB'!L:L,$A285,'ADV - FB'!I:I)+SUMIF('ADV - FB'!L:L,$A285,'ADV - FB'!J:J)+SUMIF('ADV - FB'!L:L,$A285,'ADV - FB'!K:K)</f>
        <v>0</v>
      </c>
      <c r="K285" s="321" t="str">
        <f t="shared" si="2"/>
        <v>-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ht="15.75" customHeight="1">
      <c r="A286" s="313" t="s">
        <v>555</v>
      </c>
      <c r="B286" s="314"/>
      <c r="C286" s="315"/>
      <c r="D286" s="315"/>
      <c r="E286" s="317"/>
      <c r="F286" s="318" t="str">
        <f t="shared" si="1"/>
        <v>TP285 -  -  - </v>
      </c>
      <c r="G286" s="319">
        <f>SUMIF('ADV - FB'!L:L,$A286,'ADV - FB'!E:E)</f>
        <v>0</v>
      </c>
      <c r="H286" s="320" t="str">
        <f>IFERROR(SUMIF('ADV - FB'!L:L,$A286,'ADV - FB'!H:H)/(SUMIF('ADV - FB'!L:L,$A286,'ADV - FB'!G:G)),"-")</f>
        <v>-</v>
      </c>
      <c r="I286" s="321" t="str">
        <f>IFERROR(SUMIF('ADV - FB'!L:L,$A286,'ADV - FB'!E:E)/(SUMIF('ADV - FB'!L:L,$A286,'ADV - FB'!F:F)),"-")</f>
        <v>-</v>
      </c>
      <c r="J286" s="315">
        <f>SUMIF('ADV - FB'!L:L,$A286,'ADV - FB'!I:I)+SUMIF('ADV - FB'!L:L,$A286,'ADV - FB'!J:J)+SUMIF('ADV - FB'!L:L,$A286,'ADV - FB'!K:K)</f>
        <v>0</v>
      </c>
      <c r="K286" s="321" t="str">
        <f t="shared" si="2"/>
        <v>-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ht="15.75" customHeight="1">
      <c r="A287" s="313" t="s">
        <v>556</v>
      </c>
      <c r="B287" s="314"/>
      <c r="C287" s="315"/>
      <c r="D287" s="315"/>
      <c r="E287" s="317"/>
      <c r="F287" s="318" t="str">
        <f t="shared" si="1"/>
        <v>TP286 -  -  - </v>
      </c>
      <c r="G287" s="319">
        <f>SUMIF('ADV - FB'!L:L,$A287,'ADV - FB'!E:E)</f>
        <v>0</v>
      </c>
      <c r="H287" s="320" t="str">
        <f>IFERROR(SUMIF('ADV - FB'!L:L,$A287,'ADV - FB'!H:H)/(SUMIF('ADV - FB'!L:L,$A287,'ADV - FB'!G:G)),"-")</f>
        <v>-</v>
      </c>
      <c r="I287" s="321" t="str">
        <f>IFERROR(SUMIF('ADV - FB'!L:L,$A287,'ADV - FB'!E:E)/(SUMIF('ADV - FB'!L:L,$A287,'ADV - FB'!F:F)),"-")</f>
        <v>-</v>
      </c>
      <c r="J287" s="315">
        <f>SUMIF('ADV - FB'!L:L,$A287,'ADV - FB'!I:I)+SUMIF('ADV - FB'!L:L,$A287,'ADV - FB'!J:J)+SUMIF('ADV - FB'!L:L,$A287,'ADV - FB'!K:K)</f>
        <v>0</v>
      </c>
      <c r="K287" s="321" t="str">
        <f t="shared" si="2"/>
        <v>-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ht="15.75" customHeight="1">
      <c r="A288" s="313" t="s">
        <v>557</v>
      </c>
      <c r="B288" s="314"/>
      <c r="C288" s="315"/>
      <c r="D288" s="315"/>
      <c r="E288" s="317"/>
      <c r="F288" s="318" t="str">
        <f t="shared" si="1"/>
        <v>TP287 -  -  - </v>
      </c>
      <c r="G288" s="319">
        <f>SUMIF('ADV - FB'!L:L,$A288,'ADV - FB'!E:E)</f>
        <v>0</v>
      </c>
      <c r="H288" s="320" t="str">
        <f>IFERROR(SUMIF('ADV - FB'!L:L,$A288,'ADV - FB'!H:H)/(SUMIF('ADV - FB'!L:L,$A288,'ADV - FB'!G:G)),"-")</f>
        <v>-</v>
      </c>
      <c r="I288" s="321" t="str">
        <f>IFERROR(SUMIF('ADV - FB'!L:L,$A288,'ADV - FB'!E:E)/(SUMIF('ADV - FB'!L:L,$A288,'ADV - FB'!F:F)),"-")</f>
        <v>-</v>
      </c>
      <c r="J288" s="315">
        <f>SUMIF('ADV - FB'!L:L,$A288,'ADV - FB'!I:I)+SUMIF('ADV - FB'!L:L,$A288,'ADV - FB'!J:J)+SUMIF('ADV - FB'!L:L,$A288,'ADV - FB'!K:K)</f>
        <v>0</v>
      </c>
      <c r="K288" s="321" t="str">
        <f t="shared" si="2"/>
        <v>-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ht="15.75" customHeight="1">
      <c r="A289" s="313" t="s">
        <v>558</v>
      </c>
      <c r="B289" s="314"/>
      <c r="C289" s="315"/>
      <c r="D289" s="315"/>
      <c r="E289" s="317"/>
      <c r="F289" s="318" t="str">
        <f t="shared" si="1"/>
        <v>TP288 -  -  - </v>
      </c>
      <c r="G289" s="319">
        <f>SUMIF('ADV - FB'!L:L,$A289,'ADV - FB'!E:E)</f>
        <v>0</v>
      </c>
      <c r="H289" s="320" t="str">
        <f>IFERROR(SUMIF('ADV - FB'!L:L,$A289,'ADV - FB'!H:H)/(SUMIF('ADV - FB'!L:L,$A289,'ADV - FB'!G:G)),"-")</f>
        <v>-</v>
      </c>
      <c r="I289" s="321" t="str">
        <f>IFERROR(SUMIF('ADV - FB'!L:L,$A289,'ADV - FB'!E:E)/(SUMIF('ADV - FB'!L:L,$A289,'ADV - FB'!F:F)),"-")</f>
        <v>-</v>
      </c>
      <c r="J289" s="315">
        <f>SUMIF('ADV - FB'!L:L,$A289,'ADV - FB'!I:I)+SUMIF('ADV - FB'!L:L,$A289,'ADV - FB'!J:J)+SUMIF('ADV - FB'!L:L,$A289,'ADV - FB'!K:K)</f>
        <v>0</v>
      </c>
      <c r="K289" s="321" t="str">
        <f t="shared" si="2"/>
        <v>-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ht="15.75" customHeight="1">
      <c r="A290" s="313" t="s">
        <v>559</v>
      </c>
      <c r="B290" s="314"/>
      <c r="C290" s="315"/>
      <c r="D290" s="315"/>
      <c r="E290" s="317"/>
      <c r="F290" s="318" t="str">
        <f t="shared" si="1"/>
        <v>TP289 -  -  - </v>
      </c>
      <c r="G290" s="319">
        <f>SUMIF('ADV - FB'!L:L,$A290,'ADV - FB'!E:E)</f>
        <v>0</v>
      </c>
      <c r="H290" s="320" t="str">
        <f>IFERROR(SUMIF('ADV - FB'!L:L,$A290,'ADV - FB'!H:H)/(SUMIF('ADV - FB'!L:L,$A290,'ADV - FB'!G:G)),"-")</f>
        <v>-</v>
      </c>
      <c r="I290" s="321" t="str">
        <f>IFERROR(SUMIF('ADV - FB'!L:L,$A290,'ADV - FB'!E:E)/(SUMIF('ADV - FB'!L:L,$A290,'ADV - FB'!F:F)),"-")</f>
        <v>-</v>
      </c>
      <c r="J290" s="315">
        <f>SUMIF('ADV - FB'!L:L,$A290,'ADV - FB'!I:I)+SUMIF('ADV - FB'!L:L,$A290,'ADV - FB'!J:J)+SUMIF('ADV - FB'!L:L,$A290,'ADV - FB'!K:K)</f>
        <v>0</v>
      </c>
      <c r="K290" s="321" t="str">
        <f t="shared" si="2"/>
        <v>-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ht="15.75" customHeight="1">
      <c r="A291" s="313" t="s">
        <v>560</v>
      </c>
      <c r="B291" s="314"/>
      <c r="C291" s="315"/>
      <c r="D291" s="315"/>
      <c r="E291" s="317"/>
      <c r="F291" s="318" t="str">
        <f t="shared" si="1"/>
        <v>TP290 -  -  - </v>
      </c>
      <c r="G291" s="319">
        <f>SUMIF('ADV - FB'!L:L,$A291,'ADV - FB'!E:E)</f>
        <v>0</v>
      </c>
      <c r="H291" s="320" t="str">
        <f>IFERROR(SUMIF('ADV - FB'!L:L,$A291,'ADV - FB'!H:H)/(SUMIF('ADV - FB'!L:L,$A291,'ADV - FB'!G:G)),"-")</f>
        <v>-</v>
      </c>
      <c r="I291" s="321" t="str">
        <f>IFERROR(SUMIF('ADV - FB'!L:L,$A291,'ADV - FB'!E:E)/(SUMIF('ADV - FB'!L:L,$A291,'ADV - FB'!F:F)),"-")</f>
        <v>-</v>
      </c>
      <c r="J291" s="315">
        <f>SUMIF('ADV - FB'!L:L,$A291,'ADV - FB'!I:I)+SUMIF('ADV - FB'!L:L,$A291,'ADV - FB'!J:J)+SUMIF('ADV - FB'!L:L,$A291,'ADV - FB'!K:K)</f>
        <v>0</v>
      </c>
      <c r="K291" s="321" t="str">
        <f t="shared" si="2"/>
        <v>-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ht="15.75" customHeight="1">
      <c r="A292" s="313" t="s">
        <v>561</v>
      </c>
      <c r="B292" s="314"/>
      <c r="C292" s="315"/>
      <c r="D292" s="315"/>
      <c r="E292" s="317"/>
      <c r="F292" s="318" t="str">
        <f t="shared" si="1"/>
        <v>TP291 -  -  - </v>
      </c>
      <c r="G292" s="319">
        <f>SUMIF('ADV - FB'!L:L,$A292,'ADV - FB'!E:E)</f>
        <v>0</v>
      </c>
      <c r="H292" s="320" t="str">
        <f>IFERROR(SUMIF('ADV - FB'!L:L,$A292,'ADV - FB'!H:H)/(SUMIF('ADV - FB'!L:L,$A292,'ADV - FB'!G:G)),"-")</f>
        <v>-</v>
      </c>
      <c r="I292" s="321" t="str">
        <f>IFERROR(SUMIF('ADV - FB'!L:L,$A292,'ADV - FB'!E:E)/(SUMIF('ADV - FB'!L:L,$A292,'ADV - FB'!F:F)),"-")</f>
        <v>-</v>
      </c>
      <c r="J292" s="315">
        <f>SUMIF('ADV - FB'!L:L,$A292,'ADV - FB'!I:I)+SUMIF('ADV - FB'!L:L,$A292,'ADV - FB'!J:J)+SUMIF('ADV - FB'!L:L,$A292,'ADV - FB'!K:K)</f>
        <v>0</v>
      </c>
      <c r="K292" s="321" t="str">
        <f t="shared" si="2"/>
        <v>-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ht="15.75" customHeight="1">
      <c r="A293" s="313" t="s">
        <v>562</v>
      </c>
      <c r="B293" s="314"/>
      <c r="C293" s="315"/>
      <c r="D293" s="315"/>
      <c r="E293" s="317"/>
      <c r="F293" s="318" t="str">
        <f t="shared" si="1"/>
        <v>TP292 -  -  - </v>
      </c>
      <c r="G293" s="319">
        <f>SUMIF('ADV - FB'!L:L,$A293,'ADV - FB'!E:E)</f>
        <v>0</v>
      </c>
      <c r="H293" s="320" t="str">
        <f>IFERROR(SUMIF('ADV - FB'!L:L,$A293,'ADV - FB'!H:H)/(SUMIF('ADV - FB'!L:L,$A293,'ADV - FB'!G:G)),"-")</f>
        <v>-</v>
      </c>
      <c r="I293" s="321" t="str">
        <f>IFERROR(SUMIF('ADV - FB'!L:L,$A293,'ADV - FB'!E:E)/(SUMIF('ADV - FB'!L:L,$A293,'ADV - FB'!F:F)),"-")</f>
        <v>-</v>
      </c>
      <c r="J293" s="315">
        <f>SUMIF('ADV - FB'!L:L,$A293,'ADV - FB'!I:I)+SUMIF('ADV - FB'!L:L,$A293,'ADV - FB'!J:J)+SUMIF('ADV - FB'!L:L,$A293,'ADV - FB'!K:K)</f>
        <v>0</v>
      </c>
      <c r="K293" s="321" t="str">
        <f t="shared" si="2"/>
        <v>-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ht="15.75" customHeight="1">
      <c r="A294" s="313" t="s">
        <v>563</v>
      </c>
      <c r="B294" s="314"/>
      <c r="C294" s="315"/>
      <c r="D294" s="315"/>
      <c r="E294" s="317"/>
      <c r="F294" s="318" t="str">
        <f t="shared" si="1"/>
        <v>TP293 -  -  - </v>
      </c>
      <c r="G294" s="319">
        <f>SUMIF('ADV - FB'!L:L,$A294,'ADV - FB'!E:E)</f>
        <v>0</v>
      </c>
      <c r="H294" s="320" t="str">
        <f>IFERROR(SUMIF('ADV - FB'!L:L,$A294,'ADV - FB'!H:H)/(SUMIF('ADV - FB'!L:L,$A294,'ADV - FB'!G:G)),"-")</f>
        <v>-</v>
      </c>
      <c r="I294" s="321" t="str">
        <f>IFERROR(SUMIF('ADV - FB'!L:L,$A294,'ADV - FB'!E:E)/(SUMIF('ADV - FB'!L:L,$A294,'ADV - FB'!F:F)),"-")</f>
        <v>-</v>
      </c>
      <c r="J294" s="315">
        <f>SUMIF('ADV - FB'!L:L,$A294,'ADV - FB'!I:I)+SUMIF('ADV - FB'!L:L,$A294,'ADV - FB'!J:J)+SUMIF('ADV - FB'!L:L,$A294,'ADV - FB'!K:K)</f>
        <v>0</v>
      </c>
      <c r="K294" s="321" t="str">
        <f t="shared" si="2"/>
        <v>-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ht="15.75" customHeight="1">
      <c r="A295" s="313" t="s">
        <v>564</v>
      </c>
      <c r="B295" s="314"/>
      <c r="C295" s="315"/>
      <c r="D295" s="315"/>
      <c r="E295" s="317"/>
      <c r="F295" s="318" t="str">
        <f t="shared" si="1"/>
        <v>TP294 -  -  - </v>
      </c>
      <c r="G295" s="319">
        <f>SUMIF('ADV - FB'!L:L,$A295,'ADV - FB'!E:E)</f>
        <v>0</v>
      </c>
      <c r="H295" s="320" t="str">
        <f>IFERROR(SUMIF('ADV - FB'!L:L,$A295,'ADV - FB'!H:H)/(SUMIF('ADV - FB'!L:L,$A295,'ADV - FB'!G:G)),"-")</f>
        <v>-</v>
      </c>
      <c r="I295" s="321" t="str">
        <f>IFERROR(SUMIF('ADV - FB'!L:L,$A295,'ADV - FB'!E:E)/(SUMIF('ADV - FB'!L:L,$A295,'ADV - FB'!F:F)),"-")</f>
        <v>-</v>
      </c>
      <c r="J295" s="315">
        <f>SUMIF('ADV - FB'!L:L,$A295,'ADV - FB'!I:I)+SUMIF('ADV - FB'!L:L,$A295,'ADV - FB'!J:J)+SUMIF('ADV - FB'!L:L,$A295,'ADV - FB'!K:K)</f>
        <v>0</v>
      </c>
      <c r="K295" s="321" t="str">
        <f t="shared" si="2"/>
        <v>-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ht="15.75" customHeight="1">
      <c r="A296" s="313" t="s">
        <v>565</v>
      </c>
      <c r="B296" s="314"/>
      <c r="C296" s="315"/>
      <c r="D296" s="315"/>
      <c r="E296" s="317"/>
      <c r="F296" s="318" t="str">
        <f t="shared" si="1"/>
        <v>TP295 -  -  - </v>
      </c>
      <c r="G296" s="319">
        <f>SUMIF('ADV - FB'!L:L,$A296,'ADV - FB'!E:E)</f>
        <v>0</v>
      </c>
      <c r="H296" s="320" t="str">
        <f>IFERROR(SUMIF('ADV - FB'!L:L,$A296,'ADV - FB'!H:H)/(SUMIF('ADV - FB'!L:L,$A296,'ADV - FB'!G:G)),"-")</f>
        <v>-</v>
      </c>
      <c r="I296" s="321" t="str">
        <f>IFERROR(SUMIF('ADV - FB'!L:L,$A296,'ADV - FB'!E:E)/(SUMIF('ADV - FB'!L:L,$A296,'ADV - FB'!F:F)),"-")</f>
        <v>-</v>
      </c>
      <c r="J296" s="315">
        <f>SUMIF('ADV - FB'!L:L,$A296,'ADV - FB'!I:I)+SUMIF('ADV - FB'!L:L,$A296,'ADV - FB'!J:J)+SUMIF('ADV - FB'!L:L,$A296,'ADV - FB'!K:K)</f>
        <v>0</v>
      </c>
      <c r="K296" s="321" t="str">
        <f t="shared" si="2"/>
        <v>-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ht="15.75" customHeight="1">
      <c r="A297" s="313" t="s">
        <v>566</v>
      </c>
      <c r="B297" s="314"/>
      <c r="C297" s="315"/>
      <c r="D297" s="315"/>
      <c r="E297" s="317"/>
      <c r="F297" s="318" t="str">
        <f t="shared" si="1"/>
        <v>TP296 -  -  - </v>
      </c>
      <c r="G297" s="319">
        <f>SUMIF('ADV - FB'!L:L,$A297,'ADV - FB'!E:E)</f>
        <v>0</v>
      </c>
      <c r="H297" s="320" t="str">
        <f>IFERROR(SUMIF('ADV - FB'!L:L,$A297,'ADV - FB'!H:H)/(SUMIF('ADV - FB'!L:L,$A297,'ADV - FB'!G:G)),"-")</f>
        <v>-</v>
      </c>
      <c r="I297" s="321" t="str">
        <f>IFERROR(SUMIF('ADV - FB'!L:L,$A297,'ADV - FB'!E:E)/(SUMIF('ADV - FB'!L:L,$A297,'ADV - FB'!F:F)),"-")</f>
        <v>-</v>
      </c>
      <c r="J297" s="315">
        <f>SUMIF('ADV - FB'!L:L,$A297,'ADV - FB'!I:I)+SUMIF('ADV - FB'!L:L,$A297,'ADV - FB'!J:J)+SUMIF('ADV - FB'!L:L,$A297,'ADV - FB'!K:K)</f>
        <v>0</v>
      </c>
      <c r="K297" s="321" t="str">
        <f t="shared" si="2"/>
        <v>-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ht="15.75" customHeight="1">
      <c r="A298" s="313" t="s">
        <v>567</v>
      </c>
      <c r="B298" s="314"/>
      <c r="C298" s="315"/>
      <c r="D298" s="315"/>
      <c r="E298" s="317"/>
      <c r="F298" s="318" t="str">
        <f t="shared" si="1"/>
        <v>TP297 -  -  - </v>
      </c>
      <c r="G298" s="319">
        <f>SUMIF('ADV - FB'!L:L,$A298,'ADV - FB'!E:E)</f>
        <v>0</v>
      </c>
      <c r="H298" s="320" t="str">
        <f>IFERROR(SUMIF('ADV - FB'!L:L,$A298,'ADV - FB'!H:H)/(SUMIF('ADV - FB'!L:L,$A298,'ADV - FB'!G:G)),"-")</f>
        <v>-</v>
      </c>
      <c r="I298" s="321" t="str">
        <f>IFERROR(SUMIF('ADV - FB'!L:L,$A298,'ADV - FB'!E:E)/(SUMIF('ADV - FB'!L:L,$A298,'ADV - FB'!F:F)),"-")</f>
        <v>-</v>
      </c>
      <c r="J298" s="315">
        <f>SUMIF('ADV - FB'!L:L,$A298,'ADV - FB'!I:I)+SUMIF('ADV - FB'!L:L,$A298,'ADV - FB'!J:J)+SUMIF('ADV - FB'!L:L,$A298,'ADV - FB'!K:K)</f>
        <v>0</v>
      </c>
      <c r="K298" s="321" t="str">
        <f t="shared" si="2"/>
        <v>-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ht="15.75" customHeight="1">
      <c r="A299" s="313" t="s">
        <v>568</v>
      </c>
      <c r="B299" s="314"/>
      <c r="C299" s="315"/>
      <c r="D299" s="315"/>
      <c r="E299" s="317"/>
      <c r="F299" s="318" t="str">
        <f t="shared" si="1"/>
        <v>TP298 -  -  - </v>
      </c>
      <c r="G299" s="319">
        <f>SUMIF('ADV - FB'!L:L,$A299,'ADV - FB'!E:E)</f>
        <v>0</v>
      </c>
      <c r="H299" s="320" t="str">
        <f>IFERROR(SUMIF('ADV - FB'!L:L,$A299,'ADV - FB'!H:H)/(SUMIF('ADV - FB'!L:L,$A299,'ADV - FB'!G:G)),"-")</f>
        <v>-</v>
      </c>
      <c r="I299" s="321" t="str">
        <f>IFERROR(SUMIF('ADV - FB'!L:L,$A299,'ADV - FB'!E:E)/(SUMIF('ADV - FB'!L:L,$A299,'ADV - FB'!F:F)),"-")</f>
        <v>-</v>
      </c>
      <c r="J299" s="315">
        <f>SUMIF('ADV - FB'!L:L,$A299,'ADV - FB'!I:I)+SUMIF('ADV - FB'!L:L,$A299,'ADV - FB'!J:J)+SUMIF('ADV - FB'!L:L,$A299,'ADV - FB'!K:K)</f>
        <v>0</v>
      </c>
      <c r="K299" s="321" t="str">
        <f t="shared" si="2"/>
        <v>-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ht="15.75" customHeight="1">
      <c r="A300" s="313" t="s">
        <v>569</v>
      </c>
      <c r="B300" s="314"/>
      <c r="C300" s="315"/>
      <c r="D300" s="315"/>
      <c r="E300" s="317"/>
      <c r="F300" s="318" t="str">
        <f t="shared" si="1"/>
        <v>TP299 -  -  - </v>
      </c>
      <c r="G300" s="319">
        <f>SUMIF('ADV - FB'!L:L,$A300,'ADV - FB'!E:E)</f>
        <v>0</v>
      </c>
      <c r="H300" s="320" t="str">
        <f>IFERROR(SUMIF('ADV - FB'!L:L,$A300,'ADV - FB'!H:H)/(SUMIF('ADV - FB'!L:L,$A300,'ADV - FB'!G:G)),"-")</f>
        <v>-</v>
      </c>
      <c r="I300" s="321" t="str">
        <f>IFERROR(SUMIF('ADV - FB'!L:L,$A300,'ADV - FB'!E:E)/(SUMIF('ADV - FB'!L:L,$A300,'ADV - FB'!F:F)),"-")</f>
        <v>-</v>
      </c>
      <c r="J300" s="315">
        <f>SUMIF('ADV - FB'!L:L,$A300,'ADV - FB'!I:I)+SUMIF('ADV - FB'!L:L,$A300,'ADV - FB'!J:J)+SUMIF('ADV - FB'!L:L,$A300,'ADV - FB'!K:K)</f>
        <v>0</v>
      </c>
      <c r="K300" s="321" t="str">
        <f t="shared" si="2"/>
        <v>-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ht="15.75" customHeight="1">
      <c r="A301" s="313" t="s">
        <v>570</v>
      </c>
      <c r="B301" s="314"/>
      <c r="C301" s="315"/>
      <c r="D301" s="315"/>
      <c r="E301" s="317"/>
      <c r="F301" s="318" t="str">
        <f t="shared" si="1"/>
        <v>TP300 -  -  - </v>
      </c>
      <c r="G301" s="319">
        <f>SUMIF('ADV - FB'!L:L,$A301,'ADV - FB'!E:E)</f>
        <v>0</v>
      </c>
      <c r="H301" s="320" t="str">
        <f>IFERROR(SUMIF('ADV - FB'!L:L,$A301,'ADV - FB'!H:H)/(SUMIF('ADV - FB'!L:L,$A301,'ADV - FB'!G:G)),"-")</f>
        <v>-</v>
      </c>
      <c r="I301" s="321" t="str">
        <f>IFERROR(SUMIF('ADV - FB'!L:L,$A301,'ADV - FB'!E:E)/(SUMIF('ADV - FB'!L:L,$A301,'ADV - FB'!F:F)),"-")</f>
        <v>-</v>
      </c>
      <c r="J301" s="315">
        <f>SUMIF('ADV - FB'!L:L,$A301,'ADV - FB'!I:I)+SUMIF('ADV - FB'!L:L,$A301,'ADV - FB'!J:J)+SUMIF('ADV - FB'!L:L,$A301,'ADV - FB'!K:K)</f>
        <v>0</v>
      </c>
      <c r="K301" s="321" t="str">
        <f t="shared" si="2"/>
        <v>-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ht="15.75" customHeight="1">
      <c r="A302" s="313" t="s">
        <v>571</v>
      </c>
      <c r="B302" s="314"/>
      <c r="C302" s="315"/>
      <c r="D302" s="315"/>
      <c r="E302" s="317"/>
      <c r="F302" s="318" t="str">
        <f t="shared" si="1"/>
        <v>TP301 -  -  - </v>
      </c>
      <c r="G302" s="319">
        <f>SUMIF('ADV - FB'!L:L,$A302,'ADV - FB'!E:E)</f>
        <v>0</v>
      </c>
      <c r="H302" s="320" t="str">
        <f>IFERROR(SUMIF('ADV - FB'!L:L,$A302,'ADV - FB'!H:H)/(SUMIF('ADV - FB'!L:L,$A302,'ADV - FB'!G:G)),"-")</f>
        <v>-</v>
      </c>
      <c r="I302" s="321" t="str">
        <f>IFERROR(SUMIF('ADV - FB'!L:L,$A302,'ADV - FB'!E:E)/(SUMIF('ADV - FB'!L:L,$A302,'ADV - FB'!F:F)),"-")</f>
        <v>-</v>
      </c>
      <c r="J302" s="315">
        <f>SUMIF('ADV - FB'!L:L,$A302,'ADV - FB'!I:I)+SUMIF('ADV - FB'!L:L,$A302,'ADV - FB'!J:J)+SUMIF('ADV - FB'!L:L,$A302,'ADV - FB'!K:K)</f>
        <v>0</v>
      </c>
      <c r="K302" s="321" t="str">
        <f t="shared" si="2"/>
        <v>-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ht="15.75" customHeight="1">
      <c r="A303" s="313" t="s">
        <v>572</v>
      </c>
      <c r="B303" s="314"/>
      <c r="C303" s="315"/>
      <c r="D303" s="315"/>
      <c r="E303" s="317"/>
      <c r="F303" s="318" t="str">
        <f t="shared" si="1"/>
        <v>TP302 -  -  - </v>
      </c>
      <c r="G303" s="319">
        <f>SUMIF('ADV - FB'!L:L,$A303,'ADV - FB'!E:E)</f>
        <v>0</v>
      </c>
      <c r="H303" s="320" t="str">
        <f>IFERROR(SUMIF('ADV - FB'!L:L,$A303,'ADV - FB'!H:H)/(SUMIF('ADV - FB'!L:L,$A303,'ADV - FB'!G:G)),"-")</f>
        <v>-</v>
      </c>
      <c r="I303" s="321" t="str">
        <f>IFERROR(SUMIF('ADV - FB'!L:L,$A303,'ADV - FB'!E:E)/(SUMIF('ADV - FB'!L:L,$A303,'ADV - FB'!F:F)),"-")</f>
        <v>-</v>
      </c>
      <c r="J303" s="315">
        <f>SUMIF('ADV - FB'!L:L,$A303,'ADV - FB'!I:I)+SUMIF('ADV - FB'!L:L,$A303,'ADV - FB'!J:J)+SUMIF('ADV - FB'!L:L,$A303,'ADV - FB'!K:K)</f>
        <v>0</v>
      </c>
      <c r="K303" s="321" t="str">
        <f t="shared" si="2"/>
        <v>-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ht="15.75" customHeight="1">
      <c r="A304" s="313" t="s">
        <v>573</v>
      </c>
      <c r="B304" s="314"/>
      <c r="C304" s="315"/>
      <c r="D304" s="315"/>
      <c r="E304" s="317"/>
      <c r="F304" s="318" t="str">
        <f t="shared" si="1"/>
        <v>TP303 -  -  - </v>
      </c>
      <c r="G304" s="319">
        <f>SUMIF('ADV - FB'!L:L,$A304,'ADV - FB'!E:E)</f>
        <v>0</v>
      </c>
      <c r="H304" s="320" t="str">
        <f>IFERROR(SUMIF('ADV - FB'!L:L,$A304,'ADV - FB'!H:H)/(SUMIF('ADV - FB'!L:L,$A304,'ADV - FB'!G:G)),"-")</f>
        <v>-</v>
      </c>
      <c r="I304" s="321" t="str">
        <f>IFERROR(SUMIF('ADV - FB'!L:L,$A304,'ADV - FB'!E:E)/(SUMIF('ADV - FB'!L:L,$A304,'ADV - FB'!F:F)),"-")</f>
        <v>-</v>
      </c>
      <c r="J304" s="315">
        <f>SUMIF('ADV - FB'!L:L,$A304,'ADV - FB'!I:I)+SUMIF('ADV - FB'!L:L,$A304,'ADV - FB'!J:J)+SUMIF('ADV - FB'!L:L,$A304,'ADV - FB'!K:K)</f>
        <v>0</v>
      </c>
      <c r="K304" s="321" t="str">
        <f t="shared" si="2"/>
        <v>-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ht="15.75" customHeight="1">
      <c r="A305" s="313" t="s">
        <v>574</v>
      </c>
      <c r="B305" s="314"/>
      <c r="C305" s="315"/>
      <c r="D305" s="315"/>
      <c r="E305" s="317"/>
      <c r="F305" s="318" t="str">
        <f t="shared" si="1"/>
        <v>TP304 -  -  - </v>
      </c>
      <c r="G305" s="319">
        <f>SUMIF('ADV - FB'!L:L,$A305,'ADV - FB'!E:E)</f>
        <v>0</v>
      </c>
      <c r="H305" s="320" t="str">
        <f>IFERROR(SUMIF('ADV - FB'!L:L,$A305,'ADV - FB'!H:H)/(SUMIF('ADV - FB'!L:L,$A305,'ADV - FB'!G:G)),"-")</f>
        <v>-</v>
      </c>
      <c r="I305" s="321" t="str">
        <f>IFERROR(SUMIF('ADV - FB'!L:L,$A305,'ADV - FB'!E:E)/(SUMIF('ADV - FB'!L:L,$A305,'ADV - FB'!F:F)),"-")</f>
        <v>-</v>
      </c>
      <c r="J305" s="315">
        <f>SUMIF('ADV - FB'!L:L,$A305,'ADV - FB'!I:I)+SUMIF('ADV - FB'!L:L,$A305,'ADV - FB'!J:J)+SUMIF('ADV - FB'!L:L,$A305,'ADV - FB'!K:K)</f>
        <v>0</v>
      </c>
      <c r="K305" s="321" t="str">
        <f t="shared" si="2"/>
        <v>-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ht="15.75" customHeight="1">
      <c r="A306" s="313" t="s">
        <v>575</v>
      </c>
      <c r="B306" s="314"/>
      <c r="C306" s="315"/>
      <c r="D306" s="315"/>
      <c r="E306" s="317"/>
      <c r="F306" s="318" t="str">
        <f t="shared" si="1"/>
        <v>TP305 -  -  - </v>
      </c>
      <c r="G306" s="319">
        <f>SUMIF('ADV - FB'!L:L,$A306,'ADV - FB'!E:E)</f>
        <v>0</v>
      </c>
      <c r="H306" s="320" t="str">
        <f>IFERROR(SUMIF('ADV - FB'!L:L,$A306,'ADV - FB'!H:H)/(SUMIF('ADV - FB'!L:L,$A306,'ADV - FB'!G:G)),"-")</f>
        <v>-</v>
      </c>
      <c r="I306" s="321" t="str">
        <f>IFERROR(SUMIF('ADV - FB'!L:L,$A306,'ADV - FB'!E:E)/(SUMIF('ADV - FB'!L:L,$A306,'ADV - FB'!F:F)),"-")</f>
        <v>-</v>
      </c>
      <c r="J306" s="315">
        <f>SUMIF('ADV - FB'!L:L,$A306,'ADV - FB'!I:I)+SUMIF('ADV - FB'!L:L,$A306,'ADV - FB'!J:J)+SUMIF('ADV - FB'!L:L,$A306,'ADV - FB'!K:K)</f>
        <v>0</v>
      </c>
      <c r="K306" s="321" t="str">
        <f t="shared" si="2"/>
        <v>-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ht="15.75" customHeight="1">
      <c r="A307" s="313" t="s">
        <v>576</v>
      </c>
      <c r="B307" s="314"/>
      <c r="C307" s="315"/>
      <c r="D307" s="315"/>
      <c r="E307" s="317"/>
      <c r="F307" s="318" t="str">
        <f t="shared" si="1"/>
        <v>TP306 -  -  - </v>
      </c>
      <c r="G307" s="319">
        <f>SUMIF('ADV - FB'!L:L,$A307,'ADV - FB'!E:E)</f>
        <v>0</v>
      </c>
      <c r="H307" s="320" t="str">
        <f>IFERROR(SUMIF('ADV - FB'!L:L,$A307,'ADV - FB'!H:H)/(SUMIF('ADV - FB'!L:L,$A307,'ADV - FB'!G:G)),"-")</f>
        <v>-</v>
      </c>
      <c r="I307" s="321" t="str">
        <f>IFERROR(SUMIF('ADV - FB'!L:L,$A307,'ADV - FB'!E:E)/(SUMIF('ADV - FB'!L:L,$A307,'ADV - FB'!F:F)),"-")</f>
        <v>-</v>
      </c>
      <c r="J307" s="315">
        <f>SUMIF('ADV - FB'!L:L,$A307,'ADV - FB'!I:I)+SUMIF('ADV - FB'!L:L,$A307,'ADV - FB'!J:J)+SUMIF('ADV - FB'!L:L,$A307,'ADV - FB'!K:K)</f>
        <v>0</v>
      </c>
      <c r="K307" s="321" t="str">
        <f t="shared" si="2"/>
        <v>-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ht="15.75" customHeight="1">
      <c r="A308" s="313" t="s">
        <v>577</v>
      </c>
      <c r="B308" s="314"/>
      <c r="C308" s="315"/>
      <c r="D308" s="315"/>
      <c r="E308" s="317"/>
      <c r="F308" s="318" t="str">
        <f t="shared" si="1"/>
        <v>TP307 -  -  - </v>
      </c>
      <c r="G308" s="319">
        <f>SUMIF('ADV - FB'!L:L,$A308,'ADV - FB'!E:E)</f>
        <v>0</v>
      </c>
      <c r="H308" s="320" t="str">
        <f>IFERROR(SUMIF('ADV - FB'!L:L,$A308,'ADV - FB'!H:H)/(SUMIF('ADV - FB'!L:L,$A308,'ADV - FB'!G:G)),"-")</f>
        <v>-</v>
      </c>
      <c r="I308" s="321" t="str">
        <f>IFERROR(SUMIF('ADV - FB'!L:L,$A308,'ADV - FB'!E:E)/(SUMIF('ADV - FB'!L:L,$A308,'ADV - FB'!F:F)),"-")</f>
        <v>-</v>
      </c>
      <c r="J308" s="315">
        <f>SUMIF('ADV - FB'!L:L,$A308,'ADV - FB'!I:I)+SUMIF('ADV - FB'!L:L,$A308,'ADV - FB'!J:J)+SUMIF('ADV - FB'!L:L,$A308,'ADV - FB'!K:K)</f>
        <v>0</v>
      </c>
      <c r="K308" s="321" t="str">
        <f t="shared" si="2"/>
        <v>-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ht="15.75" customHeight="1">
      <c r="A309" s="313" t="s">
        <v>578</v>
      </c>
      <c r="B309" s="314"/>
      <c r="C309" s="315"/>
      <c r="D309" s="315"/>
      <c r="E309" s="317"/>
      <c r="F309" s="318" t="str">
        <f t="shared" si="1"/>
        <v>TP308 -  -  - </v>
      </c>
      <c r="G309" s="319">
        <f>SUMIF('ADV - FB'!L:L,$A309,'ADV - FB'!E:E)</f>
        <v>0</v>
      </c>
      <c r="H309" s="320" t="str">
        <f>IFERROR(SUMIF('ADV - FB'!L:L,$A309,'ADV - FB'!H:H)/(SUMIF('ADV - FB'!L:L,$A309,'ADV - FB'!G:G)),"-")</f>
        <v>-</v>
      </c>
      <c r="I309" s="321" t="str">
        <f>IFERROR(SUMIF('ADV - FB'!L:L,$A309,'ADV - FB'!E:E)/(SUMIF('ADV - FB'!L:L,$A309,'ADV - FB'!F:F)),"-")</f>
        <v>-</v>
      </c>
      <c r="J309" s="315">
        <f>SUMIF('ADV - FB'!L:L,$A309,'ADV - FB'!I:I)+SUMIF('ADV - FB'!L:L,$A309,'ADV - FB'!J:J)+SUMIF('ADV - FB'!L:L,$A309,'ADV - FB'!K:K)</f>
        <v>0</v>
      </c>
      <c r="K309" s="321" t="str">
        <f t="shared" si="2"/>
        <v>-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ht="15.75" customHeight="1">
      <c r="A310" s="313" t="s">
        <v>579</v>
      </c>
      <c r="B310" s="314"/>
      <c r="C310" s="315"/>
      <c r="D310" s="315"/>
      <c r="E310" s="317"/>
      <c r="F310" s="318" t="str">
        <f t="shared" si="1"/>
        <v>TP309 -  -  - </v>
      </c>
      <c r="G310" s="319">
        <f>SUMIF('ADV - FB'!L:L,$A310,'ADV - FB'!E:E)</f>
        <v>0</v>
      </c>
      <c r="H310" s="320" t="str">
        <f>IFERROR(SUMIF('ADV - FB'!L:L,$A310,'ADV - FB'!H:H)/(SUMIF('ADV - FB'!L:L,$A310,'ADV - FB'!G:G)),"-")</f>
        <v>-</v>
      </c>
      <c r="I310" s="321" t="str">
        <f>IFERROR(SUMIF('ADV - FB'!L:L,$A310,'ADV - FB'!E:E)/(SUMIF('ADV - FB'!L:L,$A310,'ADV - FB'!F:F)),"-")</f>
        <v>-</v>
      </c>
      <c r="J310" s="315">
        <f>SUMIF('ADV - FB'!L:L,$A310,'ADV - FB'!I:I)+SUMIF('ADV - FB'!L:L,$A310,'ADV - FB'!J:J)+SUMIF('ADV - FB'!L:L,$A310,'ADV - FB'!K:K)</f>
        <v>0</v>
      </c>
      <c r="K310" s="321" t="str">
        <f t="shared" si="2"/>
        <v>-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ht="15.75" customHeight="1">
      <c r="A311" s="313" t="s">
        <v>580</v>
      </c>
      <c r="B311" s="314"/>
      <c r="C311" s="315"/>
      <c r="D311" s="315"/>
      <c r="E311" s="317"/>
      <c r="F311" s="318" t="str">
        <f t="shared" si="1"/>
        <v>TP310 -  -  - </v>
      </c>
      <c r="G311" s="319">
        <f>SUMIF('ADV - FB'!L:L,$A311,'ADV - FB'!E:E)</f>
        <v>0</v>
      </c>
      <c r="H311" s="320" t="str">
        <f>IFERROR(SUMIF('ADV - FB'!L:L,$A311,'ADV - FB'!H:H)/(SUMIF('ADV - FB'!L:L,$A311,'ADV - FB'!G:G)),"-")</f>
        <v>-</v>
      </c>
      <c r="I311" s="321" t="str">
        <f>IFERROR(SUMIF('ADV - FB'!L:L,$A311,'ADV - FB'!E:E)/(SUMIF('ADV - FB'!L:L,$A311,'ADV - FB'!F:F)),"-")</f>
        <v>-</v>
      </c>
      <c r="J311" s="315">
        <f>SUMIF('ADV - FB'!L:L,$A311,'ADV - FB'!I:I)+SUMIF('ADV - FB'!L:L,$A311,'ADV - FB'!J:J)+SUMIF('ADV - FB'!L:L,$A311,'ADV - FB'!K:K)</f>
        <v>0</v>
      </c>
      <c r="K311" s="321" t="str">
        <f t="shared" si="2"/>
        <v>-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ht="15.75" customHeight="1">
      <c r="A312" s="313" t="s">
        <v>581</v>
      </c>
      <c r="B312" s="314"/>
      <c r="C312" s="315"/>
      <c r="D312" s="315"/>
      <c r="E312" s="317"/>
      <c r="F312" s="318" t="str">
        <f t="shared" si="1"/>
        <v>TP311 -  -  - </v>
      </c>
      <c r="G312" s="319">
        <f>SUMIF('ADV - FB'!L:L,$A312,'ADV - FB'!E:E)</f>
        <v>0</v>
      </c>
      <c r="H312" s="320" t="str">
        <f>IFERROR(SUMIF('ADV - FB'!L:L,$A312,'ADV - FB'!H:H)/(SUMIF('ADV - FB'!L:L,$A312,'ADV - FB'!G:G)),"-")</f>
        <v>-</v>
      </c>
      <c r="I312" s="321" t="str">
        <f>IFERROR(SUMIF('ADV - FB'!L:L,$A312,'ADV - FB'!E:E)/(SUMIF('ADV - FB'!L:L,$A312,'ADV - FB'!F:F)),"-")</f>
        <v>-</v>
      </c>
      <c r="J312" s="315">
        <f>SUMIF('ADV - FB'!L:L,$A312,'ADV - FB'!I:I)+SUMIF('ADV - FB'!L:L,$A312,'ADV - FB'!J:J)+SUMIF('ADV - FB'!L:L,$A312,'ADV - FB'!K:K)</f>
        <v>0</v>
      </c>
      <c r="K312" s="321" t="str">
        <f t="shared" si="2"/>
        <v>-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ht="15.75" customHeight="1">
      <c r="A313" s="313" t="s">
        <v>582</v>
      </c>
      <c r="B313" s="314"/>
      <c r="C313" s="315"/>
      <c r="D313" s="315"/>
      <c r="E313" s="317"/>
      <c r="F313" s="318" t="str">
        <f t="shared" si="1"/>
        <v>TP312 -  -  - </v>
      </c>
      <c r="G313" s="319">
        <f>SUMIF('ADV - FB'!L:L,$A313,'ADV - FB'!E:E)</f>
        <v>0</v>
      </c>
      <c r="H313" s="320" t="str">
        <f>IFERROR(SUMIF('ADV - FB'!L:L,$A313,'ADV - FB'!H:H)/(SUMIF('ADV - FB'!L:L,$A313,'ADV - FB'!G:G)),"-")</f>
        <v>-</v>
      </c>
      <c r="I313" s="321" t="str">
        <f>IFERROR(SUMIF('ADV - FB'!L:L,$A313,'ADV - FB'!E:E)/(SUMIF('ADV - FB'!L:L,$A313,'ADV - FB'!F:F)),"-")</f>
        <v>-</v>
      </c>
      <c r="J313" s="315">
        <f>SUMIF('ADV - FB'!L:L,$A313,'ADV - FB'!I:I)+SUMIF('ADV - FB'!L:L,$A313,'ADV - FB'!J:J)+SUMIF('ADV - FB'!L:L,$A313,'ADV - FB'!K:K)</f>
        <v>0</v>
      </c>
      <c r="K313" s="321" t="str">
        <f t="shared" si="2"/>
        <v>-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ht="15.75" customHeight="1">
      <c r="A314" s="313" t="s">
        <v>583</v>
      </c>
      <c r="B314" s="314"/>
      <c r="C314" s="315"/>
      <c r="D314" s="315"/>
      <c r="E314" s="317"/>
      <c r="F314" s="318" t="str">
        <f t="shared" si="1"/>
        <v>TP313 -  -  - </v>
      </c>
      <c r="G314" s="319">
        <f>SUMIF('ADV - FB'!L:L,$A314,'ADV - FB'!E:E)</f>
        <v>0</v>
      </c>
      <c r="H314" s="320" t="str">
        <f>IFERROR(SUMIF('ADV - FB'!L:L,$A314,'ADV - FB'!H:H)/(SUMIF('ADV - FB'!L:L,$A314,'ADV - FB'!G:G)),"-")</f>
        <v>-</v>
      </c>
      <c r="I314" s="321" t="str">
        <f>IFERROR(SUMIF('ADV - FB'!L:L,$A314,'ADV - FB'!E:E)/(SUMIF('ADV - FB'!L:L,$A314,'ADV - FB'!F:F)),"-")</f>
        <v>-</v>
      </c>
      <c r="J314" s="315">
        <f>SUMIF('ADV - FB'!L:L,$A314,'ADV - FB'!I:I)+SUMIF('ADV - FB'!L:L,$A314,'ADV - FB'!J:J)+SUMIF('ADV - FB'!L:L,$A314,'ADV - FB'!K:K)</f>
        <v>0</v>
      </c>
      <c r="K314" s="321" t="str">
        <f t="shared" si="2"/>
        <v>-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ht="15.75" customHeight="1">
      <c r="A315" s="313" t="s">
        <v>584</v>
      </c>
      <c r="B315" s="314"/>
      <c r="C315" s="315"/>
      <c r="D315" s="315"/>
      <c r="E315" s="317"/>
      <c r="F315" s="318" t="str">
        <f t="shared" si="1"/>
        <v>TP314 -  -  - </v>
      </c>
      <c r="G315" s="319">
        <f>SUMIF('ADV - FB'!L:L,$A315,'ADV - FB'!E:E)</f>
        <v>0</v>
      </c>
      <c r="H315" s="320" t="str">
        <f>IFERROR(SUMIF('ADV - FB'!L:L,$A315,'ADV - FB'!H:H)/(SUMIF('ADV - FB'!L:L,$A315,'ADV - FB'!G:G)),"-")</f>
        <v>-</v>
      </c>
      <c r="I315" s="321" t="str">
        <f>IFERROR(SUMIF('ADV - FB'!L:L,$A315,'ADV - FB'!E:E)/(SUMIF('ADV - FB'!L:L,$A315,'ADV - FB'!F:F)),"-")</f>
        <v>-</v>
      </c>
      <c r="J315" s="315">
        <f>SUMIF('ADV - FB'!L:L,$A315,'ADV - FB'!I:I)+SUMIF('ADV - FB'!L:L,$A315,'ADV - FB'!J:J)+SUMIF('ADV - FB'!L:L,$A315,'ADV - FB'!K:K)</f>
        <v>0</v>
      </c>
      <c r="K315" s="321" t="str">
        <f t="shared" si="2"/>
        <v>-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ht="15.75" customHeight="1">
      <c r="A316" s="313" t="s">
        <v>585</v>
      </c>
      <c r="B316" s="314"/>
      <c r="C316" s="315"/>
      <c r="D316" s="315"/>
      <c r="E316" s="317"/>
      <c r="F316" s="318" t="str">
        <f t="shared" si="1"/>
        <v>TP315 -  -  - </v>
      </c>
      <c r="G316" s="319">
        <f>SUMIF('ADV - FB'!L:L,$A316,'ADV - FB'!E:E)</f>
        <v>0</v>
      </c>
      <c r="H316" s="320" t="str">
        <f>IFERROR(SUMIF('ADV - FB'!L:L,$A316,'ADV - FB'!H:H)/(SUMIF('ADV - FB'!L:L,$A316,'ADV - FB'!G:G)),"-")</f>
        <v>-</v>
      </c>
      <c r="I316" s="321" t="str">
        <f>IFERROR(SUMIF('ADV - FB'!L:L,$A316,'ADV - FB'!E:E)/(SUMIF('ADV - FB'!L:L,$A316,'ADV - FB'!F:F)),"-")</f>
        <v>-</v>
      </c>
      <c r="J316" s="315">
        <f>SUMIF('ADV - FB'!L:L,$A316,'ADV - FB'!I:I)+SUMIF('ADV - FB'!L:L,$A316,'ADV - FB'!J:J)+SUMIF('ADV - FB'!L:L,$A316,'ADV - FB'!K:K)</f>
        <v>0</v>
      </c>
      <c r="K316" s="321" t="str">
        <f t="shared" si="2"/>
        <v>-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ht="15.75" customHeight="1">
      <c r="A317" s="313" t="s">
        <v>586</v>
      </c>
      <c r="B317" s="314"/>
      <c r="C317" s="315"/>
      <c r="D317" s="315"/>
      <c r="E317" s="317"/>
      <c r="F317" s="318" t="str">
        <f t="shared" si="1"/>
        <v>TP316 -  -  - </v>
      </c>
      <c r="G317" s="319">
        <f>SUMIF('ADV - FB'!L:L,$A317,'ADV - FB'!E:E)</f>
        <v>0</v>
      </c>
      <c r="H317" s="320" t="str">
        <f>IFERROR(SUMIF('ADV - FB'!L:L,$A317,'ADV - FB'!H:H)/(SUMIF('ADV - FB'!L:L,$A317,'ADV - FB'!G:G)),"-")</f>
        <v>-</v>
      </c>
      <c r="I317" s="321" t="str">
        <f>IFERROR(SUMIF('ADV - FB'!L:L,$A317,'ADV - FB'!E:E)/(SUMIF('ADV - FB'!L:L,$A317,'ADV - FB'!F:F)),"-")</f>
        <v>-</v>
      </c>
      <c r="J317" s="315">
        <f>SUMIF('ADV - FB'!L:L,$A317,'ADV - FB'!I:I)+SUMIF('ADV - FB'!L:L,$A317,'ADV - FB'!J:J)+SUMIF('ADV - FB'!L:L,$A317,'ADV - FB'!K:K)</f>
        <v>0</v>
      </c>
      <c r="K317" s="321" t="str">
        <f t="shared" si="2"/>
        <v>-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ht="15.75" customHeight="1">
      <c r="A318" s="313" t="s">
        <v>587</v>
      </c>
      <c r="B318" s="314"/>
      <c r="C318" s="315"/>
      <c r="D318" s="315"/>
      <c r="E318" s="317"/>
      <c r="F318" s="318" t="str">
        <f t="shared" si="1"/>
        <v>TP317 -  -  - </v>
      </c>
      <c r="G318" s="319">
        <f>SUMIF('ADV - FB'!L:L,$A318,'ADV - FB'!E:E)</f>
        <v>0</v>
      </c>
      <c r="H318" s="320" t="str">
        <f>IFERROR(SUMIF('ADV - FB'!L:L,$A318,'ADV - FB'!H:H)/(SUMIF('ADV - FB'!L:L,$A318,'ADV - FB'!G:G)),"-")</f>
        <v>-</v>
      </c>
      <c r="I318" s="321" t="str">
        <f>IFERROR(SUMIF('ADV - FB'!L:L,$A318,'ADV - FB'!E:E)/(SUMIF('ADV - FB'!L:L,$A318,'ADV - FB'!F:F)),"-")</f>
        <v>-</v>
      </c>
      <c r="J318" s="315">
        <f>SUMIF('ADV - FB'!L:L,$A318,'ADV - FB'!I:I)+SUMIF('ADV - FB'!L:L,$A318,'ADV - FB'!J:J)+SUMIF('ADV - FB'!L:L,$A318,'ADV - FB'!K:K)</f>
        <v>0</v>
      </c>
      <c r="K318" s="321" t="str">
        <f t="shared" si="2"/>
        <v>-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ht="15.75" customHeight="1">
      <c r="A319" s="313" t="s">
        <v>588</v>
      </c>
      <c r="B319" s="314"/>
      <c r="C319" s="315"/>
      <c r="D319" s="315"/>
      <c r="E319" s="317"/>
      <c r="F319" s="318" t="str">
        <f t="shared" si="1"/>
        <v>TP318 -  -  - </v>
      </c>
      <c r="G319" s="319">
        <f>SUMIF('ADV - FB'!L:L,$A319,'ADV - FB'!E:E)</f>
        <v>0</v>
      </c>
      <c r="H319" s="320" t="str">
        <f>IFERROR(SUMIF('ADV - FB'!L:L,$A319,'ADV - FB'!H:H)/(SUMIF('ADV - FB'!L:L,$A319,'ADV - FB'!G:G)),"-")</f>
        <v>-</v>
      </c>
      <c r="I319" s="321" t="str">
        <f>IFERROR(SUMIF('ADV - FB'!L:L,$A319,'ADV - FB'!E:E)/(SUMIF('ADV - FB'!L:L,$A319,'ADV - FB'!F:F)),"-")</f>
        <v>-</v>
      </c>
      <c r="J319" s="315">
        <f>SUMIF('ADV - FB'!L:L,$A319,'ADV - FB'!I:I)+SUMIF('ADV - FB'!L:L,$A319,'ADV - FB'!J:J)+SUMIF('ADV - FB'!L:L,$A319,'ADV - FB'!K:K)</f>
        <v>0</v>
      </c>
      <c r="K319" s="321" t="str">
        <f t="shared" si="2"/>
        <v>-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ht="15.75" customHeight="1">
      <c r="A320" s="313" t="s">
        <v>589</v>
      </c>
      <c r="B320" s="314"/>
      <c r="C320" s="315"/>
      <c r="D320" s="315"/>
      <c r="E320" s="317"/>
      <c r="F320" s="318" t="str">
        <f t="shared" si="1"/>
        <v>TP319 -  -  - </v>
      </c>
      <c r="G320" s="319">
        <f>SUMIF('ADV - FB'!L:L,$A320,'ADV - FB'!E:E)</f>
        <v>0</v>
      </c>
      <c r="H320" s="320" t="str">
        <f>IFERROR(SUMIF('ADV - FB'!L:L,$A320,'ADV - FB'!H:H)/(SUMIF('ADV - FB'!L:L,$A320,'ADV - FB'!G:G)),"-")</f>
        <v>-</v>
      </c>
      <c r="I320" s="321" t="str">
        <f>IFERROR(SUMIF('ADV - FB'!L:L,$A320,'ADV - FB'!E:E)/(SUMIF('ADV - FB'!L:L,$A320,'ADV - FB'!F:F)),"-")</f>
        <v>-</v>
      </c>
      <c r="J320" s="315">
        <f>SUMIF('ADV - FB'!L:L,$A320,'ADV - FB'!I:I)+SUMIF('ADV - FB'!L:L,$A320,'ADV - FB'!J:J)+SUMIF('ADV - FB'!L:L,$A320,'ADV - FB'!K:K)</f>
        <v>0</v>
      </c>
      <c r="K320" s="321" t="str">
        <f t="shared" si="2"/>
        <v>-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ht="15.75" customHeight="1">
      <c r="A321" s="313" t="s">
        <v>590</v>
      </c>
      <c r="B321" s="314"/>
      <c r="C321" s="315"/>
      <c r="D321" s="315"/>
      <c r="E321" s="317"/>
      <c r="F321" s="318" t="str">
        <f t="shared" si="1"/>
        <v>TP320 -  -  - </v>
      </c>
      <c r="G321" s="319">
        <f>SUMIF('ADV - FB'!L:L,$A321,'ADV - FB'!E:E)</f>
        <v>0</v>
      </c>
      <c r="H321" s="320" t="str">
        <f>IFERROR(SUMIF('ADV - FB'!L:L,$A321,'ADV - FB'!H:H)/(SUMIF('ADV - FB'!L:L,$A321,'ADV - FB'!G:G)),"-")</f>
        <v>-</v>
      </c>
      <c r="I321" s="321" t="str">
        <f>IFERROR(SUMIF('ADV - FB'!L:L,$A321,'ADV - FB'!E:E)/(SUMIF('ADV - FB'!L:L,$A321,'ADV - FB'!F:F)),"-")</f>
        <v>-</v>
      </c>
      <c r="J321" s="315">
        <f>SUMIF('ADV - FB'!L:L,$A321,'ADV - FB'!I:I)+SUMIF('ADV - FB'!L:L,$A321,'ADV - FB'!J:J)+SUMIF('ADV - FB'!L:L,$A321,'ADV - FB'!K:K)</f>
        <v>0</v>
      </c>
      <c r="K321" s="321" t="str">
        <f t="shared" si="2"/>
        <v>-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ht="15.75" customHeight="1">
      <c r="A322" s="313" t="s">
        <v>591</v>
      </c>
      <c r="B322" s="314"/>
      <c r="C322" s="315"/>
      <c r="D322" s="315"/>
      <c r="E322" s="317"/>
      <c r="F322" s="318" t="str">
        <f t="shared" si="1"/>
        <v>TP321 -  -  - </v>
      </c>
      <c r="G322" s="319">
        <f>SUMIF('ADV - FB'!L:L,$A322,'ADV - FB'!E:E)</f>
        <v>0</v>
      </c>
      <c r="H322" s="320" t="str">
        <f>IFERROR(SUMIF('ADV - FB'!L:L,$A322,'ADV - FB'!H:H)/(SUMIF('ADV - FB'!L:L,$A322,'ADV - FB'!G:G)),"-")</f>
        <v>-</v>
      </c>
      <c r="I322" s="321" t="str">
        <f>IFERROR(SUMIF('ADV - FB'!L:L,$A322,'ADV - FB'!E:E)/(SUMIF('ADV - FB'!L:L,$A322,'ADV - FB'!F:F)),"-")</f>
        <v>-</v>
      </c>
      <c r="J322" s="315">
        <f>SUMIF('ADV - FB'!L:L,$A322,'ADV - FB'!I:I)+SUMIF('ADV - FB'!L:L,$A322,'ADV - FB'!J:J)+SUMIF('ADV - FB'!L:L,$A322,'ADV - FB'!K:K)</f>
        <v>0</v>
      </c>
      <c r="K322" s="321" t="str">
        <f t="shared" si="2"/>
        <v>-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ht="15.75" customHeight="1">
      <c r="A323" s="313" t="s">
        <v>592</v>
      </c>
      <c r="B323" s="314"/>
      <c r="C323" s="315"/>
      <c r="D323" s="315"/>
      <c r="E323" s="317"/>
      <c r="F323" s="318" t="str">
        <f t="shared" si="1"/>
        <v>TP322 -  -  - </v>
      </c>
      <c r="G323" s="319">
        <f>SUMIF('ADV - FB'!L:L,$A323,'ADV - FB'!E:E)</f>
        <v>0</v>
      </c>
      <c r="H323" s="320" t="str">
        <f>IFERROR(SUMIF('ADV - FB'!L:L,$A323,'ADV - FB'!H:H)/(SUMIF('ADV - FB'!L:L,$A323,'ADV - FB'!G:G)),"-")</f>
        <v>-</v>
      </c>
      <c r="I323" s="321" t="str">
        <f>IFERROR(SUMIF('ADV - FB'!L:L,$A323,'ADV - FB'!E:E)/(SUMIF('ADV - FB'!L:L,$A323,'ADV - FB'!F:F)),"-")</f>
        <v>-</v>
      </c>
      <c r="J323" s="315">
        <f>SUMIF('ADV - FB'!L:L,$A323,'ADV - FB'!I:I)+SUMIF('ADV - FB'!L:L,$A323,'ADV - FB'!J:J)+SUMIF('ADV - FB'!L:L,$A323,'ADV - FB'!K:K)</f>
        <v>0</v>
      </c>
      <c r="K323" s="321" t="str">
        <f t="shared" si="2"/>
        <v>-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ht="15.75" customHeight="1">
      <c r="A324" s="313" t="s">
        <v>593</v>
      </c>
      <c r="B324" s="314"/>
      <c r="C324" s="315"/>
      <c r="D324" s="315"/>
      <c r="E324" s="317"/>
      <c r="F324" s="318" t="str">
        <f t="shared" si="1"/>
        <v>TP323 -  -  - </v>
      </c>
      <c r="G324" s="319">
        <f>SUMIF('ADV - FB'!L:L,$A324,'ADV - FB'!E:E)</f>
        <v>0</v>
      </c>
      <c r="H324" s="320" t="str">
        <f>IFERROR(SUMIF('ADV - FB'!L:L,$A324,'ADV - FB'!H:H)/(SUMIF('ADV - FB'!L:L,$A324,'ADV - FB'!G:G)),"-")</f>
        <v>-</v>
      </c>
      <c r="I324" s="321" t="str">
        <f>IFERROR(SUMIF('ADV - FB'!L:L,$A324,'ADV - FB'!E:E)/(SUMIF('ADV - FB'!L:L,$A324,'ADV - FB'!F:F)),"-")</f>
        <v>-</v>
      </c>
      <c r="J324" s="315">
        <f>SUMIF('ADV - FB'!L:L,$A324,'ADV - FB'!I:I)+SUMIF('ADV - FB'!L:L,$A324,'ADV - FB'!J:J)+SUMIF('ADV - FB'!L:L,$A324,'ADV - FB'!K:K)</f>
        <v>0</v>
      </c>
      <c r="K324" s="321" t="str">
        <f t="shared" si="2"/>
        <v>-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ht="15.75" customHeight="1">
      <c r="A325" s="313" t="s">
        <v>594</v>
      </c>
      <c r="B325" s="314"/>
      <c r="C325" s="315"/>
      <c r="D325" s="315"/>
      <c r="E325" s="317"/>
      <c r="F325" s="318" t="str">
        <f t="shared" si="1"/>
        <v>TP324 -  -  - </v>
      </c>
      <c r="G325" s="319">
        <f>SUMIF('ADV - FB'!L:L,$A325,'ADV - FB'!E:E)</f>
        <v>0</v>
      </c>
      <c r="H325" s="320" t="str">
        <f>IFERROR(SUMIF('ADV - FB'!L:L,$A325,'ADV - FB'!H:H)/(SUMIF('ADV - FB'!L:L,$A325,'ADV - FB'!G:G)),"-")</f>
        <v>-</v>
      </c>
      <c r="I325" s="321" t="str">
        <f>IFERROR(SUMIF('ADV - FB'!L:L,$A325,'ADV - FB'!E:E)/(SUMIF('ADV - FB'!L:L,$A325,'ADV - FB'!F:F)),"-")</f>
        <v>-</v>
      </c>
      <c r="J325" s="315">
        <f>SUMIF('ADV - FB'!L:L,$A325,'ADV - FB'!I:I)+SUMIF('ADV - FB'!L:L,$A325,'ADV - FB'!J:J)+SUMIF('ADV - FB'!L:L,$A325,'ADV - FB'!K:K)</f>
        <v>0</v>
      </c>
      <c r="K325" s="321" t="str">
        <f t="shared" si="2"/>
        <v>-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ht="15.75" customHeight="1">
      <c r="A326" s="313" t="s">
        <v>595</v>
      </c>
      <c r="B326" s="314"/>
      <c r="C326" s="315"/>
      <c r="D326" s="315"/>
      <c r="E326" s="317"/>
      <c r="F326" s="318" t="str">
        <f t="shared" si="1"/>
        <v>TP325 -  -  - </v>
      </c>
      <c r="G326" s="319">
        <f>SUMIF('ADV - FB'!L:L,$A326,'ADV - FB'!E:E)</f>
        <v>0</v>
      </c>
      <c r="H326" s="320" t="str">
        <f>IFERROR(SUMIF('ADV - FB'!L:L,$A326,'ADV - FB'!H:H)/(SUMIF('ADV - FB'!L:L,$A326,'ADV - FB'!G:G)),"-")</f>
        <v>-</v>
      </c>
      <c r="I326" s="321" t="str">
        <f>IFERROR(SUMIF('ADV - FB'!L:L,$A326,'ADV - FB'!E:E)/(SUMIF('ADV - FB'!L:L,$A326,'ADV - FB'!F:F)),"-")</f>
        <v>-</v>
      </c>
      <c r="J326" s="315">
        <f>SUMIF('ADV - FB'!L:L,$A326,'ADV - FB'!I:I)+SUMIF('ADV - FB'!L:L,$A326,'ADV - FB'!J:J)+SUMIF('ADV - FB'!L:L,$A326,'ADV - FB'!K:K)</f>
        <v>0</v>
      </c>
      <c r="K326" s="321" t="str">
        <f t="shared" si="2"/>
        <v>-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ht="15.75" customHeight="1">
      <c r="A327" s="313" t="s">
        <v>596</v>
      </c>
      <c r="B327" s="314"/>
      <c r="C327" s="315"/>
      <c r="D327" s="315"/>
      <c r="E327" s="317"/>
      <c r="F327" s="318" t="str">
        <f t="shared" si="1"/>
        <v>TP326 -  -  - </v>
      </c>
      <c r="G327" s="319">
        <f>SUMIF('ADV - FB'!L:L,$A327,'ADV - FB'!E:E)</f>
        <v>0</v>
      </c>
      <c r="H327" s="320" t="str">
        <f>IFERROR(SUMIF('ADV - FB'!L:L,$A327,'ADV - FB'!H:H)/(SUMIF('ADV - FB'!L:L,$A327,'ADV - FB'!G:G)),"-")</f>
        <v>-</v>
      </c>
      <c r="I327" s="321" t="str">
        <f>IFERROR(SUMIF('ADV - FB'!L:L,$A327,'ADV - FB'!E:E)/(SUMIF('ADV - FB'!L:L,$A327,'ADV - FB'!F:F)),"-")</f>
        <v>-</v>
      </c>
      <c r="J327" s="315">
        <f>SUMIF('ADV - FB'!L:L,$A327,'ADV - FB'!I:I)+SUMIF('ADV - FB'!L:L,$A327,'ADV - FB'!J:J)+SUMIF('ADV - FB'!L:L,$A327,'ADV - FB'!K:K)</f>
        <v>0</v>
      </c>
      <c r="K327" s="321" t="str">
        <f t="shared" si="2"/>
        <v>-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ht="15.75" customHeight="1">
      <c r="A328" s="313" t="s">
        <v>597</v>
      </c>
      <c r="B328" s="314"/>
      <c r="C328" s="315"/>
      <c r="D328" s="315"/>
      <c r="E328" s="317"/>
      <c r="F328" s="318" t="str">
        <f t="shared" si="1"/>
        <v>TP327 -  -  - </v>
      </c>
      <c r="G328" s="319">
        <f>SUMIF('ADV - FB'!L:L,$A328,'ADV - FB'!E:E)</f>
        <v>0</v>
      </c>
      <c r="H328" s="320" t="str">
        <f>IFERROR(SUMIF('ADV - FB'!L:L,$A328,'ADV - FB'!H:H)/(SUMIF('ADV - FB'!L:L,$A328,'ADV - FB'!G:G)),"-")</f>
        <v>-</v>
      </c>
      <c r="I328" s="321" t="str">
        <f>IFERROR(SUMIF('ADV - FB'!L:L,$A328,'ADV - FB'!E:E)/(SUMIF('ADV - FB'!L:L,$A328,'ADV - FB'!F:F)),"-")</f>
        <v>-</v>
      </c>
      <c r="J328" s="315">
        <f>SUMIF('ADV - FB'!L:L,$A328,'ADV - FB'!I:I)+SUMIF('ADV - FB'!L:L,$A328,'ADV - FB'!J:J)+SUMIF('ADV - FB'!L:L,$A328,'ADV - FB'!K:K)</f>
        <v>0</v>
      </c>
      <c r="K328" s="321" t="str">
        <f t="shared" si="2"/>
        <v>-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ht="15.75" customHeight="1">
      <c r="A329" s="313" t="s">
        <v>598</v>
      </c>
      <c r="B329" s="314"/>
      <c r="C329" s="315"/>
      <c r="D329" s="315"/>
      <c r="E329" s="317"/>
      <c r="F329" s="318" t="str">
        <f t="shared" si="1"/>
        <v>TP328 -  -  - </v>
      </c>
      <c r="G329" s="319">
        <f>SUMIF('ADV - FB'!L:L,$A329,'ADV - FB'!E:E)</f>
        <v>0</v>
      </c>
      <c r="H329" s="320" t="str">
        <f>IFERROR(SUMIF('ADV - FB'!L:L,$A329,'ADV - FB'!H:H)/(SUMIF('ADV - FB'!L:L,$A329,'ADV - FB'!G:G)),"-")</f>
        <v>-</v>
      </c>
      <c r="I329" s="321" t="str">
        <f>IFERROR(SUMIF('ADV - FB'!L:L,$A329,'ADV - FB'!E:E)/(SUMIF('ADV - FB'!L:L,$A329,'ADV - FB'!F:F)),"-")</f>
        <v>-</v>
      </c>
      <c r="J329" s="315">
        <f>SUMIF('ADV - FB'!L:L,$A329,'ADV - FB'!I:I)+SUMIF('ADV - FB'!L:L,$A329,'ADV - FB'!J:J)+SUMIF('ADV - FB'!L:L,$A329,'ADV - FB'!K:K)</f>
        <v>0</v>
      </c>
      <c r="K329" s="321" t="str">
        <f t="shared" si="2"/>
        <v>-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ht="15.75" customHeight="1">
      <c r="A330" s="313" t="s">
        <v>599</v>
      </c>
      <c r="B330" s="314"/>
      <c r="C330" s="315"/>
      <c r="D330" s="315"/>
      <c r="E330" s="317"/>
      <c r="F330" s="318" t="str">
        <f t="shared" si="1"/>
        <v>TP329 -  -  - </v>
      </c>
      <c r="G330" s="319">
        <f>SUMIF('ADV - FB'!L:L,$A330,'ADV - FB'!E:E)</f>
        <v>0</v>
      </c>
      <c r="H330" s="320" t="str">
        <f>IFERROR(SUMIF('ADV - FB'!L:L,$A330,'ADV - FB'!H:H)/(SUMIF('ADV - FB'!L:L,$A330,'ADV - FB'!G:G)),"-")</f>
        <v>-</v>
      </c>
      <c r="I330" s="321" t="str">
        <f>IFERROR(SUMIF('ADV - FB'!L:L,$A330,'ADV - FB'!E:E)/(SUMIF('ADV - FB'!L:L,$A330,'ADV - FB'!F:F)),"-")</f>
        <v>-</v>
      </c>
      <c r="J330" s="315">
        <f>SUMIF('ADV - FB'!L:L,$A330,'ADV - FB'!I:I)+SUMIF('ADV - FB'!L:L,$A330,'ADV - FB'!J:J)+SUMIF('ADV - FB'!L:L,$A330,'ADV - FB'!K:K)</f>
        <v>0</v>
      </c>
      <c r="K330" s="321" t="str">
        <f t="shared" si="2"/>
        <v>-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ht="15.75" customHeight="1">
      <c r="A331" s="313" t="s">
        <v>600</v>
      </c>
      <c r="B331" s="314"/>
      <c r="C331" s="315"/>
      <c r="D331" s="315"/>
      <c r="E331" s="317"/>
      <c r="F331" s="318" t="str">
        <f t="shared" si="1"/>
        <v>TP330 -  -  - </v>
      </c>
      <c r="G331" s="319">
        <f>SUMIF('ADV - FB'!L:L,$A331,'ADV - FB'!E:E)</f>
        <v>0</v>
      </c>
      <c r="H331" s="320" t="str">
        <f>IFERROR(SUMIF('ADV - FB'!L:L,$A331,'ADV - FB'!H:H)/(SUMIF('ADV - FB'!L:L,$A331,'ADV - FB'!G:G)),"-")</f>
        <v>-</v>
      </c>
      <c r="I331" s="321" t="str">
        <f>IFERROR(SUMIF('ADV - FB'!L:L,$A331,'ADV - FB'!E:E)/(SUMIF('ADV - FB'!L:L,$A331,'ADV - FB'!F:F)),"-")</f>
        <v>-</v>
      </c>
      <c r="J331" s="315">
        <f>SUMIF('ADV - FB'!L:L,$A331,'ADV - FB'!I:I)+SUMIF('ADV - FB'!L:L,$A331,'ADV - FB'!J:J)+SUMIF('ADV - FB'!L:L,$A331,'ADV - FB'!K:K)</f>
        <v>0</v>
      </c>
      <c r="K331" s="321" t="str">
        <f t="shared" si="2"/>
        <v>-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ht="15.75" customHeight="1">
      <c r="A332" s="313" t="s">
        <v>601</v>
      </c>
      <c r="B332" s="314"/>
      <c r="C332" s="315"/>
      <c r="D332" s="315"/>
      <c r="E332" s="317"/>
      <c r="F332" s="318" t="str">
        <f t="shared" si="1"/>
        <v>TP331 -  -  - </v>
      </c>
      <c r="G332" s="319">
        <f>SUMIF('ADV - FB'!L:L,$A332,'ADV - FB'!E:E)</f>
        <v>0</v>
      </c>
      <c r="H332" s="320" t="str">
        <f>IFERROR(SUMIF('ADV - FB'!L:L,$A332,'ADV - FB'!H:H)/(SUMIF('ADV - FB'!L:L,$A332,'ADV - FB'!G:G)),"-")</f>
        <v>-</v>
      </c>
      <c r="I332" s="321" t="str">
        <f>IFERROR(SUMIF('ADV - FB'!L:L,$A332,'ADV - FB'!E:E)/(SUMIF('ADV - FB'!L:L,$A332,'ADV - FB'!F:F)),"-")</f>
        <v>-</v>
      </c>
      <c r="J332" s="315">
        <f>SUMIF('ADV - FB'!L:L,$A332,'ADV - FB'!I:I)+SUMIF('ADV - FB'!L:L,$A332,'ADV - FB'!J:J)+SUMIF('ADV - FB'!L:L,$A332,'ADV - FB'!K:K)</f>
        <v>0</v>
      </c>
      <c r="K332" s="321" t="str">
        <f t="shared" si="2"/>
        <v>-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ht="15.75" customHeight="1">
      <c r="A333" s="313" t="s">
        <v>602</v>
      </c>
      <c r="B333" s="314"/>
      <c r="C333" s="315"/>
      <c r="D333" s="315"/>
      <c r="E333" s="317"/>
      <c r="F333" s="318" t="str">
        <f t="shared" si="1"/>
        <v>TP332 -  -  - </v>
      </c>
      <c r="G333" s="319">
        <f>SUMIF('ADV - FB'!L:L,$A333,'ADV - FB'!E:E)</f>
        <v>0</v>
      </c>
      <c r="H333" s="320" t="str">
        <f>IFERROR(SUMIF('ADV - FB'!L:L,$A333,'ADV - FB'!H:H)/(SUMIF('ADV - FB'!L:L,$A333,'ADV - FB'!G:G)),"-")</f>
        <v>-</v>
      </c>
      <c r="I333" s="321" t="str">
        <f>IFERROR(SUMIF('ADV - FB'!L:L,$A333,'ADV - FB'!E:E)/(SUMIF('ADV - FB'!L:L,$A333,'ADV - FB'!F:F)),"-")</f>
        <v>-</v>
      </c>
      <c r="J333" s="315">
        <f>SUMIF('ADV - FB'!L:L,$A333,'ADV - FB'!I:I)+SUMIF('ADV - FB'!L:L,$A333,'ADV - FB'!J:J)+SUMIF('ADV - FB'!L:L,$A333,'ADV - FB'!K:K)</f>
        <v>0</v>
      </c>
      <c r="K333" s="321" t="str">
        <f t="shared" si="2"/>
        <v>-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ht="15.75" customHeight="1">
      <c r="A334" s="313" t="s">
        <v>603</v>
      </c>
      <c r="B334" s="314"/>
      <c r="C334" s="315"/>
      <c r="D334" s="315"/>
      <c r="E334" s="317"/>
      <c r="F334" s="318" t="str">
        <f t="shared" si="1"/>
        <v>TP333 -  -  - </v>
      </c>
      <c r="G334" s="319">
        <f>SUMIF('ADV - FB'!L:L,$A334,'ADV - FB'!E:E)</f>
        <v>0</v>
      </c>
      <c r="H334" s="320" t="str">
        <f>IFERROR(SUMIF('ADV - FB'!L:L,$A334,'ADV - FB'!H:H)/(SUMIF('ADV - FB'!L:L,$A334,'ADV - FB'!G:G)),"-")</f>
        <v>-</v>
      </c>
      <c r="I334" s="321" t="str">
        <f>IFERROR(SUMIF('ADV - FB'!L:L,$A334,'ADV - FB'!E:E)/(SUMIF('ADV - FB'!L:L,$A334,'ADV - FB'!F:F)),"-")</f>
        <v>-</v>
      </c>
      <c r="J334" s="315">
        <f>SUMIF('ADV - FB'!L:L,$A334,'ADV - FB'!I:I)+SUMIF('ADV - FB'!L:L,$A334,'ADV - FB'!J:J)+SUMIF('ADV - FB'!L:L,$A334,'ADV - FB'!K:K)</f>
        <v>0</v>
      </c>
      <c r="K334" s="321" t="str">
        <f t="shared" si="2"/>
        <v>-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ht="15.75" customHeight="1">
      <c r="A335" s="313" t="s">
        <v>604</v>
      </c>
      <c r="B335" s="314"/>
      <c r="C335" s="315"/>
      <c r="D335" s="315"/>
      <c r="E335" s="317"/>
      <c r="F335" s="318" t="str">
        <f t="shared" si="1"/>
        <v>TP334 -  -  - </v>
      </c>
      <c r="G335" s="319">
        <f>SUMIF('ADV - FB'!L:L,$A335,'ADV - FB'!E:E)</f>
        <v>0</v>
      </c>
      <c r="H335" s="320" t="str">
        <f>IFERROR(SUMIF('ADV - FB'!L:L,$A335,'ADV - FB'!H:H)/(SUMIF('ADV - FB'!L:L,$A335,'ADV - FB'!G:G)),"-")</f>
        <v>-</v>
      </c>
      <c r="I335" s="321" t="str">
        <f>IFERROR(SUMIF('ADV - FB'!L:L,$A335,'ADV - FB'!E:E)/(SUMIF('ADV - FB'!L:L,$A335,'ADV - FB'!F:F)),"-")</f>
        <v>-</v>
      </c>
      <c r="J335" s="315">
        <f>SUMIF('ADV - FB'!L:L,$A335,'ADV - FB'!I:I)+SUMIF('ADV - FB'!L:L,$A335,'ADV - FB'!J:J)+SUMIF('ADV - FB'!L:L,$A335,'ADV - FB'!K:K)</f>
        <v>0</v>
      </c>
      <c r="K335" s="321" t="str">
        <f t="shared" si="2"/>
        <v>-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ht="15.75" customHeight="1">
      <c r="A336" s="313" t="s">
        <v>605</v>
      </c>
      <c r="B336" s="314"/>
      <c r="C336" s="315"/>
      <c r="D336" s="315"/>
      <c r="E336" s="317"/>
      <c r="F336" s="318" t="str">
        <f t="shared" si="1"/>
        <v>TP335 -  -  - </v>
      </c>
      <c r="G336" s="319">
        <f>SUMIF('ADV - FB'!L:L,$A336,'ADV - FB'!E:E)</f>
        <v>0</v>
      </c>
      <c r="H336" s="320" t="str">
        <f>IFERROR(SUMIF('ADV - FB'!L:L,$A336,'ADV - FB'!H:H)/(SUMIF('ADV - FB'!L:L,$A336,'ADV - FB'!G:G)),"-")</f>
        <v>-</v>
      </c>
      <c r="I336" s="321" t="str">
        <f>IFERROR(SUMIF('ADV - FB'!L:L,$A336,'ADV - FB'!E:E)/(SUMIF('ADV - FB'!L:L,$A336,'ADV - FB'!F:F)),"-")</f>
        <v>-</v>
      </c>
      <c r="J336" s="315">
        <f>SUMIF('ADV - FB'!L:L,$A336,'ADV - FB'!I:I)+SUMIF('ADV - FB'!L:L,$A336,'ADV - FB'!J:J)+SUMIF('ADV - FB'!L:L,$A336,'ADV - FB'!K:K)</f>
        <v>0</v>
      </c>
      <c r="K336" s="321" t="str">
        <f t="shared" si="2"/>
        <v>-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ht="15.75" customHeight="1">
      <c r="A337" s="313" t="s">
        <v>606</v>
      </c>
      <c r="B337" s="314"/>
      <c r="C337" s="315"/>
      <c r="D337" s="315"/>
      <c r="E337" s="317"/>
      <c r="F337" s="318" t="str">
        <f t="shared" si="1"/>
        <v>TP336 -  -  - </v>
      </c>
      <c r="G337" s="319">
        <f>SUMIF('ADV - FB'!L:L,$A337,'ADV - FB'!E:E)</f>
        <v>0</v>
      </c>
      <c r="H337" s="320" t="str">
        <f>IFERROR(SUMIF('ADV - FB'!L:L,$A337,'ADV - FB'!H:H)/(SUMIF('ADV - FB'!L:L,$A337,'ADV - FB'!G:G)),"-")</f>
        <v>-</v>
      </c>
      <c r="I337" s="321" t="str">
        <f>IFERROR(SUMIF('ADV - FB'!L:L,$A337,'ADV - FB'!E:E)/(SUMIF('ADV - FB'!L:L,$A337,'ADV - FB'!F:F)),"-")</f>
        <v>-</v>
      </c>
      <c r="J337" s="315">
        <f>SUMIF('ADV - FB'!L:L,$A337,'ADV - FB'!I:I)+SUMIF('ADV - FB'!L:L,$A337,'ADV - FB'!J:J)+SUMIF('ADV - FB'!L:L,$A337,'ADV - FB'!K:K)</f>
        <v>0</v>
      </c>
      <c r="K337" s="321" t="str">
        <f t="shared" si="2"/>
        <v>-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ht="15.75" customHeight="1">
      <c r="A338" s="313" t="s">
        <v>607</v>
      </c>
      <c r="B338" s="314"/>
      <c r="C338" s="315"/>
      <c r="D338" s="315"/>
      <c r="E338" s="317"/>
      <c r="F338" s="318" t="str">
        <f t="shared" si="1"/>
        <v>TP337 -  -  - </v>
      </c>
      <c r="G338" s="319">
        <f>SUMIF('ADV - FB'!L:L,$A338,'ADV - FB'!E:E)</f>
        <v>0</v>
      </c>
      <c r="H338" s="320" t="str">
        <f>IFERROR(SUMIF('ADV - FB'!L:L,$A338,'ADV - FB'!H:H)/(SUMIF('ADV - FB'!L:L,$A338,'ADV - FB'!G:G)),"-")</f>
        <v>-</v>
      </c>
      <c r="I338" s="321" t="str">
        <f>IFERROR(SUMIF('ADV - FB'!L:L,$A338,'ADV - FB'!E:E)/(SUMIF('ADV - FB'!L:L,$A338,'ADV - FB'!F:F)),"-")</f>
        <v>-</v>
      </c>
      <c r="J338" s="315">
        <f>SUMIF('ADV - FB'!L:L,$A338,'ADV - FB'!I:I)+SUMIF('ADV - FB'!L:L,$A338,'ADV - FB'!J:J)+SUMIF('ADV - FB'!L:L,$A338,'ADV - FB'!K:K)</f>
        <v>0</v>
      </c>
      <c r="K338" s="321" t="str">
        <f t="shared" si="2"/>
        <v>-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ht="15.75" customHeight="1">
      <c r="A339" s="313" t="s">
        <v>608</v>
      </c>
      <c r="B339" s="314"/>
      <c r="C339" s="315"/>
      <c r="D339" s="315"/>
      <c r="E339" s="317"/>
      <c r="F339" s="318" t="str">
        <f t="shared" si="1"/>
        <v>TP338 -  -  - </v>
      </c>
      <c r="G339" s="319">
        <f>SUMIF('ADV - FB'!L:L,$A339,'ADV - FB'!E:E)</f>
        <v>0</v>
      </c>
      <c r="H339" s="320" t="str">
        <f>IFERROR(SUMIF('ADV - FB'!L:L,$A339,'ADV - FB'!H:H)/(SUMIF('ADV - FB'!L:L,$A339,'ADV - FB'!G:G)),"-")</f>
        <v>-</v>
      </c>
      <c r="I339" s="321" t="str">
        <f>IFERROR(SUMIF('ADV - FB'!L:L,$A339,'ADV - FB'!E:E)/(SUMIF('ADV - FB'!L:L,$A339,'ADV - FB'!F:F)),"-")</f>
        <v>-</v>
      </c>
      <c r="J339" s="315">
        <f>SUMIF('ADV - FB'!L:L,$A339,'ADV - FB'!I:I)+SUMIF('ADV - FB'!L:L,$A339,'ADV - FB'!J:J)+SUMIF('ADV - FB'!L:L,$A339,'ADV - FB'!K:K)</f>
        <v>0</v>
      </c>
      <c r="K339" s="321" t="str">
        <f t="shared" si="2"/>
        <v>-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ht="15.75" customHeight="1">
      <c r="A340" s="313" t="s">
        <v>609</v>
      </c>
      <c r="B340" s="314"/>
      <c r="C340" s="315"/>
      <c r="D340" s="315"/>
      <c r="E340" s="317"/>
      <c r="F340" s="318" t="str">
        <f t="shared" si="1"/>
        <v>TP339 -  -  - </v>
      </c>
      <c r="G340" s="319">
        <f>SUMIF('ADV - FB'!L:L,$A340,'ADV - FB'!E:E)</f>
        <v>0</v>
      </c>
      <c r="H340" s="320" t="str">
        <f>IFERROR(SUMIF('ADV - FB'!L:L,$A340,'ADV - FB'!H:H)/(SUMIF('ADV - FB'!L:L,$A340,'ADV - FB'!G:G)),"-")</f>
        <v>-</v>
      </c>
      <c r="I340" s="321" t="str">
        <f>IFERROR(SUMIF('ADV - FB'!L:L,$A340,'ADV - FB'!E:E)/(SUMIF('ADV - FB'!L:L,$A340,'ADV - FB'!F:F)),"-")</f>
        <v>-</v>
      </c>
      <c r="J340" s="315">
        <f>SUMIF('ADV - FB'!L:L,$A340,'ADV - FB'!I:I)+SUMIF('ADV - FB'!L:L,$A340,'ADV - FB'!J:J)+SUMIF('ADV - FB'!L:L,$A340,'ADV - FB'!K:K)</f>
        <v>0</v>
      </c>
      <c r="K340" s="321" t="str">
        <f t="shared" si="2"/>
        <v>-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ht="15.75" customHeight="1">
      <c r="A341" s="313" t="s">
        <v>610</v>
      </c>
      <c r="B341" s="314"/>
      <c r="C341" s="315"/>
      <c r="D341" s="315"/>
      <c r="E341" s="317"/>
      <c r="F341" s="318" t="str">
        <f t="shared" si="1"/>
        <v>TP340 -  -  - </v>
      </c>
      <c r="G341" s="319">
        <f>SUMIF('ADV - FB'!L:L,$A341,'ADV - FB'!E:E)</f>
        <v>0</v>
      </c>
      <c r="H341" s="320" t="str">
        <f>IFERROR(SUMIF('ADV - FB'!L:L,$A341,'ADV - FB'!H:H)/(SUMIF('ADV - FB'!L:L,$A341,'ADV - FB'!G:G)),"-")</f>
        <v>-</v>
      </c>
      <c r="I341" s="321" t="str">
        <f>IFERROR(SUMIF('ADV - FB'!L:L,$A341,'ADV - FB'!E:E)/(SUMIF('ADV - FB'!L:L,$A341,'ADV - FB'!F:F)),"-")</f>
        <v>-</v>
      </c>
      <c r="J341" s="315">
        <f>SUMIF('ADV - FB'!L:L,$A341,'ADV - FB'!I:I)+SUMIF('ADV - FB'!L:L,$A341,'ADV - FB'!J:J)+SUMIF('ADV - FB'!L:L,$A341,'ADV - FB'!K:K)</f>
        <v>0</v>
      </c>
      <c r="K341" s="321" t="str">
        <f t="shared" si="2"/>
        <v>-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ht="15.75" customHeight="1">
      <c r="A342" s="313" t="s">
        <v>611</v>
      </c>
      <c r="B342" s="314"/>
      <c r="C342" s="315"/>
      <c r="D342" s="315"/>
      <c r="E342" s="317"/>
      <c r="F342" s="318" t="str">
        <f t="shared" si="1"/>
        <v>TP341 -  -  - </v>
      </c>
      <c r="G342" s="319">
        <f>SUMIF('ADV - FB'!L:L,$A342,'ADV - FB'!E:E)</f>
        <v>0</v>
      </c>
      <c r="H342" s="320" t="str">
        <f>IFERROR(SUMIF('ADV - FB'!L:L,$A342,'ADV - FB'!H:H)/(SUMIF('ADV - FB'!L:L,$A342,'ADV - FB'!G:G)),"-")</f>
        <v>-</v>
      </c>
      <c r="I342" s="321" t="str">
        <f>IFERROR(SUMIF('ADV - FB'!L:L,$A342,'ADV - FB'!E:E)/(SUMIF('ADV - FB'!L:L,$A342,'ADV - FB'!F:F)),"-")</f>
        <v>-</v>
      </c>
      <c r="J342" s="315">
        <f>SUMIF('ADV - FB'!L:L,$A342,'ADV - FB'!I:I)+SUMIF('ADV - FB'!L:L,$A342,'ADV - FB'!J:J)+SUMIF('ADV - FB'!L:L,$A342,'ADV - FB'!K:K)</f>
        <v>0</v>
      </c>
      <c r="K342" s="321" t="str">
        <f t="shared" si="2"/>
        <v>-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ht="15.75" customHeight="1">
      <c r="A343" s="313" t="s">
        <v>612</v>
      </c>
      <c r="B343" s="314"/>
      <c r="C343" s="315"/>
      <c r="D343" s="315"/>
      <c r="E343" s="317"/>
      <c r="F343" s="318" t="str">
        <f t="shared" si="1"/>
        <v>TP342 -  -  - </v>
      </c>
      <c r="G343" s="319">
        <f>SUMIF('ADV - FB'!L:L,$A343,'ADV - FB'!E:E)</f>
        <v>0</v>
      </c>
      <c r="H343" s="320" t="str">
        <f>IFERROR(SUMIF('ADV - FB'!L:L,$A343,'ADV - FB'!H:H)/(SUMIF('ADV - FB'!L:L,$A343,'ADV - FB'!G:G)),"-")</f>
        <v>-</v>
      </c>
      <c r="I343" s="321" t="str">
        <f>IFERROR(SUMIF('ADV - FB'!L:L,$A343,'ADV - FB'!E:E)/(SUMIF('ADV - FB'!L:L,$A343,'ADV - FB'!F:F)),"-")</f>
        <v>-</v>
      </c>
      <c r="J343" s="315">
        <f>SUMIF('ADV - FB'!L:L,$A343,'ADV - FB'!I:I)+SUMIF('ADV - FB'!L:L,$A343,'ADV - FB'!J:J)+SUMIF('ADV - FB'!L:L,$A343,'ADV - FB'!K:K)</f>
        <v>0</v>
      </c>
      <c r="K343" s="321" t="str">
        <f t="shared" si="2"/>
        <v>-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ht="15.75" customHeight="1">
      <c r="A344" s="313" t="s">
        <v>613</v>
      </c>
      <c r="B344" s="314"/>
      <c r="C344" s="315"/>
      <c r="D344" s="315"/>
      <c r="E344" s="317"/>
      <c r="F344" s="318" t="str">
        <f t="shared" si="1"/>
        <v>TP343 -  -  - </v>
      </c>
      <c r="G344" s="319">
        <f>SUMIF('ADV - FB'!L:L,$A344,'ADV - FB'!E:E)</f>
        <v>0</v>
      </c>
      <c r="H344" s="320" t="str">
        <f>IFERROR(SUMIF('ADV - FB'!L:L,$A344,'ADV - FB'!H:H)/(SUMIF('ADV - FB'!L:L,$A344,'ADV - FB'!G:G)),"-")</f>
        <v>-</v>
      </c>
      <c r="I344" s="321" t="str">
        <f>IFERROR(SUMIF('ADV - FB'!L:L,$A344,'ADV - FB'!E:E)/(SUMIF('ADV - FB'!L:L,$A344,'ADV - FB'!F:F)),"-")</f>
        <v>-</v>
      </c>
      <c r="J344" s="315">
        <f>SUMIF('ADV - FB'!L:L,$A344,'ADV - FB'!I:I)+SUMIF('ADV - FB'!L:L,$A344,'ADV - FB'!J:J)+SUMIF('ADV - FB'!L:L,$A344,'ADV - FB'!K:K)</f>
        <v>0</v>
      </c>
      <c r="K344" s="321" t="str">
        <f t="shared" si="2"/>
        <v>-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ht="15.75" customHeight="1">
      <c r="A345" s="313" t="s">
        <v>614</v>
      </c>
      <c r="B345" s="314"/>
      <c r="C345" s="315"/>
      <c r="D345" s="315"/>
      <c r="E345" s="317"/>
      <c r="F345" s="318" t="str">
        <f t="shared" si="1"/>
        <v>TP344 -  -  - </v>
      </c>
      <c r="G345" s="319">
        <f>SUMIF('ADV - FB'!L:L,$A345,'ADV - FB'!E:E)</f>
        <v>0</v>
      </c>
      <c r="H345" s="320" t="str">
        <f>IFERROR(SUMIF('ADV - FB'!L:L,$A345,'ADV - FB'!H:H)/(SUMIF('ADV - FB'!L:L,$A345,'ADV - FB'!G:G)),"-")</f>
        <v>-</v>
      </c>
      <c r="I345" s="321" t="str">
        <f>IFERROR(SUMIF('ADV - FB'!L:L,$A345,'ADV - FB'!E:E)/(SUMIF('ADV - FB'!L:L,$A345,'ADV - FB'!F:F)),"-")</f>
        <v>-</v>
      </c>
      <c r="J345" s="315">
        <f>SUMIF('ADV - FB'!L:L,$A345,'ADV - FB'!I:I)+SUMIF('ADV - FB'!L:L,$A345,'ADV - FB'!J:J)+SUMIF('ADV - FB'!L:L,$A345,'ADV - FB'!K:K)</f>
        <v>0</v>
      </c>
      <c r="K345" s="321" t="str">
        <f t="shared" si="2"/>
        <v>-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ht="15.75" customHeight="1">
      <c r="A346" s="313" t="s">
        <v>615</v>
      </c>
      <c r="B346" s="314"/>
      <c r="C346" s="315"/>
      <c r="D346" s="315"/>
      <c r="E346" s="317"/>
      <c r="F346" s="318" t="str">
        <f t="shared" si="1"/>
        <v>TP345 -  -  - </v>
      </c>
      <c r="G346" s="319">
        <f>SUMIF('ADV - FB'!L:L,$A346,'ADV - FB'!E:E)</f>
        <v>0</v>
      </c>
      <c r="H346" s="320" t="str">
        <f>IFERROR(SUMIF('ADV - FB'!L:L,$A346,'ADV - FB'!H:H)/(SUMIF('ADV - FB'!L:L,$A346,'ADV - FB'!G:G)),"-")</f>
        <v>-</v>
      </c>
      <c r="I346" s="321" t="str">
        <f>IFERROR(SUMIF('ADV - FB'!L:L,$A346,'ADV - FB'!E:E)/(SUMIF('ADV - FB'!L:L,$A346,'ADV - FB'!F:F)),"-")</f>
        <v>-</v>
      </c>
      <c r="J346" s="315">
        <f>SUMIF('ADV - FB'!L:L,$A346,'ADV - FB'!I:I)+SUMIF('ADV - FB'!L:L,$A346,'ADV - FB'!J:J)+SUMIF('ADV - FB'!L:L,$A346,'ADV - FB'!K:K)</f>
        <v>0</v>
      </c>
      <c r="K346" s="321" t="str">
        <f t="shared" si="2"/>
        <v>-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ht="15.75" customHeight="1">
      <c r="A347" s="313" t="s">
        <v>616</v>
      </c>
      <c r="B347" s="314"/>
      <c r="C347" s="315"/>
      <c r="D347" s="315"/>
      <c r="E347" s="317"/>
      <c r="F347" s="318" t="str">
        <f t="shared" si="1"/>
        <v>TP346 -  -  - </v>
      </c>
      <c r="G347" s="319">
        <f>SUMIF('ADV - FB'!L:L,$A347,'ADV - FB'!E:E)</f>
        <v>0</v>
      </c>
      <c r="H347" s="320" t="str">
        <f>IFERROR(SUMIF('ADV - FB'!L:L,$A347,'ADV - FB'!H:H)/(SUMIF('ADV - FB'!L:L,$A347,'ADV - FB'!G:G)),"-")</f>
        <v>-</v>
      </c>
      <c r="I347" s="321" t="str">
        <f>IFERROR(SUMIF('ADV - FB'!L:L,$A347,'ADV - FB'!E:E)/(SUMIF('ADV - FB'!L:L,$A347,'ADV - FB'!F:F)),"-")</f>
        <v>-</v>
      </c>
      <c r="J347" s="315">
        <f>SUMIF('ADV - FB'!L:L,$A347,'ADV - FB'!I:I)+SUMIF('ADV - FB'!L:L,$A347,'ADV - FB'!J:J)+SUMIF('ADV - FB'!L:L,$A347,'ADV - FB'!K:K)</f>
        <v>0</v>
      </c>
      <c r="K347" s="321" t="str">
        <f t="shared" si="2"/>
        <v>-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ht="15.75" customHeight="1">
      <c r="A348" s="313" t="s">
        <v>617</v>
      </c>
      <c r="B348" s="314"/>
      <c r="C348" s="315"/>
      <c r="D348" s="315"/>
      <c r="E348" s="317"/>
      <c r="F348" s="318" t="str">
        <f t="shared" si="1"/>
        <v>TP347 -  -  - </v>
      </c>
      <c r="G348" s="319">
        <f>SUMIF('ADV - FB'!L:L,$A348,'ADV - FB'!E:E)</f>
        <v>0</v>
      </c>
      <c r="H348" s="320" t="str">
        <f>IFERROR(SUMIF('ADV - FB'!L:L,$A348,'ADV - FB'!H:H)/(SUMIF('ADV - FB'!L:L,$A348,'ADV - FB'!G:G)),"-")</f>
        <v>-</v>
      </c>
      <c r="I348" s="321" t="str">
        <f>IFERROR(SUMIF('ADV - FB'!L:L,$A348,'ADV - FB'!E:E)/(SUMIF('ADV - FB'!L:L,$A348,'ADV - FB'!F:F)),"-")</f>
        <v>-</v>
      </c>
      <c r="J348" s="315">
        <f>SUMIF('ADV - FB'!L:L,$A348,'ADV - FB'!I:I)+SUMIF('ADV - FB'!L:L,$A348,'ADV - FB'!J:J)+SUMIF('ADV - FB'!L:L,$A348,'ADV - FB'!K:K)</f>
        <v>0</v>
      </c>
      <c r="K348" s="321" t="str">
        <f t="shared" si="2"/>
        <v>-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ht="15.75" customHeight="1">
      <c r="A349" s="313" t="s">
        <v>618</v>
      </c>
      <c r="B349" s="314"/>
      <c r="C349" s="315"/>
      <c r="D349" s="315"/>
      <c r="E349" s="317"/>
      <c r="F349" s="318" t="str">
        <f t="shared" si="1"/>
        <v>TP348 -  -  - </v>
      </c>
      <c r="G349" s="319">
        <f>SUMIF('ADV - FB'!L:L,$A349,'ADV - FB'!E:E)</f>
        <v>0</v>
      </c>
      <c r="H349" s="320" t="str">
        <f>IFERROR(SUMIF('ADV - FB'!L:L,$A349,'ADV - FB'!H:H)/(SUMIF('ADV - FB'!L:L,$A349,'ADV - FB'!G:G)),"-")</f>
        <v>-</v>
      </c>
      <c r="I349" s="321" t="str">
        <f>IFERROR(SUMIF('ADV - FB'!L:L,$A349,'ADV - FB'!E:E)/(SUMIF('ADV - FB'!L:L,$A349,'ADV - FB'!F:F)),"-")</f>
        <v>-</v>
      </c>
      <c r="J349" s="315">
        <f>SUMIF('ADV - FB'!L:L,$A349,'ADV - FB'!I:I)+SUMIF('ADV - FB'!L:L,$A349,'ADV - FB'!J:J)+SUMIF('ADV - FB'!L:L,$A349,'ADV - FB'!K:K)</f>
        <v>0</v>
      </c>
      <c r="K349" s="321" t="str">
        <f t="shared" si="2"/>
        <v>-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ht="15.75" customHeight="1">
      <c r="A350" s="313" t="s">
        <v>619</v>
      </c>
      <c r="B350" s="314"/>
      <c r="C350" s="315"/>
      <c r="D350" s="315"/>
      <c r="E350" s="317"/>
      <c r="F350" s="318" t="str">
        <f t="shared" si="1"/>
        <v>TP349 -  -  - </v>
      </c>
      <c r="G350" s="319">
        <f>SUMIF('ADV - FB'!L:L,$A350,'ADV - FB'!E:E)</f>
        <v>0</v>
      </c>
      <c r="H350" s="320" t="str">
        <f>IFERROR(SUMIF('ADV - FB'!L:L,$A350,'ADV - FB'!H:H)/(SUMIF('ADV - FB'!L:L,$A350,'ADV - FB'!G:G)),"-")</f>
        <v>-</v>
      </c>
      <c r="I350" s="321" t="str">
        <f>IFERROR(SUMIF('ADV - FB'!L:L,$A350,'ADV - FB'!E:E)/(SUMIF('ADV - FB'!L:L,$A350,'ADV - FB'!F:F)),"-")</f>
        <v>-</v>
      </c>
      <c r="J350" s="315">
        <f>SUMIF('ADV - FB'!L:L,$A350,'ADV - FB'!I:I)+SUMIF('ADV - FB'!L:L,$A350,'ADV - FB'!J:J)+SUMIF('ADV - FB'!L:L,$A350,'ADV - FB'!K:K)</f>
        <v>0</v>
      </c>
      <c r="K350" s="321" t="str">
        <f t="shared" si="2"/>
        <v>-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ht="15.75" customHeight="1">
      <c r="A351" s="313" t="s">
        <v>620</v>
      </c>
      <c r="B351" s="314"/>
      <c r="C351" s="315"/>
      <c r="D351" s="315"/>
      <c r="E351" s="317"/>
      <c r="F351" s="318" t="str">
        <f t="shared" si="1"/>
        <v>TP350 -  -  - </v>
      </c>
      <c r="G351" s="319">
        <f>SUMIF('ADV - FB'!L:L,$A351,'ADV - FB'!E:E)</f>
        <v>0</v>
      </c>
      <c r="H351" s="320" t="str">
        <f>IFERROR(SUMIF('ADV - FB'!L:L,$A351,'ADV - FB'!H:H)/(SUMIF('ADV - FB'!L:L,$A351,'ADV - FB'!G:G)),"-")</f>
        <v>-</v>
      </c>
      <c r="I351" s="321" t="str">
        <f>IFERROR(SUMIF('ADV - FB'!L:L,$A351,'ADV - FB'!E:E)/(SUMIF('ADV - FB'!L:L,$A351,'ADV - FB'!F:F)),"-")</f>
        <v>-</v>
      </c>
      <c r="J351" s="315">
        <f>SUMIF('ADV - FB'!L:L,$A351,'ADV - FB'!I:I)+SUMIF('ADV - FB'!L:L,$A351,'ADV - FB'!J:J)+SUMIF('ADV - FB'!L:L,$A351,'ADV - FB'!K:K)</f>
        <v>0</v>
      </c>
      <c r="K351" s="321" t="str">
        <f t="shared" si="2"/>
        <v>-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ht="15.75" customHeight="1">
      <c r="A352" s="313" t="s">
        <v>621</v>
      </c>
      <c r="B352" s="314"/>
      <c r="C352" s="315"/>
      <c r="D352" s="315"/>
      <c r="E352" s="317"/>
      <c r="F352" s="318" t="str">
        <f t="shared" si="1"/>
        <v>TP351 -  -  - </v>
      </c>
      <c r="G352" s="319">
        <f>SUMIF('ADV - FB'!L:L,$A352,'ADV - FB'!E:E)</f>
        <v>0</v>
      </c>
      <c r="H352" s="320" t="str">
        <f>IFERROR(SUMIF('ADV - FB'!L:L,$A352,'ADV - FB'!H:H)/(SUMIF('ADV - FB'!L:L,$A352,'ADV - FB'!G:G)),"-")</f>
        <v>-</v>
      </c>
      <c r="I352" s="321" t="str">
        <f>IFERROR(SUMIF('ADV - FB'!L:L,$A352,'ADV - FB'!E:E)/(SUMIF('ADV - FB'!L:L,$A352,'ADV - FB'!F:F)),"-")</f>
        <v>-</v>
      </c>
      <c r="J352" s="315">
        <f>SUMIF('ADV - FB'!L:L,$A352,'ADV - FB'!I:I)+SUMIF('ADV - FB'!L:L,$A352,'ADV - FB'!J:J)+SUMIF('ADV - FB'!L:L,$A352,'ADV - FB'!K:K)</f>
        <v>0</v>
      </c>
      <c r="K352" s="321" t="str">
        <f t="shared" si="2"/>
        <v>-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ht="15.75" customHeight="1">
      <c r="A353" s="313" t="s">
        <v>622</v>
      </c>
      <c r="B353" s="314"/>
      <c r="C353" s="315"/>
      <c r="D353" s="315"/>
      <c r="E353" s="317"/>
      <c r="F353" s="318" t="str">
        <f t="shared" si="1"/>
        <v>TP352 -  -  - </v>
      </c>
      <c r="G353" s="319">
        <f>SUMIF('ADV - FB'!L:L,$A353,'ADV - FB'!E:E)</f>
        <v>0</v>
      </c>
      <c r="H353" s="320" t="str">
        <f>IFERROR(SUMIF('ADV - FB'!L:L,$A353,'ADV - FB'!H:H)/(SUMIF('ADV - FB'!L:L,$A353,'ADV - FB'!G:G)),"-")</f>
        <v>-</v>
      </c>
      <c r="I353" s="321" t="str">
        <f>IFERROR(SUMIF('ADV - FB'!L:L,$A353,'ADV - FB'!E:E)/(SUMIF('ADV - FB'!L:L,$A353,'ADV - FB'!F:F)),"-")</f>
        <v>-</v>
      </c>
      <c r="J353" s="315">
        <f>SUMIF('ADV - FB'!L:L,$A353,'ADV - FB'!I:I)+SUMIF('ADV - FB'!L:L,$A353,'ADV - FB'!J:J)+SUMIF('ADV - FB'!L:L,$A353,'ADV - FB'!K:K)</f>
        <v>0</v>
      </c>
      <c r="K353" s="321" t="str">
        <f t="shared" si="2"/>
        <v>-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ht="15.75" customHeight="1">
      <c r="A354" s="313" t="s">
        <v>623</v>
      </c>
      <c r="B354" s="314"/>
      <c r="C354" s="315"/>
      <c r="D354" s="315"/>
      <c r="E354" s="317"/>
      <c r="F354" s="318" t="str">
        <f t="shared" si="1"/>
        <v>TP353 -  -  - </v>
      </c>
      <c r="G354" s="319">
        <f>SUMIF('ADV - FB'!L:L,$A354,'ADV - FB'!E:E)</f>
        <v>0</v>
      </c>
      <c r="H354" s="320" t="str">
        <f>IFERROR(SUMIF('ADV - FB'!L:L,$A354,'ADV - FB'!H:H)/(SUMIF('ADV - FB'!L:L,$A354,'ADV - FB'!G:G)),"-")</f>
        <v>-</v>
      </c>
      <c r="I354" s="321" t="str">
        <f>IFERROR(SUMIF('ADV - FB'!L:L,$A354,'ADV - FB'!E:E)/(SUMIF('ADV - FB'!L:L,$A354,'ADV - FB'!F:F)),"-")</f>
        <v>-</v>
      </c>
      <c r="J354" s="315">
        <f>SUMIF('ADV - FB'!L:L,$A354,'ADV - FB'!I:I)+SUMIF('ADV - FB'!L:L,$A354,'ADV - FB'!J:J)+SUMIF('ADV - FB'!L:L,$A354,'ADV - FB'!K:K)</f>
        <v>0</v>
      </c>
      <c r="K354" s="321" t="str">
        <f t="shared" si="2"/>
        <v>-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ht="15.75" customHeight="1">
      <c r="A355" s="313" t="s">
        <v>624</v>
      </c>
      <c r="B355" s="314"/>
      <c r="C355" s="315"/>
      <c r="D355" s="315"/>
      <c r="E355" s="317"/>
      <c r="F355" s="318" t="str">
        <f t="shared" si="1"/>
        <v>TP354 -  -  - </v>
      </c>
      <c r="G355" s="319">
        <f>SUMIF('ADV - FB'!L:L,$A355,'ADV - FB'!E:E)</f>
        <v>0</v>
      </c>
      <c r="H355" s="320" t="str">
        <f>IFERROR(SUMIF('ADV - FB'!L:L,$A355,'ADV - FB'!H:H)/(SUMIF('ADV - FB'!L:L,$A355,'ADV - FB'!G:G)),"-")</f>
        <v>-</v>
      </c>
      <c r="I355" s="321" t="str">
        <f>IFERROR(SUMIF('ADV - FB'!L:L,$A355,'ADV - FB'!E:E)/(SUMIF('ADV - FB'!L:L,$A355,'ADV - FB'!F:F)),"-")</f>
        <v>-</v>
      </c>
      <c r="J355" s="315">
        <f>SUMIF('ADV - FB'!L:L,$A355,'ADV - FB'!I:I)+SUMIF('ADV - FB'!L:L,$A355,'ADV - FB'!J:J)+SUMIF('ADV - FB'!L:L,$A355,'ADV - FB'!K:K)</f>
        <v>0</v>
      </c>
      <c r="K355" s="321" t="str">
        <f t="shared" si="2"/>
        <v>-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ht="15.75" customHeight="1">
      <c r="A356" s="313" t="s">
        <v>625</v>
      </c>
      <c r="B356" s="314"/>
      <c r="C356" s="315"/>
      <c r="D356" s="315"/>
      <c r="E356" s="317"/>
      <c r="F356" s="318" t="str">
        <f t="shared" si="1"/>
        <v>TP355 -  -  - </v>
      </c>
      <c r="G356" s="319">
        <f>SUMIF('ADV - FB'!L:L,$A356,'ADV - FB'!E:E)</f>
        <v>0</v>
      </c>
      <c r="H356" s="320" t="str">
        <f>IFERROR(SUMIF('ADV - FB'!L:L,$A356,'ADV - FB'!H:H)/(SUMIF('ADV - FB'!L:L,$A356,'ADV - FB'!G:G)),"-")</f>
        <v>-</v>
      </c>
      <c r="I356" s="321" t="str">
        <f>IFERROR(SUMIF('ADV - FB'!L:L,$A356,'ADV - FB'!E:E)/(SUMIF('ADV - FB'!L:L,$A356,'ADV - FB'!F:F)),"-")</f>
        <v>-</v>
      </c>
      <c r="J356" s="315">
        <f>SUMIF('ADV - FB'!L:L,$A356,'ADV - FB'!I:I)+SUMIF('ADV - FB'!L:L,$A356,'ADV - FB'!J:J)+SUMIF('ADV - FB'!L:L,$A356,'ADV - FB'!K:K)</f>
        <v>0</v>
      </c>
      <c r="K356" s="321" t="str">
        <f t="shared" si="2"/>
        <v>-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ht="15.75" customHeight="1">
      <c r="A357" s="313" t="s">
        <v>626</v>
      </c>
      <c r="B357" s="314"/>
      <c r="C357" s="315"/>
      <c r="D357" s="315"/>
      <c r="E357" s="317"/>
      <c r="F357" s="318" t="str">
        <f t="shared" si="1"/>
        <v>TP356 -  -  - </v>
      </c>
      <c r="G357" s="319">
        <f>SUMIF('ADV - FB'!L:L,$A357,'ADV - FB'!E:E)</f>
        <v>0</v>
      </c>
      <c r="H357" s="320" t="str">
        <f>IFERROR(SUMIF('ADV - FB'!L:L,$A357,'ADV - FB'!H:H)/(SUMIF('ADV - FB'!L:L,$A357,'ADV - FB'!G:G)),"-")</f>
        <v>-</v>
      </c>
      <c r="I357" s="321" t="str">
        <f>IFERROR(SUMIF('ADV - FB'!L:L,$A357,'ADV - FB'!E:E)/(SUMIF('ADV - FB'!L:L,$A357,'ADV - FB'!F:F)),"-")</f>
        <v>-</v>
      </c>
      <c r="J357" s="315">
        <f>SUMIF('ADV - FB'!L:L,$A357,'ADV - FB'!I:I)+SUMIF('ADV - FB'!L:L,$A357,'ADV - FB'!J:J)+SUMIF('ADV - FB'!L:L,$A357,'ADV - FB'!K:K)</f>
        <v>0</v>
      </c>
      <c r="K357" s="321" t="str">
        <f t="shared" si="2"/>
        <v>-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ht="15.75" customHeight="1">
      <c r="A358" s="313" t="s">
        <v>627</v>
      </c>
      <c r="B358" s="314"/>
      <c r="C358" s="315"/>
      <c r="D358" s="315"/>
      <c r="E358" s="317"/>
      <c r="F358" s="318" t="str">
        <f t="shared" si="1"/>
        <v>TP357 -  -  - </v>
      </c>
      <c r="G358" s="319">
        <f>SUMIF('ADV - FB'!L:L,$A358,'ADV - FB'!E:E)</f>
        <v>0</v>
      </c>
      <c r="H358" s="320" t="str">
        <f>IFERROR(SUMIF('ADV - FB'!L:L,$A358,'ADV - FB'!H:H)/(SUMIF('ADV - FB'!L:L,$A358,'ADV - FB'!G:G)),"-")</f>
        <v>-</v>
      </c>
      <c r="I358" s="321" t="str">
        <f>IFERROR(SUMIF('ADV - FB'!L:L,$A358,'ADV - FB'!E:E)/(SUMIF('ADV - FB'!L:L,$A358,'ADV - FB'!F:F)),"-")</f>
        <v>-</v>
      </c>
      <c r="J358" s="315">
        <f>SUMIF('ADV - FB'!L:L,$A358,'ADV - FB'!I:I)+SUMIF('ADV - FB'!L:L,$A358,'ADV - FB'!J:J)+SUMIF('ADV - FB'!L:L,$A358,'ADV - FB'!K:K)</f>
        <v>0</v>
      </c>
      <c r="K358" s="321" t="str">
        <f t="shared" si="2"/>
        <v>-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ht="15.75" customHeight="1">
      <c r="A359" s="313" t="s">
        <v>628</v>
      </c>
      <c r="B359" s="314"/>
      <c r="C359" s="315"/>
      <c r="D359" s="315"/>
      <c r="E359" s="317"/>
      <c r="F359" s="318" t="str">
        <f t="shared" si="1"/>
        <v>TP358 -  -  - </v>
      </c>
      <c r="G359" s="319">
        <f>SUMIF('ADV - FB'!L:L,$A359,'ADV - FB'!E:E)</f>
        <v>0</v>
      </c>
      <c r="H359" s="320" t="str">
        <f>IFERROR(SUMIF('ADV - FB'!L:L,$A359,'ADV - FB'!H:H)/(SUMIF('ADV - FB'!L:L,$A359,'ADV - FB'!G:G)),"-")</f>
        <v>-</v>
      </c>
      <c r="I359" s="321" t="str">
        <f>IFERROR(SUMIF('ADV - FB'!L:L,$A359,'ADV - FB'!E:E)/(SUMIF('ADV - FB'!L:L,$A359,'ADV - FB'!F:F)),"-")</f>
        <v>-</v>
      </c>
      <c r="J359" s="315">
        <f>SUMIF('ADV - FB'!L:L,$A359,'ADV - FB'!I:I)+SUMIF('ADV - FB'!L:L,$A359,'ADV - FB'!J:J)+SUMIF('ADV - FB'!L:L,$A359,'ADV - FB'!K:K)</f>
        <v>0</v>
      </c>
      <c r="K359" s="321" t="str">
        <f t="shared" si="2"/>
        <v>-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ht="15.75" customHeight="1">
      <c r="A360" s="313" t="s">
        <v>629</v>
      </c>
      <c r="B360" s="314"/>
      <c r="C360" s="315"/>
      <c r="D360" s="315"/>
      <c r="E360" s="317"/>
      <c r="F360" s="318" t="str">
        <f t="shared" si="1"/>
        <v>TP359 -  -  - </v>
      </c>
      <c r="G360" s="319">
        <f>SUMIF('ADV - FB'!L:L,$A360,'ADV - FB'!E:E)</f>
        <v>0</v>
      </c>
      <c r="H360" s="320" t="str">
        <f>IFERROR(SUMIF('ADV - FB'!L:L,$A360,'ADV - FB'!H:H)/(SUMIF('ADV - FB'!L:L,$A360,'ADV - FB'!G:G)),"-")</f>
        <v>-</v>
      </c>
      <c r="I360" s="321" t="str">
        <f>IFERROR(SUMIF('ADV - FB'!L:L,$A360,'ADV - FB'!E:E)/(SUMIF('ADV - FB'!L:L,$A360,'ADV - FB'!F:F)),"-")</f>
        <v>-</v>
      </c>
      <c r="J360" s="315">
        <f>SUMIF('ADV - FB'!L:L,$A360,'ADV - FB'!I:I)+SUMIF('ADV - FB'!L:L,$A360,'ADV - FB'!J:J)+SUMIF('ADV - FB'!L:L,$A360,'ADV - FB'!K:K)</f>
        <v>0</v>
      </c>
      <c r="K360" s="321" t="str">
        <f t="shared" si="2"/>
        <v>-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ht="15.75" customHeight="1">
      <c r="A361" s="313" t="s">
        <v>630</v>
      </c>
      <c r="B361" s="314"/>
      <c r="C361" s="315"/>
      <c r="D361" s="315"/>
      <c r="E361" s="317"/>
      <c r="F361" s="318" t="str">
        <f t="shared" si="1"/>
        <v>TP360 -  -  - </v>
      </c>
      <c r="G361" s="319">
        <f>SUMIF('ADV - FB'!L:L,$A361,'ADV - FB'!E:E)</f>
        <v>0</v>
      </c>
      <c r="H361" s="320" t="str">
        <f>IFERROR(SUMIF('ADV - FB'!L:L,$A361,'ADV - FB'!H:H)/(SUMIF('ADV - FB'!L:L,$A361,'ADV - FB'!G:G)),"-")</f>
        <v>-</v>
      </c>
      <c r="I361" s="321" t="str">
        <f>IFERROR(SUMIF('ADV - FB'!L:L,$A361,'ADV - FB'!E:E)/(SUMIF('ADV - FB'!L:L,$A361,'ADV - FB'!F:F)),"-")</f>
        <v>-</v>
      </c>
      <c r="J361" s="315">
        <f>SUMIF('ADV - FB'!L:L,$A361,'ADV - FB'!I:I)+SUMIF('ADV - FB'!L:L,$A361,'ADV - FB'!J:J)+SUMIF('ADV - FB'!L:L,$A361,'ADV - FB'!K:K)</f>
        <v>0</v>
      </c>
      <c r="K361" s="321" t="str">
        <f t="shared" si="2"/>
        <v>-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ht="15.75" customHeight="1">
      <c r="A362" s="313" t="s">
        <v>631</v>
      </c>
      <c r="B362" s="314"/>
      <c r="C362" s="315"/>
      <c r="D362" s="315"/>
      <c r="E362" s="317"/>
      <c r="F362" s="318" t="str">
        <f t="shared" si="1"/>
        <v>TP361 -  -  - </v>
      </c>
      <c r="G362" s="319">
        <f>SUMIF('ADV - FB'!L:L,$A362,'ADV - FB'!E:E)</f>
        <v>0</v>
      </c>
      <c r="H362" s="320" t="str">
        <f>IFERROR(SUMIF('ADV - FB'!L:L,$A362,'ADV - FB'!H:H)/(SUMIF('ADV - FB'!L:L,$A362,'ADV - FB'!G:G)),"-")</f>
        <v>-</v>
      </c>
      <c r="I362" s="321" t="str">
        <f>IFERROR(SUMIF('ADV - FB'!L:L,$A362,'ADV - FB'!E:E)/(SUMIF('ADV - FB'!L:L,$A362,'ADV - FB'!F:F)),"-")</f>
        <v>-</v>
      </c>
      <c r="J362" s="315">
        <f>SUMIF('ADV - FB'!L:L,$A362,'ADV - FB'!I:I)+SUMIF('ADV - FB'!L:L,$A362,'ADV - FB'!J:J)+SUMIF('ADV - FB'!L:L,$A362,'ADV - FB'!K:K)</f>
        <v>0</v>
      </c>
      <c r="K362" s="321" t="str">
        <f t="shared" si="2"/>
        <v>-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ht="15.75" customHeight="1">
      <c r="A363" s="313" t="s">
        <v>632</v>
      </c>
      <c r="B363" s="314"/>
      <c r="C363" s="315"/>
      <c r="D363" s="315"/>
      <c r="E363" s="317"/>
      <c r="F363" s="318" t="str">
        <f t="shared" si="1"/>
        <v>TP362 -  -  - </v>
      </c>
      <c r="G363" s="319">
        <f>SUMIF('ADV - FB'!L:L,$A363,'ADV - FB'!E:E)</f>
        <v>0</v>
      </c>
      <c r="H363" s="320" t="str">
        <f>IFERROR(SUMIF('ADV - FB'!L:L,$A363,'ADV - FB'!H:H)/(SUMIF('ADV - FB'!L:L,$A363,'ADV - FB'!G:G)),"-")</f>
        <v>-</v>
      </c>
      <c r="I363" s="321" t="str">
        <f>IFERROR(SUMIF('ADV - FB'!L:L,$A363,'ADV - FB'!E:E)/(SUMIF('ADV - FB'!L:L,$A363,'ADV - FB'!F:F)),"-")</f>
        <v>-</v>
      </c>
      <c r="J363" s="315">
        <f>SUMIF('ADV - FB'!L:L,$A363,'ADV - FB'!I:I)+SUMIF('ADV - FB'!L:L,$A363,'ADV - FB'!J:J)+SUMIF('ADV - FB'!L:L,$A363,'ADV - FB'!K:K)</f>
        <v>0</v>
      </c>
      <c r="K363" s="321" t="str">
        <f t="shared" si="2"/>
        <v>-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ht="15.75" customHeight="1">
      <c r="A364" s="313" t="s">
        <v>633</v>
      </c>
      <c r="B364" s="314"/>
      <c r="C364" s="315"/>
      <c r="D364" s="315"/>
      <c r="E364" s="317"/>
      <c r="F364" s="318" t="str">
        <f t="shared" si="1"/>
        <v>TP363 -  -  - </v>
      </c>
      <c r="G364" s="319">
        <f>SUMIF('ADV - FB'!L:L,$A364,'ADV - FB'!E:E)</f>
        <v>0</v>
      </c>
      <c r="H364" s="320" t="str">
        <f>IFERROR(SUMIF('ADV - FB'!L:L,$A364,'ADV - FB'!H:H)/(SUMIF('ADV - FB'!L:L,$A364,'ADV - FB'!G:G)),"-")</f>
        <v>-</v>
      </c>
      <c r="I364" s="321" t="str">
        <f>IFERROR(SUMIF('ADV - FB'!L:L,$A364,'ADV - FB'!E:E)/(SUMIF('ADV - FB'!L:L,$A364,'ADV - FB'!F:F)),"-")</f>
        <v>-</v>
      </c>
      <c r="J364" s="315">
        <f>SUMIF('ADV - FB'!L:L,$A364,'ADV - FB'!I:I)+SUMIF('ADV - FB'!L:L,$A364,'ADV - FB'!J:J)+SUMIF('ADV - FB'!L:L,$A364,'ADV - FB'!K:K)</f>
        <v>0</v>
      </c>
      <c r="K364" s="321" t="str">
        <f t="shared" si="2"/>
        <v>-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ht="15.75" customHeight="1">
      <c r="A365" s="313" t="s">
        <v>634</v>
      </c>
      <c r="B365" s="314"/>
      <c r="C365" s="315"/>
      <c r="D365" s="315"/>
      <c r="E365" s="317"/>
      <c r="F365" s="318" t="str">
        <f t="shared" si="1"/>
        <v>TP364 -  -  - </v>
      </c>
      <c r="G365" s="319">
        <f>SUMIF('ADV - FB'!L:L,$A365,'ADV - FB'!E:E)</f>
        <v>0</v>
      </c>
      <c r="H365" s="320" t="str">
        <f>IFERROR(SUMIF('ADV - FB'!L:L,$A365,'ADV - FB'!H:H)/(SUMIF('ADV - FB'!L:L,$A365,'ADV - FB'!G:G)),"-")</f>
        <v>-</v>
      </c>
      <c r="I365" s="321" t="str">
        <f>IFERROR(SUMIF('ADV - FB'!L:L,$A365,'ADV - FB'!E:E)/(SUMIF('ADV - FB'!L:L,$A365,'ADV - FB'!F:F)),"-")</f>
        <v>-</v>
      </c>
      <c r="J365" s="315">
        <f>SUMIF('ADV - FB'!L:L,$A365,'ADV - FB'!I:I)+SUMIF('ADV - FB'!L:L,$A365,'ADV - FB'!J:J)+SUMIF('ADV - FB'!L:L,$A365,'ADV - FB'!K:K)</f>
        <v>0</v>
      </c>
      <c r="K365" s="321" t="str">
        <f t="shared" si="2"/>
        <v>-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ht="15.75" customHeight="1">
      <c r="A366" s="313" t="s">
        <v>635</v>
      </c>
      <c r="B366" s="314"/>
      <c r="C366" s="315"/>
      <c r="D366" s="315"/>
      <c r="E366" s="317"/>
      <c r="F366" s="318" t="str">
        <f t="shared" si="1"/>
        <v>TP365 -  -  - </v>
      </c>
      <c r="G366" s="319">
        <f>SUMIF('ADV - FB'!L:L,$A366,'ADV - FB'!E:E)</f>
        <v>0</v>
      </c>
      <c r="H366" s="320" t="str">
        <f>IFERROR(SUMIF('ADV - FB'!L:L,$A366,'ADV - FB'!H:H)/(SUMIF('ADV - FB'!L:L,$A366,'ADV - FB'!G:G)),"-")</f>
        <v>-</v>
      </c>
      <c r="I366" s="321" t="str">
        <f>IFERROR(SUMIF('ADV - FB'!L:L,$A366,'ADV - FB'!E:E)/(SUMIF('ADV - FB'!L:L,$A366,'ADV - FB'!F:F)),"-")</f>
        <v>-</v>
      </c>
      <c r="J366" s="315">
        <f>SUMIF('ADV - FB'!L:L,$A366,'ADV - FB'!I:I)+SUMIF('ADV - FB'!L:L,$A366,'ADV - FB'!J:J)+SUMIF('ADV - FB'!L:L,$A366,'ADV - FB'!K:K)</f>
        <v>0</v>
      </c>
      <c r="K366" s="321" t="str">
        <f t="shared" si="2"/>
        <v>-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ht="15.75" customHeight="1">
      <c r="A367" s="313" t="s">
        <v>636</v>
      </c>
      <c r="B367" s="314"/>
      <c r="C367" s="315"/>
      <c r="D367" s="315"/>
      <c r="E367" s="317"/>
      <c r="F367" s="318" t="str">
        <f t="shared" si="1"/>
        <v>TP366 -  -  - </v>
      </c>
      <c r="G367" s="319">
        <f>SUMIF('ADV - FB'!L:L,$A367,'ADV - FB'!E:E)</f>
        <v>0</v>
      </c>
      <c r="H367" s="320" t="str">
        <f>IFERROR(SUMIF('ADV - FB'!L:L,$A367,'ADV - FB'!H:H)/(SUMIF('ADV - FB'!L:L,$A367,'ADV - FB'!G:G)),"-")</f>
        <v>-</v>
      </c>
      <c r="I367" s="321" t="str">
        <f>IFERROR(SUMIF('ADV - FB'!L:L,$A367,'ADV - FB'!E:E)/(SUMIF('ADV - FB'!L:L,$A367,'ADV - FB'!F:F)),"-")</f>
        <v>-</v>
      </c>
      <c r="J367" s="315">
        <f>SUMIF('ADV - FB'!L:L,$A367,'ADV - FB'!I:I)+SUMIF('ADV - FB'!L:L,$A367,'ADV - FB'!J:J)+SUMIF('ADV - FB'!L:L,$A367,'ADV - FB'!K:K)</f>
        <v>0</v>
      </c>
      <c r="K367" s="321" t="str">
        <f t="shared" si="2"/>
        <v>-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ht="15.75" customHeight="1">
      <c r="A368" s="313" t="s">
        <v>637</v>
      </c>
      <c r="B368" s="314"/>
      <c r="C368" s="315"/>
      <c r="D368" s="315"/>
      <c r="E368" s="317"/>
      <c r="F368" s="318" t="str">
        <f t="shared" si="1"/>
        <v>TP367 -  -  - </v>
      </c>
      <c r="G368" s="319">
        <f>SUMIF('ADV - FB'!L:L,$A368,'ADV - FB'!E:E)</f>
        <v>0</v>
      </c>
      <c r="H368" s="320" t="str">
        <f>IFERROR(SUMIF('ADV - FB'!L:L,$A368,'ADV - FB'!H:H)/(SUMIF('ADV - FB'!L:L,$A368,'ADV - FB'!G:G)),"-")</f>
        <v>-</v>
      </c>
      <c r="I368" s="321" t="str">
        <f>IFERROR(SUMIF('ADV - FB'!L:L,$A368,'ADV - FB'!E:E)/(SUMIF('ADV - FB'!L:L,$A368,'ADV - FB'!F:F)),"-")</f>
        <v>-</v>
      </c>
      <c r="J368" s="315">
        <f>SUMIF('ADV - FB'!L:L,$A368,'ADV - FB'!I:I)+SUMIF('ADV - FB'!L:L,$A368,'ADV - FB'!J:J)+SUMIF('ADV - FB'!L:L,$A368,'ADV - FB'!K:K)</f>
        <v>0</v>
      </c>
      <c r="K368" s="321" t="str">
        <f t="shared" si="2"/>
        <v>-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ht="15.75" customHeight="1">
      <c r="A369" s="313" t="s">
        <v>638</v>
      </c>
      <c r="B369" s="314"/>
      <c r="C369" s="315"/>
      <c r="D369" s="315"/>
      <c r="E369" s="317"/>
      <c r="F369" s="318" t="str">
        <f t="shared" si="1"/>
        <v>TP368 -  -  - </v>
      </c>
      <c r="G369" s="319">
        <f>SUMIF('ADV - FB'!L:L,$A369,'ADV - FB'!E:E)</f>
        <v>0</v>
      </c>
      <c r="H369" s="320" t="str">
        <f>IFERROR(SUMIF('ADV - FB'!L:L,$A369,'ADV - FB'!H:H)/(SUMIF('ADV - FB'!L:L,$A369,'ADV - FB'!G:G)),"-")</f>
        <v>-</v>
      </c>
      <c r="I369" s="321" t="str">
        <f>IFERROR(SUMIF('ADV - FB'!L:L,$A369,'ADV - FB'!E:E)/(SUMIF('ADV - FB'!L:L,$A369,'ADV - FB'!F:F)),"-")</f>
        <v>-</v>
      </c>
      <c r="J369" s="315">
        <f>SUMIF('ADV - FB'!L:L,$A369,'ADV - FB'!I:I)+SUMIF('ADV - FB'!L:L,$A369,'ADV - FB'!J:J)+SUMIF('ADV - FB'!L:L,$A369,'ADV - FB'!K:K)</f>
        <v>0</v>
      </c>
      <c r="K369" s="321" t="str">
        <f t="shared" si="2"/>
        <v>-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ht="15.75" customHeight="1">
      <c r="A370" s="313" t="s">
        <v>639</v>
      </c>
      <c r="B370" s="314"/>
      <c r="C370" s="315"/>
      <c r="D370" s="315"/>
      <c r="E370" s="317"/>
      <c r="F370" s="318" t="str">
        <f t="shared" si="1"/>
        <v>TP369 -  -  - </v>
      </c>
      <c r="G370" s="319">
        <f>SUMIF('ADV - FB'!L:L,$A370,'ADV - FB'!E:E)</f>
        <v>0</v>
      </c>
      <c r="H370" s="320" t="str">
        <f>IFERROR(SUMIF('ADV - FB'!L:L,$A370,'ADV - FB'!H:H)/(SUMIF('ADV - FB'!L:L,$A370,'ADV - FB'!G:G)),"-")</f>
        <v>-</v>
      </c>
      <c r="I370" s="321" t="str">
        <f>IFERROR(SUMIF('ADV - FB'!L:L,$A370,'ADV - FB'!E:E)/(SUMIF('ADV - FB'!L:L,$A370,'ADV - FB'!F:F)),"-")</f>
        <v>-</v>
      </c>
      <c r="J370" s="315">
        <f>SUMIF('ADV - FB'!L:L,$A370,'ADV - FB'!I:I)+SUMIF('ADV - FB'!L:L,$A370,'ADV - FB'!J:J)+SUMIF('ADV - FB'!L:L,$A370,'ADV - FB'!K:K)</f>
        <v>0</v>
      </c>
      <c r="K370" s="321" t="str">
        <f t="shared" si="2"/>
        <v>-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ht="15.75" customHeight="1">
      <c r="A371" s="313" t="s">
        <v>640</v>
      </c>
      <c r="B371" s="314"/>
      <c r="C371" s="315"/>
      <c r="D371" s="315"/>
      <c r="E371" s="317"/>
      <c r="F371" s="318" t="str">
        <f t="shared" si="1"/>
        <v>TP370 -  -  - </v>
      </c>
      <c r="G371" s="319">
        <f>SUMIF('ADV - FB'!L:L,$A371,'ADV - FB'!E:E)</f>
        <v>0</v>
      </c>
      <c r="H371" s="320" t="str">
        <f>IFERROR(SUMIF('ADV - FB'!L:L,$A371,'ADV - FB'!H:H)/(SUMIF('ADV - FB'!L:L,$A371,'ADV - FB'!G:G)),"-")</f>
        <v>-</v>
      </c>
      <c r="I371" s="321" t="str">
        <f>IFERROR(SUMIF('ADV - FB'!L:L,$A371,'ADV - FB'!E:E)/(SUMIF('ADV - FB'!L:L,$A371,'ADV - FB'!F:F)),"-")</f>
        <v>-</v>
      </c>
      <c r="J371" s="315">
        <f>SUMIF('ADV - FB'!L:L,$A371,'ADV - FB'!I:I)+SUMIF('ADV - FB'!L:L,$A371,'ADV - FB'!J:J)+SUMIF('ADV - FB'!L:L,$A371,'ADV - FB'!K:K)</f>
        <v>0</v>
      </c>
      <c r="K371" s="321" t="str">
        <f t="shared" si="2"/>
        <v>-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ht="15.75" customHeight="1">
      <c r="A372" s="313" t="s">
        <v>641</v>
      </c>
      <c r="B372" s="314"/>
      <c r="C372" s="315"/>
      <c r="D372" s="315"/>
      <c r="E372" s="317"/>
      <c r="F372" s="318" t="str">
        <f t="shared" si="1"/>
        <v>TP371 -  -  - </v>
      </c>
      <c r="G372" s="319">
        <f>SUMIF('ADV - FB'!L:L,$A372,'ADV - FB'!E:E)</f>
        <v>0</v>
      </c>
      <c r="H372" s="320" t="str">
        <f>IFERROR(SUMIF('ADV - FB'!L:L,$A372,'ADV - FB'!H:H)/(SUMIF('ADV - FB'!L:L,$A372,'ADV - FB'!G:G)),"-")</f>
        <v>-</v>
      </c>
      <c r="I372" s="321" t="str">
        <f>IFERROR(SUMIF('ADV - FB'!L:L,$A372,'ADV - FB'!E:E)/(SUMIF('ADV - FB'!L:L,$A372,'ADV - FB'!F:F)),"-")</f>
        <v>-</v>
      </c>
      <c r="J372" s="315">
        <f>SUMIF('ADV - FB'!L:L,$A372,'ADV - FB'!I:I)+SUMIF('ADV - FB'!L:L,$A372,'ADV - FB'!J:J)+SUMIF('ADV - FB'!L:L,$A372,'ADV - FB'!K:K)</f>
        <v>0</v>
      </c>
      <c r="K372" s="321" t="str">
        <f t="shared" si="2"/>
        <v>-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ht="15.75" customHeight="1">
      <c r="A373" s="313" t="s">
        <v>642</v>
      </c>
      <c r="B373" s="314"/>
      <c r="C373" s="315"/>
      <c r="D373" s="315"/>
      <c r="E373" s="317"/>
      <c r="F373" s="318" t="str">
        <f t="shared" si="1"/>
        <v>TP372 -  -  - </v>
      </c>
      <c r="G373" s="319">
        <f>SUMIF('ADV - FB'!L:L,$A373,'ADV - FB'!E:E)</f>
        <v>0</v>
      </c>
      <c r="H373" s="320" t="str">
        <f>IFERROR(SUMIF('ADV - FB'!L:L,$A373,'ADV - FB'!H:H)/(SUMIF('ADV - FB'!L:L,$A373,'ADV - FB'!G:G)),"-")</f>
        <v>-</v>
      </c>
      <c r="I373" s="321" t="str">
        <f>IFERROR(SUMIF('ADV - FB'!L:L,$A373,'ADV - FB'!E:E)/(SUMIF('ADV - FB'!L:L,$A373,'ADV - FB'!F:F)),"-")</f>
        <v>-</v>
      </c>
      <c r="J373" s="315">
        <f>SUMIF('ADV - FB'!L:L,$A373,'ADV - FB'!I:I)+SUMIF('ADV - FB'!L:L,$A373,'ADV - FB'!J:J)+SUMIF('ADV - FB'!L:L,$A373,'ADV - FB'!K:K)</f>
        <v>0</v>
      </c>
      <c r="K373" s="321" t="str">
        <f t="shared" si="2"/>
        <v>-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ht="15.75" customHeight="1">
      <c r="A374" s="313" t="s">
        <v>643</v>
      </c>
      <c r="B374" s="314"/>
      <c r="C374" s="315"/>
      <c r="D374" s="315"/>
      <c r="E374" s="317"/>
      <c r="F374" s="318" t="str">
        <f t="shared" si="1"/>
        <v>TP373 -  -  - </v>
      </c>
      <c r="G374" s="319">
        <f>SUMIF('ADV - FB'!L:L,$A374,'ADV - FB'!E:E)</f>
        <v>0</v>
      </c>
      <c r="H374" s="320" t="str">
        <f>IFERROR(SUMIF('ADV - FB'!L:L,$A374,'ADV - FB'!H:H)/(SUMIF('ADV - FB'!L:L,$A374,'ADV - FB'!G:G)),"-")</f>
        <v>-</v>
      </c>
      <c r="I374" s="321" t="str">
        <f>IFERROR(SUMIF('ADV - FB'!L:L,$A374,'ADV - FB'!E:E)/(SUMIF('ADV - FB'!L:L,$A374,'ADV - FB'!F:F)),"-")</f>
        <v>-</v>
      </c>
      <c r="J374" s="315">
        <f>SUMIF('ADV - FB'!L:L,$A374,'ADV - FB'!I:I)+SUMIF('ADV - FB'!L:L,$A374,'ADV - FB'!J:J)+SUMIF('ADV - FB'!L:L,$A374,'ADV - FB'!K:K)</f>
        <v>0</v>
      </c>
      <c r="K374" s="321" t="str">
        <f t="shared" si="2"/>
        <v>-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ht="15.75" customHeight="1">
      <c r="A375" s="313" t="s">
        <v>644</v>
      </c>
      <c r="B375" s="314"/>
      <c r="C375" s="315"/>
      <c r="D375" s="315"/>
      <c r="E375" s="317"/>
      <c r="F375" s="318" t="str">
        <f t="shared" si="1"/>
        <v>TP374 -  -  - </v>
      </c>
      <c r="G375" s="319">
        <f>SUMIF('ADV - FB'!L:L,$A375,'ADV - FB'!E:E)</f>
        <v>0</v>
      </c>
      <c r="H375" s="320" t="str">
        <f>IFERROR(SUMIF('ADV - FB'!L:L,$A375,'ADV - FB'!H:H)/(SUMIF('ADV - FB'!L:L,$A375,'ADV - FB'!G:G)),"-")</f>
        <v>-</v>
      </c>
      <c r="I375" s="321" t="str">
        <f>IFERROR(SUMIF('ADV - FB'!L:L,$A375,'ADV - FB'!E:E)/(SUMIF('ADV - FB'!L:L,$A375,'ADV - FB'!F:F)),"-")</f>
        <v>-</v>
      </c>
      <c r="J375" s="315">
        <f>SUMIF('ADV - FB'!L:L,$A375,'ADV - FB'!I:I)+SUMIF('ADV - FB'!L:L,$A375,'ADV - FB'!J:J)+SUMIF('ADV - FB'!L:L,$A375,'ADV - FB'!K:K)</f>
        <v>0</v>
      </c>
      <c r="K375" s="321" t="str">
        <f t="shared" si="2"/>
        <v>-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ht="15.75" customHeight="1">
      <c r="A376" s="313" t="s">
        <v>645</v>
      </c>
      <c r="B376" s="314"/>
      <c r="C376" s="315"/>
      <c r="D376" s="315"/>
      <c r="E376" s="317"/>
      <c r="F376" s="318" t="str">
        <f t="shared" si="1"/>
        <v>TP375 -  -  - </v>
      </c>
      <c r="G376" s="319">
        <f>SUMIF('ADV - FB'!L:L,$A376,'ADV - FB'!E:E)</f>
        <v>0</v>
      </c>
      <c r="H376" s="320" t="str">
        <f>IFERROR(SUMIF('ADV - FB'!L:L,$A376,'ADV - FB'!H:H)/(SUMIF('ADV - FB'!L:L,$A376,'ADV - FB'!G:G)),"-")</f>
        <v>-</v>
      </c>
      <c r="I376" s="321" t="str">
        <f>IFERROR(SUMIF('ADV - FB'!L:L,$A376,'ADV - FB'!E:E)/(SUMIF('ADV - FB'!L:L,$A376,'ADV - FB'!F:F)),"-")</f>
        <v>-</v>
      </c>
      <c r="J376" s="315">
        <f>SUMIF('ADV - FB'!L:L,$A376,'ADV - FB'!I:I)+SUMIF('ADV - FB'!L:L,$A376,'ADV - FB'!J:J)+SUMIF('ADV - FB'!L:L,$A376,'ADV - FB'!K:K)</f>
        <v>0</v>
      </c>
      <c r="K376" s="321" t="str">
        <f t="shared" si="2"/>
        <v>-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ht="15.75" customHeight="1">
      <c r="A377" s="313" t="s">
        <v>646</v>
      </c>
      <c r="B377" s="314"/>
      <c r="C377" s="315"/>
      <c r="D377" s="315"/>
      <c r="E377" s="317"/>
      <c r="F377" s="318" t="str">
        <f t="shared" si="1"/>
        <v>TP376 -  -  - </v>
      </c>
      <c r="G377" s="319">
        <f>SUMIF('ADV - FB'!L:L,$A377,'ADV - FB'!E:E)</f>
        <v>0</v>
      </c>
      <c r="H377" s="320" t="str">
        <f>IFERROR(SUMIF('ADV - FB'!L:L,$A377,'ADV - FB'!H:H)/(SUMIF('ADV - FB'!L:L,$A377,'ADV - FB'!G:G)),"-")</f>
        <v>-</v>
      </c>
      <c r="I377" s="321" t="str">
        <f>IFERROR(SUMIF('ADV - FB'!L:L,$A377,'ADV - FB'!E:E)/(SUMIF('ADV - FB'!L:L,$A377,'ADV - FB'!F:F)),"-")</f>
        <v>-</v>
      </c>
      <c r="J377" s="315">
        <f>SUMIF('ADV - FB'!L:L,$A377,'ADV - FB'!I:I)+SUMIF('ADV - FB'!L:L,$A377,'ADV - FB'!J:J)+SUMIF('ADV - FB'!L:L,$A377,'ADV - FB'!K:K)</f>
        <v>0</v>
      </c>
      <c r="K377" s="321" t="str">
        <f t="shared" si="2"/>
        <v>-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ht="15.75" customHeight="1">
      <c r="A378" s="313" t="s">
        <v>647</v>
      </c>
      <c r="B378" s="314"/>
      <c r="C378" s="315"/>
      <c r="D378" s="315"/>
      <c r="E378" s="317"/>
      <c r="F378" s="318" t="str">
        <f t="shared" si="1"/>
        <v>TP377 -  -  - </v>
      </c>
      <c r="G378" s="319">
        <f>SUMIF('ADV - FB'!L:L,$A378,'ADV - FB'!E:E)</f>
        <v>0</v>
      </c>
      <c r="H378" s="320" t="str">
        <f>IFERROR(SUMIF('ADV - FB'!L:L,$A378,'ADV - FB'!H:H)/(SUMIF('ADV - FB'!L:L,$A378,'ADV - FB'!G:G)),"-")</f>
        <v>-</v>
      </c>
      <c r="I378" s="321" t="str">
        <f>IFERROR(SUMIF('ADV - FB'!L:L,$A378,'ADV - FB'!E:E)/(SUMIF('ADV - FB'!L:L,$A378,'ADV - FB'!F:F)),"-")</f>
        <v>-</v>
      </c>
      <c r="J378" s="315">
        <f>SUMIF('ADV - FB'!L:L,$A378,'ADV - FB'!I:I)+SUMIF('ADV - FB'!L:L,$A378,'ADV - FB'!J:J)+SUMIF('ADV - FB'!L:L,$A378,'ADV - FB'!K:K)</f>
        <v>0</v>
      </c>
      <c r="K378" s="321" t="str">
        <f t="shared" si="2"/>
        <v>-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ht="15.75" customHeight="1">
      <c r="A379" s="313" t="s">
        <v>648</v>
      </c>
      <c r="B379" s="314"/>
      <c r="C379" s="315"/>
      <c r="D379" s="315"/>
      <c r="E379" s="317"/>
      <c r="F379" s="318" t="str">
        <f t="shared" si="1"/>
        <v>TP378 -  -  - </v>
      </c>
      <c r="G379" s="319">
        <f>SUMIF('ADV - FB'!L:L,$A379,'ADV - FB'!E:E)</f>
        <v>0</v>
      </c>
      <c r="H379" s="320" t="str">
        <f>IFERROR(SUMIF('ADV - FB'!L:L,$A379,'ADV - FB'!H:H)/(SUMIF('ADV - FB'!L:L,$A379,'ADV - FB'!G:G)),"-")</f>
        <v>-</v>
      </c>
      <c r="I379" s="321" t="str">
        <f>IFERROR(SUMIF('ADV - FB'!L:L,$A379,'ADV - FB'!E:E)/(SUMIF('ADV - FB'!L:L,$A379,'ADV - FB'!F:F)),"-")</f>
        <v>-</v>
      </c>
      <c r="J379" s="315">
        <f>SUMIF('ADV - FB'!L:L,$A379,'ADV - FB'!I:I)+SUMIF('ADV - FB'!L:L,$A379,'ADV - FB'!J:J)+SUMIF('ADV - FB'!L:L,$A379,'ADV - FB'!K:K)</f>
        <v>0</v>
      </c>
      <c r="K379" s="321" t="str">
        <f t="shared" si="2"/>
        <v>-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ht="15.75" customHeight="1">
      <c r="A380" s="313" t="s">
        <v>649</v>
      </c>
      <c r="B380" s="314"/>
      <c r="C380" s="315"/>
      <c r="D380" s="315"/>
      <c r="E380" s="317"/>
      <c r="F380" s="318" t="str">
        <f t="shared" si="1"/>
        <v>TP379 -  -  - </v>
      </c>
      <c r="G380" s="319">
        <f>SUMIF('ADV - FB'!L:L,$A380,'ADV - FB'!E:E)</f>
        <v>0</v>
      </c>
      <c r="H380" s="320" t="str">
        <f>IFERROR(SUMIF('ADV - FB'!L:L,$A380,'ADV - FB'!H:H)/(SUMIF('ADV - FB'!L:L,$A380,'ADV - FB'!G:G)),"-")</f>
        <v>-</v>
      </c>
      <c r="I380" s="321" t="str">
        <f>IFERROR(SUMIF('ADV - FB'!L:L,$A380,'ADV - FB'!E:E)/(SUMIF('ADV - FB'!L:L,$A380,'ADV - FB'!F:F)),"-")</f>
        <v>-</v>
      </c>
      <c r="J380" s="315">
        <f>SUMIF('ADV - FB'!L:L,$A380,'ADV - FB'!I:I)+SUMIF('ADV - FB'!L:L,$A380,'ADV - FB'!J:J)+SUMIF('ADV - FB'!L:L,$A380,'ADV - FB'!K:K)</f>
        <v>0</v>
      </c>
      <c r="K380" s="321" t="str">
        <f t="shared" si="2"/>
        <v>-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ht="15.75" customHeight="1">
      <c r="A381" s="313" t="s">
        <v>650</v>
      </c>
      <c r="B381" s="314"/>
      <c r="C381" s="315"/>
      <c r="D381" s="315"/>
      <c r="E381" s="317"/>
      <c r="F381" s="318" t="str">
        <f t="shared" si="1"/>
        <v>TP380 -  -  - </v>
      </c>
      <c r="G381" s="319">
        <f>SUMIF('ADV - FB'!L:L,$A381,'ADV - FB'!E:E)</f>
        <v>0</v>
      </c>
      <c r="H381" s="320" t="str">
        <f>IFERROR(SUMIF('ADV - FB'!L:L,$A381,'ADV - FB'!H:H)/(SUMIF('ADV - FB'!L:L,$A381,'ADV - FB'!G:G)),"-")</f>
        <v>-</v>
      </c>
      <c r="I381" s="321" t="str">
        <f>IFERROR(SUMIF('ADV - FB'!L:L,$A381,'ADV - FB'!E:E)/(SUMIF('ADV - FB'!L:L,$A381,'ADV - FB'!F:F)),"-")</f>
        <v>-</v>
      </c>
      <c r="J381" s="315">
        <f>SUMIF('ADV - FB'!L:L,$A381,'ADV - FB'!I:I)+SUMIF('ADV - FB'!L:L,$A381,'ADV - FB'!J:J)+SUMIF('ADV - FB'!L:L,$A381,'ADV - FB'!K:K)</f>
        <v>0</v>
      </c>
      <c r="K381" s="321" t="str">
        <f t="shared" si="2"/>
        <v>-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ht="15.75" customHeight="1">
      <c r="A382" s="313" t="s">
        <v>651</v>
      </c>
      <c r="B382" s="314"/>
      <c r="C382" s="315"/>
      <c r="D382" s="315"/>
      <c r="E382" s="317"/>
      <c r="F382" s="318" t="str">
        <f t="shared" si="1"/>
        <v>TP381 -  -  - </v>
      </c>
      <c r="G382" s="319">
        <f>SUMIF('ADV - FB'!L:L,$A382,'ADV - FB'!E:E)</f>
        <v>0</v>
      </c>
      <c r="H382" s="320" t="str">
        <f>IFERROR(SUMIF('ADV - FB'!L:L,$A382,'ADV - FB'!H:H)/(SUMIF('ADV - FB'!L:L,$A382,'ADV - FB'!G:G)),"-")</f>
        <v>-</v>
      </c>
      <c r="I382" s="321" t="str">
        <f>IFERROR(SUMIF('ADV - FB'!L:L,$A382,'ADV - FB'!E:E)/(SUMIF('ADV - FB'!L:L,$A382,'ADV - FB'!F:F)),"-")</f>
        <v>-</v>
      </c>
      <c r="J382" s="315">
        <f>SUMIF('ADV - FB'!L:L,$A382,'ADV - FB'!I:I)+SUMIF('ADV - FB'!L:L,$A382,'ADV - FB'!J:J)+SUMIF('ADV - FB'!L:L,$A382,'ADV - FB'!K:K)</f>
        <v>0</v>
      </c>
      <c r="K382" s="321" t="str">
        <f t="shared" si="2"/>
        <v>-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ht="15.75" customHeight="1">
      <c r="A383" s="313" t="s">
        <v>652</v>
      </c>
      <c r="B383" s="314"/>
      <c r="C383" s="315"/>
      <c r="D383" s="315"/>
      <c r="E383" s="317"/>
      <c r="F383" s="318" t="str">
        <f t="shared" si="1"/>
        <v>TP382 -  -  - </v>
      </c>
      <c r="G383" s="319">
        <f>SUMIF('ADV - FB'!L:L,$A383,'ADV - FB'!E:E)</f>
        <v>0</v>
      </c>
      <c r="H383" s="320" t="str">
        <f>IFERROR(SUMIF('ADV - FB'!L:L,$A383,'ADV - FB'!H:H)/(SUMIF('ADV - FB'!L:L,$A383,'ADV - FB'!G:G)),"-")</f>
        <v>-</v>
      </c>
      <c r="I383" s="321" t="str">
        <f>IFERROR(SUMIF('ADV - FB'!L:L,$A383,'ADV - FB'!E:E)/(SUMIF('ADV - FB'!L:L,$A383,'ADV - FB'!F:F)),"-")</f>
        <v>-</v>
      </c>
      <c r="J383" s="315">
        <f>SUMIF('ADV - FB'!L:L,$A383,'ADV - FB'!I:I)+SUMIF('ADV - FB'!L:L,$A383,'ADV - FB'!J:J)+SUMIF('ADV - FB'!L:L,$A383,'ADV - FB'!K:K)</f>
        <v>0</v>
      </c>
      <c r="K383" s="321" t="str">
        <f t="shared" si="2"/>
        <v>-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ht="15.75" customHeight="1">
      <c r="A384" s="313" t="s">
        <v>653</v>
      </c>
      <c r="B384" s="314"/>
      <c r="C384" s="315"/>
      <c r="D384" s="315"/>
      <c r="E384" s="317"/>
      <c r="F384" s="318" t="str">
        <f t="shared" si="1"/>
        <v>TP383 -  -  - </v>
      </c>
      <c r="G384" s="319">
        <f>SUMIF('ADV - FB'!L:L,$A384,'ADV - FB'!E:E)</f>
        <v>0</v>
      </c>
      <c r="H384" s="320" t="str">
        <f>IFERROR(SUMIF('ADV - FB'!L:L,$A384,'ADV - FB'!H:H)/(SUMIF('ADV - FB'!L:L,$A384,'ADV - FB'!G:G)),"-")</f>
        <v>-</v>
      </c>
      <c r="I384" s="321" t="str">
        <f>IFERROR(SUMIF('ADV - FB'!L:L,$A384,'ADV - FB'!E:E)/(SUMIF('ADV - FB'!L:L,$A384,'ADV - FB'!F:F)),"-")</f>
        <v>-</v>
      </c>
      <c r="J384" s="315">
        <f>SUMIF('ADV - FB'!L:L,$A384,'ADV - FB'!I:I)+SUMIF('ADV - FB'!L:L,$A384,'ADV - FB'!J:J)+SUMIF('ADV - FB'!L:L,$A384,'ADV - FB'!K:K)</f>
        <v>0</v>
      </c>
      <c r="K384" s="321" t="str">
        <f t="shared" si="2"/>
        <v>-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ht="15.75" customHeight="1">
      <c r="A385" s="313" t="s">
        <v>654</v>
      </c>
      <c r="B385" s="314"/>
      <c r="C385" s="315"/>
      <c r="D385" s="315"/>
      <c r="E385" s="317"/>
      <c r="F385" s="318" t="str">
        <f t="shared" si="1"/>
        <v>TP384 -  -  - </v>
      </c>
      <c r="G385" s="319">
        <f>SUMIF('ADV - FB'!L:L,$A385,'ADV - FB'!E:E)</f>
        <v>0</v>
      </c>
      <c r="H385" s="320" t="str">
        <f>IFERROR(SUMIF('ADV - FB'!L:L,$A385,'ADV - FB'!H:H)/(SUMIF('ADV - FB'!L:L,$A385,'ADV - FB'!G:G)),"-")</f>
        <v>-</v>
      </c>
      <c r="I385" s="321" t="str">
        <f>IFERROR(SUMIF('ADV - FB'!L:L,$A385,'ADV - FB'!E:E)/(SUMIF('ADV - FB'!L:L,$A385,'ADV - FB'!F:F)),"-")</f>
        <v>-</v>
      </c>
      <c r="J385" s="315">
        <f>SUMIF('ADV - FB'!L:L,$A385,'ADV - FB'!I:I)+SUMIF('ADV - FB'!L:L,$A385,'ADV - FB'!J:J)+SUMIF('ADV - FB'!L:L,$A385,'ADV - FB'!K:K)</f>
        <v>0</v>
      </c>
      <c r="K385" s="321" t="str">
        <f t="shared" si="2"/>
        <v>-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ht="15.75" customHeight="1">
      <c r="A386" s="313" t="s">
        <v>655</v>
      </c>
      <c r="B386" s="314"/>
      <c r="C386" s="315"/>
      <c r="D386" s="315"/>
      <c r="E386" s="317"/>
      <c r="F386" s="318" t="str">
        <f t="shared" si="1"/>
        <v>TP385 -  -  - </v>
      </c>
      <c r="G386" s="319">
        <f>SUMIF('ADV - FB'!L:L,$A386,'ADV - FB'!E:E)</f>
        <v>0</v>
      </c>
      <c r="H386" s="320" t="str">
        <f>IFERROR(SUMIF('ADV - FB'!L:L,$A386,'ADV - FB'!H:H)/(SUMIF('ADV - FB'!L:L,$A386,'ADV - FB'!G:G)),"-")</f>
        <v>-</v>
      </c>
      <c r="I386" s="321" t="str">
        <f>IFERROR(SUMIF('ADV - FB'!L:L,$A386,'ADV - FB'!E:E)/(SUMIF('ADV - FB'!L:L,$A386,'ADV - FB'!F:F)),"-")</f>
        <v>-</v>
      </c>
      <c r="J386" s="315">
        <f>SUMIF('ADV - FB'!L:L,$A386,'ADV - FB'!I:I)+SUMIF('ADV - FB'!L:L,$A386,'ADV - FB'!J:J)+SUMIF('ADV - FB'!L:L,$A386,'ADV - FB'!K:K)</f>
        <v>0</v>
      </c>
      <c r="K386" s="321" t="str">
        <f t="shared" si="2"/>
        <v>-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ht="15.75" customHeight="1">
      <c r="A387" s="313" t="s">
        <v>656</v>
      </c>
      <c r="B387" s="314"/>
      <c r="C387" s="315"/>
      <c r="D387" s="315"/>
      <c r="E387" s="317"/>
      <c r="F387" s="318" t="str">
        <f t="shared" si="1"/>
        <v>TP386 -  -  - </v>
      </c>
      <c r="G387" s="319">
        <f>SUMIF('ADV - FB'!L:L,$A387,'ADV - FB'!E:E)</f>
        <v>0</v>
      </c>
      <c r="H387" s="320" t="str">
        <f>IFERROR(SUMIF('ADV - FB'!L:L,$A387,'ADV - FB'!H:H)/(SUMIF('ADV - FB'!L:L,$A387,'ADV - FB'!G:G)),"-")</f>
        <v>-</v>
      </c>
      <c r="I387" s="321" t="str">
        <f>IFERROR(SUMIF('ADV - FB'!L:L,$A387,'ADV - FB'!E:E)/(SUMIF('ADV - FB'!L:L,$A387,'ADV - FB'!F:F)),"-")</f>
        <v>-</v>
      </c>
      <c r="J387" s="315">
        <f>SUMIF('ADV - FB'!L:L,$A387,'ADV - FB'!I:I)+SUMIF('ADV - FB'!L:L,$A387,'ADV - FB'!J:J)+SUMIF('ADV - FB'!L:L,$A387,'ADV - FB'!K:K)</f>
        <v>0</v>
      </c>
      <c r="K387" s="321" t="str">
        <f t="shared" si="2"/>
        <v>-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ht="15.75" customHeight="1">
      <c r="A388" s="313" t="s">
        <v>657</v>
      </c>
      <c r="B388" s="314"/>
      <c r="C388" s="315"/>
      <c r="D388" s="315"/>
      <c r="E388" s="317"/>
      <c r="F388" s="318" t="str">
        <f t="shared" si="1"/>
        <v>TP387 -  -  - </v>
      </c>
      <c r="G388" s="319">
        <f>SUMIF('ADV - FB'!L:L,$A388,'ADV - FB'!E:E)</f>
        <v>0</v>
      </c>
      <c r="H388" s="320" t="str">
        <f>IFERROR(SUMIF('ADV - FB'!L:L,$A388,'ADV - FB'!H:H)/(SUMIF('ADV - FB'!L:L,$A388,'ADV - FB'!G:G)),"-")</f>
        <v>-</v>
      </c>
      <c r="I388" s="321" t="str">
        <f>IFERROR(SUMIF('ADV - FB'!L:L,$A388,'ADV - FB'!E:E)/(SUMIF('ADV - FB'!L:L,$A388,'ADV - FB'!F:F)),"-")</f>
        <v>-</v>
      </c>
      <c r="J388" s="315">
        <f>SUMIF('ADV - FB'!L:L,$A388,'ADV - FB'!I:I)+SUMIF('ADV - FB'!L:L,$A388,'ADV - FB'!J:J)+SUMIF('ADV - FB'!L:L,$A388,'ADV - FB'!K:K)</f>
        <v>0</v>
      </c>
      <c r="K388" s="321" t="str">
        <f t="shared" si="2"/>
        <v>-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ht="15.75" customHeight="1">
      <c r="A389" s="313" t="s">
        <v>658</v>
      </c>
      <c r="B389" s="314"/>
      <c r="C389" s="315"/>
      <c r="D389" s="315"/>
      <c r="E389" s="317"/>
      <c r="F389" s="318" t="str">
        <f t="shared" si="1"/>
        <v>TP388 -  -  - </v>
      </c>
      <c r="G389" s="319">
        <f>SUMIF('ADV - FB'!L:L,$A389,'ADV - FB'!E:E)</f>
        <v>0</v>
      </c>
      <c r="H389" s="320" t="str">
        <f>IFERROR(SUMIF('ADV - FB'!L:L,$A389,'ADV - FB'!H:H)/(SUMIF('ADV - FB'!L:L,$A389,'ADV - FB'!G:G)),"-")</f>
        <v>-</v>
      </c>
      <c r="I389" s="321" t="str">
        <f>IFERROR(SUMIF('ADV - FB'!L:L,$A389,'ADV - FB'!E:E)/(SUMIF('ADV - FB'!L:L,$A389,'ADV - FB'!F:F)),"-")</f>
        <v>-</v>
      </c>
      <c r="J389" s="315">
        <f>SUMIF('ADV - FB'!L:L,$A389,'ADV - FB'!I:I)+SUMIF('ADV - FB'!L:L,$A389,'ADV - FB'!J:J)+SUMIF('ADV - FB'!L:L,$A389,'ADV - FB'!K:K)</f>
        <v>0</v>
      </c>
      <c r="K389" s="321" t="str">
        <f t="shared" si="2"/>
        <v>-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ht="15.75" customHeight="1">
      <c r="A390" s="313" t="s">
        <v>659</v>
      </c>
      <c r="B390" s="314"/>
      <c r="C390" s="315"/>
      <c r="D390" s="315"/>
      <c r="E390" s="317"/>
      <c r="F390" s="318" t="str">
        <f t="shared" si="1"/>
        <v>TP389 -  -  - </v>
      </c>
      <c r="G390" s="319">
        <f>SUMIF('ADV - FB'!L:L,$A390,'ADV - FB'!E:E)</f>
        <v>0</v>
      </c>
      <c r="H390" s="320" t="str">
        <f>IFERROR(SUMIF('ADV - FB'!L:L,$A390,'ADV - FB'!H:H)/(SUMIF('ADV - FB'!L:L,$A390,'ADV - FB'!G:G)),"-")</f>
        <v>-</v>
      </c>
      <c r="I390" s="321" t="str">
        <f>IFERROR(SUMIF('ADV - FB'!L:L,$A390,'ADV - FB'!E:E)/(SUMIF('ADV - FB'!L:L,$A390,'ADV - FB'!F:F)),"-")</f>
        <v>-</v>
      </c>
      <c r="J390" s="315">
        <f>SUMIF('ADV - FB'!L:L,$A390,'ADV - FB'!I:I)+SUMIF('ADV - FB'!L:L,$A390,'ADV - FB'!J:J)+SUMIF('ADV - FB'!L:L,$A390,'ADV - FB'!K:K)</f>
        <v>0</v>
      </c>
      <c r="K390" s="321" t="str">
        <f t="shared" si="2"/>
        <v>-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ht="15.75" customHeight="1">
      <c r="A391" s="313" t="s">
        <v>660</v>
      </c>
      <c r="B391" s="314"/>
      <c r="C391" s="315"/>
      <c r="D391" s="315"/>
      <c r="E391" s="317"/>
      <c r="F391" s="318" t="str">
        <f t="shared" si="1"/>
        <v>TP390 -  -  - </v>
      </c>
      <c r="G391" s="319">
        <f>SUMIF('ADV - FB'!L:L,$A391,'ADV - FB'!E:E)</f>
        <v>0</v>
      </c>
      <c r="H391" s="320" t="str">
        <f>IFERROR(SUMIF('ADV - FB'!L:L,$A391,'ADV - FB'!H:H)/(SUMIF('ADV - FB'!L:L,$A391,'ADV - FB'!G:G)),"-")</f>
        <v>-</v>
      </c>
      <c r="I391" s="321" t="str">
        <f>IFERROR(SUMIF('ADV - FB'!L:L,$A391,'ADV - FB'!E:E)/(SUMIF('ADV - FB'!L:L,$A391,'ADV - FB'!F:F)),"-")</f>
        <v>-</v>
      </c>
      <c r="J391" s="315">
        <f>SUMIF('ADV - FB'!L:L,$A391,'ADV - FB'!I:I)+SUMIF('ADV - FB'!L:L,$A391,'ADV - FB'!J:J)+SUMIF('ADV - FB'!L:L,$A391,'ADV - FB'!K:K)</f>
        <v>0</v>
      </c>
      <c r="K391" s="321" t="str">
        <f t="shared" si="2"/>
        <v>-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ht="15.75" customHeight="1">
      <c r="A392" s="313" t="s">
        <v>661</v>
      </c>
      <c r="B392" s="314"/>
      <c r="C392" s="315"/>
      <c r="D392" s="315"/>
      <c r="E392" s="317"/>
      <c r="F392" s="318" t="str">
        <f t="shared" si="1"/>
        <v>TP391 -  -  - </v>
      </c>
      <c r="G392" s="319">
        <f>SUMIF('ADV - FB'!L:L,$A392,'ADV - FB'!E:E)</f>
        <v>0</v>
      </c>
      <c r="H392" s="320" t="str">
        <f>IFERROR(SUMIF('ADV - FB'!L:L,$A392,'ADV - FB'!H:H)/(SUMIF('ADV - FB'!L:L,$A392,'ADV - FB'!G:G)),"-")</f>
        <v>-</v>
      </c>
      <c r="I392" s="321" t="str">
        <f>IFERROR(SUMIF('ADV - FB'!L:L,$A392,'ADV - FB'!E:E)/(SUMIF('ADV - FB'!L:L,$A392,'ADV - FB'!F:F)),"-")</f>
        <v>-</v>
      </c>
      <c r="J392" s="315">
        <f>SUMIF('ADV - FB'!L:L,$A392,'ADV - FB'!I:I)+SUMIF('ADV - FB'!L:L,$A392,'ADV - FB'!J:J)+SUMIF('ADV - FB'!L:L,$A392,'ADV - FB'!K:K)</f>
        <v>0</v>
      </c>
      <c r="K392" s="321" t="str">
        <f t="shared" si="2"/>
        <v>-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ht="15.75" customHeight="1">
      <c r="A393" s="313" t="s">
        <v>662</v>
      </c>
      <c r="B393" s="314"/>
      <c r="C393" s="315"/>
      <c r="D393" s="315"/>
      <c r="E393" s="317"/>
      <c r="F393" s="318" t="str">
        <f t="shared" si="1"/>
        <v>TP392 -  -  - </v>
      </c>
      <c r="G393" s="319">
        <f>SUMIF('ADV - FB'!L:L,$A393,'ADV - FB'!E:E)</f>
        <v>0</v>
      </c>
      <c r="H393" s="320" t="str">
        <f>IFERROR(SUMIF('ADV - FB'!L:L,$A393,'ADV - FB'!H:H)/(SUMIF('ADV - FB'!L:L,$A393,'ADV - FB'!G:G)),"-")</f>
        <v>-</v>
      </c>
      <c r="I393" s="321" t="str">
        <f>IFERROR(SUMIF('ADV - FB'!L:L,$A393,'ADV - FB'!E:E)/(SUMIF('ADV - FB'!L:L,$A393,'ADV - FB'!F:F)),"-")</f>
        <v>-</v>
      </c>
      <c r="J393" s="315">
        <f>SUMIF('ADV - FB'!L:L,$A393,'ADV - FB'!I:I)+SUMIF('ADV - FB'!L:L,$A393,'ADV - FB'!J:J)+SUMIF('ADV - FB'!L:L,$A393,'ADV - FB'!K:K)</f>
        <v>0</v>
      </c>
      <c r="K393" s="321" t="str">
        <f t="shared" si="2"/>
        <v>-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ht="15.75" customHeight="1">
      <c r="A394" s="313" t="s">
        <v>663</v>
      </c>
      <c r="B394" s="314"/>
      <c r="C394" s="315"/>
      <c r="D394" s="315"/>
      <c r="E394" s="317"/>
      <c r="F394" s="318" t="str">
        <f t="shared" si="1"/>
        <v>TP393 -  -  - </v>
      </c>
      <c r="G394" s="319">
        <f>SUMIF('ADV - FB'!L:L,$A394,'ADV - FB'!E:E)</f>
        <v>0</v>
      </c>
      <c r="H394" s="320" t="str">
        <f>IFERROR(SUMIF('ADV - FB'!L:L,$A394,'ADV - FB'!H:H)/(SUMIF('ADV - FB'!L:L,$A394,'ADV - FB'!G:G)),"-")</f>
        <v>-</v>
      </c>
      <c r="I394" s="321" t="str">
        <f>IFERROR(SUMIF('ADV - FB'!L:L,$A394,'ADV - FB'!E:E)/(SUMIF('ADV - FB'!L:L,$A394,'ADV - FB'!F:F)),"-")</f>
        <v>-</v>
      </c>
      <c r="J394" s="315">
        <f>SUMIF('ADV - FB'!L:L,$A394,'ADV - FB'!I:I)+SUMIF('ADV - FB'!L:L,$A394,'ADV - FB'!J:J)+SUMIF('ADV - FB'!L:L,$A394,'ADV - FB'!K:K)</f>
        <v>0</v>
      </c>
      <c r="K394" s="321" t="str">
        <f t="shared" si="2"/>
        <v>-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ht="15.75" customHeight="1">
      <c r="A395" s="313" t="s">
        <v>664</v>
      </c>
      <c r="B395" s="314"/>
      <c r="C395" s="315"/>
      <c r="D395" s="315"/>
      <c r="E395" s="317"/>
      <c r="F395" s="318" t="str">
        <f t="shared" si="1"/>
        <v>TP394 -  -  - </v>
      </c>
      <c r="G395" s="319">
        <f>SUMIF('ADV - FB'!L:L,$A395,'ADV - FB'!E:E)</f>
        <v>0</v>
      </c>
      <c r="H395" s="320" t="str">
        <f>IFERROR(SUMIF('ADV - FB'!L:L,$A395,'ADV - FB'!H:H)/(SUMIF('ADV - FB'!L:L,$A395,'ADV - FB'!G:G)),"-")</f>
        <v>-</v>
      </c>
      <c r="I395" s="321" t="str">
        <f>IFERROR(SUMIF('ADV - FB'!L:L,$A395,'ADV - FB'!E:E)/(SUMIF('ADV - FB'!L:L,$A395,'ADV - FB'!F:F)),"-")</f>
        <v>-</v>
      </c>
      <c r="J395" s="315">
        <f>SUMIF('ADV - FB'!L:L,$A395,'ADV - FB'!I:I)+SUMIF('ADV - FB'!L:L,$A395,'ADV - FB'!J:J)+SUMIF('ADV - FB'!L:L,$A395,'ADV - FB'!K:K)</f>
        <v>0</v>
      </c>
      <c r="K395" s="321" t="str">
        <f t="shared" si="2"/>
        <v>-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ht="15.75" customHeight="1">
      <c r="A396" s="313" t="s">
        <v>665</v>
      </c>
      <c r="B396" s="314"/>
      <c r="C396" s="315"/>
      <c r="D396" s="315"/>
      <c r="E396" s="317"/>
      <c r="F396" s="318" t="str">
        <f t="shared" si="1"/>
        <v>TP395 -  -  - </v>
      </c>
      <c r="G396" s="319">
        <f>SUMIF('ADV - FB'!L:L,$A396,'ADV - FB'!E:E)</f>
        <v>0</v>
      </c>
      <c r="H396" s="320" t="str">
        <f>IFERROR(SUMIF('ADV - FB'!L:L,$A396,'ADV - FB'!H:H)/(SUMIF('ADV - FB'!L:L,$A396,'ADV - FB'!G:G)),"-")</f>
        <v>-</v>
      </c>
      <c r="I396" s="321" t="str">
        <f>IFERROR(SUMIF('ADV - FB'!L:L,$A396,'ADV - FB'!E:E)/(SUMIF('ADV - FB'!L:L,$A396,'ADV - FB'!F:F)),"-")</f>
        <v>-</v>
      </c>
      <c r="J396" s="315">
        <f>SUMIF('ADV - FB'!L:L,$A396,'ADV - FB'!I:I)+SUMIF('ADV - FB'!L:L,$A396,'ADV - FB'!J:J)+SUMIF('ADV - FB'!L:L,$A396,'ADV - FB'!K:K)</f>
        <v>0</v>
      </c>
      <c r="K396" s="321" t="str">
        <f t="shared" si="2"/>
        <v>-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ht="15.75" customHeight="1">
      <c r="A397" s="313" t="s">
        <v>666</v>
      </c>
      <c r="B397" s="314"/>
      <c r="C397" s="315"/>
      <c r="D397" s="315"/>
      <c r="E397" s="317"/>
      <c r="F397" s="318" t="str">
        <f t="shared" si="1"/>
        <v>TP396 -  -  - </v>
      </c>
      <c r="G397" s="319">
        <f>SUMIF('ADV - FB'!L:L,$A397,'ADV - FB'!E:E)</f>
        <v>0</v>
      </c>
      <c r="H397" s="320" t="str">
        <f>IFERROR(SUMIF('ADV - FB'!L:L,$A397,'ADV - FB'!H:H)/(SUMIF('ADV - FB'!L:L,$A397,'ADV - FB'!G:G)),"-")</f>
        <v>-</v>
      </c>
      <c r="I397" s="321" t="str">
        <f>IFERROR(SUMIF('ADV - FB'!L:L,$A397,'ADV - FB'!E:E)/(SUMIF('ADV - FB'!L:L,$A397,'ADV - FB'!F:F)),"-")</f>
        <v>-</v>
      </c>
      <c r="J397" s="315">
        <f>SUMIF('ADV - FB'!L:L,$A397,'ADV - FB'!I:I)+SUMIF('ADV - FB'!L:L,$A397,'ADV - FB'!J:J)+SUMIF('ADV - FB'!L:L,$A397,'ADV - FB'!K:K)</f>
        <v>0</v>
      </c>
      <c r="K397" s="321" t="str">
        <f t="shared" si="2"/>
        <v>-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ht="15.75" customHeight="1">
      <c r="A398" s="313" t="s">
        <v>667</v>
      </c>
      <c r="B398" s="314"/>
      <c r="C398" s="315"/>
      <c r="D398" s="315"/>
      <c r="E398" s="317"/>
      <c r="F398" s="318" t="str">
        <f t="shared" si="1"/>
        <v>TP397 -  -  - </v>
      </c>
      <c r="G398" s="319">
        <f>SUMIF('ADV - FB'!L:L,$A398,'ADV - FB'!E:E)</f>
        <v>0</v>
      </c>
      <c r="H398" s="320" t="str">
        <f>IFERROR(SUMIF('ADV - FB'!L:L,$A398,'ADV - FB'!H:H)/(SUMIF('ADV - FB'!L:L,$A398,'ADV - FB'!G:G)),"-")</f>
        <v>-</v>
      </c>
      <c r="I398" s="321" t="str">
        <f>IFERROR(SUMIF('ADV - FB'!L:L,$A398,'ADV - FB'!E:E)/(SUMIF('ADV - FB'!L:L,$A398,'ADV - FB'!F:F)),"-")</f>
        <v>-</v>
      </c>
      <c r="J398" s="315">
        <f>SUMIF('ADV - FB'!L:L,$A398,'ADV - FB'!I:I)+SUMIF('ADV - FB'!L:L,$A398,'ADV - FB'!J:J)+SUMIF('ADV - FB'!L:L,$A398,'ADV - FB'!K:K)</f>
        <v>0</v>
      </c>
      <c r="K398" s="321" t="str">
        <f t="shared" si="2"/>
        <v>-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ht="15.75" customHeight="1">
      <c r="A399" s="313" t="s">
        <v>668</v>
      </c>
      <c r="B399" s="314"/>
      <c r="C399" s="315"/>
      <c r="D399" s="315"/>
      <c r="E399" s="317"/>
      <c r="F399" s="318" t="str">
        <f t="shared" si="1"/>
        <v>TP398 -  -  - </v>
      </c>
      <c r="G399" s="319">
        <f>SUMIF('ADV - FB'!L:L,$A399,'ADV - FB'!E:E)</f>
        <v>0</v>
      </c>
      <c r="H399" s="320" t="str">
        <f>IFERROR(SUMIF('ADV - FB'!L:L,$A399,'ADV - FB'!H:H)/(SUMIF('ADV - FB'!L:L,$A399,'ADV - FB'!G:G)),"-")</f>
        <v>-</v>
      </c>
      <c r="I399" s="321" t="str">
        <f>IFERROR(SUMIF('ADV - FB'!L:L,$A399,'ADV - FB'!E:E)/(SUMIF('ADV - FB'!L:L,$A399,'ADV - FB'!F:F)),"-")</f>
        <v>-</v>
      </c>
      <c r="J399" s="315">
        <f>SUMIF('ADV - FB'!L:L,$A399,'ADV - FB'!I:I)+SUMIF('ADV - FB'!L:L,$A399,'ADV - FB'!J:J)+SUMIF('ADV - FB'!L:L,$A399,'ADV - FB'!K:K)</f>
        <v>0</v>
      </c>
      <c r="K399" s="321" t="str">
        <f t="shared" si="2"/>
        <v>-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ht="15.75" customHeight="1">
      <c r="A400" s="313" t="s">
        <v>669</v>
      </c>
      <c r="B400" s="314"/>
      <c r="C400" s="315"/>
      <c r="D400" s="315"/>
      <c r="E400" s="317"/>
      <c r="F400" s="318" t="str">
        <f t="shared" si="1"/>
        <v>TP399 -  -  - </v>
      </c>
      <c r="G400" s="319">
        <f>SUMIF('ADV - FB'!L:L,$A400,'ADV - FB'!E:E)</f>
        <v>0</v>
      </c>
      <c r="H400" s="320" t="str">
        <f>IFERROR(SUMIF('ADV - FB'!L:L,$A400,'ADV - FB'!H:H)/(SUMIF('ADV - FB'!L:L,$A400,'ADV - FB'!G:G)),"-")</f>
        <v>-</v>
      </c>
      <c r="I400" s="321" t="str">
        <f>IFERROR(SUMIF('ADV - FB'!L:L,$A400,'ADV - FB'!E:E)/(SUMIF('ADV - FB'!L:L,$A400,'ADV - FB'!F:F)),"-")</f>
        <v>-</v>
      </c>
      <c r="J400" s="315">
        <f>SUMIF('ADV - FB'!L:L,$A400,'ADV - FB'!I:I)+SUMIF('ADV - FB'!L:L,$A400,'ADV - FB'!J:J)+SUMIF('ADV - FB'!L:L,$A400,'ADV - FB'!K:K)</f>
        <v>0</v>
      </c>
      <c r="K400" s="321" t="str">
        <f t="shared" si="2"/>
        <v>-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ht="15.75" customHeight="1">
      <c r="A401" s="313" t="s">
        <v>670</v>
      </c>
      <c r="B401" s="314"/>
      <c r="C401" s="315"/>
      <c r="D401" s="315"/>
      <c r="E401" s="317"/>
      <c r="F401" s="318" t="str">
        <f t="shared" si="1"/>
        <v>TP400 -  -  - </v>
      </c>
      <c r="G401" s="319">
        <f>SUMIF('ADV - FB'!L:L,$A401,'ADV - FB'!E:E)</f>
        <v>0</v>
      </c>
      <c r="H401" s="320" t="str">
        <f>IFERROR(SUMIF('ADV - FB'!L:L,$A401,'ADV - FB'!H:H)/(SUMIF('ADV - FB'!L:L,$A401,'ADV - FB'!G:G)),"-")</f>
        <v>-</v>
      </c>
      <c r="I401" s="321" t="str">
        <f>IFERROR(SUMIF('ADV - FB'!L:L,$A401,'ADV - FB'!E:E)/(SUMIF('ADV - FB'!L:L,$A401,'ADV - FB'!F:F)),"-")</f>
        <v>-</v>
      </c>
      <c r="J401" s="315">
        <f>SUMIF('ADV - FB'!L:L,$A401,'ADV - FB'!I:I)+SUMIF('ADV - FB'!L:L,$A401,'ADV - FB'!J:J)+SUMIF('ADV - FB'!L:L,$A401,'ADV - FB'!K:K)</f>
        <v>0</v>
      </c>
      <c r="K401" s="321" t="str">
        <f t="shared" si="2"/>
        <v>-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ht="15.75" customHeight="1">
      <c r="A402" s="313" t="s">
        <v>671</v>
      </c>
      <c r="B402" s="314"/>
      <c r="C402" s="315"/>
      <c r="D402" s="315"/>
      <c r="E402" s="317"/>
      <c r="F402" s="318" t="str">
        <f t="shared" si="1"/>
        <v>TP401 -  -  - </v>
      </c>
      <c r="G402" s="319">
        <f>SUMIF('ADV - FB'!L:L,$A402,'ADV - FB'!E:E)</f>
        <v>0</v>
      </c>
      <c r="H402" s="320" t="str">
        <f>IFERROR(SUMIF('ADV - FB'!L:L,$A402,'ADV - FB'!H:H)/(SUMIF('ADV - FB'!L:L,$A402,'ADV - FB'!G:G)),"-")</f>
        <v>-</v>
      </c>
      <c r="I402" s="321" t="str">
        <f>IFERROR(SUMIF('ADV - FB'!L:L,$A402,'ADV - FB'!E:E)/(SUMIF('ADV - FB'!L:L,$A402,'ADV - FB'!F:F)),"-")</f>
        <v>-</v>
      </c>
      <c r="J402" s="315">
        <f>SUMIF('ADV - FB'!L:L,$A402,'ADV - FB'!I:I)+SUMIF('ADV - FB'!L:L,$A402,'ADV - FB'!J:J)+SUMIF('ADV - FB'!L:L,$A402,'ADV - FB'!K:K)</f>
        <v>0</v>
      </c>
      <c r="K402" s="321" t="str">
        <f t="shared" si="2"/>
        <v>-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ht="15.75" customHeight="1">
      <c r="A403" s="313" t="s">
        <v>672</v>
      </c>
      <c r="B403" s="314"/>
      <c r="C403" s="315"/>
      <c r="D403" s="315"/>
      <c r="E403" s="317"/>
      <c r="F403" s="318" t="str">
        <f t="shared" si="1"/>
        <v>TP402 -  -  - </v>
      </c>
      <c r="G403" s="319">
        <f>SUMIF('ADV - FB'!L:L,$A403,'ADV - FB'!E:E)</f>
        <v>0</v>
      </c>
      <c r="H403" s="320" t="str">
        <f>IFERROR(SUMIF('ADV - FB'!L:L,$A403,'ADV - FB'!H:H)/(SUMIF('ADV - FB'!L:L,$A403,'ADV - FB'!G:G)),"-")</f>
        <v>-</v>
      </c>
      <c r="I403" s="321" t="str">
        <f>IFERROR(SUMIF('ADV - FB'!L:L,$A403,'ADV - FB'!E:E)/(SUMIF('ADV - FB'!L:L,$A403,'ADV - FB'!F:F)),"-")</f>
        <v>-</v>
      </c>
      <c r="J403" s="315">
        <f>SUMIF('ADV - FB'!L:L,$A403,'ADV - FB'!I:I)+SUMIF('ADV - FB'!L:L,$A403,'ADV - FB'!J:J)+SUMIF('ADV - FB'!L:L,$A403,'ADV - FB'!K:K)</f>
        <v>0</v>
      </c>
      <c r="K403" s="321" t="str">
        <f t="shared" si="2"/>
        <v>-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ht="15.75" customHeight="1">
      <c r="A404" s="313" t="s">
        <v>673</v>
      </c>
      <c r="B404" s="314"/>
      <c r="C404" s="315"/>
      <c r="D404" s="315"/>
      <c r="E404" s="317"/>
      <c r="F404" s="318" t="str">
        <f t="shared" si="1"/>
        <v>TP403 -  -  - </v>
      </c>
      <c r="G404" s="319">
        <f>SUMIF('ADV - FB'!L:L,$A404,'ADV - FB'!E:E)</f>
        <v>0</v>
      </c>
      <c r="H404" s="320" t="str">
        <f>IFERROR(SUMIF('ADV - FB'!L:L,$A404,'ADV - FB'!H:H)/(SUMIF('ADV - FB'!L:L,$A404,'ADV - FB'!G:G)),"-")</f>
        <v>-</v>
      </c>
      <c r="I404" s="321" t="str">
        <f>IFERROR(SUMIF('ADV - FB'!L:L,$A404,'ADV - FB'!E:E)/(SUMIF('ADV - FB'!L:L,$A404,'ADV - FB'!F:F)),"-")</f>
        <v>-</v>
      </c>
      <c r="J404" s="315">
        <f>SUMIF('ADV - FB'!L:L,$A404,'ADV - FB'!I:I)+SUMIF('ADV - FB'!L:L,$A404,'ADV - FB'!J:J)+SUMIF('ADV - FB'!L:L,$A404,'ADV - FB'!K:K)</f>
        <v>0</v>
      </c>
      <c r="K404" s="321" t="str">
        <f t="shared" si="2"/>
        <v>-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ht="15.75" customHeight="1">
      <c r="A405" s="313" t="s">
        <v>674</v>
      </c>
      <c r="B405" s="314"/>
      <c r="C405" s="315"/>
      <c r="D405" s="315"/>
      <c r="E405" s="317"/>
      <c r="F405" s="318" t="str">
        <f t="shared" si="1"/>
        <v>TP404 -  -  - </v>
      </c>
      <c r="G405" s="319">
        <f>SUMIF('ADV - FB'!L:L,$A405,'ADV - FB'!E:E)</f>
        <v>0</v>
      </c>
      <c r="H405" s="320" t="str">
        <f>IFERROR(SUMIF('ADV - FB'!L:L,$A405,'ADV - FB'!H:H)/(SUMIF('ADV - FB'!L:L,$A405,'ADV - FB'!G:G)),"-")</f>
        <v>-</v>
      </c>
      <c r="I405" s="321" t="str">
        <f>IFERROR(SUMIF('ADV - FB'!L:L,$A405,'ADV - FB'!E:E)/(SUMIF('ADV - FB'!L:L,$A405,'ADV - FB'!F:F)),"-")</f>
        <v>-</v>
      </c>
      <c r="J405" s="315">
        <f>SUMIF('ADV - FB'!L:L,$A405,'ADV - FB'!I:I)+SUMIF('ADV - FB'!L:L,$A405,'ADV - FB'!J:J)+SUMIF('ADV - FB'!L:L,$A405,'ADV - FB'!K:K)</f>
        <v>0</v>
      </c>
      <c r="K405" s="321" t="str">
        <f t="shared" si="2"/>
        <v>-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ht="15.75" customHeight="1">
      <c r="A406" s="313" t="s">
        <v>675</v>
      </c>
      <c r="B406" s="314"/>
      <c r="C406" s="315"/>
      <c r="D406" s="315"/>
      <c r="E406" s="317"/>
      <c r="F406" s="318" t="str">
        <f t="shared" si="1"/>
        <v>TP405 -  -  - </v>
      </c>
      <c r="G406" s="319">
        <f>SUMIF('ADV - FB'!L:L,$A406,'ADV - FB'!E:E)</f>
        <v>0</v>
      </c>
      <c r="H406" s="320" t="str">
        <f>IFERROR(SUMIF('ADV - FB'!L:L,$A406,'ADV - FB'!H:H)/(SUMIF('ADV - FB'!L:L,$A406,'ADV - FB'!G:G)),"-")</f>
        <v>-</v>
      </c>
      <c r="I406" s="321" t="str">
        <f>IFERROR(SUMIF('ADV - FB'!L:L,$A406,'ADV - FB'!E:E)/(SUMIF('ADV - FB'!L:L,$A406,'ADV - FB'!F:F)),"-")</f>
        <v>-</v>
      </c>
      <c r="J406" s="315">
        <f>SUMIF('ADV - FB'!L:L,$A406,'ADV - FB'!I:I)+SUMIF('ADV - FB'!L:L,$A406,'ADV - FB'!J:J)+SUMIF('ADV - FB'!L:L,$A406,'ADV - FB'!K:K)</f>
        <v>0</v>
      </c>
      <c r="K406" s="321" t="str">
        <f t="shared" si="2"/>
        <v>-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ht="15.75" customHeight="1">
      <c r="A407" s="313" t="s">
        <v>676</v>
      </c>
      <c r="B407" s="314"/>
      <c r="C407" s="315"/>
      <c r="D407" s="315"/>
      <c r="E407" s="317"/>
      <c r="F407" s="318" t="str">
        <f t="shared" si="1"/>
        <v>TP406 -  -  - </v>
      </c>
      <c r="G407" s="319">
        <f>SUMIF('ADV - FB'!L:L,$A407,'ADV - FB'!E:E)</f>
        <v>0</v>
      </c>
      <c r="H407" s="320" t="str">
        <f>IFERROR(SUMIF('ADV - FB'!L:L,$A407,'ADV - FB'!H:H)/(SUMIF('ADV - FB'!L:L,$A407,'ADV - FB'!G:G)),"-")</f>
        <v>-</v>
      </c>
      <c r="I407" s="321" t="str">
        <f>IFERROR(SUMIF('ADV - FB'!L:L,$A407,'ADV - FB'!E:E)/(SUMIF('ADV - FB'!L:L,$A407,'ADV - FB'!F:F)),"-")</f>
        <v>-</v>
      </c>
      <c r="J407" s="315">
        <f>SUMIF('ADV - FB'!L:L,$A407,'ADV - FB'!I:I)+SUMIF('ADV - FB'!L:L,$A407,'ADV - FB'!J:J)+SUMIF('ADV - FB'!L:L,$A407,'ADV - FB'!K:K)</f>
        <v>0</v>
      </c>
      <c r="K407" s="321" t="str">
        <f t="shared" si="2"/>
        <v>-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ht="15.75" customHeight="1">
      <c r="A408" s="313" t="s">
        <v>677</v>
      </c>
      <c r="B408" s="314"/>
      <c r="C408" s="315"/>
      <c r="D408" s="315"/>
      <c r="E408" s="317"/>
      <c r="F408" s="318" t="str">
        <f t="shared" si="1"/>
        <v>TP407 -  -  - </v>
      </c>
      <c r="G408" s="319">
        <f>SUMIF('ADV - FB'!L:L,$A408,'ADV - FB'!E:E)</f>
        <v>0</v>
      </c>
      <c r="H408" s="320" t="str">
        <f>IFERROR(SUMIF('ADV - FB'!L:L,$A408,'ADV - FB'!H:H)/(SUMIF('ADV - FB'!L:L,$A408,'ADV - FB'!G:G)),"-")</f>
        <v>-</v>
      </c>
      <c r="I408" s="321" t="str">
        <f>IFERROR(SUMIF('ADV - FB'!L:L,$A408,'ADV - FB'!E:E)/(SUMIF('ADV - FB'!L:L,$A408,'ADV - FB'!F:F)),"-")</f>
        <v>-</v>
      </c>
      <c r="J408" s="315">
        <f>SUMIF('ADV - FB'!L:L,$A408,'ADV - FB'!I:I)+SUMIF('ADV - FB'!L:L,$A408,'ADV - FB'!J:J)+SUMIF('ADV - FB'!L:L,$A408,'ADV - FB'!K:K)</f>
        <v>0</v>
      </c>
      <c r="K408" s="321" t="str">
        <f t="shared" si="2"/>
        <v>-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ht="15.75" customHeight="1">
      <c r="A409" s="313" t="s">
        <v>678</v>
      </c>
      <c r="B409" s="314"/>
      <c r="C409" s="315"/>
      <c r="D409" s="315"/>
      <c r="E409" s="317"/>
      <c r="F409" s="318" t="str">
        <f t="shared" si="1"/>
        <v>TP408 -  -  - </v>
      </c>
      <c r="G409" s="319">
        <f>SUMIF('ADV - FB'!L:L,$A409,'ADV - FB'!E:E)</f>
        <v>0</v>
      </c>
      <c r="H409" s="320" t="str">
        <f>IFERROR(SUMIF('ADV - FB'!L:L,$A409,'ADV - FB'!H:H)/(SUMIF('ADV - FB'!L:L,$A409,'ADV - FB'!G:G)),"-")</f>
        <v>-</v>
      </c>
      <c r="I409" s="321" t="str">
        <f>IFERROR(SUMIF('ADV - FB'!L:L,$A409,'ADV - FB'!E:E)/(SUMIF('ADV - FB'!L:L,$A409,'ADV - FB'!F:F)),"-")</f>
        <v>-</v>
      </c>
      <c r="J409" s="315">
        <f>SUMIF('ADV - FB'!L:L,$A409,'ADV - FB'!I:I)+SUMIF('ADV - FB'!L:L,$A409,'ADV - FB'!J:J)+SUMIF('ADV - FB'!L:L,$A409,'ADV - FB'!K:K)</f>
        <v>0</v>
      </c>
      <c r="K409" s="321" t="str">
        <f t="shared" si="2"/>
        <v>-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ht="15.75" customHeight="1">
      <c r="A410" s="313" t="s">
        <v>679</v>
      </c>
      <c r="B410" s="314"/>
      <c r="C410" s="315"/>
      <c r="D410" s="315"/>
      <c r="E410" s="317"/>
      <c r="F410" s="318" t="str">
        <f t="shared" si="1"/>
        <v>TP409 -  -  - </v>
      </c>
      <c r="G410" s="319">
        <f>SUMIF('ADV - FB'!L:L,$A410,'ADV - FB'!E:E)</f>
        <v>0</v>
      </c>
      <c r="H410" s="320" t="str">
        <f>IFERROR(SUMIF('ADV - FB'!L:L,$A410,'ADV - FB'!H:H)/(SUMIF('ADV - FB'!L:L,$A410,'ADV - FB'!G:G)),"-")</f>
        <v>-</v>
      </c>
      <c r="I410" s="321" t="str">
        <f>IFERROR(SUMIF('ADV - FB'!L:L,$A410,'ADV - FB'!E:E)/(SUMIF('ADV - FB'!L:L,$A410,'ADV - FB'!F:F)),"-")</f>
        <v>-</v>
      </c>
      <c r="J410" s="315">
        <f>SUMIF('ADV - FB'!L:L,$A410,'ADV - FB'!I:I)+SUMIF('ADV - FB'!L:L,$A410,'ADV - FB'!J:J)+SUMIF('ADV - FB'!L:L,$A410,'ADV - FB'!K:K)</f>
        <v>0</v>
      </c>
      <c r="K410" s="321" t="str">
        <f t="shared" si="2"/>
        <v>-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ht="15.75" customHeight="1">
      <c r="A411" s="313" t="s">
        <v>680</v>
      </c>
      <c r="B411" s="314"/>
      <c r="C411" s="315"/>
      <c r="D411" s="315"/>
      <c r="E411" s="317"/>
      <c r="F411" s="318" t="str">
        <f t="shared" si="1"/>
        <v>TP410 -  -  - </v>
      </c>
      <c r="G411" s="319">
        <f>SUMIF('ADV - FB'!L:L,$A411,'ADV - FB'!E:E)</f>
        <v>0</v>
      </c>
      <c r="H411" s="320" t="str">
        <f>IFERROR(SUMIF('ADV - FB'!L:L,$A411,'ADV - FB'!H:H)/(SUMIF('ADV - FB'!L:L,$A411,'ADV - FB'!G:G)),"-")</f>
        <v>-</v>
      </c>
      <c r="I411" s="321" t="str">
        <f>IFERROR(SUMIF('ADV - FB'!L:L,$A411,'ADV - FB'!E:E)/(SUMIF('ADV - FB'!L:L,$A411,'ADV - FB'!F:F)),"-")</f>
        <v>-</v>
      </c>
      <c r="J411" s="315">
        <f>SUMIF('ADV - FB'!L:L,$A411,'ADV - FB'!I:I)+SUMIF('ADV - FB'!L:L,$A411,'ADV - FB'!J:J)+SUMIF('ADV - FB'!L:L,$A411,'ADV - FB'!K:K)</f>
        <v>0</v>
      </c>
      <c r="K411" s="321" t="str">
        <f t="shared" si="2"/>
        <v>-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ht="15.75" customHeight="1">
      <c r="A412" s="313" t="s">
        <v>681</v>
      </c>
      <c r="B412" s="314"/>
      <c r="C412" s="315"/>
      <c r="D412" s="315"/>
      <c r="E412" s="317"/>
      <c r="F412" s="318" t="str">
        <f t="shared" si="1"/>
        <v>TP411 -  -  - </v>
      </c>
      <c r="G412" s="319">
        <f>SUMIF('ADV - FB'!L:L,$A412,'ADV - FB'!E:E)</f>
        <v>0</v>
      </c>
      <c r="H412" s="320" t="str">
        <f>IFERROR(SUMIF('ADV - FB'!L:L,$A412,'ADV - FB'!H:H)/(SUMIF('ADV - FB'!L:L,$A412,'ADV - FB'!G:G)),"-")</f>
        <v>-</v>
      </c>
      <c r="I412" s="321" t="str">
        <f>IFERROR(SUMIF('ADV - FB'!L:L,$A412,'ADV - FB'!E:E)/(SUMIF('ADV - FB'!L:L,$A412,'ADV - FB'!F:F)),"-")</f>
        <v>-</v>
      </c>
      <c r="J412" s="315">
        <f>SUMIF('ADV - FB'!L:L,$A412,'ADV - FB'!I:I)+SUMIF('ADV - FB'!L:L,$A412,'ADV - FB'!J:J)+SUMIF('ADV - FB'!L:L,$A412,'ADV - FB'!K:K)</f>
        <v>0</v>
      </c>
      <c r="K412" s="321" t="str">
        <f t="shared" si="2"/>
        <v>-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ht="15.75" customHeight="1">
      <c r="A413" s="313" t="s">
        <v>682</v>
      </c>
      <c r="B413" s="314"/>
      <c r="C413" s="315"/>
      <c r="D413" s="315"/>
      <c r="E413" s="317"/>
      <c r="F413" s="318" t="str">
        <f t="shared" si="1"/>
        <v>TP412 -  -  - </v>
      </c>
      <c r="G413" s="319">
        <f>SUMIF('ADV - FB'!L:L,$A413,'ADV - FB'!E:E)</f>
        <v>0</v>
      </c>
      <c r="H413" s="320" t="str">
        <f>IFERROR(SUMIF('ADV - FB'!L:L,$A413,'ADV - FB'!H:H)/(SUMIF('ADV - FB'!L:L,$A413,'ADV - FB'!G:G)),"-")</f>
        <v>-</v>
      </c>
      <c r="I413" s="321" t="str">
        <f>IFERROR(SUMIF('ADV - FB'!L:L,$A413,'ADV - FB'!E:E)/(SUMIF('ADV - FB'!L:L,$A413,'ADV - FB'!F:F)),"-")</f>
        <v>-</v>
      </c>
      <c r="J413" s="315">
        <f>SUMIF('ADV - FB'!L:L,$A413,'ADV - FB'!I:I)+SUMIF('ADV - FB'!L:L,$A413,'ADV - FB'!J:J)+SUMIF('ADV - FB'!L:L,$A413,'ADV - FB'!K:K)</f>
        <v>0</v>
      </c>
      <c r="K413" s="321" t="str">
        <f t="shared" si="2"/>
        <v>-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ht="15.75" customHeight="1">
      <c r="A414" s="313" t="s">
        <v>683</v>
      </c>
      <c r="B414" s="314"/>
      <c r="C414" s="315"/>
      <c r="D414" s="315"/>
      <c r="E414" s="317"/>
      <c r="F414" s="318" t="str">
        <f t="shared" si="1"/>
        <v>TP413 -  -  - </v>
      </c>
      <c r="G414" s="319">
        <f>SUMIF('ADV - FB'!L:L,$A414,'ADV - FB'!E:E)</f>
        <v>0</v>
      </c>
      <c r="H414" s="320" t="str">
        <f>IFERROR(SUMIF('ADV - FB'!L:L,$A414,'ADV - FB'!H:H)/(SUMIF('ADV - FB'!L:L,$A414,'ADV - FB'!G:G)),"-")</f>
        <v>-</v>
      </c>
      <c r="I414" s="321" t="str">
        <f>IFERROR(SUMIF('ADV - FB'!L:L,$A414,'ADV - FB'!E:E)/(SUMIF('ADV - FB'!L:L,$A414,'ADV - FB'!F:F)),"-")</f>
        <v>-</v>
      </c>
      <c r="J414" s="315">
        <f>SUMIF('ADV - FB'!L:L,$A414,'ADV - FB'!I:I)+SUMIF('ADV - FB'!L:L,$A414,'ADV - FB'!J:J)+SUMIF('ADV - FB'!L:L,$A414,'ADV - FB'!K:K)</f>
        <v>0</v>
      </c>
      <c r="K414" s="321" t="str">
        <f t="shared" si="2"/>
        <v>-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ht="15.75" customHeight="1">
      <c r="A415" s="313" t="s">
        <v>684</v>
      </c>
      <c r="B415" s="314"/>
      <c r="C415" s="315"/>
      <c r="D415" s="315"/>
      <c r="E415" s="317"/>
      <c r="F415" s="318" t="str">
        <f t="shared" si="1"/>
        <v>TP414 -  -  - </v>
      </c>
      <c r="G415" s="319">
        <f>SUMIF('ADV - FB'!L:L,$A415,'ADV - FB'!E:E)</f>
        <v>0</v>
      </c>
      <c r="H415" s="320" t="str">
        <f>IFERROR(SUMIF('ADV - FB'!L:L,$A415,'ADV - FB'!H:H)/(SUMIF('ADV - FB'!L:L,$A415,'ADV - FB'!G:G)),"-")</f>
        <v>-</v>
      </c>
      <c r="I415" s="321" t="str">
        <f>IFERROR(SUMIF('ADV - FB'!L:L,$A415,'ADV - FB'!E:E)/(SUMIF('ADV - FB'!L:L,$A415,'ADV - FB'!F:F)),"-")</f>
        <v>-</v>
      </c>
      <c r="J415" s="315">
        <f>SUMIF('ADV - FB'!L:L,$A415,'ADV - FB'!I:I)+SUMIF('ADV - FB'!L:L,$A415,'ADV - FB'!J:J)+SUMIF('ADV - FB'!L:L,$A415,'ADV - FB'!K:K)</f>
        <v>0</v>
      </c>
      <c r="K415" s="321" t="str">
        <f t="shared" si="2"/>
        <v>-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ht="15.75" customHeight="1">
      <c r="A416" s="313" t="s">
        <v>685</v>
      </c>
      <c r="B416" s="314"/>
      <c r="C416" s="315"/>
      <c r="D416" s="315"/>
      <c r="E416" s="317"/>
      <c r="F416" s="318" t="str">
        <f t="shared" si="1"/>
        <v>TP415 -  -  - </v>
      </c>
      <c r="G416" s="319">
        <f>SUMIF('ADV - FB'!L:L,$A416,'ADV - FB'!E:E)</f>
        <v>0</v>
      </c>
      <c r="H416" s="320" t="str">
        <f>IFERROR(SUMIF('ADV - FB'!L:L,$A416,'ADV - FB'!H:H)/(SUMIF('ADV - FB'!L:L,$A416,'ADV - FB'!G:G)),"-")</f>
        <v>-</v>
      </c>
      <c r="I416" s="321" t="str">
        <f>IFERROR(SUMIF('ADV - FB'!L:L,$A416,'ADV - FB'!E:E)/(SUMIF('ADV - FB'!L:L,$A416,'ADV - FB'!F:F)),"-")</f>
        <v>-</v>
      </c>
      <c r="J416" s="315">
        <f>SUMIF('ADV - FB'!L:L,$A416,'ADV - FB'!I:I)+SUMIF('ADV - FB'!L:L,$A416,'ADV - FB'!J:J)+SUMIF('ADV - FB'!L:L,$A416,'ADV - FB'!K:K)</f>
        <v>0</v>
      </c>
      <c r="K416" s="321" t="str">
        <f t="shared" si="2"/>
        <v>-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ht="15.75" customHeight="1">
      <c r="A417" s="313" t="s">
        <v>686</v>
      </c>
      <c r="B417" s="314"/>
      <c r="C417" s="315"/>
      <c r="D417" s="315"/>
      <c r="E417" s="317"/>
      <c r="F417" s="318" t="str">
        <f t="shared" si="1"/>
        <v>TP416 -  -  - </v>
      </c>
      <c r="G417" s="319">
        <f>SUMIF('ADV - FB'!L:L,$A417,'ADV - FB'!E:E)</f>
        <v>0</v>
      </c>
      <c r="H417" s="320" t="str">
        <f>IFERROR(SUMIF('ADV - FB'!L:L,$A417,'ADV - FB'!H:H)/(SUMIF('ADV - FB'!L:L,$A417,'ADV - FB'!G:G)),"-")</f>
        <v>-</v>
      </c>
      <c r="I417" s="321" t="str">
        <f>IFERROR(SUMIF('ADV - FB'!L:L,$A417,'ADV - FB'!E:E)/(SUMIF('ADV - FB'!L:L,$A417,'ADV - FB'!F:F)),"-")</f>
        <v>-</v>
      </c>
      <c r="J417" s="315">
        <f>SUMIF('ADV - FB'!L:L,$A417,'ADV - FB'!I:I)+SUMIF('ADV - FB'!L:L,$A417,'ADV - FB'!J:J)+SUMIF('ADV - FB'!L:L,$A417,'ADV - FB'!K:K)</f>
        <v>0</v>
      </c>
      <c r="K417" s="321" t="str">
        <f t="shared" si="2"/>
        <v>-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ht="15.75" customHeight="1">
      <c r="A418" s="313" t="s">
        <v>687</v>
      </c>
      <c r="B418" s="314"/>
      <c r="C418" s="315"/>
      <c r="D418" s="315"/>
      <c r="E418" s="317"/>
      <c r="F418" s="318" t="str">
        <f t="shared" si="1"/>
        <v>TP417 -  -  - </v>
      </c>
      <c r="G418" s="319">
        <f>SUMIF('ADV - FB'!L:L,$A418,'ADV - FB'!E:E)</f>
        <v>0</v>
      </c>
      <c r="H418" s="320" t="str">
        <f>IFERROR(SUMIF('ADV - FB'!L:L,$A418,'ADV - FB'!H:H)/(SUMIF('ADV - FB'!L:L,$A418,'ADV - FB'!G:G)),"-")</f>
        <v>-</v>
      </c>
      <c r="I418" s="321" t="str">
        <f>IFERROR(SUMIF('ADV - FB'!L:L,$A418,'ADV - FB'!E:E)/(SUMIF('ADV - FB'!L:L,$A418,'ADV - FB'!F:F)),"-")</f>
        <v>-</v>
      </c>
      <c r="J418" s="315">
        <f>SUMIF('ADV - FB'!L:L,$A418,'ADV - FB'!I:I)+SUMIF('ADV - FB'!L:L,$A418,'ADV - FB'!J:J)+SUMIF('ADV - FB'!L:L,$A418,'ADV - FB'!K:K)</f>
        <v>0</v>
      </c>
      <c r="K418" s="321" t="str">
        <f t="shared" si="2"/>
        <v>-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ht="15.75" customHeight="1">
      <c r="A419" s="313" t="s">
        <v>688</v>
      </c>
      <c r="B419" s="314"/>
      <c r="C419" s="315"/>
      <c r="D419" s="315"/>
      <c r="E419" s="317"/>
      <c r="F419" s="318" t="str">
        <f t="shared" si="1"/>
        <v>TP418 -  -  - </v>
      </c>
      <c r="G419" s="319">
        <f>SUMIF('ADV - FB'!L:L,$A419,'ADV - FB'!E:E)</f>
        <v>0</v>
      </c>
      <c r="H419" s="320" t="str">
        <f>IFERROR(SUMIF('ADV - FB'!L:L,$A419,'ADV - FB'!H:H)/(SUMIF('ADV - FB'!L:L,$A419,'ADV - FB'!G:G)),"-")</f>
        <v>-</v>
      </c>
      <c r="I419" s="321" t="str">
        <f>IFERROR(SUMIF('ADV - FB'!L:L,$A419,'ADV - FB'!E:E)/(SUMIF('ADV - FB'!L:L,$A419,'ADV - FB'!F:F)),"-")</f>
        <v>-</v>
      </c>
      <c r="J419" s="315">
        <f>SUMIF('ADV - FB'!L:L,$A419,'ADV - FB'!I:I)+SUMIF('ADV - FB'!L:L,$A419,'ADV - FB'!J:J)+SUMIF('ADV - FB'!L:L,$A419,'ADV - FB'!K:K)</f>
        <v>0</v>
      </c>
      <c r="K419" s="321" t="str">
        <f t="shared" si="2"/>
        <v>-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ht="15.75" customHeight="1">
      <c r="A420" s="313" t="s">
        <v>689</v>
      </c>
      <c r="B420" s="314"/>
      <c r="C420" s="315"/>
      <c r="D420" s="315"/>
      <c r="E420" s="317"/>
      <c r="F420" s="318" t="str">
        <f t="shared" si="1"/>
        <v>TP419 -  -  - </v>
      </c>
      <c r="G420" s="319">
        <f>SUMIF('ADV - FB'!L:L,$A420,'ADV - FB'!E:E)</f>
        <v>0</v>
      </c>
      <c r="H420" s="320" t="str">
        <f>IFERROR(SUMIF('ADV - FB'!L:L,$A420,'ADV - FB'!H:H)/(SUMIF('ADV - FB'!L:L,$A420,'ADV - FB'!G:G)),"-")</f>
        <v>-</v>
      </c>
      <c r="I420" s="321" t="str">
        <f>IFERROR(SUMIF('ADV - FB'!L:L,$A420,'ADV - FB'!E:E)/(SUMIF('ADV - FB'!L:L,$A420,'ADV - FB'!F:F)),"-")</f>
        <v>-</v>
      </c>
      <c r="J420" s="315">
        <f>SUMIF('ADV - FB'!L:L,$A420,'ADV - FB'!I:I)+SUMIF('ADV - FB'!L:L,$A420,'ADV - FB'!J:J)+SUMIF('ADV - FB'!L:L,$A420,'ADV - FB'!K:K)</f>
        <v>0</v>
      </c>
      <c r="K420" s="321" t="str">
        <f t="shared" si="2"/>
        <v>-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ht="15.75" customHeight="1">
      <c r="A421" s="313" t="s">
        <v>690</v>
      </c>
      <c r="B421" s="314"/>
      <c r="C421" s="315"/>
      <c r="D421" s="315"/>
      <c r="E421" s="317"/>
      <c r="F421" s="318" t="str">
        <f t="shared" si="1"/>
        <v>TP420 -  -  - </v>
      </c>
      <c r="G421" s="319">
        <f>SUMIF('ADV - FB'!L:L,$A421,'ADV - FB'!E:E)</f>
        <v>0</v>
      </c>
      <c r="H421" s="320" t="str">
        <f>IFERROR(SUMIF('ADV - FB'!L:L,$A421,'ADV - FB'!H:H)/(SUMIF('ADV - FB'!L:L,$A421,'ADV - FB'!G:G)),"-")</f>
        <v>-</v>
      </c>
      <c r="I421" s="321" t="str">
        <f>IFERROR(SUMIF('ADV - FB'!L:L,$A421,'ADV - FB'!E:E)/(SUMIF('ADV - FB'!L:L,$A421,'ADV - FB'!F:F)),"-")</f>
        <v>-</v>
      </c>
      <c r="J421" s="315">
        <f>SUMIF('ADV - FB'!L:L,$A421,'ADV - FB'!I:I)+SUMIF('ADV - FB'!L:L,$A421,'ADV - FB'!J:J)+SUMIF('ADV - FB'!L:L,$A421,'ADV - FB'!K:K)</f>
        <v>0</v>
      </c>
      <c r="K421" s="321" t="str">
        <f t="shared" si="2"/>
        <v>-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ht="15.75" customHeight="1">
      <c r="A422" s="313" t="s">
        <v>691</v>
      </c>
      <c r="B422" s="314"/>
      <c r="C422" s="315"/>
      <c r="D422" s="315"/>
      <c r="E422" s="317"/>
      <c r="F422" s="318" t="str">
        <f t="shared" si="1"/>
        <v>TP421 -  -  - </v>
      </c>
      <c r="G422" s="319">
        <f>SUMIF('ADV - FB'!L:L,$A422,'ADV - FB'!E:E)</f>
        <v>0</v>
      </c>
      <c r="H422" s="320" t="str">
        <f>IFERROR(SUMIF('ADV - FB'!L:L,$A422,'ADV - FB'!H:H)/(SUMIF('ADV - FB'!L:L,$A422,'ADV - FB'!G:G)),"-")</f>
        <v>-</v>
      </c>
      <c r="I422" s="321" t="str">
        <f>IFERROR(SUMIF('ADV - FB'!L:L,$A422,'ADV - FB'!E:E)/(SUMIF('ADV - FB'!L:L,$A422,'ADV - FB'!F:F)),"-")</f>
        <v>-</v>
      </c>
      <c r="J422" s="315">
        <f>SUMIF('ADV - FB'!L:L,$A422,'ADV - FB'!I:I)+SUMIF('ADV - FB'!L:L,$A422,'ADV - FB'!J:J)+SUMIF('ADV - FB'!L:L,$A422,'ADV - FB'!K:K)</f>
        <v>0</v>
      </c>
      <c r="K422" s="321" t="str">
        <f t="shared" si="2"/>
        <v>-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ht="15.75" customHeight="1">
      <c r="A423" s="313" t="s">
        <v>692</v>
      </c>
      <c r="B423" s="314"/>
      <c r="C423" s="315"/>
      <c r="D423" s="315"/>
      <c r="E423" s="317"/>
      <c r="F423" s="318" t="str">
        <f t="shared" si="1"/>
        <v>TP422 -  -  - </v>
      </c>
      <c r="G423" s="319">
        <f>SUMIF('ADV - FB'!L:L,$A423,'ADV - FB'!E:E)</f>
        <v>0</v>
      </c>
      <c r="H423" s="320" t="str">
        <f>IFERROR(SUMIF('ADV - FB'!L:L,$A423,'ADV - FB'!H:H)/(SUMIF('ADV - FB'!L:L,$A423,'ADV - FB'!G:G)),"-")</f>
        <v>-</v>
      </c>
      <c r="I423" s="321" t="str">
        <f>IFERROR(SUMIF('ADV - FB'!L:L,$A423,'ADV - FB'!E:E)/(SUMIF('ADV - FB'!L:L,$A423,'ADV - FB'!F:F)),"-")</f>
        <v>-</v>
      </c>
      <c r="J423" s="315">
        <f>SUMIF('ADV - FB'!L:L,$A423,'ADV - FB'!I:I)+SUMIF('ADV - FB'!L:L,$A423,'ADV - FB'!J:J)+SUMIF('ADV - FB'!L:L,$A423,'ADV - FB'!K:K)</f>
        <v>0</v>
      </c>
      <c r="K423" s="321" t="str">
        <f t="shared" si="2"/>
        <v>-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ht="15.75" customHeight="1">
      <c r="A424" s="313" t="s">
        <v>693</v>
      </c>
      <c r="B424" s="314"/>
      <c r="C424" s="315"/>
      <c r="D424" s="315"/>
      <c r="E424" s="317"/>
      <c r="F424" s="318" t="str">
        <f t="shared" si="1"/>
        <v>TP423 -  -  - </v>
      </c>
      <c r="G424" s="319">
        <f>SUMIF('ADV - FB'!L:L,$A424,'ADV - FB'!E:E)</f>
        <v>0</v>
      </c>
      <c r="H424" s="320" t="str">
        <f>IFERROR(SUMIF('ADV - FB'!L:L,$A424,'ADV - FB'!H:H)/(SUMIF('ADV - FB'!L:L,$A424,'ADV - FB'!G:G)),"-")</f>
        <v>-</v>
      </c>
      <c r="I424" s="321" t="str">
        <f>IFERROR(SUMIF('ADV - FB'!L:L,$A424,'ADV - FB'!E:E)/(SUMIF('ADV - FB'!L:L,$A424,'ADV - FB'!F:F)),"-")</f>
        <v>-</v>
      </c>
      <c r="J424" s="315">
        <f>SUMIF('ADV - FB'!L:L,$A424,'ADV - FB'!I:I)+SUMIF('ADV - FB'!L:L,$A424,'ADV - FB'!J:J)+SUMIF('ADV - FB'!L:L,$A424,'ADV - FB'!K:K)</f>
        <v>0</v>
      </c>
      <c r="K424" s="321" t="str">
        <f t="shared" si="2"/>
        <v>-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ht="15.75" customHeight="1">
      <c r="A425" s="313" t="s">
        <v>694</v>
      </c>
      <c r="B425" s="314"/>
      <c r="C425" s="315"/>
      <c r="D425" s="315"/>
      <c r="E425" s="317"/>
      <c r="F425" s="318" t="str">
        <f t="shared" si="1"/>
        <v>TP424 -  -  - </v>
      </c>
      <c r="G425" s="319">
        <f>SUMIF('ADV - FB'!L:L,$A425,'ADV - FB'!E:E)</f>
        <v>0</v>
      </c>
      <c r="H425" s="320" t="str">
        <f>IFERROR(SUMIF('ADV - FB'!L:L,$A425,'ADV - FB'!H:H)/(SUMIF('ADV - FB'!L:L,$A425,'ADV - FB'!G:G)),"-")</f>
        <v>-</v>
      </c>
      <c r="I425" s="321" t="str">
        <f>IFERROR(SUMIF('ADV - FB'!L:L,$A425,'ADV - FB'!E:E)/(SUMIF('ADV - FB'!L:L,$A425,'ADV - FB'!F:F)),"-")</f>
        <v>-</v>
      </c>
      <c r="J425" s="315">
        <f>SUMIF('ADV - FB'!L:L,$A425,'ADV - FB'!I:I)+SUMIF('ADV - FB'!L:L,$A425,'ADV - FB'!J:J)+SUMIF('ADV - FB'!L:L,$A425,'ADV - FB'!K:K)</f>
        <v>0</v>
      </c>
      <c r="K425" s="321" t="str">
        <f t="shared" si="2"/>
        <v>-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ht="15.75" customHeight="1">
      <c r="A426" s="313" t="s">
        <v>695</v>
      </c>
      <c r="B426" s="314"/>
      <c r="C426" s="315"/>
      <c r="D426" s="315"/>
      <c r="E426" s="317"/>
      <c r="F426" s="318" t="str">
        <f t="shared" si="1"/>
        <v>TP425 -  -  - </v>
      </c>
      <c r="G426" s="319">
        <f>SUMIF('ADV - FB'!L:L,$A426,'ADV - FB'!E:E)</f>
        <v>0</v>
      </c>
      <c r="H426" s="320" t="str">
        <f>IFERROR(SUMIF('ADV - FB'!L:L,$A426,'ADV - FB'!H:H)/(SUMIF('ADV - FB'!L:L,$A426,'ADV - FB'!G:G)),"-")</f>
        <v>-</v>
      </c>
      <c r="I426" s="321" t="str">
        <f>IFERROR(SUMIF('ADV - FB'!L:L,$A426,'ADV - FB'!E:E)/(SUMIF('ADV - FB'!L:L,$A426,'ADV - FB'!F:F)),"-")</f>
        <v>-</v>
      </c>
      <c r="J426" s="315">
        <f>SUMIF('ADV - FB'!L:L,$A426,'ADV - FB'!I:I)+SUMIF('ADV - FB'!L:L,$A426,'ADV - FB'!J:J)+SUMIF('ADV - FB'!L:L,$A426,'ADV - FB'!K:K)</f>
        <v>0</v>
      </c>
      <c r="K426" s="321" t="str">
        <f t="shared" si="2"/>
        <v>-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ht="15.75" customHeight="1">
      <c r="A427" s="313" t="s">
        <v>696</v>
      </c>
      <c r="B427" s="314"/>
      <c r="C427" s="315"/>
      <c r="D427" s="315"/>
      <c r="E427" s="317"/>
      <c r="F427" s="318" t="str">
        <f t="shared" si="1"/>
        <v>TP426 -  -  - </v>
      </c>
      <c r="G427" s="319">
        <f>SUMIF('ADV - FB'!L:L,$A427,'ADV - FB'!E:E)</f>
        <v>0</v>
      </c>
      <c r="H427" s="320" t="str">
        <f>IFERROR(SUMIF('ADV - FB'!L:L,$A427,'ADV - FB'!H:H)/(SUMIF('ADV - FB'!L:L,$A427,'ADV - FB'!G:G)),"-")</f>
        <v>-</v>
      </c>
      <c r="I427" s="321" t="str">
        <f>IFERROR(SUMIF('ADV - FB'!L:L,$A427,'ADV - FB'!E:E)/(SUMIF('ADV - FB'!L:L,$A427,'ADV - FB'!F:F)),"-")</f>
        <v>-</v>
      </c>
      <c r="J427" s="315">
        <f>SUMIF('ADV - FB'!L:L,$A427,'ADV - FB'!I:I)+SUMIF('ADV - FB'!L:L,$A427,'ADV - FB'!J:J)+SUMIF('ADV - FB'!L:L,$A427,'ADV - FB'!K:K)</f>
        <v>0</v>
      </c>
      <c r="K427" s="321" t="str">
        <f t="shared" si="2"/>
        <v>-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ht="15.75" customHeight="1">
      <c r="A428" s="313" t="s">
        <v>697</v>
      </c>
      <c r="B428" s="314"/>
      <c r="C428" s="315"/>
      <c r="D428" s="315"/>
      <c r="E428" s="317"/>
      <c r="F428" s="318" t="str">
        <f t="shared" si="1"/>
        <v>TP427 -  -  - </v>
      </c>
      <c r="G428" s="319">
        <f>SUMIF('ADV - FB'!L:L,$A428,'ADV - FB'!E:E)</f>
        <v>0</v>
      </c>
      <c r="H428" s="320" t="str">
        <f>IFERROR(SUMIF('ADV - FB'!L:L,$A428,'ADV - FB'!H:H)/(SUMIF('ADV - FB'!L:L,$A428,'ADV - FB'!G:G)),"-")</f>
        <v>-</v>
      </c>
      <c r="I428" s="321" t="str">
        <f>IFERROR(SUMIF('ADV - FB'!L:L,$A428,'ADV - FB'!E:E)/(SUMIF('ADV - FB'!L:L,$A428,'ADV - FB'!F:F)),"-")</f>
        <v>-</v>
      </c>
      <c r="J428" s="315">
        <f>SUMIF('ADV - FB'!L:L,$A428,'ADV - FB'!I:I)+SUMIF('ADV - FB'!L:L,$A428,'ADV - FB'!J:J)+SUMIF('ADV - FB'!L:L,$A428,'ADV - FB'!K:K)</f>
        <v>0</v>
      </c>
      <c r="K428" s="321" t="str">
        <f t="shared" si="2"/>
        <v>-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ht="15.75" customHeight="1">
      <c r="A429" s="313" t="s">
        <v>698</v>
      </c>
      <c r="B429" s="314"/>
      <c r="C429" s="315"/>
      <c r="D429" s="315"/>
      <c r="E429" s="317"/>
      <c r="F429" s="318" t="str">
        <f t="shared" si="1"/>
        <v>TP428 -  -  - </v>
      </c>
      <c r="G429" s="319">
        <f>SUMIF('ADV - FB'!L:L,$A429,'ADV - FB'!E:E)</f>
        <v>0</v>
      </c>
      <c r="H429" s="320" t="str">
        <f>IFERROR(SUMIF('ADV - FB'!L:L,$A429,'ADV - FB'!H:H)/(SUMIF('ADV - FB'!L:L,$A429,'ADV - FB'!G:G)),"-")</f>
        <v>-</v>
      </c>
      <c r="I429" s="321" t="str">
        <f>IFERROR(SUMIF('ADV - FB'!L:L,$A429,'ADV - FB'!E:E)/(SUMIF('ADV - FB'!L:L,$A429,'ADV - FB'!F:F)),"-")</f>
        <v>-</v>
      </c>
      <c r="J429" s="315">
        <f>SUMIF('ADV - FB'!L:L,$A429,'ADV - FB'!I:I)+SUMIF('ADV - FB'!L:L,$A429,'ADV - FB'!J:J)+SUMIF('ADV - FB'!L:L,$A429,'ADV - FB'!K:K)</f>
        <v>0</v>
      </c>
      <c r="K429" s="321" t="str">
        <f t="shared" si="2"/>
        <v>-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ht="15.75" customHeight="1">
      <c r="A430" s="313" t="s">
        <v>699</v>
      </c>
      <c r="B430" s="314"/>
      <c r="C430" s="315"/>
      <c r="D430" s="315"/>
      <c r="E430" s="317"/>
      <c r="F430" s="318" t="str">
        <f t="shared" si="1"/>
        <v>TP429 -  -  - </v>
      </c>
      <c r="G430" s="319">
        <f>SUMIF('ADV - FB'!L:L,$A430,'ADV - FB'!E:E)</f>
        <v>0</v>
      </c>
      <c r="H430" s="320" t="str">
        <f>IFERROR(SUMIF('ADV - FB'!L:L,$A430,'ADV - FB'!H:H)/(SUMIF('ADV - FB'!L:L,$A430,'ADV - FB'!G:G)),"-")</f>
        <v>-</v>
      </c>
      <c r="I430" s="321" t="str">
        <f>IFERROR(SUMIF('ADV - FB'!L:L,$A430,'ADV - FB'!E:E)/(SUMIF('ADV - FB'!L:L,$A430,'ADV - FB'!F:F)),"-")</f>
        <v>-</v>
      </c>
      <c r="J430" s="315">
        <f>SUMIF('ADV - FB'!L:L,$A430,'ADV - FB'!I:I)+SUMIF('ADV - FB'!L:L,$A430,'ADV - FB'!J:J)+SUMIF('ADV - FB'!L:L,$A430,'ADV - FB'!K:K)</f>
        <v>0</v>
      </c>
      <c r="K430" s="321" t="str">
        <f t="shared" si="2"/>
        <v>-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ht="15.75" customHeight="1">
      <c r="A431" s="313" t="s">
        <v>700</v>
      </c>
      <c r="B431" s="314"/>
      <c r="C431" s="315"/>
      <c r="D431" s="315"/>
      <c r="E431" s="317"/>
      <c r="F431" s="318" t="str">
        <f t="shared" si="1"/>
        <v>TP430 -  -  - </v>
      </c>
      <c r="G431" s="319">
        <f>SUMIF('ADV - FB'!L:L,$A431,'ADV - FB'!E:E)</f>
        <v>0</v>
      </c>
      <c r="H431" s="320" t="str">
        <f>IFERROR(SUMIF('ADV - FB'!L:L,$A431,'ADV - FB'!H:H)/(SUMIF('ADV - FB'!L:L,$A431,'ADV - FB'!G:G)),"-")</f>
        <v>-</v>
      </c>
      <c r="I431" s="321" t="str">
        <f>IFERROR(SUMIF('ADV - FB'!L:L,$A431,'ADV - FB'!E:E)/(SUMIF('ADV - FB'!L:L,$A431,'ADV - FB'!F:F)),"-")</f>
        <v>-</v>
      </c>
      <c r="J431" s="315">
        <f>SUMIF('ADV - FB'!L:L,$A431,'ADV - FB'!I:I)+SUMIF('ADV - FB'!L:L,$A431,'ADV - FB'!J:J)+SUMIF('ADV - FB'!L:L,$A431,'ADV - FB'!K:K)</f>
        <v>0</v>
      </c>
      <c r="K431" s="321" t="str">
        <f t="shared" si="2"/>
        <v>-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ht="15.75" customHeight="1">
      <c r="A432" s="313" t="s">
        <v>701</v>
      </c>
      <c r="B432" s="314"/>
      <c r="C432" s="315"/>
      <c r="D432" s="315"/>
      <c r="E432" s="317"/>
      <c r="F432" s="318" t="str">
        <f t="shared" si="1"/>
        <v>TP431 -  -  - </v>
      </c>
      <c r="G432" s="319">
        <f>SUMIF('ADV - FB'!L:L,$A432,'ADV - FB'!E:E)</f>
        <v>0</v>
      </c>
      <c r="H432" s="320" t="str">
        <f>IFERROR(SUMIF('ADV - FB'!L:L,$A432,'ADV - FB'!H:H)/(SUMIF('ADV - FB'!L:L,$A432,'ADV - FB'!G:G)),"-")</f>
        <v>-</v>
      </c>
      <c r="I432" s="321" t="str">
        <f>IFERROR(SUMIF('ADV - FB'!L:L,$A432,'ADV - FB'!E:E)/(SUMIF('ADV - FB'!L:L,$A432,'ADV - FB'!F:F)),"-")</f>
        <v>-</v>
      </c>
      <c r="J432" s="315">
        <f>SUMIF('ADV - FB'!L:L,$A432,'ADV - FB'!I:I)+SUMIF('ADV - FB'!L:L,$A432,'ADV - FB'!J:J)+SUMIF('ADV - FB'!L:L,$A432,'ADV - FB'!K:K)</f>
        <v>0</v>
      </c>
      <c r="K432" s="321" t="str">
        <f t="shared" si="2"/>
        <v>-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ht="15.75" customHeight="1">
      <c r="A433" s="313" t="s">
        <v>702</v>
      </c>
      <c r="B433" s="314"/>
      <c r="C433" s="315"/>
      <c r="D433" s="315"/>
      <c r="E433" s="317"/>
      <c r="F433" s="318" t="str">
        <f t="shared" si="1"/>
        <v>TP432 -  -  - </v>
      </c>
      <c r="G433" s="319">
        <f>SUMIF('ADV - FB'!L:L,$A433,'ADV - FB'!E:E)</f>
        <v>0</v>
      </c>
      <c r="H433" s="320" t="str">
        <f>IFERROR(SUMIF('ADV - FB'!L:L,$A433,'ADV - FB'!H:H)/(SUMIF('ADV - FB'!L:L,$A433,'ADV - FB'!G:G)),"-")</f>
        <v>-</v>
      </c>
      <c r="I433" s="321" t="str">
        <f>IFERROR(SUMIF('ADV - FB'!L:L,$A433,'ADV - FB'!E:E)/(SUMIF('ADV - FB'!L:L,$A433,'ADV - FB'!F:F)),"-")</f>
        <v>-</v>
      </c>
      <c r="J433" s="315">
        <f>SUMIF('ADV - FB'!L:L,$A433,'ADV - FB'!I:I)+SUMIF('ADV - FB'!L:L,$A433,'ADV - FB'!J:J)+SUMIF('ADV - FB'!L:L,$A433,'ADV - FB'!K:K)</f>
        <v>0</v>
      </c>
      <c r="K433" s="321" t="str">
        <f t="shared" si="2"/>
        <v>-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ht="15.75" customHeight="1">
      <c r="A434" s="313" t="s">
        <v>703</v>
      </c>
      <c r="B434" s="314"/>
      <c r="C434" s="315"/>
      <c r="D434" s="315"/>
      <c r="E434" s="317"/>
      <c r="F434" s="318" t="str">
        <f t="shared" si="1"/>
        <v>TP433 -  -  - </v>
      </c>
      <c r="G434" s="319">
        <f>SUMIF('ADV - FB'!L:L,$A434,'ADV - FB'!E:E)</f>
        <v>0</v>
      </c>
      <c r="H434" s="320" t="str">
        <f>IFERROR(SUMIF('ADV - FB'!L:L,$A434,'ADV - FB'!H:H)/(SUMIF('ADV - FB'!L:L,$A434,'ADV - FB'!G:G)),"-")</f>
        <v>-</v>
      </c>
      <c r="I434" s="321" t="str">
        <f>IFERROR(SUMIF('ADV - FB'!L:L,$A434,'ADV - FB'!E:E)/(SUMIF('ADV - FB'!L:L,$A434,'ADV - FB'!F:F)),"-")</f>
        <v>-</v>
      </c>
      <c r="J434" s="315">
        <f>SUMIF('ADV - FB'!L:L,$A434,'ADV - FB'!I:I)+SUMIF('ADV - FB'!L:L,$A434,'ADV - FB'!J:J)+SUMIF('ADV - FB'!L:L,$A434,'ADV - FB'!K:K)</f>
        <v>0</v>
      </c>
      <c r="K434" s="321" t="str">
        <f t="shared" si="2"/>
        <v>-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ht="15.75" customHeight="1">
      <c r="A435" s="313" t="s">
        <v>704</v>
      </c>
      <c r="B435" s="314"/>
      <c r="C435" s="315"/>
      <c r="D435" s="315"/>
      <c r="E435" s="317"/>
      <c r="F435" s="318" t="str">
        <f t="shared" si="1"/>
        <v>TP434 -  -  - </v>
      </c>
      <c r="G435" s="319">
        <f>SUMIF('ADV - FB'!L:L,$A435,'ADV - FB'!E:E)</f>
        <v>0</v>
      </c>
      <c r="H435" s="320" t="str">
        <f>IFERROR(SUMIF('ADV - FB'!L:L,$A435,'ADV - FB'!H:H)/(SUMIF('ADV - FB'!L:L,$A435,'ADV - FB'!G:G)),"-")</f>
        <v>-</v>
      </c>
      <c r="I435" s="321" t="str">
        <f>IFERROR(SUMIF('ADV - FB'!L:L,$A435,'ADV - FB'!E:E)/(SUMIF('ADV - FB'!L:L,$A435,'ADV - FB'!F:F)),"-")</f>
        <v>-</v>
      </c>
      <c r="J435" s="315">
        <f>SUMIF('ADV - FB'!L:L,$A435,'ADV - FB'!I:I)+SUMIF('ADV - FB'!L:L,$A435,'ADV - FB'!J:J)+SUMIF('ADV - FB'!L:L,$A435,'ADV - FB'!K:K)</f>
        <v>0</v>
      </c>
      <c r="K435" s="321" t="str">
        <f t="shared" si="2"/>
        <v>-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ht="15.75" customHeight="1">
      <c r="A436" s="313" t="s">
        <v>705</v>
      </c>
      <c r="B436" s="314"/>
      <c r="C436" s="315"/>
      <c r="D436" s="315"/>
      <c r="E436" s="317"/>
      <c r="F436" s="318" t="str">
        <f t="shared" si="1"/>
        <v>TP435 -  -  - </v>
      </c>
      <c r="G436" s="319">
        <f>SUMIF('ADV - FB'!L:L,$A436,'ADV - FB'!E:E)</f>
        <v>0</v>
      </c>
      <c r="H436" s="320" t="str">
        <f>IFERROR(SUMIF('ADV - FB'!L:L,$A436,'ADV - FB'!H:H)/(SUMIF('ADV - FB'!L:L,$A436,'ADV - FB'!G:G)),"-")</f>
        <v>-</v>
      </c>
      <c r="I436" s="321" t="str">
        <f>IFERROR(SUMIF('ADV - FB'!L:L,$A436,'ADV - FB'!E:E)/(SUMIF('ADV - FB'!L:L,$A436,'ADV - FB'!F:F)),"-")</f>
        <v>-</v>
      </c>
      <c r="J436" s="315">
        <f>SUMIF('ADV - FB'!L:L,$A436,'ADV - FB'!I:I)+SUMIF('ADV - FB'!L:L,$A436,'ADV - FB'!J:J)+SUMIF('ADV - FB'!L:L,$A436,'ADV - FB'!K:K)</f>
        <v>0</v>
      </c>
      <c r="K436" s="321" t="str">
        <f t="shared" si="2"/>
        <v>-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ht="15.75" customHeight="1">
      <c r="A437" s="313" t="s">
        <v>706</v>
      </c>
      <c r="B437" s="314"/>
      <c r="C437" s="315"/>
      <c r="D437" s="315"/>
      <c r="E437" s="317"/>
      <c r="F437" s="318" t="str">
        <f t="shared" si="1"/>
        <v>TP436 -  -  - </v>
      </c>
      <c r="G437" s="319">
        <f>SUMIF('ADV - FB'!L:L,$A437,'ADV - FB'!E:E)</f>
        <v>0</v>
      </c>
      <c r="H437" s="320" t="str">
        <f>IFERROR(SUMIF('ADV - FB'!L:L,$A437,'ADV - FB'!H:H)/(SUMIF('ADV - FB'!L:L,$A437,'ADV - FB'!G:G)),"-")</f>
        <v>-</v>
      </c>
      <c r="I437" s="321" t="str">
        <f>IFERROR(SUMIF('ADV - FB'!L:L,$A437,'ADV - FB'!E:E)/(SUMIF('ADV - FB'!L:L,$A437,'ADV - FB'!F:F)),"-")</f>
        <v>-</v>
      </c>
      <c r="J437" s="315">
        <f>SUMIF('ADV - FB'!L:L,$A437,'ADV - FB'!I:I)+SUMIF('ADV - FB'!L:L,$A437,'ADV - FB'!J:J)+SUMIF('ADV - FB'!L:L,$A437,'ADV - FB'!K:K)</f>
        <v>0</v>
      </c>
      <c r="K437" s="321" t="str">
        <f t="shared" si="2"/>
        <v>-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ht="15.75" customHeight="1">
      <c r="A438" s="313" t="s">
        <v>707</v>
      </c>
      <c r="B438" s="314"/>
      <c r="C438" s="315"/>
      <c r="D438" s="315"/>
      <c r="E438" s="317"/>
      <c r="F438" s="318" t="str">
        <f t="shared" si="1"/>
        <v>TP437 -  -  - </v>
      </c>
      <c r="G438" s="319">
        <f>SUMIF('ADV - FB'!L:L,$A438,'ADV - FB'!E:E)</f>
        <v>0</v>
      </c>
      <c r="H438" s="320" t="str">
        <f>IFERROR(SUMIF('ADV - FB'!L:L,$A438,'ADV - FB'!H:H)/(SUMIF('ADV - FB'!L:L,$A438,'ADV - FB'!G:G)),"-")</f>
        <v>-</v>
      </c>
      <c r="I438" s="321" t="str">
        <f>IFERROR(SUMIF('ADV - FB'!L:L,$A438,'ADV - FB'!E:E)/(SUMIF('ADV - FB'!L:L,$A438,'ADV - FB'!F:F)),"-")</f>
        <v>-</v>
      </c>
      <c r="J438" s="315">
        <f>SUMIF('ADV - FB'!L:L,$A438,'ADV - FB'!I:I)+SUMIF('ADV - FB'!L:L,$A438,'ADV - FB'!J:J)+SUMIF('ADV - FB'!L:L,$A438,'ADV - FB'!K:K)</f>
        <v>0</v>
      </c>
      <c r="K438" s="321" t="str">
        <f t="shared" si="2"/>
        <v>-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ht="15.75" customHeight="1">
      <c r="A439" s="313" t="s">
        <v>708</v>
      </c>
      <c r="B439" s="314"/>
      <c r="C439" s="315"/>
      <c r="D439" s="315"/>
      <c r="E439" s="317"/>
      <c r="F439" s="318" t="str">
        <f t="shared" si="1"/>
        <v>TP438 -  -  - </v>
      </c>
      <c r="G439" s="319">
        <f>SUMIF('ADV - FB'!L:L,$A439,'ADV - FB'!E:E)</f>
        <v>0</v>
      </c>
      <c r="H439" s="320" t="str">
        <f>IFERROR(SUMIF('ADV - FB'!L:L,$A439,'ADV - FB'!H:H)/(SUMIF('ADV - FB'!L:L,$A439,'ADV - FB'!G:G)),"-")</f>
        <v>-</v>
      </c>
      <c r="I439" s="321" t="str">
        <f>IFERROR(SUMIF('ADV - FB'!L:L,$A439,'ADV - FB'!E:E)/(SUMIF('ADV - FB'!L:L,$A439,'ADV - FB'!F:F)),"-")</f>
        <v>-</v>
      </c>
      <c r="J439" s="315">
        <f>SUMIF('ADV - FB'!L:L,$A439,'ADV - FB'!I:I)+SUMIF('ADV - FB'!L:L,$A439,'ADV - FB'!J:J)+SUMIF('ADV - FB'!L:L,$A439,'ADV - FB'!K:K)</f>
        <v>0</v>
      </c>
      <c r="K439" s="321" t="str">
        <f t="shared" si="2"/>
        <v>-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ht="15.75" customHeight="1">
      <c r="A440" s="313" t="s">
        <v>709</v>
      </c>
      <c r="B440" s="314"/>
      <c r="C440" s="315"/>
      <c r="D440" s="315"/>
      <c r="E440" s="317"/>
      <c r="F440" s="318" t="str">
        <f t="shared" si="1"/>
        <v>TP439 -  -  - </v>
      </c>
      <c r="G440" s="319">
        <f>SUMIF('ADV - FB'!L:L,$A440,'ADV - FB'!E:E)</f>
        <v>0</v>
      </c>
      <c r="H440" s="320" t="str">
        <f>IFERROR(SUMIF('ADV - FB'!L:L,$A440,'ADV - FB'!H:H)/(SUMIF('ADV - FB'!L:L,$A440,'ADV - FB'!G:G)),"-")</f>
        <v>-</v>
      </c>
      <c r="I440" s="321" t="str">
        <f>IFERROR(SUMIF('ADV - FB'!L:L,$A440,'ADV - FB'!E:E)/(SUMIF('ADV - FB'!L:L,$A440,'ADV - FB'!F:F)),"-")</f>
        <v>-</v>
      </c>
      <c r="J440" s="315">
        <f>SUMIF('ADV - FB'!L:L,$A440,'ADV - FB'!I:I)+SUMIF('ADV - FB'!L:L,$A440,'ADV - FB'!J:J)+SUMIF('ADV - FB'!L:L,$A440,'ADV - FB'!K:K)</f>
        <v>0</v>
      </c>
      <c r="K440" s="321" t="str">
        <f t="shared" si="2"/>
        <v>-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ht="15.75" customHeight="1">
      <c r="A441" s="313" t="s">
        <v>710</v>
      </c>
      <c r="B441" s="314"/>
      <c r="C441" s="315"/>
      <c r="D441" s="315"/>
      <c r="E441" s="317"/>
      <c r="F441" s="318" t="str">
        <f t="shared" si="1"/>
        <v>TP440 -  -  - </v>
      </c>
      <c r="G441" s="319">
        <f>SUMIF('ADV - FB'!L:L,$A441,'ADV - FB'!E:E)</f>
        <v>0</v>
      </c>
      <c r="H441" s="320" t="str">
        <f>IFERROR(SUMIF('ADV - FB'!L:L,$A441,'ADV - FB'!H:H)/(SUMIF('ADV - FB'!L:L,$A441,'ADV - FB'!G:G)),"-")</f>
        <v>-</v>
      </c>
      <c r="I441" s="321" t="str">
        <f>IFERROR(SUMIF('ADV - FB'!L:L,$A441,'ADV - FB'!E:E)/(SUMIF('ADV - FB'!L:L,$A441,'ADV - FB'!F:F)),"-")</f>
        <v>-</v>
      </c>
      <c r="J441" s="315">
        <f>SUMIF('ADV - FB'!L:L,$A441,'ADV - FB'!I:I)+SUMIF('ADV - FB'!L:L,$A441,'ADV - FB'!J:J)+SUMIF('ADV - FB'!L:L,$A441,'ADV - FB'!K:K)</f>
        <v>0</v>
      </c>
      <c r="K441" s="321" t="str">
        <f t="shared" si="2"/>
        <v>-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ht="15.75" customHeight="1">
      <c r="A442" s="313" t="s">
        <v>711</v>
      </c>
      <c r="B442" s="314"/>
      <c r="C442" s="315"/>
      <c r="D442" s="315"/>
      <c r="E442" s="317"/>
      <c r="F442" s="318" t="str">
        <f t="shared" si="1"/>
        <v>TP441 -  -  - </v>
      </c>
      <c r="G442" s="319">
        <f>SUMIF('ADV - FB'!L:L,$A442,'ADV - FB'!E:E)</f>
        <v>0</v>
      </c>
      <c r="H442" s="320" t="str">
        <f>IFERROR(SUMIF('ADV - FB'!L:L,$A442,'ADV - FB'!H:H)/(SUMIF('ADV - FB'!L:L,$A442,'ADV - FB'!G:G)),"-")</f>
        <v>-</v>
      </c>
      <c r="I442" s="321" t="str">
        <f>IFERROR(SUMIF('ADV - FB'!L:L,$A442,'ADV - FB'!E:E)/(SUMIF('ADV - FB'!L:L,$A442,'ADV - FB'!F:F)),"-")</f>
        <v>-</v>
      </c>
      <c r="J442" s="315">
        <f>SUMIF('ADV - FB'!L:L,$A442,'ADV - FB'!I:I)+SUMIF('ADV - FB'!L:L,$A442,'ADV - FB'!J:J)+SUMIF('ADV - FB'!L:L,$A442,'ADV - FB'!K:K)</f>
        <v>0</v>
      </c>
      <c r="K442" s="321" t="str">
        <f t="shared" si="2"/>
        <v>-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ht="15.75" customHeight="1">
      <c r="A443" s="313" t="s">
        <v>712</v>
      </c>
      <c r="B443" s="314"/>
      <c r="C443" s="315"/>
      <c r="D443" s="315"/>
      <c r="E443" s="317"/>
      <c r="F443" s="318" t="str">
        <f t="shared" si="1"/>
        <v>TP442 -  -  - </v>
      </c>
      <c r="G443" s="319">
        <f>SUMIF('ADV - FB'!L:L,$A443,'ADV - FB'!E:E)</f>
        <v>0</v>
      </c>
      <c r="H443" s="320" t="str">
        <f>IFERROR(SUMIF('ADV - FB'!L:L,$A443,'ADV - FB'!H:H)/(SUMIF('ADV - FB'!L:L,$A443,'ADV - FB'!G:G)),"-")</f>
        <v>-</v>
      </c>
      <c r="I443" s="321" t="str">
        <f>IFERROR(SUMIF('ADV - FB'!L:L,$A443,'ADV - FB'!E:E)/(SUMIF('ADV - FB'!L:L,$A443,'ADV - FB'!F:F)),"-")</f>
        <v>-</v>
      </c>
      <c r="J443" s="315">
        <f>SUMIF('ADV - FB'!L:L,$A443,'ADV - FB'!I:I)+SUMIF('ADV - FB'!L:L,$A443,'ADV - FB'!J:J)+SUMIF('ADV - FB'!L:L,$A443,'ADV - FB'!K:K)</f>
        <v>0</v>
      </c>
      <c r="K443" s="321" t="str">
        <f t="shared" si="2"/>
        <v>-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ht="15.75" customHeight="1">
      <c r="A444" s="313" t="s">
        <v>713</v>
      </c>
      <c r="B444" s="314"/>
      <c r="C444" s="315"/>
      <c r="D444" s="315"/>
      <c r="E444" s="317"/>
      <c r="F444" s="318" t="str">
        <f t="shared" si="1"/>
        <v>TP443 -  -  - </v>
      </c>
      <c r="G444" s="319">
        <f>SUMIF('ADV - FB'!L:L,$A444,'ADV - FB'!E:E)</f>
        <v>0</v>
      </c>
      <c r="H444" s="320" t="str">
        <f>IFERROR(SUMIF('ADV - FB'!L:L,$A444,'ADV - FB'!H:H)/(SUMIF('ADV - FB'!L:L,$A444,'ADV - FB'!G:G)),"-")</f>
        <v>-</v>
      </c>
      <c r="I444" s="321" t="str">
        <f>IFERROR(SUMIF('ADV - FB'!L:L,$A444,'ADV - FB'!E:E)/(SUMIF('ADV - FB'!L:L,$A444,'ADV - FB'!F:F)),"-")</f>
        <v>-</v>
      </c>
      <c r="J444" s="315">
        <f>SUMIF('ADV - FB'!L:L,$A444,'ADV - FB'!I:I)+SUMIF('ADV - FB'!L:L,$A444,'ADV - FB'!J:J)+SUMIF('ADV - FB'!L:L,$A444,'ADV - FB'!K:K)</f>
        <v>0</v>
      </c>
      <c r="K444" s="321" t="str">
        <f t="shared" si="2"/>
        <v>-</v>
      </c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ht="15.75" customHeight="1">
      <c r="A445" s="313" t="s">
        <v>714</v>
      </c>
      <c r="B445" s="314"/>
      <c r="C445" s="315"/>
      <c r="D445" s="315"/>
      <c r="E445" s="317"/>
      <c r="F445" s="318" t="str">
        <f t="shared" si="1"/>
        <v>TP444 -  -  - </v>
      </c>
      <c r="G445" s="319">
        <f>SUMIF('ADV - FB'!L:L,$A445,'ADV - FB'!E:E)</f>
        <v>0</v>
      </c>
      <c r="H445" s="320" t="str">
        <f>IFERROR(SUMIF('ADV - FB'!L:L,$A445,'ADV - FB'!H:H)/(SUMIF('ADV - FB'!L:L,$A445,'ADV - FB'!G:G)),"-")</f>
        <v>-</v>
      </c>
      <c r="I445" s="321" t="str">
        <f>IFERROR(SUMIF('ADV - FB'!L:L,$A445,'ADV - FB'!E:E)/(SUMIF('ADV - FB'!L:L,$A445,'ADV - FB'!F:F)),"-")</f>
        <v>-</v>
      </c>
      <c r="J445" s="315">
        <f>SUMIF('ADV - FB'!L:L,$A445,'ADV - FB'!I:I)+SUMIF('ADV - FB'!L:L,$A445,'ADV - FB'!J:J)+SUMIF('ADV - FB'!L:L,$A445,'ADV - FB'!K:K)</f>
        <v>0</v>
      </c>
      <c r="K445" s="321" t="str">
        <f t="shared" si="2"/>
        <v>-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ht="15.75" customHeight="1">
      <c r="A446" s="313" t="s">
        <v>715</v>
      </c>
      <c r="B446" s="314"/>
      <c r="C446" s="315"/>
      <c r="D446" s="315"/>
      <c r="E446" s="317"/>
      <c r="F446" s="318" t="str">
        <f t="shared" si="1"/>
        <v>TP445 -  -  - </v>
      </c>
      <c r="G446" s="319">
        <f>SUMIF('ADV - FB'!L:L,$A446,'ADV - FB'!E:E)</f>
        <v>0</v>
      </c>
      <c r="H446" s="320" t="str">
        <f>IFERROR(SUMIF('ADV - FB'!L:L,$A446,'ADV - FB'!H:H)/(SUMIF('ADV - FB'!L:L,$A446,'ADV - FB'!G:G)),"-")</f>
        <v>-</v>
      </c>
      <c r="I446" s="321" t="str">
        <f>IFERROR(SUMIF('ADV - FB'!L:L,$A446,'ADV - FB'!E:E)/(SUMIF('ADV - FB'!L:L,$A446,'ADV - FB'!F:F)),"-")</f>
        <v>-</v>
      </c>
      <c r="J446" s="315">
        <f>SUMIF('ADV - FB'!L:L,$A446,'ADV - FB'!I:I)+SUMIF('ADV - FB'!L:L,$A446,'ADV - FB'!J:J)+SUMIF('ADV - FB'!L:L,$A446,'ADV - FB'!K:K)</f>
        <v>0</v>
      </c>
      <c r="K446" s="321" t="str">
        <f t="shared" si="2"/>
        <v>-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ht="15.75" customHeight="1">
      <c r="A447" s="313" t="s">
        <v>716</v>
      </c>
      <c r="B447" s="314"/>
      <c r="C447" s="315"/>
      <c r="D447" s="315"/>
      <c r="E447" s="317"/>
      <c r="F447" s="318" t="str">
        <f t="shared" si="1"/>
        <v>TP446 -  -  - </v>
      </c>
      <c r="G447" s="319">
        <f>SUMIF('ADV - FB'!L:L,$A447,'ADV - FB'!E:E)</f>
        <v>0</v>
      </c>
      <c r="H447" s="320" t="str">
        <f>IFERROR(SUMIF('ADV - FB'!L:L,$A447,'ADV - FB'!H:H)/(SUMIF('ADV - FB'!L:L,$A447,'ADV - FB'!G:G)),"-")</f>
        <v>-</v>
      </c>
      <c r="I447" s="321" t="str">
        <f>IFERROR(SUMIF('ADV - FB'!L:L,$A447,'ADV - FB'!E:E)/(SUMIF('ADV - FB'!L:L,$A447,'ADV - FB'!F:F)),"-")</f>
        <v>-</v>
      </c>
      <c r="J447" s="315">
        <f>SUMIF('ADV - FB'!L:L,$A447,'ADV - FB'!I:I)+SUMIF('ADV - FB'!L:L,$A447,'ADV - FB'!J:J)+SUMIF('ADV - FB'!L:L,$A447,'ADV - FB'!K:K)</f>
        <v>0</v>
      </c>
      <c r="K447" s="321" t="str">
        <f t="shared" si="2"/>
        <v>-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ht="15.75" customHeight="1">
      <c r="A448" s="313" t="s">
        <v>717</v>
      </c>
      <c r="B448" s="314"/>
      <c r="C448" s="315"/>
      <c r="D448" s="315"/>
      <c r="E448" s="317"/>
      <c r="F448" s="318" t="str">
        <f t="shared" si="1"/>
        <v>TP447 -  -  - </v>
      </c>
      <c r="G448" s="319">
        <f>SUMIF('ADV - FB'!L:L,$A448,'ADV - FB'!E:E)</f>
        <v>0</v>
      </c>
      <c r="H448" s="320" t="str">
        <f>IFERROR(SUMIF('ADV - FB'!L:L,$A448,'ADV - FB'!H:H)/(SUMIF('ADV - FB'!L:L,$A448,'ADV - FB'!G:G)),"-")</f>
        <v>-</v>
      </c>
      <c r="I448" s="321" t="str">
        <f>IFERROR(SUMIF('ADV - FB'!L:L,$A448,'ADV - FB'!E:E)/(SUMIF('ADV - FB'!L:L,$A448,'ADV - FB'!F:F)),"-")</f>
        <v>-</v>
      </c>
      <c r="J448" s="315">
        <f>SUMIF('ADV - FB'!L:L,$A448,'ADV - FB'!I:I)+SUMIF('ADV - FB'!L:L,$A448,'ADV - FB'!J:J)+SUMIF('ADV - FB'!L:L,$A448,'ADV - FB'!K:K)</f>
        <v>0</v>
      </c>
      <c r="K448" s="321" t="str">
        <f t="shared" si="2"/>
        <v>-</v>
      </c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ht="15.75" customHeight="1">
      <c r="A449" s="313" t="s">
        <v>718</v>
      </c>
      <c r="B449" s="314"/>
      <c r="C449" s="315"/>
      <c r="D449" s="315"/>
      <c r="E449" s="317"/>
      <c r="F449" s="318" t="str">
        <f t="shared" si="1"/>
        <v>TP448 -  -  - </v>
      </c>
      <c r="G449" s="319">
        <f>SUMIF('ADV - FB'!L:L,$A449,'ADV - FB'!E:E)</f>
        <v>0</v>
      </c>
      <c r="H449" s="320" t="str">
        <f>IFERROR(SUMIF('ADV - FB'!L:L,$A449,'ADV - FB'!H:H)/(SUMIF('ADV - FB'!L:L,$A449,'ADV - FB'!G:G)),"-")</f>
        <v>-</v>
      </c>
      <c r="I449" s="321" t="str">
        <f>IFERROR(SUMIF('ADV - FB'!L:L,$A449,'ADV - FB'!E:E)/(SUMIF('ADV - FB'!L:L,$A449,'ADV - FB'!F:F)),"-")</f>
        <v>-</v>
      </c>
      <c r="J449" s="315">
        <f>SUMIF('ADV - FB'!L:L,$A449,'ADV - FB'!I:I)+SUMIF('ADV - FB'!L:L,$A449,'ADV - FB'!J:J)+SUMIF('ADV - FB'!L:L,$A449,'ADV - FB'!K:K)</f>
        <v>0</v>
      </c>
      <c r="K449" s="321" t="str">
        <f t="shared" si="2"/>
        <v>-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ht="15.75" customHeight="1">
      <c r="A450" s="313" t="s">
        <v>719</v>
      </c>
      <c r="B450" s="314"/>
      <c r="C450" s="315"/>
      <c r="D450" s="315"/>
      <c r="E450" s="317"/>
      <c r="F450" s="318" t="str">
        <f t="shared" si="1"/>
        <v>TP449 -  -  - </v>
      </c>
      <c r="G450" s="319">
        <f>SUMIF('ADV - FB'!L:L,$A450,'ADV - FB'!E:E)</f>
        <v>0</v>
      </c>
      <c r="H450" s="320" t="str">
        <f>IFERROR(SUMIF('ADV - FB'!L:L,$A450,'ADV - FB'!H:H)/(SUMIF('ADV - FB'!L:L,$A450,'ADV - FB'!G:G)),"-")</f>
        <v>-</v>
      </c>
      <c r="I450" s="321" t="str">
        <f>IFERROR(SUMIF('ADV - FB'!L:L,$A450,'ADV - FB'!E:E)/(SUMIF('ADV - FB'!L:L,$A450,'ADV - FB'!F:F)),"-")</f>
        <v>-</v>
      </c>
      <c r="J450" s="315">
        <f>SUMIF('ADV - FB'!L:L,$A450,'ADV - FB'!I:I)+SUMIF('ADV - FB'!L:L,$A450,'ADV - FB'!J:J)+SUMIF('ADV - FB'!L:L,$A450,'ADV - FB'!K:K)</f>
        <v>0</v>
      </c>
      <c r="K450" s="321" t="str">
        <f t="shared" si="2"/>
        <v>-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ht="15.75" customHeight="1">
      <c r="A451" s="313" t="s">
        <v>720</v>
      </c>
      <c r="B451" s="314"/>
      <c r="C451" s="315"/>
      <c r="D451" s="315"/>
      <c r="E451" s="317"/>
      <c r="F451" s="318" t="str">
        <f t="shared" si="1"/>
        <v>TP450 -  -  - </v>
      </c>
      <c r="G451" s="319">
        <f>SUMIF('ADV - FB'!L:L,$A451,'ADV - FB'!E:E)</f>
        <v>0</v>
      </c>
      <c r="H451" s="320" t="str">
        <f>IFERROR(SUMIF('ADV - FB'!L:L,$A451,'ADV - FB'!H:H)/(SUMIF('ADV - FB'!L:L,$A451,'ADV - FB'!G:G)),"-")</f>
        <v>-</v>
      </c>
      <c r="I451" s="321" t="str">
        <f>IFERROR(SUMIF('ADV - FB'!L:L,$A451,'ADV - FB'!E:E)/(SUMIF('ADV - FB'!L:L,$A451,'ADV - FB'!F:F)),"-")</f>
        <v>-</v>
      </c>
      <c r="J451" s="315">
        <f>SUMIF('ADV - FB'!L:L,$A451,'ADV - FB'!I:I)+SUMIF('ADV - FB'!L:L,$A451,'ADV - FB'!J:J)+SUMIF('ADV - FB'!L:L,$A451,'ADV - FB'!K:K)</f>
        <v>0</v>
      </c>
      <c r="K451" s="321" t="str">
        <f t="shared" si="2"/>
        <v>-</v>
      </c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ht="15.75" customHeight="1">
      <c r="A452" s="313" t="s">
        <v>721</v>
      </c>
      <c r="B452" s="314"/>
      <c r="C452" s="315"/>
      <c r="D452" s="315"/>
      <c r="E452" s="317"/>
      <c r="F452" s="318" t="str">
        <f t="shared" si="1"/>
        <v>TP451 -  -  - </v>
      </c>
      <c r="G452" s="319">
        <f>SUMIF('ADV - FB'!L:L,$A452,'ADV - FB'!E:E)</f>
        <v>0</v>
      </c>
      <c r="H452" s="320" t="str">
        <f>IFERROR(SUMIF('ADV - FB'!L:L,$A452,'ADV - FB'!H:H)/(SUMIF('ADV - FB'!L:L,$A452,'ADV - FB'!G:G)),"-")</f>
        <v>-</v>
      </c>
      <c r="I452" s="321" t="str">
        <f>IFERROR(SUMIF('ADV - FB'!L:L,$A452,'ADV - FB'!E:E)/(SUMIF('ADV - FB'!L:L,$A452,'ADV - FB'!F:F)),"-")</f>
        <v>-</v>
      </c>
      <c r="J452" s="315">
        <f>SUMIF('ADV - FB'!L:L,$A452,'ADV - FB'!I:I)+SUMIF('ADV - FB'!L:L,$A452,'ADV - FB'!J:J)+SUMIF('ADV - FB'!L:L,$A452,'ADV - FB'!K:K)</f>
        <v>0</v>
      </c>
      <c r="K452" s="321" t="str">
        <f t="shared" si="2"/>
        <v>-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ht="15.75" customHeight="1">
      <c r="A453" s="313" t="s">
        <v>722</v>
      </c>
      <c r="B453" s="314"/>
      <c r="C453" s="315"/>
      <c r="D453" s="315"/>
      <c r="E453" s="317"/>
      <c r="F453" s="318" t="str">
        <f t="shared" si="1"/>
        <v>TP452 -  -  - </v>
      </c>
      <c r="G453" s="319">
        <f>SUMIF('ADV - FB'!L:L,$A453,'ADV - FB'!E:E)</f>
        <v>0</v>
      </c>
      <c r="H453" s="320" t="str">
        <f>IFERROR(SUMIF('ADV - FB'!L:L,$A453,'ADV - FB'!H:H)/(SUMIF('ADV - FB'!L:L,$A453,'ADV - FB'!G:G)),"-")</f>
        <v>-</v>
      </c>
      <c r="I453" s="321" t="str">
        <f>IFERROR(SUMIF('ADV - FB'!L:L,$A453,'ADV - FB'!E:E)/(SUMIF('ADV - FB'!L:L,$A453,'ADV - FB'!F:F)),"-")</f>
        <v>-</v>
      </c>
      <c r="J453" s="315">
        <f>SUMIF('ADV - FB'!L:L,$A453,'ADV - FB'!I:I)+SUMIF('ADV - FB'!L:L,$A453,'ADV - FB'!J:J)+SUMIF('ADV - FB'!L:L,$A453,'ADV - FB'!K:K)</f>
        <v>0</v>
      </c>
      <c r="K453" s="321" t="str">
        <f t="shared" si="2"/>
        <v>-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ht="15.75" customHeight="1">
      <c r="A454" s="313" t="s">
        <v>723</v>
      </c>
      <c r="B454" s="314"/>
      <c r="C454" s="315"/>
      <c r="D454" s="315"/>
      <c r="E454" s="317"/>
      <c r="F454" s="318" t="str">
        <f t="shared" si="1"/>
        <v>TP453 -  -  - </v>
      </c>
      <c r="G454" s="319">
        <f>SUMIF('ADV - FB'!L:L,$A454,'ADV - FB'!E:E)</f>
        <v>0</v>
      </c>
      <c r="H454" s="320" t="str">
        <f>IFERROR(SUMIF('ADV - FB'!L:L,$A454,'ADV - FB'!H:H)/(SUMIF('ADV - FB'!L:L,$A454,'ADV - FB'!G:G)),"-")</f>
        <v>-</v>
      </c>
      <c r="I454" s="321" t="str">
        <f>IFERROR(SUMIF('ADV - FB'!L:L,$A454,'ADV - FB'!E:E)/(SUMIF('ADV - FB'!L:L,$A454,'ADV - FB'!F:F)),"-")</f>
        <v>-</v>
      </c>
      <c r="J454" s="315">
        <f>SUMIF('ADV - FB'!L:L,$A454,'ADV - FB'!I:I)+SUMIF('ADV - FB'!L:L,$A454,'ADV - FB'!J:J)+SUMIF('ADV - FB'!L:L,$A454,'ADV - FB'!K:K)</f>
        <v>0</v>
      </c>
      <c r="K454" s="321" t="str">
        <f t="shared" si="2"/>
        <v>-</v>
      </c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ht="15.75" customHeight="1">
      <c r="A455" s="313" t="s">
        <v>724</v>
      </c>
      <c r="B455" s="314"/>
      <c r="C455" s="315"/>
      <c r="D455" s="315"/>
      <c r="E455" s="317"/>
      <c r="F455" s="318" t="str">
        <f t="shared" si="1"/>
        <v>TP454 -  -  - </v>
      </c>
      <c r="G455" s="319">
        <f>SUMIF('ADV - FB'!L:L,$A455,'ADV - FB'!E:E)</f>
        <v>0</v>
      </c>
      <c r="H455" s="320" t="str">
        <f>IFERROR(SUMIF('ADV - FB'!L:L,$A455,'ADV - FB'!H:H)/(SUMIF('ADV - FB'!L:L,$A455,'ADV - FB'!G:G)),"-")</f>
        <v>-</v>
      </c>
      <c r="I455" s="321" t="str">
        <f>IFERROR(SUMIF('ADV - FB'!L:L,$A455,'ADV - FB'!E:E)/(SUMIF('ADV - FB'!L:L,$A455,'ADV - FB'!F:F)),"-")</f>
        <v>-</v>
      </c>
      <c r="J455" s="315">
        <f>SUMIF('ADV - FB'!L:L,$A455,'ADV - FB'!I:I)+SUMIF('ADV - FB'!L:L,$A455,'ADV - FB'!J:J)+SUMIF('ADV - FB'!L:L,$A455,'ADV - FB'!K:K)</f>
        <v>0</v>
      </c>
      <c r="K455" s="321" t="str">
        <f t="shared" si="2"/>
        <v>-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ht="15.75" customHeight="1">
      <c r="A456" s="313" t="s">
        <v>725</v>
      </c>
      <c r="B456" s="314"/>
      <c r="C456" s="315"/>
      <c r="D456" s="315"/>
      <c r="E456" s="317"/>
      <c r="F456" s="318" t="str">
        <f t="shared" si="1"/>
        <v>TP455 -  -  - </v>
      </c>
      <c r="G456" s="319">
        <f>SUMIF('ADV - FB'!L:L,$A456,'ADV - FB'!E:E)</f>
        <v>0</v>
      </c>
      <c r="H456" s="320" t="str">
        <f>IFERROR(SUMIF('ADV - FB'!L:L,$A456,'ADV - FB'!H:H)/(SUMIF('ADV - FB'!L:L,$A456,'ADV - FB'!G:G)),"-")</f>
        <v>-</v>
      </c>
      <c r="I456" s="321" t="str">
        <f>IFERROR(SUMIF('ADV - FB'!L:L,$A456,'ADV - FB'!E:E)/(SUMIF('ADV - FB'!L:L,$A456,'ADV - FB'!F:F)),"-")</f>
        <v>-</v>
      </c>
      <c r="J456" s="315">
        <f>SUMIF('ADV - FB'!L:L,$A456,'ADV - FB'!I:I)+SUMIF('ADV - FB'!L:L,$A456,'ADV - FB'!J:J)+SUMIF('ADV - FB'!L:L,$A456,'ADV - FB'!K:K)</f>
        <v>0</v>
      </c>
      <c r="K456" s="321" t="str">
        <f t="shared" si="2"/>
        <v>-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ht="15.75" customHeight="1">
      <c r="A457" s="313" t="s">
        <v>726</v>
      </c>
      <c r="B457" s="314"/>
      <c r="C457" s="315"/>
      <c r="D457" s="315"/>
      <c r="E457" s="317"/>
      <c r="F457" s="318" t="str">
        <f t="shared" si="1"/>
        <v>TP456 -  -  - </v>
      </c>
      <c r="G457" s="319">
        <f>SUMIF('ADV - FB'!L:L,$A457,'ADV - FB'!E:E)</f>
        <v>0</v>
      </c>
      <c r="H457" s="320" t="str">
        <f>IFERROR(SUMIF('ADV - FB'!L:L,$A457,'ADV - FB'!H:H)/(SUMIF('ADV - FB'!L:L,$A457,'ADV - FB'!G:G)),"-")</f>
        <v>-</v>
      </c>
      <c r="I457" s="321" t="str">
        <f>IFERROR(SUMIF('ADV - FB'!L:L,$A457,'ADV - FB'!E:E)/(SUMIF('ADV - FB'!L:L,$A457,'ADV - FB'!F:F)),"-")</f>
        <v>-</v>
      </c>
      <c r="J457" s="315">
        <f>SUMIF('ADV - FB'!L:L,$A457,'ADV - FB'!I:I)+SUMIF('ADV - FB'!L:L,$A457,'ADV - FB'!J:J)+SUMIF('ADV - FB'!L:L,$A457,'ADV - FB'!K:K)</f>
        <v>0</v>
      </c>
      <c r="K457" s="321" t="str">
        <f t="shared" si="2"/>
        <v>-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ht="15.75" customHeight="1">
      <c r="A458" s="313" t="s">
        <v>727</v>
      </c>
      <c r="B458" s="314"/>
      <c r="C458" s="315"/>
      <c r="D458" s="315"/>
      <c r="E458" s="317"/>
      <c r="F458" s="318" t="str">
        <f t="shared" si="1"/>
        <v>TP457 -  -  - </v>
      </c>
      <c r="G458" s="319">
        <f>SUMIF('ADV - FB'!L:L,$A458,'ADV - FB'!E:E)</f>
        <v>0</v>
      </c>
      <c r="H458" s="320" t="str">
        <f>IFERROR(SUMIF('ADV - FB'!L:L,$A458,'ADV - FB'!H:H)/(SUMIF('ADV - FB'!L:L,$A458,'ADV - FB'!G:G)),"-")</f>
        <v>-</v>
      </c>
      <c r="I458" s="321" t="str">
        <f>IFERROR(SUMIF('ADV - FB'!L:L,$A458,'ADV - FB'!E:E)/(SUMIF('ADV - FB'!L:L,$A458,'ADV - FB'!F:F)),"-")</f>
        <v>-</v>
      </c>
      <c r="J458" s="315">
        <f>SUMIF('ADV - FB'!L:L,$A458,'ADV - FB'!I:I)+SUMIF('ADV - FB'!L:L,$A458,'ADV - FB'!J:J)+SUMIF('ADV - FB'!L:L,$A458,'ADV - FB'!K:K)</f>
        <v>0</v>
      </c>
      <c r="K458" s="321" t="str">
        <f t="shared" si="2"/>
        <v>-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ht="15.75" customHeight="1">
      <c r="A459" s="313" t="s">
        <v>728</v>
      </c>
      <c r="B459" s="314"/>
      <c r="C459" s="315"/>
      <c r="D459" s="315"/>
      <c r="E459" s="317"/>
      <c r="F459" s="318" t="str">
        <f t="shared" si="1"/>
        <v>TP458 -  -  - </v>
      </c>
      <c r="G459" s="319">
        <f>SUMIF('ADV - FB'!L:L,$A459,'ADV - FB'!E:E)</f>
        <v>0</v>
      </c>
      <c r="H459" s="320" t="str">
        <f>IFERROR(SUMIF('ADV - FB'!L:L,$A459,'ADV - FB'!H:H)/(SUMIF('ADV - FB'!L:L,$A459,'ADV - FB'!G:G)),"-")</f>
        <v>-</v>
      </c>
      <c r="I459" s="321" t="str">
        <f>IFERROR(SUMIF('ADV - FB'!L:L,$A459,'ADV - FB'!E:E)/(SUMIF('ADV - FB'!L:L,$A459,'ADV - FB'!F:F)),"-")</f>
        <v>-</v>
      </c>
      <c r="J459" s="315">
        <f>SUMIF('ADV - FB'!L:L,$A459,'ADV - FB'!I:I)+SUMIF('ADV - FB'!L:L,$A459,'ADV - FB'!J:J)+SUMIF('ADV - FB'!L:L,$A459,'ADV - FB'!K:K)</f>
        <v>0</v>
      </c>
      <c r="K459" s="321" t="str">
        <f t="shared" si="2"/>
        <v>-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ht="15.75" customHeight="1">
      <c r="A460" s="313" t="s">
        <v>729</v>
      </c>
      <c r="B460" s="314"/>
      <c r="C460" s="315"/>
      <c r="D460" s="315"/>
      <c r="E460" s="317"/>
      <c r="F460" s="318" t="str">
        <f t="shared" si="1"/>
        <v>TP459 -  -  - </v>
      </c>
      <c r="G460" s="319">
        <f>SUMIF('ADV - FB'!L:L,$A460,'ADV - FB'!E:E)</f>
        <v>0</v>
      </c>
      <c r="H460" s="320" t="str">
        <f>IFERROR(SUMIF('ADV - FB'!L:L,$A460,'ADV - FB'!H:H)/(SUMIF('ADV - FB'!L:L,$A460,'ADV - FB'!G:G)),"-")</f>
        <v>-</v>
      </c>
      <c r="I460" s="321" t="str">
        <f>IFERROR(SUMIF('ADV - FB'!L:L,$A460,'ADV - FB'!E:E)/(SUMIF('ADV - FB'!L:L,$A460,'ADV - FB'!F:F)),"-")</f>
        <v>-</v>
      </c>
      <c r="J460" s="315">
        <f>SUMIF('ADV - FB'!L:L,$A460,'ADV - FB'!I:I)+SUMIF('ADV - FB'!L:L,$A460,'ADV - FB'!J:J)+SUMIF('ADV - FB'!L:L,$A460,'ADV - FB'!K:K)</f>
        <v>0</v>
      </c>
      <c r="K460" s="321" t="str">
        <f t="shared" si="2"/>
        <v>-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ht="15.75" customHeight="1">
      <c r="A461" s="313" t="s">
        <v>730</v>
      </c>
      <c r="B461" s="314"/>
      <c r="C461" s="315"/>
      <c r="D461" s="315"/>
      <c r="E461" s="317"/>
      <c r="F461" s="318" t="str">
        <f t="shared" si="1"/>
        <v>TP460 -  -  - </v>
      </c>
      <c r="G461" s="319">
        <f>SUMIF('ADV - FB'!L:L,$A461,'ADV - FB'!E:E)</f>
        <v>0</v>
      </c>
      <c r="H461" s="320" t="str">
        <f>IFERROR(SUMIF('ADV - FB'!L:L,$A461,'ADV - FB'!H:H)/(SUMIF('ADV - FB'!L:L,$A461,'ADV - FB'!G:G)),"-")</f>
        <v>-</v>
      </c>
      <c r="I461" s="321" t="str">
        <f>IFERROR(SUMIF('ADV - FB'!L:L,$A461,'ADV - FB'!E:E)/(SUMIF('ADV - FB'!L:L,$A461,'ADV - FB'!F:F)),"-")</f>
        <v>-</v>
      </c>
      <c r="J461" s="315">
        <f>SUMIF('ADV - FB'!L:L,$A461,'ADV - FB'!I:I)+SUMIF('ADV - FB'!L:L,$A461,'ADV - FB'!J:J)+SUMIF('ADV - FB'!L:L,$A461,'ADV - FB'!K:K)</f>
        <v>0</v>
      </c>
      <c r="K461" s="321" t="str">
        <f t="shared" si="2"/>
        <v>-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ht="15.75" customHeight="1">
      <c r="A462" s="313" t="s">
        <v>731</v>
      </c>
      <c r="B462" s="314"/>
      <c r="C462" s="315"/>
      <c r="D462" s="315"/>
      <c r="E462" s="317"/>
      <c r="F462" s="318" t="str">
        <f t="shared" si="1"/>
        <v>TP461 -  -  - </v>
      </c>
      <c r="G462" s="319">
        <f>SUMIF('ADV - FB'!L:L,$A462,'ADV - FB'!E:E)</f>
        <v>0</v>
      </c>
      <c r="H462" s="320" t="str">
        <f>IFERROR(SUMIF('ADV - FB'!L:L,$A462,'ADV - FB'!H:H)/(SUMIF('ADV - FB'!L:L,$A462,'ADV - FB'!G:G)),"-")</f>
        <v>-</v>
      </c>
      <c r="I462" s="321" t="str">
        <f>IFERROR(SUMIF('ADV - FB'!L:L,$A462,'ADV - FB'!E:E)/(SUMIF('ADV - FB'!L:L,$A462,'ADV - FB'!F:F)),"-")</f>
        <v>-</v>
      </c>
      <c r="J462" s="315">
        <f>SUMIF('ADV - FB'!L:L,$A462,'ADV - FB'!I:I)+SUMIF('ADV - FB'!L:L,$A462,'ADV - FB'!J:J)+SUMIF('ADV - FB'!L:L,$A462,'ADV - FB'!K:K)</f>
        <v>0</v>
      </c>
      <c r="K462" s="321" t="str">
        <f t="shared" si="2"/>
        <v>-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ht="15.75" customHeight="1">
      <c r="A463" s="313" t="s">
        <v>732</v>
      </c>
      <c r="B463" s="314"/>
      <c r="C463" s="315"/>
      <c r="D463" s="315"/>
      <c r="E463" s="317"/>
      <c r="F463" s="318" t="str">
        <f t="shared" si="1"/>
        <v>TP462 -  -  - </v>
      </c>
      <c r="G463" s="319">
        <f>SUMIF('ADV - FB'!L:L,$A463,'ADV - FB'!E:E)</f>
        <v>0</v>
      </c>
      <c r="H463" s="320" t="str">
        <f>IFERROR(SUMIF('ADV - FB'!L:L,$A463,'ADV - FB'!H:H)/(SUMIF('ADV - FB'!L:L,$A463,'ADV - FB'!G:G)),"-")</f>
        <v>-</v>
      </c>
      <c r="I463" s="321" t="str">
        <f>IFERROR(SUMIF('ADV - FB'!L:L,$A463,'ADV - FB'!E:E)/(SUMIF('ADV - FB'!L:L,$A463,'ADV - FB'!F:F)),"-")</f>
        <v>-</v>
      </c>
      <c r="J463" s="315">
        <f>SUMIF('ADV - FB'!L:L,$A463,'ADV - FB'!I:I)+SUMIF('ADV - FB'!L:L,$A463,'ADV - FB'!J:J)+SUMIF('ADV - FB'!L:L,$A463,'ADV - FB'!K:K)</f>
        <v>0</v>
      </c>
      <c r="K463" s="321" t="str">
        <f t="shared" si="2"/>
        <v>-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ht="15.75" customHeight="1">
      <c r="A464" s="313" t="s">
        <v>733</v>
      </c>
      <c r="B464" s="314"/>
      <c r="C464" s="315"/>
      <c r="D464" s="315"/>
      <c r="E464" s="317"/>
      <c r="F464" s="318" t="str">
        <f t="shared" si="1"/>
        <v>TP463 -  -  - </v>
      </c>
      <c r="G464" s="319">
        <f>SUMIF('ADV - FB'!L:L,$A464,'ADV - FB'!E:E)</f>
        <v>0</v>
      </c>
      <c r="H464" s="320" t="str">
        <f>IFERROR(SUMIF('ADV - FB'!L:L,$A464,'ADV - FB'!H:H)/(SUMIF('ADV - FB'!L:L,$A464,'ADV - FB'!G:G)),"-")</f>
        <v>-</v>
      </c>
      <c r="I464" s="321" t="str">
        <f>IFERROR(SUMIF('ADV - FB'!L:L,$A464,'ADV - FB'!E:E)/(SUMIF('ADV - FB'!L:L,$A464,'ADV - FB'!F:F)),"-")</f>
        <v>-</v>
      </c>
      <c r="J464" s="315">
        <f>SUMIF('ADV - FB'!L:L,$A464,'ADV - FB'!I:I)+SUMIF('ADV - FB'!L:L,$A464,'ADV - FB'!J:J)+SUMIF('ADV - FB'!L:L,$A464,'ADV - FB'!K:K)</f>
        <v>0</v>
      </c>
      <c r="K464" s="321" t="str">
        <f t="shared" si="2"/>
        <v>-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ht="15.75" customHeight="1">
      <c r="A465" s="313" t="s">
        <v>734</v>
      </c>
      <c r="B465" s="314"/>
      <c r="C465" s="315"/>
      <c r="D465" s="315"/>
      <c r="E465" s="317"/>
      <c r="F465" s="318" t="str">
        <f t="shared" si="1"/>
        <v>TP464 -  -  - </v>
      </c>
      <c r="G465" s="319">
        <f>SUMIF('ADV - FB'!L:L,$A465,'ADV - FB'!E:E)</f>
        <v>0</v>
      </c>
      <c r="H465" s="320" t="str">
        <f>IFERROR(SUMIF('ADV - FB'!L:L,$A465,'ADV - FB'!H:H)/(SUMIF('ADV - FB'!L:L,$A465,'ADV - FB'!G:G)),"-")</f>
        <v>-</v>
      </c>
      <c r="I465" s="321" t="str">
        <f>IFERROR(SUMIF('ADV - FB'!L:L,$A465,'ADV - FB'!E:E)/(SUMIF('ADV - FB'!L:L,$A465,'ADV - FB'!F:F)),"-")</f>
        <v>-</v>
      </c>
      <c r="J465" s="315">
        <f>SUMIF('ADV - FB'!L:L,$A465,'ADV - FB'!I:I)+SUMIF('ADV - FB'!L:L,$A465,'ADV - FB'!J:J)+SUMIF('ADV - FB'!L:L,$A465,'ADV - FB'!K:K)</f>
        <v>0</v>
      </c>
      <c r="K465" s="321" t="str">
        <f t="shared" si="2"/>
        <v>-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ht="15.75" customHeight="1">
      <c r="A466" s="313" t="s">
        <v>735</v>
      </c>
      <c r="B466" s="314"/>
      <c r="C466" s="315"/>
      <c r="D466" s="315"/>
      <c r="E466" s="317"/>
      <c r="F466" s="318" t="str">
        <f t="shared" si="1"/>
        <v>TP465 -  -  - </v>
      </c>
      <c r="G466" s="319">
        <f>SUMIF('ADV - FB'!L:L,$A466,'ADV - FB'!E:E)</f>
        <v>0</v>
      </c>
      <c r="H466" s="320" t="str">
        <f>IFERROR(SUMIF('ADV - FB'!L:L,$A466,'ADV - FB'!H:H)/(SUMIF('ADV - FB'!L:L,$A466,'ADV - FB'!G:G)),"-")</f>
        <v>-</v>
      </c>
      <c r="I466" s="321" t="str">
        <f>IFERROR(SUMIF('ADV - FB'!L:L,$A466,'ADV - FB'!E:E)/(SUMIF('ADV - FB'!L:L,$A466,'ADV - FB'!F:F)),"-")</f>
        <v>-</v>
      </c>
      <c r="J466" s="315">
        <f>SUMIF('ADV - FB'!L:L,$A466,'ADV - FB'!I:I)+SUMIF('ADV - FB'!L:L,$A466,'ADV - FB'!J:J)+SUMIF('ADV - FB'!L:L,$A466,'ADV - FB'!K:K)</f>
        <v>0</v>
      </c>
      <c r="K466" s="321" t="str">
        <f t="shared" si="2"/>
        <v>-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ht="15.75" customHeight="1">
      <c r="A467" s="313" t="s">
        <v>736</v>
      </c>
      <c r="B467" s="314"/>
      <c r="C467" s="315"/>
      <c r="D467" s="315"/>
      <c r="E467" s="317"/>
      <c r="F467" s="318" t="str">
        <f t="shared" si="1"/>
        <v>TP466 -  -  - </v>
      </c>
      <c r="G467" s="319">
        <f>SUMIF('ADV - FB'!L:L,$A467,'ADV - FB'!E:E)</f>
        <v>0</v>
      </c>
      <c r="H467" s="320" t="str">
        <f>IFERROR(SUMIF('ADV - FB'!L:L,$A467,'ADV - FB'!H:H)/(SUMIF('ADV - FB'!L:L,$A467,'ADV - FB'!G:G)),"-")</f>
        <v>-</v>
      </c>
      <c r="I467" s="321" t="str">
        <f>IFERROR(SUMIF('ADV - FB'!L:L,$A467,'ADV - FB'!E:E)/(SUMIF('ADV - FB'!L:L,$A467,'ADV - FB'!F:F)),"-")</f>
        <v>-</v>
      </c>
      <c r="J467" s="315">
        <f>SUMIF('ADV - FB'!L:L,$A467,'ADV - FB'!I:I)+SUMIF('ADV - FB'!L:L,$A467,'ADV - FB'!J:J)+SUMIF('ADV - FB'!L:L,$A467,'ADV - FB'!K:K)</f>
        <v>0</v>
      </c>
      <c r="K467" s="321" t="str">
        <f t="shared" si="2"/>
        <v>-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ht="15.75" customHeight="1">
      <c r="A468" s="313" t="s">
        <v>737</v>
      </c>
      <c r="B468" s="314"/>
      <c r="C468" s="315"/>
      <c r="D468" s="315"/>
      <c r="E468" s="317"/>
      <c r="F468" s="318" t="str">
        <f t="shared" si="1"/>
        <v>TP467 -  -  - </v>
      </c>
      <c r="G468" s="319">
        <f>SUMIF('ADV - FB'!L:L,$A468,'ADV - FB'!E:E)</f>
        <v>0</v>
      </c>
      <c r="H468" s="320" t="str">
        <f>IFERROR(SUMIF('ADV - FB'!L:L,$A468,'ADV - FB'!H:H)/(SUMIF('ADV - FB'!L:L,$A468,'ADV - FB'!G:G)),"-")</f>
        <v>-</v>
      </c>
      <c r="I468" s="321" t="str">
        <f>IFERROR(SUMIF('ADV - FB'!L:L,$A468,'ADV - FB'!E:E)/(SUMIF('ADV - FB'!L:L,$A468,'ADV - FB'!F:F)),"-")</f>
        <v>-</v>
      </c>
      <c r="J468" s="315">
        <f>SUMIF('ADV - FB'!L:L,$A468,'ADV - FB'!I:I)+SUMIF('ADV - FB'!L:L,$A468,'ADV - FB'!J:J)+SUMIF('ADV - FB'!L:L,$A468,'ADV - FB'!K:K)</f>
        <v>0</v>
      </c>
      <c r="K468" s="321" t="str">
        <f t="shared" si="2"/>
        <v>-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ht="15.75" customHeight="1">
      <c r="A469" s="313" t="s">
        <v>738</v>
      </c>
      <c r="B469" s="314"/>
      <c r="C469" s="315"/>
      <c r="D469" s="315"/>
      <c r="E469" s="317"/>
      <c r="F469" s="318" t="str">
        <f t="shared" si="1"/>
        <v>TP468 -  -  - </v>
      </c>
      <c r="G469" s="319">
        <f>SUMIF('ADV - FB'!L:L,$A469,'ADV - FB'!E:E)</f>
        <v>0</v>
      </c>
      <c r="H469" s="320" t="str">
        <f>IFERROR(SUMIF('ADV - FB'!L:L,$A469,'ADV - FB'!H:H)/(SUMIF('ADV - FB'!L:L,$A469,'ADV - FB'!G:G)),"-")</f>
        <v>-</v>
      </c>
      <c r="I469" s="321" t="str">
        <f>IFERROR(SUMIF('ADV - FB'!L:L,$A469,'ADV - FB'!E:E)/(SUMIF('ADV - FB'!L:L,$A469,'ADV - FB'!F:F)),"-")</f>
        <v>-</v>
      </c>
      <c r="J469" s="315">
        <f>SUMIF('ADV - FB'!L:L,$A469,'ADV - FB'!I:I)+SUMIF('ADV - FB'!L:L,$A469,'ADV - FB'!J:J)+SUMIF('ADV - FB'!L:L,$A469,'ADV - FB'!K:K)</f>
        <v>0</v>
      </c>
      <c r="K469" s="321" t="str">
        <f t="shared" si="2"/>
        <v>-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ht="15.75" customHeight="1">
      <c r="A470" s="313" t="s">
        <v>739</v>
      </c>
      <c r="B470" s="314"/>
      <c r="C470" s="315"/>
      <c r="D470" s="315"/>
      <c r="E470" s="317"/>
      <c r="F470" s="318" t="str">
        <f t="shared" si="1"/>
        <v>TP469 -  -  - </v>
      </c>
      <c r="G470" s="319">
        <f>SUMIF('ADV - FB'!L:L,$A470,'ADV - FB'!E:E)</f>
        <v>0</v>
      </c>
      <c r="H470" s="320" t="str">
        <f>IFERROR(SUMIF('ADV - FB'!L:L,$A470,'ADV - FB'!H:H)/(SUMIF('ADV - FB'!L:L,$A470,'ADV - FB'!G:G)),"-")</f>
        <v>-</v>
      </c>
      <c r="I470" s="321" t="str">
        <f>IFERROR(SUMIF('ADV - FB'!L:L,$A470,'ADV - FB'!E:E)/(SUMIF('ADV - FB'!L:L,$A470,'ADV - FB'!F:F)),"-")</f>
        <v>-</v>
      </c>
      <c r="J470" s="315">
        <f>SUMIF('ADV - FB'!L:L,$A470,'ADV - FB'!I:I)+SUMIF('ADV - FB'!L:L,$A470,'ADV - FB'!J:J)+SUMIF('ADV - FB'!L:L,$A470,'ADV - FB'!K:K)</f>
        <v>0</v>
      </c>
      <c r="K470" s="321" t="str">
        <f t="shared" si="2"/>
        <v>-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ht="15.75" customHeight="1">
      <c r="A471" s="313" t="s">
        <v>740</v>
      </c>
      <c r="B471" s="314"/>
      <c r="C471" s="315"/>
      <c r="D471" s="315"/>
      <c r="E471" s="317"/>
      <c r="F471" s="318" t="str">
        <f t="shared" si="1"/>
        <v>TP470 -  -  - </v>
      </c>
      <c r="G471" s="319">
        <f>SUMIF('ADV - FB'!L:L,$A471,'ADV - FB'!E:E)</f>
        <v>0</v>
      </c>
      <c r="H471" s="320" t="str">
        <f>IFERROR(SUMIF('ADV - FB'!L:L,$A471,'ADV - FB'!H:H)/(SUMIF('ADV - FB'!L:L,$A471,'ADV - FB'!G:G)),"-")</f>
        <v>-</v>
      </c>
      <c r="I471" s="321" t="str">
        <f>IFERROR(SUMIF('ADV - FB'!L:L,$A471,'ADV - FB'!E:E)/(SUMIF('ADV - FB'!L:L,$A471,'ADV - FB'!F:F)),"-")</f>
        <v>-</v>
      </c>
      <c r="J471" s="315">
        <f>SUMIF('ADV - FB'!L:L,$A471,'ADV - FB'!I:I)+SUMIF('ADV - FB'!L:L,$A471,'ADV - FB'!J:J)+SUMIF('ADV - FB'!L:L,$A471,'ADV - FB'!K:K)</f>
        <v>0</v>
      </c>
      <c r="K471" s="321" t="str">
        <f t="shared" si="2"/>
        <v>-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ht="15.75" customHeight="1">
      <c r="A472" s="313" t="s">
        <v>741</v>
      </c>
      <c r="B472" s="314"/>
      <c r="C472" s="315"/>
      <c r="D472" s="315"/>
      <c r="E472" s="317"/>
      <c r="F472" s="318" t="str">
        <f t="shared" si="1"/>
        <v>TP471 -  -  - </v>
      </c>
      <c r="G472" s="319">
        <f>SUMIF('ADV - FB'!L:L,$A472,'ADV - FB'!E:E)</f>
        <v>0</v>
      </c>
      <c r="H472" s="320" t="str">
        <f>IFERROR(SUMIF('ADV - FB'!L:L,$A472,'ADV - FB'!H:H)/(SUMIF('ADV - FB'!L:L,$A472,'ADV - FB'!G:G)),"-")</f>
        <v>-</v>
      </c>
      <c r="I472" s="321" t="str">
        <f>IFERROR(SUMIF('ADV - FB'!L:L,$A472,'ADV - FB'!E:E)/(SUMIF('ADV - FB'!L:L,$A472,'ADV - FB'!F:F)),"-")</f>
        <v>-</v>
      </c>
      <c r="J472" s="315">
        <f>SUMIF('ADV - FB'!L:L,$A472,'ADV - FB'!I:I)+SUMIF('ADV - FB'!L:L,$A472,'ADV - FB'!J:J)+SUMIF('ADV - FB'!L:L,$A472,'ADV - FB'!K:K)</f>
        <v>0</v>
      </c>
      <c r="K472" s="321" t="str">
        <f t="shared" si="2"/>
        <v>-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ht="15.75" customHeight="1">
      <c r="A473" s="313" t="s">
        <v>742</v>
      </c>
      <c r="B473" s="314"/>
      <c r="C473" s="315"/>
      <c r="D473" s="315"/>
      <c r="E473" s="317"/>
      <c r="F473" s="318" t="str">
        <f t="shared" si="1"/>
        <v>TP472 -  -  - </v>
      </c>
      <c r="G473" s="319">
        <f>SUMIF('ADV - FB'!L:L,$A473,'ADV - FB'!E:E)</f>
        <v>0</v>
      </c>
      <c r="H473" s="320" t="str">
        <f>IFERROR(SUMIF('ADV - FB'!L:L,$A473,'ADV - FB'!H:H)/(SUMIF('ADV - FB'!L:L,$A473,'ADV - FB'!G:G)),"-")</f>
        <v>-</v>
      </c>
      <c r="I473" s="321" t="str">
        <f>IFERROR(SUMIF('ADV - FB'!L:L,$A473,'ADV - FB'!E:E)/(SUMIF('ADV - FB'!L:L,$A473,'ADV - FB'!F:F)),"-")</f>
        <v>-</v>
      </c>
      <c r="J473" s="315">
        <f>SUMIF('ADV - FB'!L:L,$A473,'ADV - FB'!I:I)+SUMIF('ADV - FB'!L:L,$A473,'ADV - FB'!J:J)+SUMIF('ADV - FB'!L:L,$A473,'ADV - FB'!K:K)</f>
        <v>0</v>
      </c>
      <c r="K473" s="321" t="str">
        <f t="shared" si="2"/>
        <v>-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ht="15.75" customHeight="1">
      <c r="A474" s="313" t="s">
        <v>743</v>
      </c>
      <c r="B474" s="314"/>
      <c r="C474" s="315"/>
      <c r="D474" s="315"/>
      <c r="E474" s="317"/>
      <c r="F474" s="318" t="str">
        <f t="shared" si="1"/>
        <v>TP473 -  -  - </v>
      </c>
      <c r="G474" s="319">
        <f>SUMIF('ADV - FB'!L:L,$A474,'ADV - FB'!E:E)</f>
        <v>0</v>
      </c>
      <c r="H474" s="320" t="str">
        <f>IFERROR(SUMIF('ADV - FB'!L:L,$A474,'ADV - FB'!H:H)/(SUMIF('ADV - FB'!L:L,$A474,'ADV - FB'!G:G)),"-")</f>
        <v>-</v>
      </c>
      <c r="I474" s="321" t="str">
        <f>IFERROR(SUMIF('ADV - FB'!L:L,$A474,'ADV - FB'!E:E)/(SUMIF('ADV - FB'!L:L,$A474,'ADV - FB'!F:F)),"-")</f>
        <v>-</v>
      </c>
      <c r="J474" s="315">
        <f>SUMIF('ADV - FB'!L:L,$A474,'ADV - FB'!I:I)+SUMIF('ADV - FB'!L:L,$A474,'ADV - FB'!J:J)+SUMIF('ADV - FB'!L:L,$A474,'ADV - FB'!K:K)</f>
        <v>0</v>
      </c>
      <c r="K474" s="321" t="str">
        <f t="shared" si="2"/>
        <v>-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ht="15.75" customHeight="1">
      <c r="A475" s="313" t="s">
        <v>744</v>
      </c>
      <c r="B475" s="314"/>
      <c r="C475" s="315"/>
      <c r="D475" s="315"/>
      <c r="E475" s="317"/>
      <c r="F475" s="318" t="str">
        <f t="shared" si="1"/>
        <v>TP474 -  -  - </v>
      </c>
      <c r="G475" s="319">
        <f>SUMIF('ADV - FB'!L:L,$A475,'ADV - FB'!E:E)</f>
        <v>0</v>
      </c>
      <c r="H475" s="320" t="str">
        <f>IFERROR(SUMIF('ADV - FB'!L:L,$A475,'ADV - FB'!H:H)/(SUMIF('ADV - FB'!L:L,$A475,'ADV - FB'!G:G)),"-")</f>
        <v>-</v>
      </c>
      <c r="I475" s="321" t="str">
        <f>IFERROR(SUMIF('ADV - FB'!L:L,$A475,'ADV - FB'!E:E)/(SUMIF('ADV - FB'!L:L,$A475,'ADV - FB'!F:F)),"-")</f>
        <v>-</v>
      </c>
      <c r="J475" s="315">
        <f>SUMIF('ADV - FB'!L:L,$A475,'ADV - FB'!I:I)+SUMIF('ADV - FB'!L:L,$A475,'ADV - FB'!J:J)+SUMIF('ADV - FB'!L:L,$A475,'ADV - FB'!K:K)</f>
        <v>0</v>
      </c>
      <c r="K475" s="321" t="str">
        <f t="shared" si="2"/>
        <v>-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ht="15.75" customHeight="1">
      <c r="A476" s="313" t="s">
        <v>745</v>
      </c>
      <c r="B476" s="314"/>
      <c r="C476" s="315"/>
      <c r="D476" s="315"/>
      <c r="E476" s="317"/>
      <c r="F476" s="318" t="str">
        <f t="shared" si="1"/>
        <v>TP475 -  -  - </v>
      </c>
      <c r="G476" s="319">
        <f>SUMIF('ADV - FB'!L:L,$A476,'ADV - FB'!E:E)</f>
        <v>0</v>
      </c>
      <c r="H476" s="320" t="str">
        <f>IFERROR(SUMIF('ADV - FB'!L:L,$A476,'ADV - FB'!H:H)/(SUMIF('ADV - FB'!L:L,$A476,'ADV - FB'!G:G)),"-")</f>
        <v>-</v>
      </c>
      <c r="I476" s="321" t="str">
        <f>IFERROR(SUMIF('ADV - FB'!L:L,$A476,'ADV - FB'!E:E)/(SUMIF('ADV - FB'!L:L,$A476,'ADV - FB'!F:F)),"-")</f>
        <v>-</v>
      </c>
      <c r="J476" s="315">
        <f>SUMIF('ADV - FB'!L:L,$A476,'ADV - FB'!I:I)+SUMIF('ADV - FB'!L:L,$A476,'ADV - FB'!J:J)+SUMIF('ADV - FB'!L:L,$A476,'ADV - FB'!K:K)</f>
        <v>0</v>
      </c>
      <c r="K476" s="321" t="str">
        <f t="shared" si="2"/>
        <v>-</v>
      </c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ht="15.75" customHeight="1">
      <c r="A477" s="313" t="s">
        <v>746</v>
      </c>
      <c r="B477" s="314"/>
      <c r="C477" s="315"/>
      <c r="D477" s="315"/>
      <c r="E477" s="317"/>
      <c r="F477" s="318" t="str">
        <f t="shared" si="1"/>
        <v>TP476 -  -  - </v>
      </c>
      <c r="G477" s="319">
        <f>SUMIF('ADV - FB'!L:L,$A477,'ADV - FB'!E:E)</f>
        <v>0</v>
      </c>
      <c r="H477" s="320" t="str">
        <f>IFERROR(SUMIF('ADV - FB'!L:L,$A477,'ADV - FB'!H:H)/(SUMIF('ADV - FB'!L:L,$A477,'ADV - FB'!G:G)),"-")</f>
        <v>-</v>
      </c>
      <c r="I477" s="321" t="str">
        <f>IFERROR(SUMIF('ADV - FB'!L:L,$A477,'ADV - FB'!E:E)/(SUMIF('ADV - FB'!L:L,$A477,'ADV - FB'!F:F)),"-")</f>
        <v>-</v>
      </c>
      <c r="J477" s="315">
        <f>SUMIF('ADV - FB'!L:L,$A477,'ADV - FB'!I:I)+SUMIF('ADV - FB'!L:L,$A477,'ADV - FB'!J:J)+SUMIF('ADV - FB'!L:L,$A477,'ADV - FB'!K:K)</f>
        <v>0</v>
      </c>
      <c r="K477" s="321" t="str">
        <f t="shared" si="2"/>
        <v>-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ht="15.75" customHeight="1">
      <c r="A478" s="313" t="s">
        <v>747</v>
      </c>
      <c r="B478" s="314"/>
      <c r="C478" s="315"/>
      <c r="D478" s="315"/>
      <c r="E478" s="317"/>
      <c r="F478" s="318" t="str">
        <f t="shared" si="1"/>
        <v>TP477 -  -  - </v>
      </c>
      <c r="G478" s="319">
        <f>SUMIF('ADV - FB'!L:L,$A478,'ADV - FB'!E:E)</f>
        <v>0</v>
      </c>
      <c r="H478" s="320" t="str">
        <f>IFERROR(SUMIF('ADV - FB'!L:L,$A478,'ADV - FB'!H:H)/(SUMIF('ADV - FB'!L:L,$A478,'ADV - FB'!G:G)),"-")</f>
        <v>-</v>
      </c>
      <c r="I478" s="321" t="str">
        <f>IFERROR(SUMIF('ADV - FB'!L:L,$A478,'ADV - FB'!E:E)/(SUMIF('ADV - FB'!L:L,$A478,'ADV - FB'!F:F)),"-")</f>
        <v>-</v>
      </c>
      <c r="J478" s="315">
        <f>SUMIF('ADV - FB'!L:L,$A478,'ADV - FB'!I:I)+SUMIF('ADV - FB'!L:L,$A478,'ADV - FB'!J:J)+SUMIF('ADV - FB'!L:L,$A478,'ADV - FB'!K:K)</f>
        <v>0</v>
      </c>
      <c r="K478" s="321" t="str">
        <f t="shared" si="2"/>
        <v>-</v>
      </c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ht="15.75" customHeight="1">
      <c r="A479" s="313" t="s">
        <v>748</v>
      </c>
      <c r="B479" s="314"/>
      <c r="C479" s="315"/>
      <c r="D479" s="315"/>
      <c r="E479" s="317"/>
      <c r="F479" s="318" t="str">
        <f t="shared" si="1"/>
        <v>TP478 -  -  - </v>
      </c>
      <c r="G479" s="319">
        <f>SUMIF('ADV - FB'!L:L,$A479,'ADV - FB'!E:E)</f>
        <v>0</v>
      </c>
      <c r="H479" s="320" t="str">
        <f>IFERROR(SUMIF('ADV - FB'!L:L,$A479,'ADV - FB'!H:H)/(SUMIF('ADV - FB'!L:L,$A479,'ADV - FB'!G:G)),"-")</f>
        <v>-</v>
      </c>
      <c r="I479" s="321" t="str">
        <f>IFERROR(SUMIF('ADV - FB'!L:L,$A479,'ADV - FB'!E:E)/(SUMIF('ADV - FB'!L:L,$A479,'ADV - FB'!F:F)),"-")</f>
        <v>-</v>
      </c>
      <c r="J479" s="315">
        <f>SUMIF('ADV - FB'!L:L,$A479,'ADV - FB'!I:I)+SUMIF('ADV - FB'!L:L,$A479,'ADV - FB'!J:J)+SUMIF('ADV - FB'!L:L,$A479,'ADV - FB'!K:K)</f>
        <v>0</v>
      </c>
      <c r="K479" s="321" t="str">
        <f t="shared" si="2"/>
        <v>-</v>
      </c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ht="15.75" customHeight="1">
      <c r="A480" s="313" t="s">
        <v>749</v>
      </c>
      <c r="B480" s="314"/>
      <c r="C480" s="315"/>
      <c r="D480" s="315"/>
      <c r="E480" s="317"/>
      <c r="F480" s="318" t="str">
        <f t="shared" si="1"/>
        <v>TP479 -  -  - </v>
      </c>
      <c r="G480" s="319">
        <f>SUMIF('ADV - FB'!L:L,$A480,'ADV - FB'!E:E)</f>
        <v>0</v>
      </c>
      <c r="H480" s="320" t="str">
        <f>IFERROR(SUMIF('ADV - FB'!L:L,$A480,'ADV - FB'!H:H)/(SUMIF('ADV - FB'!L:L,$A480,'ADV - FB'!G:G)),"-")</f>
        <v>-</v>
      </c>
      <c r="I480" s="321" t="str">
        <f>IFERROR(SUMIF('ADV - FB'!L:L,$A480,'ADV - FB'!E:E)/(SUMIF('ADV - FB'!L:L,$A480,'ADV - FB'!F:F)),"-")</f>
        <v>-</v>
      </c>
      <c r="J480" s="315">
        <f>SUMIF('ADV - FB'!L:L,$A480,'ADV - FB'!I:I)+SUMIF('ADV - FB'!L:L,$A480,'ADV - FB'!J:J)+SUMIF('ADV - FB'!L:L,$A480,'ADV - FB'!K:K)</f>
        <v>0</v>
      </c>
      <c r="K480" s="321" t="str">
        <f t="shared" si="2"/>
        <v>-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ht="15.75" customHeight="1">
      <c r="A481" s="313" t="s">
        <v>750</v>
      </c>
      <c r="B481" s="314"/>
      <c r="C481" s="315"/>
      <c r="D481" s="315"/>
      <c r="E481" s="317"/>
      <c r="F481" s="318" t="str">
        <f t="shared" si="1"/>
        <v>TP480 -  -  - </v>
      </c>
      <c r="G481" s="319">
        <f>SUMIF('ADV - FB'!L:L,$A481,'ADV - FB'!E:E)</f>
        <v>0</v>
      </c>
      <c r="H481" s="320" t="str">
        <f>IFERROR(SUMIF('ADV - FB'!L:L,$A481,'ADV - FB'!H:H)/(SUMIF('ADV - FB'!L:L,$A481,'ADV - FB'!G:G)),"-")</f>
        <v>-</v>
      </c>
      <c r="I481" s="321" t="str">
        <f>IFERROR(SUMIF('ADV - FB'!L:L,$A481,'ADV - FB'!E:E)/(SUMIF('ADV - FB'!L:L,$A481,'ADV - FB'!F:F)),"-")</f>
        <v>-</v>
      </c>
      <c r="J481" s="315">
        <f>SUMIF('ADV - FB'!L:L,$A481,'ADV - FB'!I:I)+SUMIF('ADV - FB'!L:L,$A481,'ADV - FB'!J:J)+SUMIF('ADV - FB'!L:L,$A481,'ADV - FB'!K:K)</f>
        <v>0</v>
      </c>
      <c r="K481" s="321" t="str">
        <f t="shared" si="2"/>
        <v>-</v>
      </c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ht="15.75" customHeight="1">
      <c r="A482" s="313" t="s">
        <v>751</v>
      </c>
      <c r="B482" s="314"/>
      <c r="C482" s="315"/>
      <c r="D482" s="315"/>
      <c r="E482" s="317"/>
      <c r="F482" s="318" t="str">
        <f t="shared" si="1"/>
        <v>TP481 -  -  - </v>
      </c>
      <c r="G482" s="319">
        <f>SUMIF('ADV - FB'!L:L,$A482,'ADV - FB'!E:E)</f>
        <v>0</v>
      </c>
      <c r="H482" s="320" t="str">
        <f>IFERROR(SUMIF('ADV - FB'!L:L,$A482,'ADV - FB'!H:H)/(SUMIF('ADV - FB'!L:L,$A482,'ADV - FB'!G:G)),"-")</f>
        <v>-</v>
      </c>
      <c r="I482" s="321" t="str">
        <f>IFERROR(SUMIF('ADV - FB'!L:L,$A482,'ADV - FB'!E:E)/(SUMIF('ADV - FB'!L:L,$A482,'ADV - FB'!F:F)),"-")</f>
        <v>-</v>
      </c>
      <c r="J482" s="315">
        <f>SUMIF('ADV - FB'!L:L,$A482,'ADV - FB'!I:I)+SUMIF('ADV - FB'!L:L,$A482,'ADV - FB'!J:J)+SUMIF('ADV - FB'!L:L,$A482,'ADV - FB'!K:K)</f>
        <v>0</v>
      </c>
      <c r="K482" s="321" t="str">
        <f t="shared" si="2"/>
        <v>-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ht="15.75" customHeight="1">
      <c r="A483" s="313" t="s">
        <v>752</v>
      </c>
      <c r="B483" s="314"/>
      <c r="C483" s="315"/>
      <c r="D483" s="315"/>
      <c r="E483" s="317"/>
      <c r="F483" s="318" t="str">
        <f t="shared" si="1"/>
        <v>TP482 -  -  - </v>
      </c>
      <c r="G483" s="319">
        <f>SUMIF('ADV - FB'!L:L,$A483,'ADV - FB'!E:E)</f>
        <v>0</v>
      </c>
      <c r="H483" s="320" t="str">
        <f>IFERROR(SUMIF('ADV - FB'!L:L,$A483,'ADV - FB'!H:H)/(SUMIF('ADV - FB'!L:L,$A483,'ADV - FB'!G:G)),"-")</f>
        <v>-</v>
      </c>
      <c r="I483" s="321" t="str">
        <f>IFERROR(SUMIF('ADV - FB'!L:L,$A483,'ADV - FB'!E:E)/(SUMIF('ADV - FB'!L:L,$A483,'ADV - FB'!F:F)),"-")</f>
        <v>-</v>
      </c>
      <c r="J483" s="315">
        <f>SUMIF('ADV - FB'!L:L,$A483,'ADV - FB'!I:I)+SUMIF('ADV - FB'!L:L,$A483,'ADV - FB'!J:J)+SUMIF('ADV - FB'!L:L,$A483,'ADV - FB'!K:K)</f>
        <v>0</v>
      </c>
      <c r="K483" s="321" t="str">
        <f t="shared" si="2"/>
        <v>-</v>
      </c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ht="15.75" customHeight="1">
      <c r="A484" s="313" t="s">
        <v>753</v>
      </c>
      <c r="B484" s="314"/>
      <c r="C484" s="315"/>
      <c r="D484" s="315"/>
      <c r="E484" s="317"/>
      <c r="F484" s="318" t="str">
        <f t="shared" si="1"/>
        <v>TP483 -  -  - </v>
      </c>
      <c r="G484" s="319">
        <f>SUMIF('ADV - FB'!L:L,$A484,'ADV - FB'!E:E)</f>
        <v>0</v>
      </c>
      <c r="H484" s="320" t="str">
        <f>IFERROR(SUMIF('ADV - FB'!L:L,$A484,'ADV - FB'!H:H)/(SUMIF('ADV - FB'!L:L,$A484,'ADV - FB'!G:G)),"-")</f>
        <v>-</v>
      </c>
      <c r="I484" s="321" t="str">
        <f>IFERROR(SUMIF('ADV - FB'!L:L,$A484,'ADV - FB'!E:E)/(SUMIF('ADV - FB'!L:L,$A484,'ADV - FB'!F:F)),"-")</f>
        <v>-</v>
      </c>
      <c r="J484" s="315">
        <f>SUMIF('ADV - FB'!L:L,$A484,'ADV - FB'!I:I)+SUMIF('ADV - FB'!L:L,$A484,'ADV - FB'!J:J)+SUMIF('ADV - FB'!L:L,$A484,'ADV - FB'!K:K)</f>
        <v>0</v>
      </c>
      <c r="K484" s="321" t="str">
        <f t="shared" si="2"/>
        <v>-</v>
      </c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ht="15.75" customHeight="1">
      <c r="A485" s="313" t="s">
        <v>754</v>
      </c>
      <c r="B485" s="314"/>
      <c r="C485" s="315"/>
      <c r="D485" s="315"/>
      <c r="E485" s="317"/>
      <c r="F485" s="318" t="str">
        <f t="shared" si="1"/>
        <v>TP484 -  -  - </v>
      </c>
      <c r="G485" s="319">
        <f>SUMIF('ADV - FB'!L:L,$A485,'ADV - FB'!E:E)</f>
        <v>0</v>
      </c>
      <c r="H485" s="320" t="str">
        <f>IFERROR(SUMIF('ADV - FB'!L:L,$A485,'ADV - FB'!H:H)/(SUMIF('ADV - FB'!L:L,$A485,'ADV - FB'!G:G)),"-")</f>
        <v>-</v>
      </c>
      <c r="I485" s="321" t="str">
        <f>IFERROR(SUMIF('ADV - FB'!L:L,$A485,'ADV - FB'!E:E)/(SUMIF('ADV - FB'!L:L,$A485,'ADV - FB'!F:F)),"-")</f>
        <v>-</v>
      </c>
      <c r="J485" s="315">
        <f>SUMIF('ADV - FB'!L:L,$A485,'ADV - FB'!I:I)+SUMIF('ADV - FB'!L:L,$A485,'ADV - FB'!J:J)+SUMIF('ADV - FB'!L:L,$A485,'ADV - FB'!K:K)</f>
        <v>0</v>
      </c>
      <c r="K485" s="321" t="str">
        <f t="shared" si="2"/>
        <v>-</v>
      </c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ht="15.75" customHeight="1">
      <c r="A486" s="313" t="s">
        <v>755</v>
      </c>
      <c r="B486" s="314"/>
      <c r="C486" s="315"/>
      <c r="D486" s="315"/>
      <c r="E486" s="317"/>
      <c r="F486" s="318" t="str">
        <f t="shared" si="1"/>
        <v>TP485 -  -  - </v>
      </c>
      <c r="G486" s="319">
        <f>SUMIF('ADV - FB'!L:L,$A486,'ADV - FB'!E:E)</f>
        <v>0</v>
      </c>
      <c r="H486" s="320" t="str">
        <f>IFERROR(SUMIF('ADV - FB'!L:L,$A486,'ADV - FB'!H:H)/(SUMIF('ADV - FB'!L:L,$A486,'ADV - FB'!G:G)),"-")</f>
        <v>-</v>
      </c>
      <c r="I486" s="321" t="str">
        <f>IFERROR(SUMIF('ADV - FB'!L:L,$A486,'ADV - FB'!E:E)/(SUMIF('ADV - FB'!L:L,$A486,'ADV - FB'!F:F)),"-")</f>
        <v>-</v>
      </c>
      <c r="J486" s="315">
        <f>SUMIF('ADV - FB'!L:L,$A486,'ADV - FB'!I:I)+SUMIF('ADV - FB'!L:L,$A486,'ADV - FB'!J:J)+SUMIF('ADV - FB'!L:L,$A486,'ADV - FB'!K:K)</f>
        <v>0</v>
      </c>
      <c r="K486" s="321" t="str">
        <f t="shared" si="2"/>
        <v>-</v>
      </c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ht="15.75" customHeight="1">
      <c r="A487" s="313" t="s">
        <v>756</v>
      </c>
      <c r="B487" s="314"/>
      <c r="C487" s="315"/>
      <c r="D487" s="315"/>
      <c r="E487" s="317"/>
      <c r="F487" s="318" t="str">
        <f t="shared" si="1"/>
        <v>TP486 -  -  - </v>
      </c>
      <c r="G487" s="319">
        <f>SUMIF('ADV - FB'!L:L,$A487,'ADV - FB'!E:E)</f>
        <v>0</v>
      </c>
      <c r="H487" s="320" t="str">
        <f>IFERROR(SUMIF('ADV - FB'!L:L,$A487,'ADV - FB'!H:H)/(SUMIF('ADV - FB'!L:L,$A487,'ADV - FB'!G:G)),"-")</f>
        <v>-</v>
      </c>
      <c r="I487" s="321" t="str">
        <f>IFERROR(SUMIF('ADV - FB'!L:L,$A487,'ADV - FB'!E:E)/(SUMIF('ADV - FB'!L:L,$A487,'ADV - FB'!F:F)),"-")</f>
        <v>-</v>
      </c>
      <c r="J487" s="315">
        <f>SUMIF('ADV - FB'!L:L,$A487,'ADV - FB'!I:I)+SUMIF('ADV - FB'!L:L,$A487,'ADV - FB'!J:J)+SUMIF('ADV - FB'!L:L,$A487,'ADV - FB'!K:K)</f>
        <v>0</v>
      </c>
      <c r="K487" s="321" t="str">
        <f t="shared" si="2"/>
        <v>-</v>
      </c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ht="15.75" customHeight="1">
      <c r="A488" s="313" t="s">
        <v>757</v>
      </c>
      <c r="B488" s="314"/>
      <c r="C488" s="315"/>
      <c r="D488" s="315"/>
      <c r="E488" s="317"/>
      <c r="F488" s="318" t="str">
        <f t="shared" si="1"/>
        <v>TP487 -  -  - </v>
      </c>
      <c r="G488" s="319">
        <f>SUMIF('ADV - FB'!L:L,$A488,'ADV - FB'!E:E)</f>
        <v>0</v>
      </c>
      <c r="H488" s="320" t="str">
        <f>IFERROR(SUMIF('ADV - FB'!L:L,$A488,'ADV - FB'!H:H)/(SUMIF('ADV - FB'!L:L,$A488,'ADV - FB'!G:G)),"-")</f>
        <v>-</v>
      </c>
      <c r="I488" s="321" t="str">
        <f>IFERROR(SUMIF('ADV - FB'!L:L,$A488,'ADV - FB'!E:E)/(SUMIF('ADV - FB'!L:L,$A488,'ADV - FB'!F:F)),"-")</f>
        <v>-</v>
      </c>
      <c r="J488" s="315">
        <f>SUMIF('ADV - FB'!L:L,$A488,'ADV - FB'!I:I)+SUMIF('ADV - FB'!L:L,$A488,'ADV - FB'!J:J)+SUMIF('ADV - FB'!L:L,$A488,'ADV - FB'!K:K)</f>
        <v>0</v>
      </c>
      <c r="K488" s="321" t="str">
        <f t="shared" si="2"/>
        <v>-</v>
      </c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ht="15.75" customHeight="1">
      <c r="A489" s="313" t="s">
        <v>758</v>
      </c>
      <c r="B489" s="314"/>
      <c r="C489" s="315"/>
      <c r="D489" s="315"/>
      <c r="E489" s="317"/>
      <c r="F489" s="318" t="str">
        <f t="shared" si="1"/>
        <v>TP488 -  -  - </v>
      </c>
      <c r="G489" s="319">
        <f>SUMIF('ADV - FB'!L:L,$A489,'ADV - FB'!E:E)</f>
        <v>0</v>
      </c>
      <c r="H489" s="320" t="str">
        <f>IFERROR(SUMIF('ADV - FB'!L:L,$A489,'ADV - FB'!H:H)/(SUMIF('ADV - FB'!L:L,$A489,'ADV - FB'!G:G)),"-")</f>
        <v>-</v>
      </c>
      <c r="I489" s="321" t="str">
        <f>IFERROR(SUMIF('ADV - FB'!L:L,$A489,'ADV - FB'!E:E)/(SUMIF('ADV - FB'!L:L,$A489,'ADV - FB'!F:F)),"-")</f>
        <v>-</v>
      </c>
      <c r="J489" s="315">
        <f>SUMIF('ADV - FB'!L:L,$A489,'ADV - FB'!I:I)+SUMIF('ADV - FB'!L:L,$A489,'ADV - FB'!J:J)+SUMIF('ADV - FB'!L:L,$A489,'ADV - FB'!K:K)</f>
        <v>0</v>
      </c>
      <c r="K489" s="321" t="str">
        <f t="shared" si="2"/>
        <v>-</v>
      </c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ht="15.75" customHeight="1">
      <c r="A490" s="313" t="s">
        <v>759</v>
      </c>
      <c r="B490" s="314"/>
      <c r="C490" s="315"/>
      <c r="D490" s="315"/>
      <c r="E490" s="317"/>
      <c r="F490" s="318" t="str">
        <f t="shared" si="1"/>
        <v>TP489 -  -  - </v>
      </c>
      <c r="G490" s="319">
        <f>SUMIF('ADV - FB'!L:L,$A490,'ADV - FB'!E:E)</f>
        <v>0</v>
      </c>
      <c r="H490" s="320" t="str">
        <f>IFERROR(SUMIF('ADV - FB'!L:L,$A490,'ADV - FB'!H:H)/(SUMIF('ADV - FB'!L:L,$A490,'ADV - FB'!G:G)),"-")</f>
        <v>-</v>
      </c>
      <c r="I490" s="321" t="str">
        <f>IFERROR(SUMIF('ADV - FB'!L:L,$A490,'ADV - FB'!E:E)/(SUMIF('ADV - FB'!L:L,$A490,'ADV - FB'!F:F)),"-")</f>
        <v>-</v>
      </c>
      <c r="J490" s="315">
        <f>SUMIF('ADV - FB'!L:L,$A490,'ADV - FB'!I:I)+SUMIF('ADV - FB'!L:L,$A490,'ADV - FB'!J:J)+SUMIF('ADV - FB'!L:L,$A490,'ADV - FB'!K:K)</f>
        <v>0</v>
      </c>
      <c r="K490" s="321" t="str">
        <f t="shared" si="2"/>
        <v>-</v>
      </c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ht="15.75" customHeight="1">
      <c r="A491" s="313" t="s">
        <v>760</v>
      </c>
      <c r="B491" s="314"/>
      <c r="C491" s="315"/>
      <c r="D491" s="315"/>
      <c r="E491" s="317"/>
      <c r="F491" s="318" t="str">
        <f t="shared" si="1"/>
        <v>TP490 -  -  - </v>
      </c>
      <c r="G491" s="319">
        <f>SUMIF('ADV - FB'!L:L,$A491,'ADV - FB'!E:E)</f>
        <v>0</v>
      </c>
      <c r="H491" s="320" t="str">
        <f>IFERROR(SUMIF('ADV - FB'!L:L,$A491,'ADV - FB'!H:H)/(SUMIF('ADV - FB'!L:L,$A491,'ADV - FB'!G:G)),"-")</f>
        <v>-</v>
      </c>
      <c r="I491" s="321" t="str">
        <f>IFERROR(SUMIF('ADV - FB'!L:L,$A491,'ADV - FB'!E:E)/(SUMIF('ADV - FB'!L:L,$A491,'ADV - FB'!F:F)),"-")</f>
        <v>-</v>
      </c>
      <c r="J491" s="315">
        <f>SUMIF('ADV - FB'!L:L,$A491,'ADV - FB'!I:I)+SUMIF('ADV - FB'!L:L,$A491,'ADV - FB'!J:J)+SUMIF('ADV - FB'!L:L,$A491,'ADV - FB'!K:K)</f>
        <v>0</v>
      </c>
      <c r="K491" s="321" t="str">
        <f t="shared" si="2"/>
        <v>-</v>
      </c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ht="15.75" customHeight="1">
      <c r="A492" s="313" t="s">
        <v>761</v>
      </c>
      <c r="B492" s="314"/>
      <c r="C492" s="315"/>
      <c r="D492" s="315"/>
      <c r="E492" s="317"/>
      <c r="F492" s="318" t="str">
        <f t="shared" si="1"/>
        <v>TP491 -  -  - </v>
      </c>
      <c r="G492" s="319">
        <f>SUMIF('ADV - FB'!L:L,$A492,'ADV - FB'!E:E)</f>
        <v>0</v>
      </c>
      <c r="H492" s="320" t="str">
        <f>IFERROR(SUMIF('ADV - FB'!L:L,$A492,'ADV - FB'!H:H)/(SUMIF('ADV - FB'!L:L,$A492,'ADV - FB'!G:G)),"-")</f>
        <v>-</v>
      </c>
      <c r="I492" s="321" t="str">
        <f>IFERROR(SUMIF('ADV - FB'!L:L,$A492,'ADV - FB'!E:E)/(SUMIF('ADV - FB'!L:L,$A492,'ADV - FB'!F:F)),"-")</f>
        <v>-</v>
      </c>
      <c r="J492" s="315">
        <f>SUMIF('ADV - FB'!L:L,$A492,'ADV - FB'!I:I)+SUMIF('ADV - FB'!L:L,$A492,'ADV - FB'!J:J)+SUMIF('ADV - FB'!L:L,$A492,'ADV - FB'!K:K)</f>
        <v>0</v>
      </c>
      <c r="K492" s="321" t="str">
        <f t="shared" si="2"/>
        <v>-</v>
      </c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ht="15.75" customHeight="1">
      <c r="A493" s="313" t="s">
        <v>762</v>
      </c>
      <c r="B493" s="314"/>
      <c r="C493" s="315"/>
      <c r="D493" s="315"/>
      <c r="E493" s="317"/>
      <c r="F493" s="318" t="str">
        <f t="shared" si="1"/>
        <v>TP492 -  -  - </v>
      </c>
      <c r="G493" s="319">
        <f>SUMIF('ADV - FB'!L:L,$A493,'ADV - FB'!E:E)</f>
        <v>0</v>
      </c>
      <c r="H493" s="320" t="str">
        <f>IFERROR(SUMIF('ADV - FB'!L:L,$A493,'ADV - FB'!H:H)/(SUMIF('ADV - FB'!L:L,$A493,'ADV - FB'!G:G)),"-")</f>
        <v>-</v>
      </c>
      <c r="I493" s="321" t="str">
        <f>IFERROR(SUMIF('ADV - FB'!L:L,$A493,'ADV - FB'!E:E)/(SUMIF('ADV - FB'!L:L,$A493,'ADV - FB'!F:F)),"-")</f>
        <v>-</v>
      </c>
      <c r="J493" s="315">
        <f>SUMIF('ADV - FB'!L:L,$A493,'ADV - FB'!I:I)+SUMIF('ADV - FB'!L:L,$A493,'ADV - FB'!J:J)+SUMIF('ADV - FB'!L:L,$A493,'ADV - FB'!K:K)</f>
        <v>0</v>
      </c>
      <c r="K493" s="321" t="str">
        <f t="shared" si="2"/>
        <v>-</v>
      </c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ht="15.75" customHeight="1">
      <c r="A494" s="313" t="s">
        <v>763</v>
      </c>
      <c r="B494" s="314"/>
      <c r="C494" s="315"/>
      <c r="D494" s="315"/>
      <c r="E494" s="317"/>
      <c r="F494" s="318" t="str">
        <f t="shared" si="1"/>
        <v>TP493 -  -  - </v>
      </c>
      <c r="G494" s="319">
        <f>SUMIF('ADV - FB'!L:L,$A494,'ADV - FB'!E:E)</f>
        <v>0</v>
      </c>
      <c r="H494" s="320" t="str">
        <f>IFERROR(SUMIF('ADV - FB'!L:L,$A494,'ADV - FB'!H:H)/(SUMIF('ADV - FB'!L:L,$A494,'ADV - FB'!G:G)),"-")</f>
        <v>-</v>
      </c>
      <c r="I494" s="321" t="str">
        <f>IFERROR(SUMIF('ADV - FB'!L:L,$A494,'ADV - FB'!E:E)/(SUMIF('ADV - FB'!L:L,$A494,'ADV - FB'!F:F)),"-")</f>
        <v>-</v>
      </c>
      <c r="J494" s="315">
        <f>SUMIF('ADV - FB'!L:L,$A494,'ADV - FB'!I:I)+SUMIF('ADV - FB'!L:L,$A494,'ADV - FB'!J:J)+SUMIF('ADV - FB'!L:L,$A494,'ADV - FB'!K:K)</f>
        <v>0</v>
      </c>
      <c r="K494" s="321" t="str">
        <f t="shared" si="2"/>
        <v>-</v>
      </c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ht="15.75" customHeight="1">
      <c r="A495" s="313" t="s">
        <v>764</v>
      </c>
      <c r="B495" s="314"/>
      <c r="C495" s="315"/>
      <c r="D495" s="315"/>
      <c r="E495" s="317"/>
      <c r="F495" s="318" t="str">
        <f t="shared" si="1"/>
        <v>TP494 -  -  - </v>
      </c>
      <c r="G495" s="319">
        <f>SUMIF('ADV - FB'!L:L,$A495,'ADV - FB'!E:E)</f>
        <v>0</v>
      </c>
      <c r="H495" s="320" t="str">
        <f>IFERROR(SUMIF('ADV - FB'!L:L,$A495,'ADV - FB'!H:H)/(SUMIF('ADV - FB'!L:L,$A495,'ADV - FB'!G:G)),"-")</f>
        <v>-</v>
      </c>
      <c r="I495" s="321" t="str">
        <f>IFERROR(SUMIF('ADV - FB'!L:L,$A495,'ADV - FB'!E:E)/(SUMIF('ADV - FB'!L:L,$A495,'ADV - FB'!F:F)),"-")</f>
        <v>-</v>
      </c>
      <c r="J495" s="315">
        <f>SUMIF('ADV - FB'!L:L,$A495,'ADV - FB'!I:I)+SUMIF('ADV - FB'!L:L,$A495,'ADV - FB'!J:J)+SUMIF('ADV - FB'!L:L,$A495,'ADV - FB'!K:K)</f>
        <v>0</v>
      </c>
      <c r="K495" s="321" t="str">
        <f t="shared" si="2"/>
        <v>-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ht="15.75" customHeight="1">
      <c r="A496" s="313" t="s">
        <v>765</v>
      </c>
      <c r="B496" s="314"/>
      <c r="C496" s="315"/>
      <c r="D496" s="315"/>
      <c r="E496" s="317"/>
      <c r="F496" s="318" t="str">
        <f t="shared" si="1"/>
        <v>TP495 -  -  - </v>
      </c>
      <c r="G496" s="319">
        <f>SUMIF('ADV - FB'!L:L,$A496,'ADV - FB'!E:E)</f>
        <v>0</v>
      </c>
      <c r="H496" s="320" t="str">
        <f>IFERROR(SUMIF('ADV - FB'!L:L,$A496,'ADV - FB'!H:H)/(SUMIF('ADV - FB'!L:L,$A496,'ADV - FB'!G:G)),"-")</f>
        <v>-</v>
      </c>
      <c r="I496" s="321" t="str">
        <f>IFERROR(SUMIF('ADV - FB'!L:L,$A496,'ADV - FB'!E:E)/(SUMIF('ADV - FB'!L:L,$A496,'ADV - FB'!F:F)),"-")</f>
        <v>-</v>
      </c>
      <c r="J496" s="315">
        <f>SUMIF('ADV - FB'!L:L,$A496,'ADV - FB'!I:I)+SUMIF('ADV - FB'!L:L,$A496,'ADV - FB'!J:J)+SUMIF('ADV - FB'!L:L,$A496,'ADV - FB'!K:K)</f>
        <v>0</v>
      </c>
      <c r="K496" s="321" t="str">
        <f t="shared" si="2"/>
        <v>-</v>
      </c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ht="15.75" customHeight="1">
      <c r="A497" s="313" t="s">
        <v>766</v>
      </c>
      <c r="B497" s="314"/>
      <c r="C497" s="315"/>
      <c r="D497" s="315"/>
      <c r="E497" s="317"/>
      <c r="F497" s="318" t="str">
        <f t="shared" si="1"/>
        <v>TP496 -  -  - </v>
      </c>
      <c r="G497" s="319">
        <f>SUMIF('ADV - FB'!L:L,$A497,'ADV - FB'!E:E)</f>
        <v>0</v>
      </c>
      <c r="H497" s="320" t="str">
        <f>IFERROR(SUMIF('ADV - FB'!L:L,$A497,'ADV - FB'!H:H)/(SUMIF('ADV - FB'!L:L,$A497,'ADV - FB'!G:G)),"-")</f>
        <v>-</v>
      </c>
      <c r="I497" s="321" t="str">
        <f>IFERROR(SUMIF('ADV - FB'!L:L,$A497,'ADV - FB'!E:E)/(SUMIF('ADV - FB'!L:L,$A497,'ADV - FB'!F:F)),"-")</f>
        <v>-</v>
      </c>
      <c r="J497" s="315">
        <f>SUMIF('ADV - FB'!L:L,$A497,'ADV - FB'!I:I)+SUMIF('ADV - FB'!L:L,$A497,'ADV - FB'!J:J)+SUMIF('ADV - FB'!L:L,$A497,'ADV - FB'!K:K)</f>
        <v>0</v>
      </c>
      <c r="K497" s="321" t="str">
        <f t="shared" si="2"/>
        <v>-</v>
      </c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ht="15.75" customHeight="1">
      <c r="A498" s="313" t="s">
        <v>767</v>
      </c>
      <c r="B498" s="314"/>
      <c r="C498" s="315"/>
      <c r="D498" s="315"/>
      <c r="E498" s="317"/>
      <c r="F498" s="318" t="str">
        <f t="shared" si="1"/>
        <v>TP497 -  -  - </v>
      </c>
      <c r="G498" s="319">
        <f>SUMIF('ADV - FB'!L:L,$A498,'ADV - FB'!E:E)</f>
        <v>0</v>
      </c>
      <c r="H498" s="320" t="str">
        <f>IFERROR(SUMIF('ADV - FB'!L:L,$A498,'ADV - FB'!H:H)/(SUMIF('ADV - FB'!L:L,$A498,'ADV - FB'!G:G)),"-")</f>
        <v>-</v>
      </c>
      <c r="I498" s="321" t="str">
        <f>IFERROR(SUMIF('ADV - FB'!L:L,$A498,'ADV - FB'!E:E)/(SUMIF('ADV - FB'!L:L,$A498,'ADV - FB'!F:F)),"-")</f>
        <v>-</v>
      </c>
      <c r="J498" s="315">
        <f>SUMIF('ADV - FB'!L:L,$A498,'ADV - FB'!I:I)+SUMIF('ADV - FB'!L:L,$A498,'ADV - FB'!J:J)+SUMIF('ADV - FB'!L:L,$A498,'ADV - FB'!K:K)</f>
        <v>0</v>
      </c>
      <c r="K498" s="321" t="str">
        <f t="shared" si="2"/>
        <v>-</v>
      </c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ht="15.75" customHeight="1">
      <c r="A499" s="313" t="s">
        <v>768</v>
      </c>
      <c r="B499" s="314"/>
      <c r="C499" s="315"/>
      <c r="D499" s="315"/>
      <c r="E499" s="317"/>
      <c r="F499" s="318" t="str">
        <f t="shared" si="1"/>
        <v>TP498 -  -  - </v>
      </c>
      <c r="G499" s="319">
        <f>SUMIF('ADV - FB'!L:L,$A499,'ADV - FB'!E:E)</f>
        <v>0</v>
      </c>
      <c r="H499" s="320" t="str">
        <f>IFERROR(SUMIF('ADV - FB'!L:L,$A499,'ADV - FB'!H:H)/(SUMIF('ADV - FB'!L:L,$A499,'ADV - FB'!G:G)),"-")</f>
        <v>-</v>
      </c>
      <c r="I499" s="321" t="str">
        <f>IFERROR(SUMIF('ADV - FB'!L:L,$A499,'ADV - FB'!E:E)/(SUMIF('ADV - FB'!L:L,$A499,'ADV - FB'!F:F)),"-")</f>
        <v>-</v>
      </c>
      <c r="J499" s="315">
        <f>SUMIF('ADV - FB'!L:L,$A499,'ADV - FB'!I:I)+SUMIF('ADV - FB'!L:L,$A499,'ADV - FB'!J:J)+SUMIF('ADV - FB'!L:L,$A499,'ADV - FB'!K:K)</f>
        <v>0</v>
      </c>
      <c r="K499" s="321" t="str">
        <f t="shared" si="2"/>
        <v>-</v>
      </c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ht="15.75" customHeight="1">
      <c r="A500" s="313" t="s">
        <v>769</v>
      </c>
      <c r="B500" s="314"/>
      <c r="C500" s="315"/>
      <c r="D500" s="315"/>
      <c r="E500" s="317"/>
      <c r="F500" s="318" t="str">
        <f t="shared" si="1"/>
        <v>TP499 -  -  - </v>
      </c>
      <c r="G500" s="319">
        <f>SUMIF('ADV - FB'!L:L,$A500,'ADV - FB'!E:E)</f>
        <v>0</v>
      </c>
      <c r="H500" s="320" t="str">
        <f>IFERROR(SUMIF('ADV - FB'!L:L,$A500,'ADV - FB'!H:H)/(SUMIF('ADV - FB'!L:L,$A500,'ADV - FB'!G:G)),"-")</f>
        <v>-</v>
      </c>
      <c r="I500" s="321" t="str">
        <f>IFERROR(SUMIF('ADV - FB'!L:L,$A500,'ADV - FB'!E:E)/(SUMIF('ADV - FB'!L:L,$A500,'ADV - FB'!F:F)),"-")</f>
        <v>-</v>
      </c>
      <c r="J500" s="315">
        <f>SUMIF('ADV - FB'!L:L,$A500,'ADV - FB'!I:I)+SUMIF('ADV - FB'!L:L,$A500,'ADV - FB'!J:J)+SUMIF('ADV - FB'!L:L,$A500,'ADV - FB'!K:K)</f>
        <v>0</v>
      </c>
      <c r="K500" s="321" t="str">
        <f t="shared" si="2"/>
        <v>-</v>
      </c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ht="15.75" customHeight="1">
      <c r="A501" s="313" t="s">
        <v>770</v>
      </c>
      <c r="B501" s="314"/>
      <c r="C501" s="315"/>
      <c r="D501" s="315"/>
      <c r="E501" s="317"/>
      <c r="F501" s="318" t="str">
        <f t="shared" si="1"/>
        <v>TP500 -  -  - </v>
      </c>
      <c r="G501" s="319">
        <f>SUMIF('ADV - FB'!L:L,$A501,'ADV - FB'!E:E)</f>
        <v>0</v>
      </c>
      <c r="H501" s="320" t="str">
        <f>IFERROR(SUMIF('ADV - FB'!L:L,$A501,'ADV - FB'!H:H)/(SUMIF('ADV - FB'!L:L,$A501,'ADV - FB'!G:G)),"-")</f>
        <v>-</v>
      </c>
      <c r="I501" s="321" t="str">
        <f>IFERROR(SUMIF('ADV - FB'!L:L,$A501,'ADV - FB'!E:E)/(SUMIF('ADV - FB'!L:L,$A501,'ADV - FB'!F:F)),"-")</f>
        <v>-</v>
      </c>
      <c r="J501" s="315">
        <f>SUMIF('ADV - FB'!L:L,$A501,'ADV - FB'!I:I)+SUMIF('ADV - FB'!L:L,$A501,'ADV - FB'!J:J)+SUMIF('ADV - FB'!L:L,$A501,'ADV - FB'!K:K)</f>
        <v>0</v>
      </c>
      <c r="K501" s="321" t="str">
        <f t="shared" si="2"/>
        <v>-</v>
      </c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ht="15.75" customHeight="1">
      <c r="A502" s="313" t="s">
        <v>771</v>
      </c>
      <c r="B502" s="314"/>
      <c r="C502" s="315"/>
      <c r="D502" s="315"/>
      <c r="E502" s="317"/>
      <c r="F502" s="318" t="str">
        <f t="shared" si="1"/>
        <v>TP501 -  -  - </v>
      </c>
      <c r="G502" s="319">
        <f>SUMIF('ADV - FB'!L:L,$A502,'ADV - FB'!E:E)</f>
        <v>0</v>
      </c>
      <c r="H502" s="320" t="str">
        <f>IFERROR(SUMIF('ADV - FB'!L:L,$A502,'ADV - FB'!H:H)/(SUMIF('ADV - FB'!L:L,$A502,'ADV - FB'!G:G)),"-")</f>
        <v>-</v>
      </c>
      <c r="I502" s="321" t="str">
        <f>IFERROR(SUMIF('ADV - FB'!L:L,$A502,'ADV - FB'!E:E)/(SUMIF('ADV - FB'!L:L,$A502,'ADV - FB'!F:F)),"-")</f>
        <v>-</v>
      </c>
      <c r="J502" s="315">
        <f>SUMIF('ADV - FB'!L:L,$A502,'ADV - FB'!I:I)+SUMIF('ADV - FB'!L:L,$A502,'ADV - FB'!J:J)+SUMIF('ADV - FB'!L:L,$A502,'ADV - FB'!K:K)</f>
        <v>0</v>
      </c>
      <c r="K502" s="321" t="str">
        <f t="shared" si="2"/>
        <v>-</v>
      </c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ht="15.75" customHeight="1">
      <c r="A503" s="313" t="s">
        <v>772</v>
      </c>
      <c r="B503" s="314"/>
      <c r="C503" s="315"/>
      <c r="D503" s="315"/>
      <c r="E503" s="317"/>
      <c r="F503" s="318" t="str">
        <f t="shared" si="1"/>
        <v>TP502 -  -  - </v>
      </c>
      <c r="G503" s="319">
        <f>SUMIF('ADV - FB'!L:L,$A503,'ADV - FB'!E:E)</f>
        <v>0</v>
      </c>
      <c r="H503" s="320" t="str">
        <f>IFERROR(SUMIF('ADV - FB'!L:L,$A503,'ADV - FB'!H:H)/(SUMIF('ADV - FB'!L:L,$A503,'ADV - FB'!G:G)),"-")</f>
        <v>-</v>
      </c>
      <c r="I503" s="321" t="str">
        <f>IFERROR(SUMIF('ADV - FB'!L:L,$A503,'ADV - FB'!E:E)/(SUMIF('ADV - FB'!L:L,$A503,'ADV - FB'!F:F)),"-")</f>
        <v>-</v>
      </c>
      <c r="J503" s="315">
        <f>SUMIF('ADV - FB'!L:L,$A503,'ADV - FB'!I:I)+SUMIF('ADV - FB'!L:L,$A503,'ADV - FB'!J:J)+SUMIF('ADV - FB'!L:L,$A503,'ADV - FB'!K:K)</f>
        <v>0</v>
      </c>
      <c r="K503" s="321" t="str">
        <f t="shared" si="2"/>
        <v>-</v>
      </c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ht="15.75" customHeight="1">
      <c r="A504" s="313" t="s">
        <v>773</v>
      </c>
      <c r="B504" s="314"/>
      <c r="C504" s="315"/>
      <c r="D504" s="315"/>
      <c r="E504" s="317"/>
      <c r="F504" s="318" t="str">
        <f t="shared" si="1"/>
        <v>TP503 -  -  - </v>
      </c>
      <c r="G504" s="319">
        <f>SUMIF('ADV - FB'!L:L,$A504,'ADV - FB'!E:E)</f>
        <v>0</v>
      </c>
      <c r="H504" s="320" t="str">
        <f>IFERROR(SUMIF('ADV - FB'!L:L,$A504,'ADV - FB'!H:H)/(SUMIF('ADV - FB'!L:L,$A504,'ADV - FB'!G:G)),"-")</f>
        <v>-</v>
      </c>
      <c r="I504" s="321" t="str">
        <f>IFERROR(SUMIF('ADV - FB'!L:L,$A504,'ADV - FB'!E:E)/(SUMIF('ADV - FB'!L:L,$A504,'ADV - FB'!F:F)),"-")</f>
        <v>-</v>
      </c>
      <c r="J504" s="315">
        <f>SUMIF('ADV - FB'!L:L,$A504,'ADV - FB'!I:I)+SUMIF('ADV - FB'!L:L,$A504,'ADV - FB'!J:J)+SUMIF('ADV - FB'!L:L,$A504,'ADV - FB'!K:K)</f>
        <v>0</v>
      </c>
      <c r="K504" s="321" t="str">
        <f t="shared" si="2"/>
        <v>-</v>
      </c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ht="15.75" customHeight="1">
      <c r="A505" s="313" t="s">
        <v>774</v>
      </c>
      <c r="B505" s="314"/>
      <c r="C505" s="315"/>
      <c r="D505" s="315"/>
      <c r="E505" s="317"/>
      <c r="F505" s="318" t="str">
        <f t="shared" si="1"/>
        <v>TP504 -  -  - </v>
      </c>
      <c r="G505" s="319">
        <f>SUMIF('ADV - FB'!L:L,$A505,'ADV - FB'!E:E)</f>
        <v>0</v>
      </c>
      <c r="H505" s="320" t="str">
        <f>IFERROR(SUMIF('ADV - FB'!L:L,$A505,'ADV - FB'!H:H)/(SUMIF('ADV - FB'!L:L,$A505,'ADV - FB'!G:G)),"-")</f>
        <v>-</v>
      </c>
      <c r="I505" s="321" t="str">
        <f>IFERROR(SUMIF('ADV - FB'!L:L,$A505,'ADV - FB'!E:E)/(SUMIF('ADV - FB'!L:L,$A505,'ADV - FB'!F:F)),"-")</f>
        <v>-</v>
      </c>
      <c r="J505" s="315">
        <f>SUMIF('ADV - FB'!L:L,$A505,'ADV - FB'!I:I)+SUMIF('ADV - FB'!L:L,$A505,'ADV - FB'!J:J)+SUMIF('ADV - FB'!L:L,$A505,'ADV - FB'!K:K)</f>
        <v>0</v>
      </c>
      <c r="K505" s="321" t="str">
        <f t="shared" si="2"/>
        <v>-</v>
      </c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ht="15.75" customHeight="1">
      <c r="A506" s="313" t="s">
        <v>775</v>
      </c>
      <c r="B506" s="314"/>
      <c r="C506" s="315"/>
      <c r="D506" s="315"/>
      <c r="E506" s="317"/>
      <c r="F506" s="318" t="str">
        <f t="shared" si="1"/>
        <v>TP505 -  -  - </v>
      </c>
      <c r="G506" s="319">
        <f>SUMIF('ADV - FB'!L:L,$A506,'ADV - FB'!E:E)</f>
        <v>0</v>
      </c>
      <c r="H506" s="320" t="str">
        <f>IFERROR(SUMIF('ADV - FB'!L:L,$A506,'ADV - FB'!H:H)/(SUMIF('ADV - FB'!L:L,$A506,'ADV - FB'!G:G)),"-")</f>
        <v>-</v>
      </c>
      <c r="I506" s="321" t="str">
        <f>IFERROR(SUMIF('ADV - FB'!L:L,$A506,'ADV - FB'!E:E)/(SUMIF('ADV - FB'!L:L,$A506,'ADV - FB'!F:F)),"-")</f>
        <v>-</v>
      </c>
      <c r="J506" s="315">
        <f>SUMIF('ADV - FB'!L:L,$A506,'ADV - FB'!I:I)+SUMIF('ADV - FB'!L:L,$A506,'ADV - FB'!J:J)+SUMIF('ADV - FB'!L:L,$A506,'ADV - FB'!K:K)</f>
        <v>0</v>
      </c>
      <c r="K506" s="321" t="str">
        <f t="shared" si="2"/>
        <v>-</v>
      </c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ht="15.75" customHeight="1">
      <c r="A507" s="313" t="s">
        <v>776</v>
      </c>
      <c r="B507" s="314"/>
      <c r="C507" s="315"/>
      <c r="D507" s="315"/>
      <c r="E507" s="317"/>
      <c r="F507" s="318" t="str">
        <f t="shared" si="1"/>
        <v>TP506 -  -  - </v>
      </c>
      <c r="G507" s="319">
        <f>SUMIF('ADV - FB'!L:L,$A507,'ADV - FB'!E:E)</f>
        <v>0</v>
      </c>
      <c r="H507" s="320" t="str">
        <f>IFERROR(SUMIF('ADV - FB'!L:L,$A507,'ADV - FB'!H:H)/(SUMIF('ADV - FB'!L:L,$A507,'ADV - FB'!G:G)),"-")</f>
        <v>-</v>
      </c>
      <c r="I507" s="321" t="str">
        <f>IFERROR(SUMIF('ADV - FB'!L:L,$A507,'ADV - FB'!E:E)/(SUMIF('ADV - FB'!L:L,$A507,'ADV - FB'!F:F)),"-")</f>
        <v>-</v>
      </c>
      <c r="J507" s="315">
        <f>SUMIF('ADV - FB'!L:L,$A507,'ADV - FB'!I:I)+SUMIF('ADV - FB'!L:L,$A507,'ADV - FB'!J:J)+SUMIF('ADV - FB'!L:L,$A507,'ADV - FB'!K:K)</f>
        <v>0</v>
      </c>
      <c r="K507" s="321" t="str">
        <f t="shared" si="2"/>
        <v>-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ht="15.75" customHeight="1">
      <c r="A508" s="313" t="s">
        <v>777</v>
      </c>
      <c r="B508" s="314"/>
      <c r="C508" s="315"/>
      <c r="D508" s="315"/>
      <c r="E508" s="317"/>
      <c r="F508" s="318" t="str">
        <f t="shared" si="1"/>
        <v>TP507 -  -  - </v>
      </c>
      <c r="G508" s="319">
        <f>SUMIF('ADV - FB'!L:L,$A508,'ADV - FB'!E:E)</f>
        <v>0</v>
      </c>
      <c r="H508" s="320" t="str">
        <f>IFERROR(SUMIF('ADV - FB'!L:L,$A508,'ADV - FB'!H:H)/(SUMIF('ADV - FB'!L:L,$A508,'ADV - FB'!G:G)),"-")</f>
        <v>-</v>
      </c>
      <c r="I508" s="321" t="str">
        <f>IFERROR(SUMIF('ADV - FB'!L:L,$A508,'ADV - FB'!E:E)/(SUMIF('ADV - FB'!L:L,$A508,'ADV - FB'!F:F)),"-")</f>
        <v>-</v>
      </c>
      <c r="J508" s="315">
        <f>SUMIF('ADV - FB'!L:L,$A508,'ADV - FB'!I:I)+SUMIF('ADV - FB'!L:L,$A508,'ADV - FB'!J:J)+SUMIF('ADV - FB'!L:L,$A508,'ADV - FB'!K:K)</f>
        <v>0</v>
      </c>
      <c r="K508" s="321" t="str">
        <f t="shared" si="2"/>
        <v>-</v>
      </c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ht="15.75" customHeight="1">
      <c r="A509" s="313" t="s">
        <v>778</v>
      </c>
      <c r="B509" s="314"/>
      <c r="C509" s="315"/>
      <c r="D509" s="315"/>
      <c r="E509" s="317"/>
      <c r="F509" s="318" t="str">
        <f t="shared" si="1"/>
        <v>TP508 -  -  - </v>
      </c>
      <c r="G509" s="319">
        <f>SUMIF('ADV - FB'!L:L,$A509,'ADV - FB'!E:E)</f>
        <v>0</v>
      </c>
      <c r="H509" s="320" t="str">
        <f>IFERROR(SUMIF('ADV - FB'!L:L,$A509,'ADV - FB'!H:H)/(SUMIF('ADV - FB'!L:L,$A509,'ADV - FB'!G:G)),"-")</f>
        <v>-</v>
      </c>
      <c r="I509" s="321" t="str">
        <f>IFERROR(SUMIF('ADV - FB'!L:L,$A509,'ADV - FB'!E:E)/(SUMIF('ADV - FB'!L:L,$A509,'ADV - FB'!F:F)),"-")</f>
        <v>-</v>
      </c>
      <c r="J509" s="315">
        <f>SUMIF('ADV - FB'!L:L,$A509,'ADV - FB'!I:I)+SUMIF('ADV - FB'!L:L,$A509,'ADV - FB'!J:J)+SUMIF('ADV - FB'!L:L,$A509,'ADV - FB'!K:K)</f>
        <v>0</v>
      </c>
      <c r="K509" s="321" t="str">
        <f t="shared" si="2"/>
        <v>-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ht="15.75" customHeight="1">
      <c r="A510" s="313" t="s">
        <v>779</v>
      </c>
      <c r="B510" s="314"/>
      <c r="C510" s="315"/>
      <c r="D510" s="315"/>
      <c r="E510" s="317"/>
      <c r="F510" s="318" t="str">
        <f t="shared" si="1"/>
        <v>TP509 -  -  - </v>
      </c>
      <c r="G510" s="319">
        <f>SUMIF('ADV - FB'!L:L,$A510,'ADV - FB'!E:E)</f>
        <v>0</v>
      </c>
      <c r="H510" s="320" t="str">
        <f>IFERROR(SUMIF('ADV - FB'!L:L,$A510,'ADV - FB'!H:H)/(SUMIF('ADV - FB'!L:L,$A510,'ADV - FB'!G:G)),"-")</f>
        <v>-</v>
      </c>
      <c r="I510" s="321" t="str">
        <f>IFERROR(SUMIF('ADV - FB'!L:L,$A510,'ADV - FB'!E:E)/(SUMIF('ADV - FB'!L:L,$A510,'ADV - FB'!F:F)),"-")</f>
        <v>-</v>
      </c>
      <c r="J510" s="315">
        <f>SUMIF('ADV - FB'!L:L,$A510,'ADV - FB'!I:I)+SUMIF('ADV - FB'!L:L,$A510,'ADV - FB'!J:J)+SUMIF('ADV - FB'!L:L,$A510,'ADV - FB'!K:K)</f>
        <v>0</v>
      </c>
      <c r="K510" s="321" t="str">
        <f t="shared" si="2"/>
        <v>-</v>
      </c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ht="15.75" customHeight="1">
      <c r="A511" s="313" t="s">
        <v>780</v>
      </c>
      <c r="B511" s="314"/>
      <c r="C511" s="315"/>
      <c r="D511" s="315"/>
      <c r="E511" s="317"/>
      <c r="F511" s="318" t="str">
        <f t="shared" si="1"/>
        <v>TP510 -  -  - </v>
      </c>
      <c r="G511" s="319">
        <f>SUMIF('ADV - FB'!L:L,$A511,'ADV - FB'!E:E)</f>
        <v>0</v>
      </c>
      <c r="H511" s="320" t="str">
        <f>IFERROR(SUMIF('ADV - FB'!L:L,$A511,'ADV - FB'!H:H)/(SUMIF('ADV - FB'!L:L,$A511,'ADV - FB'!G:G)),"-")</f>
        <v>-</v>
      </c>
      <c r="I511" s="321" t="str">
        <f>IFERROR(SUMIF('ADV - FB'!L:L,$A511,'ADV - FB'!E:E)/(SUMIF('ADV - FB'!L:L,$A511,'ADV - FB'!F:F)),"-")</f>
        <v>-</v>
      </c>
      <c r="J511" s="315">
        <f>SUMIF('ADV - FB'!L:L,$A511,'ADV - FB'!I:I)+SUMIF('ADV - FB'!L:L,$A511,'ADV - FB'!J:J)+SUMIF('ADV - FB'!L:L,$A511,'ADV - FB'!K:K)</f>
        <v>0</v>
      </c>
      <c r="K511" s="321" t="str">
        <f t="shared" si="2"/>
        <v>-</v>
      </c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ht="15.75" customHeight="1">
      <c r="A512" s="313" t="s">
        <v>781</v>
      </c>
      <c r="B512" s="314"/>
      <c r="C512" s="315"/>
      <c r="D512" s="315"/>
      <c r="E512" s="317"/>
      <c r="F512" s="318" t="str">
        <f t="shared" si="1"/>
        <v>TP511 -  -  - </v>
      </c>
      <c r="G512" s="319">
        <f>SUMIF('ADV - FB'!L:L,$A512,'ADV - FB'!E:E)</f>
        <v>0</v>
      </c>
      <c r="H512" s="320" t="str">
        <f>IFERROR(SUMIF('ADV - FB'!L:L,$A512,'ADV - FB'!H:H)/(SUMIF('ADV - FB'!L:L,$A512,'ADV - FB'!G:G)),"-")</f>
        <v>-</v>
      </c>
      <c r="I512" s="321" t="str">
        <f>IFERROR(SUMIF('ADV - FB'!L:L,$A512,'ADV - FB'!E:E)/(SUMIF('ADV - FB'!L:L,$A512,'ADV - FB'!F:F)),"-")</f>
        <v>-</v>
      </c>
      <c r="J512" s="315">
        <f>SUMIF('ADV - FB'!L:L,$A512,'ADV - FB'!I:I)+SUMIF('ADV - FB'!L:L,$A512,'ADV - FB'!J:J)+SUMIF('ADV - FB'!L:L,$A512,'ADV - FB'!K:K)</f>
        <v>0</v>
      </c>
      <c r="K512" s="321" t="str">
        <f t="shared" si="2"/>
        <v>-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ht="15.75" customHeight="1">
      <c r="A513" s="313" t="s">
        <v>782</v>
      </c>
      <c r="B513" s="314"/>
      <c r="C513" s="315"/>
      <c r="D513" s="315"/>
      <c r="E513" s="317"/>
      <c r="F513" s="318" t="str">
        <f t="shared" si="1"/>
        <v>TP512 -  -  - </v>
      </c>
      <c r="G513" s="319">
        <f>SUMIF('ADV - FB'!L:L,$A513,'ADV - FB'!E:E)</f>
        <v>0</v>
      </c>
      <c r="H513" s="320" t="str">
        <f>IFERROR(SUMIF('ADV - FB'!L:L,$A513,'ADV - FB'!H:H)/(SUMIF('ADV - FB'!L:L,$A513,'ADV - FB'!G:G)),"-")</f>
        <v>-</v>
      </c>
      <c r="I513" s="321" t="str">
        <f>IFERROR(SUMIF('ADV - FB'!L:L,$A513,'ADV - FB'!E:E)/(SUMIF('ADV - FB'!L:L,$A513,'ADV - FB'!F:F)),"-")</f>
        <v>-</v>
      </c>
      <c r="J513" s="315">
        <f>SUMIF('ADV - FB'!L:L,$A513,'ADV - FB'!I:I)+SUMIF('ADV - FB'!L:L,$A513,'ADV - FB'!J:J)+SUMIF('ADV - FB'!L:L,$A513,'ADV - FB'!K:K)</f>
        <v>0</v>
      </c>
      <c r="K513" s="321" t="str">
        <f t="shared" si="2"/>
        <v>-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ht="15.75" customHeight="1">
      <c r="A514" s="313" t="s">
        <v>783</v>
      </c>
      <c r="B514" s="314"/>
      <c r="C514" s="315"/>
      <c r="D514" s="315"/>
      <c r="E514" s="317"/>
      <c r="F514" s="318" t="str">
        <f t="shared" si="1"/>
        <v>TP513 -  -  - </v>
      </c>
      <c r="G514" s="319">
        <f>SUMIF('ADV - FB'!L:L,$A514,'ADV - FB'!E:E)</f>
        <v>0</v>
      </c>
      <c r="H514" s="320" t="str">
        <f>IFERROR(SUMIF('ADV - FB'!L:L,$A514,'ADV - FB'!H:H)/(SUMIF('ADV - FB'!L:L,$A514,'ADV - FB'!G:G)),"-")</f>
        <v>-</v>
      </c>
      <c r="I514" s="321" t="str">
        <f>IFERROR(SUMIF('ADV - FB'!L:L,$A514,'ADV - FB'!E:E)/(SUMIF('ADV - FB'!L:L,$A514,'ADV - FB'!F:F)),"-")</f>
        <v>-</v>
      </c>
      <c r="J514" s="315">
        <f>SUMIF('ADV - FB'!L:L,$A514,'ADV - FB'!I:I)+SUMIF('ADV - FB'!L:L,$A514,'ADV - FB'!J:J)+SUMIF('ADV - FB'!L:L,$A514,'ADV - FB'!K:K)</f>
        <v>0</v>
      </c>
      <c r="K514" s="321" t="str">
        <f t="shared" si="2"/>
        <v>-</v>
      </c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ht="15.75" customHeight="1">
      <c r="A515" s="313" t="s">
        <v>784</v>
      </c>
      <c r="B515" s="314"/>
      <c r="C515" s="315"/>
      <c r="D515" s="315"/>
      <c r="E515" s="317"/>
      <c r="F515" s="318" t="str">
        <f t="shared" si="1"/>
        <v>TP514 -  -  - </v>
      </c>
      <c r="G515" s="319">
        <f>SUMIF('ADV - FB'!L:L,$A515,'ADV - FB'!E:E)</f>
        <v>0</v>
      </c>
      <c r="H515" s="320" t="str">
        <f>IFERROR(SUMIF('ADV - FB'!L:L,$A515,'ADV - FB'!H:H)/(SUMIF('ADV - FB'!L:L,$A515,'ADV - FB'!G:G)),"-")</f>
        <v>-</v>
      </c>
      <c r="I515" s="321" t="str">
        <f>IFERROR(SUMIF('ADV - FB'!L:L,$A515,'ADV - FB'!E:E)/(SUMIF('ADV - FB'!L:L,$A515,'ADV - FB'!F:F)),"-")</f>
        <v>-</v>
      </c>
      <c r="J515" s="315">
        <f>SUMIF('ADV - FB'!L:L,$A515,'ADV - FB'!I:I)+SUMIF('ADV - FB'!L:L,$A515,'ADV - FB'!J:J)+SUMIF('ADV - FB'!L:L,$A515,'ADV - FB'!K:K)</f>
        <v>0</v>
      </c>
      <c r="K515" s="321" t="str">
        <f t="shared" si="2"/>
        <v>-</v>
      </c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ht="15.75" customHeight="1">
      <c r="A516" s="313" t="s">
        <v>785</v>
      </c>
      <c r="B516" s="314"/>
      <c r="C516" s="315"/>
      <c r="D516" s="315"/>
      <c r="E516" s="317"/>
      <c r="F516" s="318" t="str">
        <f t="shared" si="1"/>
        <v>TP515 -  -  - </v>
      </c>
      <c r="G516" s="319">
        <f>SUMIF('ADV - FB'!L:L,$A516,'ADV - FB'!E:E)</f>
        <v>0</v>
      </c>
      <c r="H516" s="320" t="str">
        <f>IFERROR(SUMIF('ADV - FB'!L:L,$A516,'ADV - FB'!H:H)/(SUMIF('ADV - FB'!L:L,$A516,'ADV - FB'!G:G)),"-")</f>
        <v>-</v>
      </c>
      <c r="I516" s="321" t="str">
        <f>IFERROR(SUMIF('ADV - FB'!L:L,$A516,'ADV - FB'!E:E)/(SUMIF('ADV - FB'!L:L,$A516,'ADV - FB'!F:F)),"-")</f>
        <v>-</v>
      </c>
      <c r="J516" s="315">
        <f>SUMIF('ADV - FB'!L:L,$A516,'ADV - FB'!I:I)+SUMIF('ADV - FB'!L:L,$A516,'ADV - FB'!J:J)+SUMIF('ADV - FB'!L:L,$A516,'ADV - FB'!K:K)</f>
        <v>0</v>
      </c>
      <c r="K516" s="321" t="str">
        <f t="shared" si="2"/>
        <v>-</v>
      </c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ht="15.75" customHeight="1">
      <c r="A517" s="313" t="s">
        <v>786</v>
      </c>
      <c r="B517" s="314"/>
      <c r="C517" s="315"/>
      <c r="D517" s="315"/>
      <c r="E517" s="317"/>
      <c r="F517" s="318" t="str">
        <f t="shared" si="1"/>
        <v>TP516 -  -  - </v>
      </c>
      <c r="G517" s="319">
        <f>SUMIF('ADV - FB'!L:L,$A517,'ADV - FB'!E:E)</f>
        <v>0</v>
      </c>
      <c r="H517" s="320" t="str">
        <f>IFERROR(SUMIF('ADV - FB'!L:L,$A517,'ADV - FB'!H:H)/(SUMIF('ADV - FB'!L:L,$A517,'ADV - FB'!G:G)),"-")</f>
        <v>-</v>
      </c>
      <c r="I517" s="321" t="str">
        <f>IFERROR(SUMIF('ADV - FB'!L:L,$A517,'ADV - FB'!E:E)/(SUMIF('ADV - FB'!L:L,$A517,'ADV - FB'!F:F)),"-")</f>
        <v>-</v>
      </c>
      <c r="J517" s="315">
        <f>SUMIF('ADV - FB'!L:L,$A517,'ADV - FB'!I:I)+SUMIF('ADV - FB'!L:L,$A517,'ADV - FB'!J:J)+SUMIF('ADV - FB'!L:L,$A517,'ADV - FB'!K:K)</f>
        <v>0</v>
      </c>
      <c r="K517" s="321" t="str">
        <f t="shared" si="2"/>
        <v>-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ht="15.75" customHeight="1">
      <c r="A518" s="313" t="s">
        <v>787</v>
      </c>
      <c r="B518" s="314"/>
      <c r="C518" s="315"/>
      <c r="D518" s="315"/>
      <c r="E518" s="317"/>
      <c r="F518" s="318" t="str">
        <f t="shared" si="1"/>
        <v>TP517 -  -  - </v>
      </c>
      <c r="G518" s="319">
        <f>SUMIF('ADV - FB'!L:L,$A518,'ADV - FB'!E:E)</f>
        <v>0</v>
      </c>
      <c r="H518" s="320" t="str">
        <f>IFERROR(SUMIF('ADV - FB'!L:L,$A518,'ADV - FB'!H:H)/(SUMIF('ADV - FB'!L:L,$A518,'ADV - FB'!G:G)),"-")</f>
        <v>-</v>
      </c>
      <c r="I518" s="321" t="str">
        <f>IFERROR(SUMIF('ADV - FB'!L:L,$A518,'ADV - FB'!E:E)/(SUMIF('ADV - FB'!L:L,$A518,'ADV - FB'!F:F)),"-")</f>
        <v>-</v>
      </c>
      <c r="J518" s="315">
        <f>SUMIF('ADV - FB'!L:L,$A518,'ADV - FB'!I:I)+SUMIF('ADV - FB'!L:L,$A518,'ADV - FB'!J:J)+SUMIF('ADV - FB'!L:L,$A518,'ADV - FB'!K:K)</f>
        <v>0</v>
      </c>
      <c r="K518" s="321" t="str">
        <f t="shared" si="2"/>
        <v>-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ht="15.75" customHeight="1">
      <c r="A519" s="313" t="s">
        <v>788</v>
      </c>
      <c r="B519" s="314"/>
      <c r="C519" s="315"/>
      <c r="D519" s="315"/>
      <c r="E519" s="317"/>
      <c r="F519" s="318" t="str">
        <f t="shared" si="1"/>
        <v>TP518 -  -  - </v>
      </c>
      <c r="G519" s="319">
        <f>SUMIF('ADV - FB'!L:L,$A519,'ADV - FB'!E:E)</f>
        <v>0</v>
      </c>
      <c r="H519" s="320" t="str">
        <f>IFERROR(SUMIF('ADV - FB'!L:L,$A519,'ADV - FB'!H:H)/(SUMIF('ADV - FB'!L:L,$A519,'ADV - FB'!G:G)),"-")</f>
        <v>-</v>
      </c>
      <c r="I519" s="321" t="str">
        <f>IFERROR(SUMIF('ADV - FB'!L:L,$A519,'ADV - FB'!E:E)/(SUMIF('ADV - FB'!L:L,$A519,'ADV - FB'!F:F)),"-")</f>
        <v>-</v>
      </c>
      <c r="J519" s="315">
        <f>SUMIF('ADV - FB'!L:L,$A519,'ADV - FB'!I:I)+SUMIF('ADV - FB'!L:L,$A519,'ADV - FB'!J:J)+SUMIF('ADV - FB'!L:L,$A519,'ADV - FB'!K:K)</f>
        <v>0</v>
      </c>
      <c r="K519" s="321" t="str">
        <f t="shared" si="2"/>
        <v>-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ht="15.75" customHeight="1">
      <c r="A520" s="313" t="s">
        <v>789</v>
      </c>
      <c r="B520" s="314"/>
      <c r="C520" s="315"/>
      <c r="D520" s="315"/>
      <c r="E520" s="317"/>
      <c r="F520" s="318" t="str">
        <f t="shared" si="1"/>
        <v>TP519 -  -  - </v>
      </c>
      <c r="G520" s="319">
        <f>SUMIF('ADV - FB'!L:L,$A520,'ADV - FB'!E:E)</f>
        <v>0</v>
      </c>
      <c r="H520" s="320" t="str">
        <f>IFERROR(SUMIF('ADV - FB'!L:L,$A520,'ADV - FB'!H:H)/(SUMIF('ADV - FB'!L:L,$A520,'ADV - FB'!G:G)),"-")</f>
        <v>-</v>
      </c>
      <c r="I520" s="321" t="str">
        <f>IFERROR(SUMIF('ADV - FB'!L:L,$A520,'ADV - FB'!E:E)/(SUMIF('ADV - FB'!L:L,$A520,'ADV - FB'!F:F)),"-")</f>
        <v>-</v>
      </c>
      <c r="J520" s="315">
        <f>SUMIF('ADV - FB'!L:L,$A520,'ADV - FB'!I:I)+SUMIF('ADV - FB'!L:L,$A520,'ADV - FB'!J:J)+SUMIF('ADV - FB'!L:L,$A520,'ADV - FB'!K:K)</f>
        <v>0</v>
      </c>
      <c r="K520" s="321" t="str">
        <f t="shared" si="2"/>
        <v>-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ht="15.75" customHeight="1">
      <c r="A521" s="313" t="s">
        <v>790</v>
      </c>
      <c r="B521" s="314"/>
      <c r="C521" s="315"/>
      <c r="D521" s="315"/>
      <c r="E521" s="317"/>
      <c r="F521" s="318" t="str">
        <f t="shared" si="1"/>
        <v>TP520 -  -  - </v>
      </c>
      <c r="G521" s="319">
        <f>SUMIF('ADV - FB'!L:L,$A521,'ADV - FB'!E:E)</f>
        <v>0</v>
      </c>
      <c r="H521" s="320" t="str">
        <f>IFERROR(SUMIF('ADV - FB'!L:L,$A521,'ADV - FB'!H:H)/(SUMIF('ADV - FB'!L:L,$A521,'ADV - FB'!G:G)),"-")</f>
        <v>-</v>
      </c>
      <c r="I521" s="321" t="str">
        <f>IFERROR(SUMIF('ADV - FB'!L:L,$A521,'ADV - FB'!E:E)/(SUMIF('ADV - FB'!L:L,$A521,'ADV - FB'!F:F)),"-")</f>
        <v>-</v>
      </c>
      <c r="J521" s="315">
        <f>SUMIF('ADV - FB'!L:L,$A521,'ADV - FB'!I:I)+SUMIF('ADV - FB'!L:L,$A521,'ADV - FB'!J:J)+SUMIF('ADV - FB'!L:L,$A521,'ADV - FB'!K:K)</f>
        <v>0</v>
      </c>
      <c r="K521" s="321" t="str">
        <f t="shared" si="2"/>
        <v>-</v>
      </c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ht="15.75" customHeight="1">
      <c r="A522" s="313" t="s">
        <v>791</v>
      </c>
      <c r="B522" s="314"/>
      <c r="C522" s="315"/>
      <c r="D522" s="315"/>
      <c r="E522" s="317"/>
      <c r="F522" s="318" t="str">
        <f t="shared" si="1"/>
        <v>TP521 -  -  - </v>
      </c>
      <c r="G522" s="319">
        <f>SUMIF('ADV - FB'!L:L,$A522,'ADV - FB'!E:E)</f>
        <v>0</v>
      </c>
      <c r="H522" s="320" t="str">
        <f>IFERROR(SUMIF('ADV - FB'!L:L,$A522,'ADV - FB'!H:H)/(SUMIF('ADV - FB'!L:L,$A522,'ADV - FB'!G:G)),"-")</f>
        <v>-</v>
      </c>
      <c r="I522" s="321" t="str">
        <f>IFERROR(SUMIF('ADV - FB'!L:L,$A522,'ADV - FB'!E:E)/(SUMIF('ADV - FB'!L:L,$A522,'ADV - FB'!F:F)),"-")</f>
        <v>-</v>
      </c>
      <c r="J522" s="315">
        <f>SUMIF('ADV - FB'!L:L,$A522,'ADV - FB'!I:I)+SUMIF('ADV - FB'!L:L,$A522,'ADV - FB'!J:J)+SUMIF('ADV - FB'!L:L,$A522,'ADV - FB'!K:K)</f>
        <v>0</v>
      </c>
      <c r="K522" s="321" t="str">
        <f t="shared" si="2"/>
        <v>-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ht="15.75" customHeight="1">
      <c r="A523" s="313" t="s">
        <v>792</v>
      </c>
      <c r="B523" s="314"/>
      <c r="C523" s="315"/>
      <c r="D523" s="315"/>
      <c r="E523" s="317"/>
      <c r="F523" s="318" t="str">
        <f t="shared" si="1"/>
        <v>TP522 -  -  - </v>
      </c>
      <c r="G523" s="319">
        <f>SUMIF('ADV - FB'!L:L,$A523,'ADV - FB'!E:E)</f>
        <v>0</v>
      </c>
      <c r="H523" s="320" t="str">
        <f>IFERROR(SUMIF('ADV - FB'!L:L,$A523,'ADV - FB'!H:H)/(SUMIF('ADV - FB'!L:L,$A523,'ADV - FB'!G:G)),"-")</f>
        <v>-</v>
      </c>
      <c r="I523" s="321" t="str">
        <f>IFERROR(SUMIF('ADV - FB'!L:L,$A523,'ADV - FB'!E:E)/(SUMIF('ADV - FB'!L:L,$A523,'ADV - FB'!F:F)),"-")</f>
        <v>-</v>
      </c>
      <c r="J523" s="315">
        <f>SUMIF('ADV - FB'!L:L,$A523,'ADV - FB'!I:I)+SUMIF('ADV - FB'!L:L,$A523,'ADV - FB'!J:J)+SUMIF('ADV - FB'!L:L,$A523,'ADV - FB'!K:K)</f>
        <v>0</v>
      </c>
      <c r="K523" s="321" t="str">
        <f t="shared" si="2"/>
        <v>-</v>
      </c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ht="15.75" customHeight="1">
      <c r="A524" s="313" t="s">
        <v>793</v>
      </c>
      <c r="B524" s="314"/>
      <c r="C524" s="315"/>
      <c r="D524" s="315"/>
      <c r="E524" s="317"/>
      <c r="F524" s="318" t="str">
        <f t="shared" si="1"/>
        <v>TP523 -  -  - </v>
      </c>
      <c r="G524" s="319">
        <f>SUMIF('ADV - FB'!L:L,$A524,'ADV - FB'!E:E)</f>
        <v>0</v>
      </c>
      <c r="H524" s="320" t="str">
        <f>IFERROR(SUMIF('ADV - FB'!L:L,$A524,'ADV - FB'!H:H)/(SUMIF('ADV - FB'!L:L,$A524,'ADV - FB'!G:G)),"-")</f>
        <v>-</v>
      </c>
      <c r="I524" s="321" t="str">
        <f>IFERROR(SUMIF('ADV - FB'!L:L,$A524,'ADV - FB'!E:E)/(SUMIF('ADV - FB'!L:L,$A524,'ADV - FB'!F:F)),"-")</f>
        <v>-</v>
      </c>
      <c r="J524" s="315">
        <f>SUMIF('ADV - FB'!L:L,$A524,'ADV - FB'!I:I)+SUMIF('ADV - FB'!L:L,$A524,'ADV - FB'!J:J)+SUMIF('ADV - FB'!L:L,$A524,'ADV - FB'!K:K)</f>
        <v>0</v>
      </c>
      <c r="K524" s="321" t="str">
        <f t="shared" si="2"/>
        <v>-</v>
      </c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ht="15.75" customHeight="1">
      <c r="A525" s="313" t="s">
        <v>794</v>
      </c>
      <c r="B525" s="314"/>
      <c r="C525" s="315"/>
      <c r="D525" s="315"/>
      <c r="E525" s="317"/>
      <c r="F525" s="318" t="str">
        <f t="shared" si="1"/>
        <v>TP524 -  -  - </v>
      </c>
      <c r="G525" s="319">
        <f>SUMIF('ADV - FB'!L:L,$A525,'ADV - FB'!E:E)</f>
        <v>0</v>
      </c>
      <c r="H525" s="320" t="str">
        <f>IFERROR(SUMIF('ADV - FB'!L:L,$A525,'ADV - FB'!H:H)/(SUMIF('ADV - FB'!L:L,$A525,'ADV - FB'!G:G)),"-")</f>
        <v>-</v>
      </c>
      <c r="I525" s="321" t="str">
        <f>IFERROR(SUMIF('ADV - FB'!L:L,$A525,'ADV - FB'!E:E)/(SUMIF('ADV - FB'!L:L,$A525,'ADV - FB'!F:F)),"-")</f>
        <v>-</v>
      </c>
      <c r="J525" s="315">
        <f>SUMIF('ADV - FB'!L:L,$A525,'ADV - FB'!I:I)+SUMIF('ADV - FB'!L:L,$A525,'ADV - FB'!J:J)+SUMIF('ADV - FB'!L:L,$A525,'ADV - FB'!K:K)</f>
        <v>0</v>
      </c>
      <c r="K525" s="321" t="str">
        <f t="shared" si="2"/>
        <v>-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ht="15.75" customHeight="1">
      <c r="A526" s="313" t="s">
        <v>795</v>
      </c>
      <c r="B526" s="314"/>
      <c r="C526" s="315"/>
      <c r="D526" s="315"/>
      <c r="E526" s="317"/>
      <c r="F526" s="318" t="str">
        <f t="shared" si="1"/>
        <v>TP525 -  -  - </v>
      </c>
      <c r="G526" s="319">
        <f>SUMIF('ADV - FB'!L:L,$A526,'ADV - FB'!E:E)</f>
        <v>0</v>
      </c>
      <c r="H526" s="320" t="str">
        <f>IFERROR(SUMIF('ADV - FB'!L:L,$A526,'ADV - FB'!H:H)/(SUMIF('ADV - FB'!L:L,$A526,'ADV - FB'!G:G)),"-")</f>
        <v>-</v>
      </c>
      <c r="I526" s="321" t="str">
        <f>IFERROR(SUMIF('ADV - FB'!L:L,$A526,'ADV - FB'!E:E)/(SUMIF('ADV - FB'!L:L,$A526,'ADV - FB'!F:F)),"-")</f>
        <v>-</v>
      </c>
      <c r="J526" s="315">
        <f>SUMIF('ADV - FB'!L:L,$A526,'ADV - FB'!I:I)+SUMIF('ADV - FB'!L:L,$A526,'ADV - FB'!J:J)+SUMIF('ADV - FB'!L:L,$A526,'ADV - FB'!K:K)</f>
        <v>0</v>
      </c>
      <c r="K526" s="321" t="str">
        <f t="shared" si="2"/>
        <v>-</v>
      </c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ht="15.75" customHeight="1">
      <c r="A527" s="313" t="s">
        <v>796</v>
      </c>
      <c r="B527" s="314"/>
      <c r="C527" s="315"/>
      <c r="D527" s="315"/>
      <c r="E527" s="317"/>
      <c r="F527" s="318" t="str">
        <f t="shared" si="1"/>
        <v>TP526 -  -  - </v>
      </c>
      <c r="G527" s="319">
        <f>SUMIF('ADV - FB'!L:L,$A527,'ADV - FB'!E:E)</f>
        <v>0</v>
      </c>
      <c r="H527" s="320" t="str">
        <f>IFERROR(SUMIF('ADV - FB'!L:L,$A527,'ADV - FB'!H:H)/(SUMIF('ADV - FB'!L:L,$A527,'ADV - FB'!G:G)),"-")</f>
        <v>-</v>
      </c>
      <c r="I527" s="321" t="str">
        <f>IFERROR(SUMIF('ADV - FB'!L:L,$A527,'ADV - FB'!E:E)/(SUMIF('ADV - FB'!L:L,$A527,'ADV - FB'!F:F)),"-")</f>
        <v>-</v>
      </c>
      <c r="J527" s="315">
        <f>SUMIF('ADV - FB'!L:L,$A527,'ADV - FB'!I:I)+SUMIF('ADV - FB'!L:L,$A527,'ADV - FB'!J:J)+SUMIF('ADV - FB'!L:L,$A527,'ADV - FB'!K:K)</f>
        <v>0</v>
      </c>
      <c r="K527" s="321" t="str">
        <f t="shared" si="2"/>
        <v>-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ht="15.75" customHeight="1">
      <c r="A528" s="313" t="s">
        <v>797</v>
      </c>
      <c r="B528" s="314"/>
      <c r="C528" s="315"/>
      <c r="D528" s="315"/>
      <c r="E528" s="317"/>
      <c r="F528" s="318" t="str">
        <f t="shared" si="1"/>
        <v>TP527 -  -  - </v>
      </c>
      <c r="G528" s="319">
        <f>SUMIF('ADV - FB'!L:L,$A528,'ADV - FB'!E:E)</f>
        <v>0</v>
      </c>
      <c r="H528" s="320" t="str">
        <f>IFERROR(SUMIF('ADV - FB'!L:L,$A528,'ADV - FB'!H:H)/(SUMIF('ADV - FB'!L:L,$A528,'ADV - FB'!G:G)),"-")</f>
        <v>-</v>
      </c>
      <c r="I528" s="321" t="str">
        <f>IFERROR(SUMIF('ADV - FB'!L:L,$A528,'ADV - FB'!E:E)/(SUMIF('ADV - FB'!L:L,$A528,'ADV - FB'!F:F)),"-")</f>
        <v>-</v>
      </c>
      <c r="J528" s="315">
        <f>SUMIF('ADV - FB'!L:L,$A528,'ADV - FB'!I:I)+SUMIF('ADV - FB'!L:L,$A528,'ADV - FB'!J:J)+SUMIF('ADV - FB'!L:L,$A528,'ADV - FB'!K:K)</f>
        <v>0</v>
      </c>
      <c r="K528" s="321" t="str">
        <f t="shared" si="2"/>
        <v>-</v>
      </c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ht="15.75" customHeight="1">
      <c r="A529" s="313" t="s">
        <v>798</v>
      </c>
      <c r="B529" s="314"/>
      <c r="C529" s="315"/>
      <c r="D529" s="315"/>
      <c r="E529" s="317"/>
      <c r="F529" s="318" t="str">
        <f t="shared" si="1"/>
        <v>TP528 -  -  - </v>
      </c>
      <c r="G529" s="319">
        <f>SUMIF('ADV - FB'!L:L,$A529,'ADV - FB'!E:E)</f>
        <v>0</v>
      </c>
      <c r="H529" s="320" t="str">
        <f>IFERROR(SUMIF('ADV - FB'!L:L,$A529,'ADV - FB'!H:H)/(SUMIF('ADV - FB'!L:L,$A529,'ADV - FB'!G:G)),"-")</f>
        <v>-</v>
      </c>
      <c r="I529" s="321" t="str">
        <f>IFERROR(SUMIF('ADV - FB'!L:L,$A529,'ADV - FB'!E:E)/(SUMIF('ADV - FB'!L:L,$A529,'ADV - FB'!F:F)),"-")</f>
        <v>-</v>
      </c>
      <c r="J529" s="315">
        <f>SUMIF('ADV - FB'!L:L,$A529,'ADV - FB'!I:I)+SUMIF('ADV - FB'!L:L,$A529,'ADV - FB'!J:J)+SUMIF('ADV - FB'!L:L,$A529,'ADV - FB'!K:K)</f>
        <v>0</v>
      </c>
      <c r="K529" s="321" t="str">
        <f t="shared" si="2"/>
        <v>-</v>
      </c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ht="15.75" customHeight="1">
      <c r="A530" s="313" t="s">
        <v>799</v>
      </c>
      <c r="B530" s="314"/>
      <c r="C530" s="315"/>
      <c r="D530" s="315"/>
      <c r="E530" s="317"/>
      <c r="F530" s="318" t="str">
        <f t="shared" si="1"/>
        <v>TP529 -  -  - </v>
      </c>
      <c r="G530" s="319">
        <f>SUMIF('ADV - FB'!L:L,$A530,'ADV - FB'!E:E)</f>
        <v>0</v>
      </c>
      <c r="H530" s="320" t="str">
        <f>IFERROR(SUMIF('ADV - FB'!L:L,$A530,'ADV - FB'!H:H)/(SUMIF('ADV - FB'!L:L,$A530,'ADV - FB'!G:G)),"-")</f>
        <v>-</v>
      </c>
      <c r="I530" s="321" t="str">
        <f>IFERROR(SUMIF('ADV - FB'!L:L,$A530,'ADV - FB'!E:E)/(SUMIF('ADV - FB'!L:L,$A530,'ADV - FB'!F:F)),"-")</f>
        <v>-</v>
      </c>
      <c r="J530" s="315">
        <f>SUMIF('ADV - FB'!L:L,$A530,'ADV - FB'!I:I)+SUMIF('ADV - FB'!L:L,$A530,'ADV - FB'!J:J)+SUMIF('ADV - FB'!L:L,$A530,'ADV - FB'!K:K)</f>
        <v>0</v>
      </c>
      <c r="K530" s="321" t="str">
        <f t="shared" si="2"/>
        <v>-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ht="15.75" customHeight="1">
      <c r="A531" s="313" t="s">
        <v>800</v>
      </c>
      <c r="B531" s="314"/>
      <c r="C531" s="315"/>
      <c r="D531" s="315"/>
      <c r="E531" s="317"/>
      <c r="F531" s="318" t="str">
        <f t="shared" si="1"/>
        <v>TP530 -  -  - </v>
      </c>
      <c r="G531" s="319">
        <f>SUMIF('ADV - FB'!L:L,$A531,'ADV - FB'!E:E)</f>
        <v>0</v>
      </c>
      <c r="H531" s="320" t="str">
        <f>IFERROR(SUMIF('ADV - FB'!L:L,$A531,'ADV - FB'!H:H)/(SUMIF('ADV - FB'!L:L,$A531,'ADV - FB'!G:G)),"-")</f>
        <v>-</v>
      </c>
      <c r="I531" s="321" t="str">
        <f>IFERROR(SUMIF('ADV - FB'!L:L,$A531,'ADV - FB'!E:E)/(SUMIF('ADV - FB'!L:L,$A531,'ADV - FB'!F:F)),"-")</f>
        <v>-</v>
      </c>
      <c r="J531" s="315">
        <f>SUMIF('ADV - FB'!L:L,$A531,'ADV - FB'!I:I)+SUMIF('ADV - FB'!L:L,$A531,'ADV - FB'!J:J)+SUMIF('ADV - FB'!L:L,$A531,'ADV - FB'!K:K)</f>
        <v>0</v>
      </c>
      <c r="K531" s="321" t="str">
        <f t="shared" si="2"/>
        <v>-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ht="15.75" customHeight="1">
      <c r="A532" s="313" t="s">
        <v>801</v>
      </c>
      <c r="B532" s="314"/>
      <c r="C532" s="315"/>
      <c r="D532" s="315"/>
      <c r="E532" s="317"/>
      <c r="F532" s="318" t="str">
        <f t="shared" si="1"/>
        <v>TP531 -  -  - </v>
      </c>
      <c r="G532" s="319">
        <f>SUMIF('ADV - FB'!L:L,$A532,'ADV - FB'!E:E)</f>
        <v>0</v>
      </c>
      <c r="H532" s="320" t="str">
        <f>IFERROR(SUMIF('ADV - FB'!L:L,$A532,'ADV - FB'!H:H)/(SUMIF('ADV - FB'!L:L,$A532,'ADV - FB'!G:G)),"-")</f>
        <v>-</v>
      </c>
      <c r="I532" s="321" t="str">
        <f>IFERROR(SUMIF('ADV - FB'!L:L,$A532,'ADV - FB'!E:E)/(SUMIF('ADV - FB'!L:L,$A532,'ADV - FB'!F:F)),"-")</f>
        <v>-</v>
      </c>
      <c r="J532" s="315">
        <f>SUMIF('ADV - FB'!L:L,$A532,'ADV - FB'!I:I)+SUMIF('ADV - FB'!L:L,$A532,'ADV - FB'!J:J)+SUMIF('ADV - FB'!L:L,$A532,'ADV - FB'!K:K)</f>
        <v>0</v>
      </c>
      <c r="K532" s="321" t="str">
        <f t="shared" si="2"/>
        <v>-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ht="15.75" customHeight="1">
      <c r="A533" s="313" t="s">
        <v>802</v>
      </c>
      <c r="B533" s="314"/>
      <c r="C533" s="315"/>
      <c r="D533" s="315"/>
      <c r="E533" s="317"/>
      <c r="F533" s="318" t="str">
        <f t="shared" si="1"/>
        <v>TP532 -  -  - </v>
      </c>
      <c r="G533" s="319">
        <f>SUMIF('ADV - FB'!L:L,$A533,'ADV - FB'!E:E)</f>
        <v>0</v>
      </c>
      <c r="H533" s="320" t="str">
        <f>IFERROR(SUMIF('ADV - FB'!L:L,$A533,'ADV - FB'!H:H)/(SUMIF('ADV - FB'!L:L,$A533,'ADV - FB'!G:G)),"-")</f>
        <v>-</v>
      </c>
      <c r="I533" s="321" t="str">
        <f>IFERROR(SUMIF('ADV - FB'!L:L,$A533,'ADV - FB'!E:E)/(SUMIF('ADV - FB'!L:L,$A533,'ADV - FB'!F:F)),"-")</f>
        <v>-</v>
      </c>
      <c r="J533" s="315">
        <f>SUMIF('ADV - FB'!L:L,$A533,'ADV - FB'!I:I)+SUMIF('ADV - FB'!L:L,$A533,'ADV - FB'!J:J)+SUMIF('ADV - FB'!L:L,$A533,'ADV - FB'!K:K)</f>
        <v>0</v>
      </c>
      <c r="K533" s="321" t="str">
        <f t="shared" si="2"/>
        <v>-</v>
      </c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ht="15.75" customHeight="1">
      <c r="A534" s="313" t="s">
        <v>803</v>
      </c>
      <c r="B534" s="314"/>
      <c r="C534" s="315"/>
      <c r="D534" s="315"/>
      <c r="E534" s="317"/>
      <c r="F534" s="318" t="str">
        <f t="shared" si="1"/>
        <v>TP533 -  -  - </v>
      </c>
      <c r="G534" s="319">
        <f>SUMIF('ADV - FB'!L:L,$A534,'ADV - FB'!E:E)</f>
        <v>0</v>
      </c>
      <c r="H534" s="320" t="str">
        <f>IFERROR(SUMIF('ADV - FB'!L:L,$A534,'ADV - FB'!H:H)/(SUMIF('ADV - FB'!L:L,$A534,'ADV - FB'!G:G)),"-")</f>
        <v>-</v>
      </c>
      <c r="I534" s="321" t="str">
        <f>IFERROR(SUMIF('ADV - FB'!L:L,$A534,'ADV - FB'!E:E)/(SUMIF('ADV - FB'!L:L,$A534,'ADV - FB'!F:F)),"-")</f>
        <v>-</v>
      </c>
      <c r="J534" s="315">
        <f>SUMIF('ADV - FB'!L:L,$A534,'ADV - FB'!I:I)+SUMIF('ADV - FB'!L:L,$A534,'ADV - FB'!J:J)+SUMIF('ADV - FB'!L:L,$A534,'ADV - FB'!K:K)</f>
        <v>0</v>
      </c>
      <c r="K534" s="321" t="str">
        <f t="shared" si="2"/>
        <v>-</v>
      </c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ht="15.75" customHeight="1">
      <c r="A535" s="313" t="s">
        <v>804</v>
      </c>
      <c r="B535" s="314"/>
      <c r="C535" s="315"/>
      <c r="D535" s="315"/>
      <c r="E535" s="317"/>
      <c r="F535" s="318" t="str">
        <f t="shared" si="1"/>
        <v>TP534 -  -  - </v>
      </c>
      <c r="G535" s="319">
        <f>SUMIF('ADV - FB'!L:L,$A535,'ADV - FB'!E:E)</f>
        <v>0</v>
      </c>
      <c r="H535" s="320" t="str">
        <f>IFERROR(SUMIF('ADV - FB'!L:L,$A535,'ADV - FB'!H:H)/(SUMIF('ADV - FB'!L:L,$A535,'ADV - FB'!G:G)),"-")</f>
        <v>-</v>
      </c>
      <c r="I535" s="321" t="str">
        <f>IFERROR(SUMIF('ADV - FB'!L:L,$A535,'ADV - FB'!E:E)/(SUMIF('ADV - FB'!L:L,$A535,'ADV - FB'!F:F)),"-")</f>
        <v>-</v>
      </c>
      <c r="J535" s="315">
        <f>SUMIF('ADV - FB'!L:L,$A535,'ADV - FB'!I:I)+SUMIF('ADV - FB'!L:L,$A535,'ADV - FB'!J:J)+SUMIF('ADV - FB'!L:L,$A535,'ADV - FB'!K:K)</f>
        <v>0</v>
      </c>
      <c r="K535" s="321" t="str">
        <f t="shared" si="2"/>
        <v>-</v>
      </c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ht="15.75" customHeight="1">
      <c r="A536" s="313" t="s">
        <v>805</v>
      </c>
      <c r="B536" s="314"/>
      <c r="C536" s="315"/>
      <c r="D536" s="315"/>
      <c r="E536" s="317"/>
      <c r="F536" s="318" t="str">
        <f t="shared" si="1"/>
        <v>TP535 -  -  - </v>
      </c>
      <c r="G536" s="319">
        <f>SUMIF('ADV - FB'!L:L,$A536,'ADV - FB'!E:E)</f>
        <v>0</v>
      </c>
      <c r="H536" s="320" t="str">
        <f>IFERROR(SUMIF('ADV - FB'!L:L,$A536,'ADV - FB'!H:H)/(SUMIF('ADV - FB'!L:L,$A536,'ADV - FB'!G:G)),"-")</f>
        <v>-</v>
      </c>
      <c r="I536" s="321" t="str">
        <f>IFERROR(SUMIF('ADV - FB'!L:L,$A536,'ADV - FB'!E:E)/(SUMIF('ADV - FB'!L:L,$A536,'ADV - FB'!F:F)),"-")</f>
        <v>-</v>
      </c>
      <c r="J536" s="315">
        <f>SUMIF('ADV - FB'!L:L,$A536,'ADV - FB'!I:I)+SUMIF('ADV - FB'!L:L,$A536,'ADV - FB'!J:J)+SUMIF('ADV - FB'!L:L,$A536,'ADV - FB'!K:K)</f>
        <v>0</v>
      </c>
      <c r="K536" s="321" t="str">
        <f t="shared" si="2"/>
        <v>-</v>
      </c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ht="15.75" customHeight="1">
      <c r="A537" s="313" t="s">
        <v>806</v>
      </c>
      <c r="B537" s="314"/>
      <c r="C537" s="315"/>
      <c r="D537" s="315"/>
      <c r="E537" s="317"/>
      <c r="F537" s="318" t="str">
        <f t="shared" si="1"/>
        <v>TP536 -  -  - </v>
      </c>
      <c r="G537" s="319">
        <f>SUMIF('ADV - FB'!L:L,$A537,'ADV - FB'!E:E)</f>
        <v>0</v>
      </c>
      <c r="H537" s="320" t="str">
        <f>IFERROR(SUMIF('ADV - FB'!L:L,$A537,'ADV - FB'!H:H)/(SUMIF('ADV - FB'!L:L,$A537,'ADV - FB'!G:G)),"-")</f>
        <v>-</v>
      </c>
      <c r="I537" s="321" t="str">
        <f>IFERROR(SUMIF('ADV - FB'!L:L,$A537,'ADV - FB'!E:E)/(SUMIF('ADV - FB'!L:L,$A537,'ADV - FB'!F:F)),"-")</f>
        <v>-</v>
      </c>
      <c r="J537" s="315">
        <f>SUMIF('ADV - FB'!L:L,$A537,'ADV - FB'!I:I)+SUMIF('ADV - FB'!L:L,$A537,'ADV - FB'!J:J)+SUMIF('ADV - FB'!L:L,$A537,'ADV - FB'!K:K)</f>
        <v>0</v>
      </c>
      <c r="K537" s="321" t="str">
        <f t="shared" si="2"/>
        <v>-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ht="15.75" customHeight="1">
      <c r="A538" s="313" t="s">
        <v>807</v>
      </c>
      <c r="B538" s="314"/>
      <c r="C538" s="315"/>
      <c r="D538" s="315"/>
      <c r="E538" s="317"/>
      <c r="F538" s="318" t="str">
        <f t="shared" si="1"/>
        <v>TP537 -  -  - </v>
      </c>
      <c r="G538" s="319">
        <f>SUMIF('ADV - FB'!L:L,$A538,'ADV - FB'!E:E)</f>
        <v>0</v>
      </c>
      <c r="H538" s="320" t="str">
        <f>IFERROR(SUMIF('ADV - FB'!L:L,$A538,'ADV - FB'!H:H)/(SUMIF('ADV - FB'!L:L,$A538,'ADV - FB'!G:G)),"-")</f>
        <v>-</v>
      </c>
      <c r="I538" s="321" t="str">
        <f>IFERROR(SUMIF('ADV - FB'!L:L,$A538,'ADV - FB'!E:E)/(SUMIF('ADV - FB'!L:L,$A538,'ADV - FB'!F:F)),"-")</f>
        <v>-</v>
      </c>
      <c r="J538" s="315">
        <f>SUMIF('ADV - FB'!L:L,$A538,'ADV - FB'!I:I)+SUMIF('ADV - FB'!L:L,$A538,'ADV - FB'!J:J)+SUMIF('ADV - FB'!L:L,$A538,'ADV - FB'!K:K)</f>
        <v>0</v>
      </c>
      <c r="K538" s="321" t="str">
        <f t="shared" si="2"/>
        <v>-</v>
      </c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ht="15.75" customHeight="1">
      <c r="A539" s="313" t="s">
        <v>808</v>
      </c>
      <c r="B539" s="314"/>
      <c r="C539" s="315"/>
      <c r="D539" s="315"/>
      <c r="E539" s="317"/>
      <c r="F539" s="318" t="str">
        <f t="shared" si="1"/>
        <v>TP538 -  -  - </v>
      </c>
      <c r="G539" s="319">
        <f>SUMIF('ADV - FB'!L:L,$A539,'ADV - FB'!E:E)</f>
        <v>0</v>
      </c>
      <c r="H539" s="320" t="str">
        <f>IFERROR(SUMIF('ADV - FB'!L:L,$A539,'ADV - FB'!H:H)/(SUMIF('ADV - FB'!L:L,$A539,'ADV - FB'!G:G)),"-")</f>
        <v>-</v>
      </c>
      <c r="I539" s="321" t="str">
        <f>IFERROR(SUMIF('ADV - FB'!L:L,$A539,'ADV - FB'!E:E)/(SUMIF('ADV - FB'!L:L,$A539,'ADV - FB'!F:F)),"-")</f>
        <v>-</v>
      </c>
      <c r="J539" s="315">
        <f>SUMIF('ADV - FB'!L:L,$A539,'ADV - FB'!I:I)+SUMIF('ADV - FB'!L:L,$A539,'ADV - FB'!J:J)+SUMIF('ADV - FB'!L:L,$A539,'ADV - FB'!K:K)</f>
        <v>0</v>
      </c>
      <c r="K539" s="321" t="str">
        <f t="shared" si="2"/>
        <v>-</v>
      </c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ht="15.75" customHeight="1">
      <c r="A540" s="313" t="s">
        <v>809</v>
      </c>
      <c r="B540" s="314"/>
      <c r="C540" s="315"/>
      <c r="D540" s="315"/>
      <c r="E540" s="317"/>
      <c r="F540" s="318" t="str">
        <f t="shared" si="1"/>
        <v>TP539 -  -  - </v>
      </c>
      <c r="G540" s="319">
        <f>SUMIF('ADV - FB'!L:L,$A540,'ADV - FB'!E:E)</f>
        <v>0</v>
      </c>
      <c r="H540" s="320" t="str">
        <f>IFERROR(SUMIF('ADV - FB'!L:L,$A540,'ADV - FB'!H:H)/(SUMIF('ADV - FB'!L:L,$A540,'ADV - FB'!G:G)),"-")</f>
        <v>-</v>
      </c>
      <c r="I540" s="321" t="str">
        <f>IFERROR(SUMIF('ADV - FB'!L:L,$A540,'ADV - FB'!E:E)/(SUMIF('ADV - FB'!L:L,$A540,'ADV - FB'!F:F)),"-")</f>
        <v>-</v>
      </c>
      <c r="J540" s="315">
        <f>SUMIF('ADV - FB'!L:L,$A540,'ADV - FB'!I:I)+SUMIF('ADV - FB'!L:L,$A540,'ADV - FB'!J:J)+SUMIF('ADV - FB'!L:L,$A540,'ADV - FB'!K:K)</f>
        <v>0</v>
      </c>
      <c r="K540" s="321" t="str">
        <f t="shared" si="2"/>
        <v>-</v>
      </c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ht="15.75" customHeight="1">
      <c r="A541" s="313" t="s">
        <v>810</v>
      </c>
      <c r="B541" s="314"/>
      <c r="C541" s="315"/>
      <c r="D541" s="315"/>
      <c r="E541" s="317"/>
      <c r="F541" s="318" t="str">
        <f t="shared" si="1"/>
        <v>TP540 -  -  - </v>
      </c>
      <c r="G541" s="319">
        <f>SUMIF('ADV - FB'!L:L,$A541,'ADV - FB'!E:E)</f>
        <v>0</v>
      </c>
      <c r="H541" s="320" t="str">
        <f>IFERROR(SUMIF('ADV - FB'!L:L,$A541,'ADV - FB'!H:H)/(SUMIF('ADV - FB'!L:L,$A541,'ADV - FB'!G:G)),"-")</f>
        <v>-</v>
      </c>
      <c r="I541" s="321" t="str">
        <f>IFERROR(SUMIF('ADV - FB'!L:L,$A541,'ADV - FB'!E:E)/(SUMIF('ADV - FB'!L:L,$A541,'ADV - FB'!F:F)),"-")</f>
        <v>-</v>
      </c>
      <c r="J541" s="315">
        <f>SUMIF('ADV - FB'!L:L,$A541,'ADV - FB'!I:I)+SUMIF('ADV - FB'!L:L,$A541,'ADV - FB'!J:J)+SUMIF('ADV - FB'!L:L,$A541,'ADV - FB'!K:K)</f>
        <v>0</v>
      </c>
      <c r="K541" s="321" t="str">
        <f t="shared" si="2"/>
        <v>-</v>
      </c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ht="15.75" customHeight="1">
      <c r="A542" s="313" t="s">
        <v>811</v>
      </c>
      <c r="B542" s="314"/>
      <c r="C542" s="315"/>
      <c r="D542" s="315"/>
      <c r="E542" s="317"/>
      <c r="F542" s="318" t="str">
        <f t="shared" si="1"/>
        <v>TP541 -  -  - </v>
      </c>
      <c r="G542" s="319">
        <f>SUMIF('ADV - FB'!L:L,$A542,'ADV - FB'!E:E)</f>
        <v>0</v>
      </c>
      <c r="H542" s="320" t="str">
        <f>IFERROR(SUMIF('ADV - FB'!L:L,$A542,'ADV - FB'!H:H)/(SUMIF('ADV - FB'!L:L,$A542,'ADV - FB'!G:G)),"-")</f>
        <v>-</v>
      </c>
      <c r="I542" s="321" t="str">
        <f>IFERROR(SUMIF('ADV - FB'!L:L,$A542,'ADV - FB'!E:E)/(SUMIF('ADV - FB'!L:L,$A542,'ADV - FB'!F:F)),"-")</f>
        <v>-</v>
      </c>
      <c r="J542" s="315">
        <f>SUMIF('ADV - FB'!L:L,$A542,'ADV - FB'!I:I)+SUMIF('ADV - FB'!L:L,$A542,'ADV - FB'!J:J)+SUMIF('ADV - FB'!L:L,$A542,'ADV - FB'!K:K)</f>
        <v>0</v>
      </c>
      <c r="K542" s="321" t="str">
        <f t="shared" si="2"/>
        <v>-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ht="15.75" customHeight="1">
      <c r="A543" s="313" t="s">
        <v>812</v>
      </c>
      <c r="B543" s="314"/>
      <c r="C543" s="315"/>
      <c r="D543" s="315"/>
      <c r="E543" s="317"/>
      <c r="F543" s="318" t="str">
        <f t="shared" si="1"/>
        <v>TP542 -  -  - </v>
      </c>
      <c r="G543" s="319">
        <f>SUMIF('ADV - FB'!L:L,$A543,'ADV - FB'!E:E)</f>
        <v>0</v>
      </c>
      <c r="H543" s="320" t="str">
        <f>IFERROR(SUMIF('ADV - FB'!L:L,$A543,'ADV - FB'!H:H)/(SUMIF('ADV - FB'!L:L,$A543,'ADV - FB'!G:G)),"-")</f>
        <v>-</v>
      </c>
      <c r="I543" s="321" t="str">
        <f>IFERROR(SUMIF('ADV - FB'!L:L,$A543,'ADV - FB'!E:E)/(SUMIF('ADV - FB'!L:L,$A543,'ADV - FB'!F:F)),"-")</f>
        <v>-</v>
      </c>
      <c r="J543" s="315">
        <f>SUMIF('ADV - FB'!L:L,$A543,'ADV - FB'!I:I)+SUMIF('ADV - FB'!L:L,$A543,'ADV - FB'!J:J)+SUMIF('ADV - FB'!L:L,$A543,'ADV - FB'!K:K)</f>
        <v>0</v>
      </c>
      <c r="K543" s="321" t="str">
        <f t="shared" si="2"/>
        <v>-</v>
      </c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ht="15.75" customHeight="1">
      <c r="A544" s="313" t="s">
        <v>813</v>
      </c>
      <c r="B544" s="314"/>
      <c r="C544" s="315"/>
      <c r="D544" s="315"/>
      <c r="E544" s="317"/>
      <c r="F544" s="318" t="str">
        <f t="shared" si="1"/>
        <v>TP543 -  -  - </v>
      </c>
      <c r="G544" s="319">
        <f>SUMIF('ADV - FB'!L:L,$A544,'ADV - FB'!E:E)</f>
        <v>0</v>
      </c>
      <c r="H544" s="320" t="str">
        <f>IFERROR(SUMIF('ADV - FB'!L:L,$A544,'ADV - FB'!H:H)/(SUMIF('ADV - FB'!L:L,$A544,'ADV - FB'!G:G)),"-")</f>
        <v>-</v>
      </c>
      <c r="I544" s="321" t="str">
        <f>IFERROR(SUMIF('ADV - FB'!L:L,$A544,'ADV - FB'!E:E)/(SUMIF('ADV - FB'!L:L,$A544,'ADV - FB'!F:F)),"-")</f>
        <v>-</v>
      </c>
      <c r="J544" s="315">
        <f>SUMIF('ADV - FB'!L:L,$A544,'ADV - FB'!I:I)+SUMIF('ADV - FB'!L:L,$A544,'ADV - FB'!J:J)+SUMIF('ADV - FB'!L:L,$A544,'ADV - FB'!K:K)</f>
        <v>0</v>
      </c>
      <c r="K544" s="321" t="str">
        <f t="shared" si="2"/>
        <v>-</v>
      </c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ht="15.75" customHeight="1">
      <c r="A545" s="313" t="s">
        <v>814</v>
      </c>
      <c r="B545" s="314"/>
      <c r="C545" s="315"/>
      <c r="D545" s="315"/>
      <c r="E545" s="317"/>
      <c r="F545" s="318" t="str">
        <f t="shared" si="1"/>
        <v>TP544 -  -  - </v>
      </c>
      <c r="G545" s="319">
        <f>SUMIF('ADV - FB'!L:L,$A545,'ADV - FB'!E:E)</f>
        <v>0</v>
      </c>
      <c r="H545" s="320" t="str">
        <f>IFERROR(SUMIF('ADV - FB'!L:L,$A545,'ADV - FB'!H:H)/(SUMIF('ADV - FB'!L:L,$A545,'ADV - FB'!G:G)),"-")</f>
        <v>-</v>
      </c>
      <c r="I545" s="321" t="str">
        <f>IFERROR(SUMIF('ADV - FB'!L:L,$A545,'ADV - FB'!E:E)/(SUMIF('ADV - FB'!L:L,$A545,'ADV - FB'!F:F)),"-")</f>
        <v>-</v>
      </c>
      <c r="J545" s="315">
        <f>SUMIF('ADV - FB'!L:L,$A545,'ADV - FB'!I:I)+SUMIF('ADV - FB'!L:L,$A545,'ADV - FB'!J:J)+SUMIF('ADV - FB'!L:L,$A545,'ADV - FB'!K:K)</f>
        <v>0</v>
      </c>
      <c r="K545" s="321" t="str">
        <f t="shared" si="2"/>
        <v>-</v>
      </c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ht="15.75" customHeight="1">
      <c r="A546" s="313" t="s">
        <v>815</v>
      </c>
      <c r="B546" s="314"/>
      <c r="C546" s="315"/>
      <c r="D546" s="315"/>
      <c r="E546" s="317"/>
      <c r="F546" s="318" t="str">
        <f t="shared" si="1"/>
        <v>TP545 -  -  - </v>
      </c>
      <c r="G546" s="319">
        <f>SUMIF('ADV - FB'!L:L,$A546,'ADV - FB'!E:E)</f>
        <v>0</v>
      </c>
      <c r="H546" s="320" t="str">
        <f>IFERROR(SUMIF('ADV - FB'!L:L,$A546,'ADV - FB'!H:H)/(SUMIF('ADV - FB'!L:L,$A546,'ADV - FB'!G:G)),"-")</f>
        <v>-</v>
      </c>
      <c r="I546" s="321" t="str">
        <f>IFERROR(SUMIF('ADV - FB'!L:L,$A546,'ADV - FB'!E:E)/(SUMIF('ADV - FB'!L:L,$A546,'ADV - FB'!F:F)),"-")</f>
        <v>-</v>
      </c>
      <c r="J546" s="315">
        <f>SUMIF('ADV - FB'!L:L,$A546,'ADV - FB'!I:I)+SUMIF('ADV - FB'!L:L,$A546,'ADV - FB'!J:J)+SUMIF('ADV - FB'!L:L,$A546,'ADV - FB'!K:K)</f>
        <v>0</v>
      </c>
      <c r="K546" s="321" t="str">
        <f t="shared" si="2"/>
        <v>-</v>
      </c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ht="15.75" customHeight="1">
      <c r="A547" s="313" t="s">
        <v>816</v>
      </c>
      <c r="B547" s="314"/>
      <c r="C547" s="315"/>
      <c r="D547" s="315"/>
      <c r="E547" s="317"/>
      <c r="F547" s="318" t="str">
        <f t="shared" si="1"/>
        <v>TP546 -  -  - </v>
      </c>
      <c r="G547" s="319">
        <f>SUMIF('ADV - FB'!L:L,$A547,'ADV - FB'!E:E)</f>
        <v>0</v>
      </c>
      <c r="H547" s="320" t="str">
        <f>IFERROR(SUMIF('ADV - FB'!L:L,$A547,'ADV - FB'!H:H)/(SUMIF('ADV - FB'!L:L,$A547,'ADV - FB'!G:G)),"-")</f>
        <v>-</v>
      </c>
      <c r="I547" s="321" t="str">
        <f>IFERROR(SUMIF('ADV - FB'!L:L,$A547,'ADV - FB'!E:E)/(SUMIF('ADV - FB'!L:L,$A547,'ADV - FB'!F:F)),"-")</f>
        <v>-</v>
      </c>
      <c r="J547" s="315">
        <f>SUMIF('ADV - FB'!L:L,$A547,'ADV - FB'!I:I)+SUMIF('ADV - FB'!L:L,$A547,'ADV - FB'!J:J)+SUMIF('ADV - FB'!L:L,$A547,'ADV - FB'!K:K)</f>
        <v>0</v>
      </c>
      <c r="K547" s="321" t="str">
        <f t="shared" si="2"/>
        <v>-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ht="15.75" customHeight="1">
      <c r="A548" s="313" t="s">
        <v>817</v>
      </c>
      <c r="B548" s="314"/>
      <c r="C548" s="315"/>
      <c r="D548" s="315"/>
      <c r="E548" s="317"/>
      <c r="F548" s="318" t="str">
        <f t="shared" si="1"/>
        <v>TP547 -  -  - </v>
      </c>
      <c r="G548" s="319">
        <f>SUMIF('ADV - FB'!L:L,$A548,'ADV - FB'!E:E)</f>
        <v>0</v>
      </c>
      <c r="H548" s="320" t="str">
        <f>IFERROR(SUMIF('ADV - FB'!L:L,$A548,'ADV - FB'!H:H)/(SUMIF('ADV - FB'!L:L,$A548,'ADV - FB'!G:G)),"-")</f>
        <v>-</v>
      </c>
      <c r="I548" s="321" t="str">
        <f>IFERROR(SUMIF('ADV - FB'!L:L,$A548,'ADV - FB'!E:E)/(SUMIF('ADV - FB'!L:L,$A548,'ADV - FB'!F:F)),"-")</f>
        <v>-</v>
      </c>
      <c r="J548" s="315">
        <f>SUMIF('ADV - FB'!L:L,$A548,'ADV - FB'!I:I)+SUMIF('ADV - FB'!L:L,$A548,'ADV - FB'!J:J)+SUMIF('ADV - FB'!L:L,$A548,'ADV - FB'!K:K)</f>
        <v>0</v>
      </c>
      <c r="K548" s="321" t="str">
        <f t="shared" si="2"/>
        <v>-</v>
      </c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ht="15.75" customHeight="1">
      <c r="A549" s="313" t="s">
        <v>818</v>
      </c>
      <c r="B549" s="314"/>
      <c r="C549" s="315"/>
      <c r="D549" s="315"/>
      <c r="E549" s="317"/>
      <c r="F549" s="318" t="str">
        <f t="shared" si="1"/>
        <v>TP548 -  -  - </v>
      </c>
      <c r="G549" s="319">
        <f>SUMIF('ADV - FB'!L:L,$A549,'ADV - FB'!E:E)</f>
        <v>0</v>
      </c>
      <c r="H549" s="320" t="str">
        <f>IFERROR(SUMIF('ADV - FB'!L:L,$A549,'ADV - FB'!H:H)/(SUMIF('ADV - FB'!L:L,$A549,'ADV - FB'!G:G)),"-")</f>
        <v>-</v>
      </c>
      <c r="I549" s="321" t="str">
        <f>IFERROR(SUMIF('ADV - FB'!L:L,$A549,'ADV - FB'!E:E)/(SUMIF('ADV - FB'!L:L,$A549,'ADV - FB'!F:F)),"-")</f>
        <v>-</v>
      </c>
      <c r="J549" s="315">
        <f>SUMIF('ADV - FB'!L:L,$A549,'ADV - FB'!I:I)+SUMIF('ADV - FB'!L:L,$A549,'ADV - FB'!J:J)+SUMIF('ADV - FB'!L:L,$A549,'ADV - FB'!K:K)</f>
        <v>0</v>
      </c>
      <c r="K549" s="321" t="str">
        <f t="shared" si="2"/>
        <v>-</v>
      </c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ht="15.75" customHeight="1">
      <c r="A550" s="313" t="s">
        <v>819</v>
      </c>
      <c r="B550" s="314"/>
      <c r="C550" s="315"/>
      <c r="D550" s="315"/>
      <c r="E550" s="317"/>
      <c r="F550" s="318" t="str">
        <f t="shared" si="1"/>
        <v>TP549 -  -  - </v>
      </c>
      <c r="G550" s="319">
        <f>SUMIF('ADV - FB'!L:L,$A550,'ADV - FB'!E:E)</f>
        <v>0</v>
      </c>
      <c r="H550" s="320" t="str">
        <f>IFERROR(SUMIF('ADV - FB'!L:L,$A550,'ADV - FB'!H:H)/(SUMIF('ADV - FB'!L:L,$A550,'ADV - FB'!G:G)),"-")</f>
        <v>-</v>
      </c>
      <c r="I550" s="321" t="str">
        <f>IFERROR(SUMIF('ADV - FB'!L:L,$A550,'ADV - FB'!E:E)/(SUMIF('ADV - FB'!L:L,$A550,'ADV - FB'!F:F)),"-")</f>
        <v>-</v>
      </c>
      <c r="J550" s="315">
        <f>SUMIF('ADV - FB'!L:L,$A550,'ADV - FB'!I:I)+SUMIF('ADV - FB'!L:L,$A550,'ADV - FB'!J:J)+SUMIF('ADV - FB'!L:L,$A550,'ADV - FB'!K:K)</f>
        <v>0</v>
      </c>
      <c r="K550" s="321" t="str">
        <f t="shared" si="2"/>
        <v>-</v>
      </c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ht="15.75" customHeight="1">
      <c r="A551" s="313" t="s">
        <v>820</v>
      </c>
      <c r="B551" s="314"/>
      <c r="C551" s="315"/>
      <c r="D551" s="315"/>
      <c r="E551" s="317"/>
      <c r="F551" s="318" t="str">
        <f t="shared" si="1"/>
        <v>TP550 -  -  - </v>
      </c>
      <c r="G551" s="319">
        <f>SUMIF('ADV - FB'!L:L,$A551,'ADV - FB'!E:E)</f>
        <v>0</v>
      </c>
      <c r="H551" s="320" t="str">
        <f>IFERROR(SUMIF('ADV - FB'!L:L,$A551,'ADV - FB'!H:H)/(SUMIF('ADV - FB'!L:L,$A551,'ADV - FB'!G:G)),"-")</f>
        <v>-</v>
      </c>
      <c r="I551" s="321" t="str">
        <f>IFERROR(SUMIF('ADV - FB'!L:L,$A551,'ADV - FB'!E:E)/(SUMIF('ADV - FB'!L:L,$A551,'ADV - FB'!F:F)),"-")</f>
        <v>-</v>
      </c>
      <c r="J551" s="315">
        <f>SUMIF('ADV - FB'!L:L,$A551,'ADV - FB'!I:I)+SUMIF('ADV - FB'!L:L,$A551,'ADV - FB'!J:J)+SUMIF('ADV - FB'!L:L,$A551,'ADV - FB'!K:K)</f>
        <v>0</v>
      </c>
      <c r="K551" s="321" t="str">
        <f t="shared" si="2"/>
        <v>-</v>
      </c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ht="15.75" customHeight="1">
      <c r="A552" s="313" t="s">
        <v>821</v>
      </c>
      <c r="B552" s="314"/>
      <c r="C552" s="315"/>
      <c r="D552" s="315"/>
      <c r="E552" s="317"/>
      <c r="F552" s="318" t="str">
        <f t="shared" si="1"/>
        <v>TP551 -  -  - </v>
      </c>
      <c r="G552" s="319">
        <f>SUMIF('ADV - FB'!L:L,$A552,'ADV - FB'!E:E)</f>
        <v>0</v>
      </c>
      <c r="H552" s="320" t="str">
        <f>IFERROR(SUMIF('ADV - FB'!L:L,$A552,'ADV - FB'!H:H)/(SUMIF('ADV - FB'!L:L,$A552,'ADV - FB'!G:G)),"-")</f>
        <v>-</v>
      </c>
      <c r="I552" s="321" t="str">
        <f>IFERROR(SUMIF('ADV - FB'!L:L,$A552,'ADV - FB'!E:E)/(SUMIF('ADV - FB'!L:L,$A552,'ADV - FB'!F:F)),"-")</f>
        <v>-</v>
      </c>
      <c r="J552" s="315">
        <f>SUMIF('ADV - FB'!L:L,$A552,'ADV - FB'!I:I)+SUMIF('ADV - FB'!L:L,$A552,'ADV - FB'!J:J)+SUMIF('ADV - FB'!L:L,$A552,'ADV - FB'!K:K)</f>
        <v>0</v>
      </c>
      <c r="K552" s="321" t="str">
        <f t="shared" si="2"/>
        <v>-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ht="15.75" customHeight="1">
      <c r="A553" s="313" t="s">
        <v>822</v>
      </c>
      <c r="B553" s="314"/>
      <c r="C553" s="315"/>
      <c r="D553" s="315"/>
      <c r="E553" s="317"/>
      <c r="F553" s="318" t="str">
        <f t="shared" si="1"/>
        <v>TP552 -  -  - </v>
      </c>
      <c r="G553" s="319">
        <f>SUMIF('ADV - FB'!L:L,$A553,'ADV - FB'!E:E)</f>
        <v>0</v>
      </c>
      <c r="H553" s="320" t="str">
        <f>IFERROR(SUMIF('ADV - FB'!L:L,$A553,'ADV - FB'!H:H)/(SUMIF('ADV - FB'!L:L,$A553,'ADV - FB'!G:G)),"-")</f>
        <v>-</v>
      </c>
      <c r="I553" s="321" t="str">
        <f>IFERROR(SUMIF('ADV - FB'!L:L,$A553,'ADV - FB'!E:E)/(SUMIF('ADV - FB'!L:L,$A553,'ADV - FB'!F:F)),"-")</f>
        <v>-</v>
      </c>
      <c r="J553" s="315">
        <f>SUMIF('ADV - FB'!L:L,$A553,'ADV - FB'!I:I)+SUMIF('ADV - FB'!L:L,$A553,'ADV - FB'!J:J)+SUMIF('ADV - FB'!L:L,$A553,'ADV - FB'!K:K)</f>
        <v>0</v>
      </c>
      <c r="K553" s="321" t="str">
        <f t="shared" si="2"/>
        <v>-</v>
      </c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ht="15.75" customHeight="1">
      <c r="A554" s="313" t="s">
        <v>823</v>
      </c>
      <c r="B554" s="314"/>
      <c r="C554" s="315"/>
      <c r="D554" s="315"/>
      <c r="E554" s="317"/>
      <c r="F554" s="318" t="str">
        <f t="shared" si="1"/>
        <v>TP553 -  -  - </v>
      </c>
      <c r="G554" s="319">
        <f>SUMIF('ADV - FB'!L:L,$A554,'ADV - FB'!E:E)</f>
        <v>0</v>
      </c>
      <c r="H554" s="320" t="str">
        <f>IFERROR(SUMIF('ADV - FB'!L:L,$A554,'ADV - FB'!H:H)/(SUMIF('ADV - FB'!L:L,$A554,'ADV - FB'!G:G)),"-")</f>
        <v>-</v>
      </c>
      <c r="I554" s="321" t="str">
        <f>IFERROR(SUMIF('ADV - FB'!L:L,$A554,'ADV - FB'!E:E)/(SUMIF('ADV - FB'!L:L,$A554,'ADV - FB'!F:F)),"-")</f>
        <v>-</v>
      </c>
      <c r="J554" s="315">
        <f>SUMIF('ADV - FB'!L:L,$A554,'ADV - FB'!I:I)+SUMIF('ADV - FB'!L:L,$A554,'ADV - FB'!J:J)+SUMIF('ADV - FB'!L:L,$A554,'ADV - FB'!K:K)</f>
        <v>0</v>
      </c>
      <c r="K554" s="321" t="str">
        <f t="shared" si="2"/>
        <v>-</v>
      </c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ht="15.75" customHeight="1">
      <c r="A555" s="313" t="s">
        <v>824</v>
      </c>
      <c r="B555" s="314"/>
      <c r="C555" s="315"/>
      <c r="D555" s="315"/>
      <c r="E555" s="317"/>
      <c r="F555" s="318" t="str">
        <f t="shared" si="1"/>
        <v>TP554 -  -  - </v>
      </c>
      <c r="G555" s="319">
        <f>SUMIF('ADV - FB'!L:L,$A555,'ADV - FB'!E:E)</f>
        <v>0</v>
      </c>
      <c r="H555" s="320" t="str">
        <f>IFERROR(SUMIF('ADV - FB'!L:L,$A555,'ADV - FB'!H:H)/(SUMIF('ADV - FB'!L:L,$A555,'ADV - FB'!G:G)),"-")</f>
        <v>-</v>
      </c>
      <c r="I555" s="321" t="str">
        <f>IFERROR(SUMIF('ADV - FB'!L:L,$A555,'ADV - FB'!E:E)/(SUMIF('ADV - FB'!L:L,$A555,'ADV - FB'!F:F)),"-")</f>
        <v>-</v>
      </c>
      <c r="J555" s="315">
        <f>SUMIF('ADV - FB'!L:L,$A555,'ADV - FB'!I:I)+SUMIF('ADV - FB'!L:L,$A555,'ADV - FB'!J:J)+SUMIF('ADV - FB'!L:L,$A555,'ADV - FB'!K:K)</f>
        <v>0</v>
      </c>
      <c r="K555" s="321" t="str">
        <f t="shared" si="2"/>
        <v>-</v>
      </c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ht="15.75" customHeight="1">
      <c r="A556" s="313" t="s">
        <v>825</v>
      </c>
      <c r="B556" s="314"/>
      <c r="C556" s="315"/>
      <c r="D556" s="315"/>
      <c r="E556" s="317"/>
      <c r="F556" s="318" t="str">
        <f t="shared" si="1"/>
        <v>TP555 -  -  - </v>
      </c>
      <c r="G556" s="319">
        <f>SUMIF('ADV - FB'!L:L,$A556,'ADV - FB'!E:E)</f>
        <v>0</v>
      </c>
      <c r="H556" s="320" t="str">
        <f>IFERROR(SUMIF('ADV - FB'!L:L,$A556,'ADV - FB'!H:H)/(SUMIF('ADV - FB'!L:L,$A556,'ADV - FB'!G:G)),"-")</f>
        <v>-</v>
      </c>
      <c r="I556" s="321" t="str">
        <f>IFERROR(SUMIF('ADV - FB'!L:L,$A556,'ADV - FB'!E:E)/(SUMIF('ADV - FB'!L:L,$A556,'ADV - FB'!F:F)),"-")</f>
        <v>-</v>
      </c>
      <c r="J556" s="315">
        <f>SUMIF('ADV - FB'!L:L,$A556,'ADV - FB'!I:I)+SUMIF('ADV - FB'!L:L,$A556,'ADV - FB'!J:J)+SUMIF('ADV - FB'!L:L,$A556,'ADV - FB'!K:K)</f>
        <v>0</v>
      </c>
      <c r="K556" s="321" t="str">
        <f t="shared" si="2"/>
        <v>-</v>
      </c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ht="15.75" customHeight="1">
      <c r="A557" s="313" t="s">
        <v>826</v>
      </c>
      <c r="B557" s="314"/>
      <c r="C557" s="315"/>
      <c r="D557" s="315"/>
      <c r="E557" s="317"/>
      <c r="F557" s="318" t="str">
        <f t="shared" si="1"/>
        <v>TP556 -  -  - </v>
      </c>
      <c r="G557" s="319">
        <f>SUMIF('ADV - FB'!L:L,$A557,'ADV - FB'!E:E)</f>
        <v>0</v>
      </c>
      <c r="H557" s="320" t="str">
        <f>IFERROR(SUMIF('ADV - FB'!L:L,$A557,'ADV - FB'!H:H)/(SUMIF('ADV - FB'!L:L,$A557,'ADV - FB'!G:G)),"-")</f>
        <v>-</v>
      </c>
      <c r="I557" s="321" t="str">
        <f>IFERROR(SUMIF('ADV - FB'!L:L,$A557,'ADV - FB'!E:E)/(SUMIF('ADV - FB'!L:L,$A557,'ADV - FB'!F:F)),"-")</f>
        <v>-</v>
      </c>
      <c r="J557" s="315">
        <f>SUMIF('ADV - FB'!L:L,$A557,'ADV - FB'!I:I)+SUMIF('ADV - FB'!L:L,$A557,'ADV - FB'!J:J)+SUMIF('ADV - FB'!L:L,$A557,'ADV - FB'!K:K)</f>
        <v>0</v>
      </c>
      <c r="K557" s="321" t="str">
        <f t="shared" si="2"/>
        <v>-</v>
      </c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ht="15.75" customHeight="1">
      <c r="A558" s="313" t="s">
        <v>827</v>
      </c>
      <c r="B558" s="314"/>
      <c r="C558" s="315"/>
      <c r="D558" s="315"/>
      <c r="E558" s="317"/>
      <c r="F558" s="318" t="str">
        <f t="shared" si="1"/>
        <v>TP557 -  -  - </v>
      </c>
      <c r="G558" s="319">
        <f>SUMIF('ADV - FB'!L:L,$A558,'ADV - FB'!E:E)</f>
        <v>0</v>
      </c>
      <c r="H558" s="320" t="str">
        <f>IFERROR(SUMIF('ADV - FB'!L:L,$A558,'ADV - FB'!H:H)/(SUMIF('ADV - FB'!L:L,$A558,'ADV - FB'!G:G)),"-")</f>
        <v>-</v>
      </c>
      <c r="I558" s="321" t="str">
        <f>IFERROR(SUMIF('ADV - FB'!L:L,$A558,'ADV - FB'!E:E)/(SUMIF('ADV - FB'!L:L,$A558,'ADV - FB'!F:F)),"-")</f>
        <v>-</v>
      </c>
      <c r="J558" s="315">
        <f>SUMIF('ADV - FB'!L:L,$A558,'ADV - FB'!I:I)+SUMIF('ADV - FB'!L:L,$A558,'ADV - FB'!J:J)+SUMIF('ADV - FB'!L:L,$A558,'ADV - FB'!K:K)</f>
        <v>0</v>
      </c>
      <c r="K558" s="321" t="str">
        <f t="shared" si="2"/>
        <v>-</v>
      </c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ht="15.75" customHeight="1">
      <c r="A559" s="313" t="s">
        <v>828</v>
      </c>
      <c r="B559" s="314"/>
      <c r="C559" s="315"/>
      <c r="D559" s="315"/>
      <c r="E559" s="317"/>
      <c r="F559" s="318" t="str">
        <f t="shared" si="1"/>
        <v>TP558 -  -  - </v>
      </c>
      <c r="G559" s="319">
        <f>SUMIF('ADV - FB'!L:L,$A559,'ADV - FB'!E:E)</f>
        <v>0</v>
      </c>
      <c r="H559" s="320" t="str">
        <f>IFERROR(SUMIF('ADV - FB'!L:L,$A559,'ADV - FB'!H:H)/(SUMIF('ADV - FB'!L:L,$A559,'ADV - FB'!G:G)),"-")</f>
        <v>-</v>
      </c>
      <c r="I559" s="321" t="str">
        <f>IFERROR(SUMIF('ADV - FB'!L:L,$A559,'ADV - FB'!E:E)/(SUMIF('ADV - FB'!L:L,$A559,'ADV - FB'!F:F)),"-")</f>
        <v>-</v>
      </c>
      <c r="J559" s="315">
        <f>SUMIF('ADV - FB'!L:L,$A559,'ADV - FB'!I:I)+SUMIF('ADV - FB'!L:L,$A559,'ADV - FB'!J:J)+SUMIF('ADV - FB'!L:L,$A559,'ADV - FB'!K:K)</f>
        <v>0</v>
      </c>
      <c r="K559" s="321" t="str">
        <f t="shared" si="2"/>
        <v>-</v>
      </c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ht="15.75" customHeight="1">
      <c r="A560" s="313" t="s">
        <v>829</v>
      </c>
      <c r="B560" s="314"/>
      <c r="C560" s="315"/>
      <c r="D560" s="315"/>
      <c r="E560" s="317"/>
      <c r="F560" s="318" t="str">
        <f t="shared" si="1"/>
        <v>TP559 -  -  - </v>
      </c>
      <c r="G560" s="319">
        <f>SUMIF('ADV - FB'!L:L,$A560,'ADV - FB'!E:E)</f>
        <v>0</v>
      </c>
      <c r="H560" s="320" t="str">
        <f>IFERROR(SUMIF('ADV - FB'!L:L,$A560,'ADV - FB'!H:H)/(SUMIF('ADV - FB'!L:L,$A560,'ADV - FB'!G:G)),"-")</f>
        <v>-</v>
      </c>
      <c r="I560" s="321" t="str">
        <f>IFERROR(SUMIF('ADV - FB'!L:L,$A560,'ADV - FB'!E:E)/(SUMIF('ADV - FB'!L:L,$A560,'ADV - FB'!F:F)),"-")</f>
        <v>-</v>
      </c>
      <c r="J560" s="315">
        <f>SUMIF('ADV - FB'!L:L,$A560,'ADV - FB'!I:I)+SUMIF('ADV - FB'!L:L,$A560,'ADV - FB'!J:J)+SUMIF('ADV - FB'!L:L,$A560,'ADV - FB'!K:K)</f>
        <v>0</v>
      </c>
      <c r="K560" s="321" t="str">
        <f t="shared" si="2"/>
        <v>-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ht="15.75" customHeight="1">
      <c r="A561" s="313" t="s">
        <v>830</v>
      </c>
      <c r="B561" s="314"/>
      <c r="C561" s="315"/>
      <c r="D561" s="315"/>
      <c r="E561" s="317"/>
      <c r="F561" s="318" t="str">
        <f t="shared" si="1"/>
        <v>TP560 -  -  - </v>
      </c>
      <c r="G561" s="319">
        <f>SUMIF('ADV - FB'!L:L,$A561,'ADV - FB'!E:E)</f>
        <v>0</v>
      </c>
      <c r="H561" s="320" t="str">
        <f>IFERROR(SUMIF('ADV - FB'!L:L,$A561,'ADV - FB'!H:H)/(SUMIF('ADV - FB'!L:L,$A561,'ADV - FB'!G:G)),"-")</f>
        <v>-</v>
      </c>
      <c r="I561" s="321" t="str">
        <f>IFERROR(SUMIF('ADV - FB'!L:L,$A561,'ADV - FB'!E:E)/(SUMIF('ADV - FB'!L:L,$A561,'ADV - FB'!F:F)),"-")</f>
        <v>-</v>
      </c>
      <c r="J561" s="315">
        <f>SUMIF('ADV - FB'!L:L,$A561,'ADV - FB'!I:I)+SUMIF('ADV - FB'!L:L,$A561,'ADV - FB'!J:J)+SUMIF('ADV - FB'!L:L,$A561,'ADV - FB'!K:K)</f>
        <v>0</v>
      </c>
      <c r="K561" s="321" t="str">
        <f t="shared" si="2"/>
        <v>-</v>
      </c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ht="15.75" customHeight="1">
      <c r="A562" s="313" t="s">
        <v>831</v>
      </c>
      <c r="B562" s="314"/>
      <c r="C562" s="315"/>
      <c r="D562" s="315"/>
      <c r="E562" s="317"/>
      <c r="F562" s="318" t="str">
        <f t="shared" si="1"/>
        <v>TP561 -  -  - </v>
      </c>
      <c r="G562" s="319">
        <f>SUMIF('ADV - FB'!L:L,$A562,'ADV - FB'!E:E)</f>
        <v>0</v>
      </c>
      <c r="H562" s="320" t="str">
        <f>IFERROR(SUMIF('ADV - FB'!L:L,$A562,'ADV - FB'!H:H)/(SUMIF('ADV - FB'!L:L,$A562,'ADV - FB'!G:G)),"-")</f>
        <v>-</v>
      </c>
      <c r="I562" s="321" t="str">
        <f>IFERROR(SUMIF('ADV - FB'!L:L,$A562,'ADV - FB'!E:E)/(SUMIF('ADV - FB'!L:L,$A562,'ADV - FB'!F:F)),"-")</f>
        <v>-</v>
      </c>
      <c r="J562" s="315">
        <f>SUMIF('ADV - FB'!L:L,$A562,'ADV - FB'!I:I)+SUMIF('ADV - FB'!L:L,$A562,'ADV - FB'!J:J)+SUMIF('ADV - FB'!L:L,$A562,'ADV - FB'!K:K)</f>
        <v>0</v>
      </c>
      <c r="K562" s="321" t="str">
        <f t="shared" si="2"/>
        <v>-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ht="15.75" customHeight="1">
      <c r="A563" s="313" t="s">
        <v>832</v>
      </c>
      <c r="B563" s="314"/>
      <c r="C563" s="315"/>
      <c r="D563" s="315"/>
      <c r="E563" s="317"/>
      <c r="F563" s="318" t="str">
        <f t="shared" si="1"/>
        <v>TP562 -  -  - </v>
      </c>
      <c r="G563" s="319">
        <f>SUMIF('ADV - FB'!L:L,$A563,'ADV - FB'!E:E)</f>
        <v>0</v>
      </c>
      <c r="H563" s="320" t="str">
        <f>IFERROR(SUMIF('ADV - FB'!L:L,$A563,'ADV - FB'!H:H)/(SUMIF('ADV - FB'!L:L,$A563,'ADV - FB'!G:G)),"-")</f>
        <v>-</v>
      </c>
      <c r="I563" s="321" t="str">
        <f>IFERROR(SUMIF('ADV - FB'!L:L,$A563,'ADV - FB'!E:E)/(SUMIF('ADV - FB'!L:L,$A563,'ADV - FB'!F:F)),"-")</f>
        <v>-</v>
      </c>
      <c r="J563" s="315">
        <f>SUMIF('ADV - FB'!L:L,$A563,'ADV - FB'!I:I)+SUMIF('ADV - FB'!L:L,$A563,'ADV - FB'!J:J)+SUMIF('ADV - FB'!L:L,$A563,'ADV - FB'!K:K)</f>
        <v>0</v>
      </c>
      <c r="K563" s="321" t="str">
        <f t="shared" si="2"/>
        <v>-</v>
      </c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ht="15.75" customHeight="1">
      <c r="A564" s="313" t="s">
        <v>833</v>
      </c>
      <c r="B564" s="314"/>
      <c r="C564" s="315"/>
      <c r="D564" s="315"/>
      <c r="E564" s="317"/>
      <c r="F564" s="318" t="str">
        <f t="shared" si="1"/>
        <v>TP563 -  -  - </v>
      </c>
      <c r="G564" s="319">
        <f>SUMIF('ADV - FB'!L:L,$A564,'ADV - FB'!E:E)</f>
        <v>0</v>
      </c>
      <c r="H564" s="320" t="str">
        <f>IFERROR(SUMIF('ADV - FB'!L:L,$A564,'ADV - FB'!H:H)/(SUMIF('ADV - FB'!L:L,$A564,'ADV - FB'!G:G)),"-")</f>
        <v>-</v>
      </c>
      <c r="I564" s="321" t="str">
        <f>IFERROR(SUMIF('ADV - FB'!L:L,$A564,'ADV - FB'!E:E)/(SUMIF('ADV - FB'!L:L,$A564,'ADV - FB'!F:F)),"-")</f>
        <v>-</v>
      </c>
      <c r="J564" s="315">
        <f>SUMIF('ADV - FB'!L:L,$A564,'ADV - FB'!I:I)+SUMIF('ADV - FB'!L:L,$A564,'ADV - FB'!J:J)+SUMIF('ADV - FB'!L:L,$A564,'ADV - FB'!K:K)</f>
        <v>0</v>
      </c>
      <c r="K564" s="321" t="str">
        <f t="shared" si="2"/>
        <v>-</v>
      </c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ht="15.75" customHeight="1">
      <c r="A565" s="313" t="s">
        <v>834</v>
      </c>
      <c r="B565" s="314"/>
      <c r="C565" s="315"/>
      <c r="D565" s="315"/>
      <c r="E565" s="317"/>
      <c r="F565" s="318" t="str">
        <f t="shared" si="1"/>
        <v>TP564 -  -  - </v>
      </c>
      <c r="G565" s="319">
        <f>SUMIF('ADV - FB'!L:L,$A565,'ADV - FB'!E:E)</f>
        <v>0</v>
      </c>
      <c r="H565" s="320" t="str">
        <f>IFERROR(SUMIF('ADV - FB'!L:L,$A565,'ADV - FB'!H:H)/(SUMIF('ADV - FB'!L:L,$A565,'ADV - FB'!G:G)),"-")</f>
        <v>-</v>
      </c>
      <c r="I565" s="321" t="str">
        <f>IFERROR(SUMIF('ADV - FB'!L:L,$A565,'ADV - FB'!E:E)/(SUMIF('ADV - FB'!L:L,$A565,'ADV - FB'!F:F)),"-")</f>
        <v>-</v>
      </c>
      <c r="J565" s="315">
        <f>SUMIF('ADV - FB'!L:L,$A565,'ADV - FB'!I:I)+SUMIF('ADV - FB'!L:L,$A565,'ADV - FB'!J:J)+SUMIF('ADV - FB'!L:L,$A565,'ADV - FB'!K:K)</f>
        <v>0</v>
      </c>
      <c r="K565" s="321" t="str">
        <f t="shared" si="2"/>
        <v>-</v>
      </c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ht="15.75" customHeight="1">
      <c r="A566" s="313" t="s">
        <v>835</v>
      </c>
      <c r="B566" s="314"/>
      <c r="C566" s="315"/>
      <c r="D566" s="315"/>
      <c r="E566" s="317"/>
      <c r="F566" s="318" t="str">
        <f t="shared" si="1"/>
        <v>TP565 -  -  - </v>
      </c>
      <c r="G566" s="319">
        <f>SUMIF('ADV - FB'!L:L,$A566,'ADV - FB'!E:E)</f>
        <v>0</v>
      </c>
      <c r="H566" s="320" t="str">
        <f>IFERROR(SUMIF('ADV - FB'!L:L,$A566,'ADV - FB'!H:H)/(SUMIF('ADV - FB'!L:L,$A566,'ADV - FB'!G:G)),"-")</f>
        <v>-</v>
      </c>
      <c r="I566" s="321" t="str">
        <f>IFERROR(SUMIF('ADV - FB'!L:L,$A566,'ADV - FB'!E:E)/(SUMIF('ADV - FB'!L:L,$A566,'ADV - FB'!F:F)),"-")</f>
        <v>-</v>
      </c>
      <c r="J566" s="315">
        <f>SUMIF('ADV - FB'!L:L,$A566,'ADV - FB'!I:I)+SUMIF('ADV - FB'!L:L,$A566,'ADV - FB'!J:J)+SUMIF('ADV - FB'!L:L,$A566,'ADV - FB'!K:K)</f>
        <v>0</v>
      </c>
      <c r="K566" s="321" t="str">
        <f t="shared" si="2"/>
        <v>-</v>
      </c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ht="15.75" customHeight="1">
      <c r="A567" s="313" t="s">
        <v>836</v>
      </c>
      <c r="B567" s="314"/>
      <c r="C567" s="315"/>
      <c r="D567" s="315"/>
      <c r="E567" s="317"/>
      <c r="F567" s="318" t="str">
        <f t="shared" si="1"/>
        <v>TP566 -  -  - </v>
      </c>
      <c r="G567" s="319">
        <f>SUMIF('ADV - FB'!L:L,$A567,'ADV - FB'!E:E)</f>
        <v>0</v>
      </c>
      <c r="H567" s="320" t="str">
        <f>IFERROR(SUMIF('ADV - FB'!L:L,$A567,'ADV - FB'!H:H)/(SUMIF('ADV - FB'!L:L,$A567,'ADV - FB'!G:G)),"-")</f>
        <v>-</v>
      </c>
      <c r="I567" s="321" t="str">
        <f>IFERROR(SUMIF('ADV - FB'!L:L,$A567,'ADV - FB'!E:E)/(SUMIF('ADV - FB'!L:L,$A567,'ADV - FB'!F:F)),"-")</f>
        <v>-</v>
      </c>
      <c r="J567" s="315">
        <f>SUMIF('ADV - FB'!L:L,$A567,'ADV - FB'!I:I)+SUMIF('ADV - FB'!L:L,$A567,'ADV - FB'!J:J)+SUMIF('ADV - FB'!L:L,$A567,'ADV - FB'!K:K)</f>
        <v>0</v>
      </c>
      <c r="K567" s="321" t="str">
        <f t="shared" si="2"/>
        <v>-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ht="15.75" customHeight="1">
      <c r="A568" s="313" t="s">
        <v>837</v>
      </c>
      <c r="B568" s="314"/>
      <c r="C568" s="315"/>
      <c r="D568" s="315"/>
      <c r="E568" s="317"/>
      <c r="F568" s="318" t="str">
        <f t="shared" si="1"/>
        <v>TP567 -  -  - </v>
      </c>
      <c r="G568" s="319">
        <f>SUMIF('ADV - FB'!L:L,$A568,'ADV - FB'!E:E)</f>
        <v>0</v>
      </c>
      <c r="H568" s="320" t="str">
        <f>IFERROR(SUMIF('ADV - FB'!L:L,$A568,'ADV - FB'!H:H)/(SUMIF('ADV - FB'!L:L,$A568,'ADV - FB'!G:G)),"-")</f>
        <v>-</v>
      </c>
      <c r="I568" s="321" t="str">
        <f>IFERROR(SUMIF('ADV - FB'!L:L,$A568,'ADV - FB'!E:E)/(SUMIF('ADV - FB'!L:L,$A568,'ADV - FB'!F:F)),"-")</f>
        <v>-</v>
      </c>
      <c r="J568" s="315">
        <f>SUMIF('ADV - FB'!L:L,$A568,'ADV - FB'!I:I)+SUMIF('ADV - FB'!L:L,$A568,'ADV - FB'!J:J)+SUMIF('ADV - FB'!L:L,$A568,'ADV - FB'!K:K)</f>
        <v>0</v>
      </c>
      <c r="K568" s="321" t="str">
        <f t="shared" si="2"/>
        <v>-</v>
      </c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ht="15.75" customHeight="1">
      <c r="A569" s="313" t="s">
        <v>838</v>
      </c>
      <c r="B569" s="314"/>
      <c r="C569" s="315"/>
      <c r="D569" s="315"/>
      <c r="E569" s="317"/>
      <c r="F569" s="318" t="str">
        <f t="shared" si="1"/>
        <v>TP568 -  -  - </v>
      </c>
      <c r="G569" s="319">
        <f>SUMIF('ADV - FB'!L:L,$A569,'ADV - FB'!E:E)</f>
        <v>0</v>
      </c>
      <c r="H569" s="320" t="str">
        <f>IFERROR(SUMIF('ADV - FB'!L:L,$A569,'ADV - FB'!H:H)/(SUMIF('ADV - FB'!L:L,$A569,'ADV - FB'!G:G)),"-")</f>
        <v>-</v>
      </c>
      <c r="I569" s="321" t="str">
        <f>IFERROR(SUMIF('ADV - FB'!L:L,$A569,'ADV - FB'!E:E)/(SUMIF('ADV - FB'!L:L,$A569,'ADV - FB'!F:F)),"-")</f>
        <v>-</v>
      </c>
      <c r="J569" s="315">
        <f>SUMIF('ADV - FB'!L:L,$A569,'ADV - FB'!I:I)+SUMIF('ADV - FB'!L:L,$A569,'ADV - FB'!J:J)+SUMIF('ADV - FB'!L:L,$A569,'ADV - FB'!K:K)</f>
        <v>0</v>
      </c>
      <c r="K569" s="321" t="str">
        <f t="shared" si="2"/>
        <v>-</v>
      </c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ht="15.75" customHeight="1">
      <c r="A570" s="313" t="s">
        <v>839</v>
      </c>
      <c r="B570" s="314"/>
      <c r="C570" s="315"/>
      <c r="D570" s="315"/>
      <c r="E570" s="317"/>
      <c r="F570" s="318" t="str">
        <f t="shared" si="1"/>
        <v>TP569 -  -  - </v>
      </c>
      <c r="G570" s="319">
        <f>SUMIF('ADV - FB'!L:L,$A570,'ADV - FB'!E:E)</f>
        <v>0</v>
      </c>
      <c r="H570" s="320" t="str">
        <f>IFERROR(SUMIF('ADV - FB'!L:L,$A570,'ADV - FB'!H:H)/(SUMIF('ADV - FB'!L:L,$A570,'ADV - FB'!G:G)),"-")</f>
        <v>-</v>
      </c>
      <c r="I570" s="321" t="str">
        <f>IFERROR(SUMIF('ADV - FB'!L:L,$A570,'ADV - FB'!E:E)/(SUMIF('ADV - FB'!L:L,$A570,'ADV - FB'!F:F)),"-")</f>
        <v>-</v>
      </c>
      <c r="J570" s="315">
        <f>SUMIF('ADV - FB'!L:L,$A570,'ADV - FB'!I:I)+SUMIF('ADV - FB'!L:L,$A570,'ADV - FB'!J:J)+SUMIF('ADV - FB'!L:L,$A570,'ADV - FB'!K:K)</f>
        <v>0</v>
      </c>
      <c r="K570" s="321" t="str">
        <f t="shared" si="2"/>
        <v>-</v>
      </c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ht="15.75" customHeight="1">
      <c r="A571" s="313" t="s">
        <v>840</v>
      </c>
      <c r="B571" s="314"/>
      <c r="C571" s="315"/>
      <c r="D571" s="315"/>
      <c r="E571" s="317"/>
      <c r="F571" s="318" t="str">
        <f t="shared" si="1"/>
        <v>TP570 -  -  - </v>
      </c>
      <c r="G571" s="319">
        <f>SUMIF('ADV - FB'!L:L,$A571,'ADV - FB'!E:E)</f>
        <v>0</v>
      </c>
      <c r="H571" s="320" t="str">
        <f>IFERROR(SUMIF('ADV - FB'!L:L,$A571,'ADV - FB'!H:H)/(SUMIF('ADV - FB'!L:L,$A571,'ADV - FB'!G:G)),"-")</f>
        <v>-</v>
      </c>
      <c r="I571" s="321" t="str">
        <f>IFERROR(SUMIF('ADV - FB'!L:L,$A571,'ADV - FB'!E:E)/(SUMIF('ADV - FB'!L:L,$A571,'ADV - FB'!F:F)),"-")</f>
        <v>-</v>
      </c>
      <c r="J571" s="315">
        <f>SUMIF('ADV - FB'!L:L,$A571,'ADV - FB'!I:I)+SUMIF('ADV - FB'!L:L,$A571,'ADV - FB'!J:J)+SUMIF('ADV - FB'!L:L,$A571,'ADV - FB'!K:K)</f>
        <v>0</v>
      </c>
      <c r="K571" s="321" t="str">
        <f t="shared" si="2"/>
        <v>-</v>
      </c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ht="15.75" customHeight="1">
      <c r="A572" s="313" t="s">
        <v>841</v>
      </c>
      <c r="B572" s="314"/>
      <c r="C572" s="315"/>
      <c r="D572" s="315"/>
      <c r="E572" s="317"/>
      <c r="F572" s="318" t="str">
        <f t="shared" si="1"/>
        <v>TP571 -  -  - </v>
      </c>
      <c r="G572" s="319">
        <f>SUMIF('ADV - FB'!L:L,$A572,'ADV - FB'!E:E)</f>
        <v>0</v>
      </c>
      <c r="H572" s="320" t="str">
        <f>IFERROR(SUMIF('ADV - FB'!L:L,$A572,'ADV - FB'!H:H)/(SUMIF('ADV - FB'!L:L,$A572,'ADV - FB'!G:G)),"-")</f>
        <v>-</v>
      </c>
      <c r="I572" s="321" t="str">
        <f>IFERROR(SUMIF('ADV - FB'!L:L,$A572,'ADV - FB'!E:E)/(SUMIF('ADV - FB'!L:L,$A572,'ADV - FB'!F:F)),"-")</f>
        <v>-</v>
      </c>
      <c r="J572" s="315">
        <f>SUMIF('ADV - FB'!L:L,$A572,'ADV - FB'!I:I)+SUMIF('ADV - FB'!L:L,$A572,'ADV - FB'!J:J)+SUMIF('ADV - FB'!L:L,$A572,'ADV - FB'!K:K)</f>
        <v>0</v>
      </c>
      <c r="K572" s="321" t="str">
        <f t="shared" si="2"/>
        <v>-</v>
      </c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ht="15.75" customHeight="1">
      <c r="A573" s="313" t="s">
        <v>842</v>
      </c>
      <c r="B573" s="314"/>
      <c r="C573" s="315"/>
      <c r="D573" s="315"/>
      <c r="E573" s="317"/>
      <c r="F573" s="318" t="str">
        <f t="shared" si="1"/>
        <v>TP572 -  -  - </v>
      </c>
      <c r="G573" s="319">
        <f>SUMIF('ADV - FB'!L:L,$A573,'ADV - FB'!E:E)</f>
        <v>0</v>
      </c>
      <c r="H573" s="320" t="str">
        <f>IFERROR(SUMIF('ADV - FB'!L:L,$A573,'ADV - FB'!H:H)/(SUMIF('ADV - FB'!L:L,$A573,'ADV - FB'!G:G)),"-")</f>
        <v>-</v>
      </c>
      <c r="I573" s="321" t="str">
        <f>IFERROR(SUMIF('ADV - FB'!L:L,$A573,'ADV - FB'!E:E)/(SUMIF('ADV - FB'!L:L,$A573,'ADV - FB'!F:F)),"-")</f>
        <v>-</v>
      </c>
      <c r="J573" s="315">
        <f>SUMIF('ADV - FB'!L:L,$A573,'ADV - FB'!I:I)+SUMIF('ADV - FB'!L:L,$A573,'ADV - FB'!J:J)+SUMIF('ADV - FB'!L:L,$A573,'ADV - FB'!K:K)</f>
        <v>0</v>
      </c>
      <c r="K573" s="321" t="str">
        <f t="shared" si="2"/>
        <v>-</v>
      </c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ht="15.75" customHeight="1">
      <c r="A574" s="313" t="s">
        <v>843</v>
      </c>
      <c r="B574" s="314"/>
      <c r="C574" s="315"/>
      <c r="D574" s="315"/>
      <c r="E574" s="317"/>
      <c r="F574" s="318" t="str">
        <f t="shared" si="1"/>
        <v>TP573 -  -  - </v>
      </c>
      <c r="G574" s="319">
        <f>SUMIF('ADV - FB'!L:L,$A574,'ADV - FB'!E:E)</f>
        <v>0</v>
      </c>
      <c r="H574" s="320" t="str">
        <f>IFERROR(SUMIF('ADV - FB'!L:L,$A574,'ADV - FB'!H:H)/(SUMIF('ADV - FB'!L:L,$A574,'ADV - FB'!G:G)),"-")</f>
        <v>-</v>
      </c>
      <c r="I574" s="321" t="str">
        <f>IFERROR(SUMIF('ADV - FB'!L:L,$A574,'ADV - FB'!E:E)/(SUMIF('ADV - FB'!L:L,$A574,'ADV - FB'!F:F)),"-")</f>
        <v>-</v>
      </c>
      <c r="J574" s="315">
        <f>SUMIF('ADV - FB'!L:L,$A574,'ADV - FB'!I:I)+SUMIF('ADV - FB'!L:L,$A574,'ADV - FB'!J:J)+SUMIF('ADV - FB'!L:L,$A574,'ADV - FB'!K:K)</f>
        <v>0</v>
      </c>
      <c r="K574" s="321" t="str">
        <f t="shared" si="2"/>
        <v>-</v>
      </c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ht="15.75" customHeight="1">
      <c r="A575" s="313" t="s">
        <v>844</v>
      </c>
      <c r="B575" s="314"/>
      <c r="C575" s="315"/>
      <c r="D575" s="315"/>
      <c r="E575" s="317"/>
      <c r="F575" s="318" t="str">
        <f t="shared" si="1"/>
        <v>TP574 -  -  - </v>
      </c>
      <c r="G575" s="319">
        <f>SUMIF('ADV - FB'!L:L,$A575,'ADV - FB'!E:E)</f>
        <v>0</v>
      </c>
      <c r="H575" s="320" t="str">
        <f>IFERROR(SUMIF('ADV - FB'!L:L,$A575,'ADV - FB'!H:H)/(SUMIF('ADV - FB'!L:L,$A575,'ADV - FB'!G:G)),"-")</f>
        <v>-</v>
      </c>
      <c r="I575" s="321" t="str">
        <f>IFERROR(SUMIF('ADV - FB'!L:L,$A575,'ADV - FB'!E:E)/(SUMIF('ADV - FB'!L:L,$A575,'ADV - FB'!F:F)),"-")</f>
        <v>-</v>
      </c>
      <c r="J575" s="315">
        <f>SUMIF('ADV - FB'!L:L,$A575,'ADV - FB'!I:I)+SUMIF('ADV - FB'!L:L,$A575,'ADV - FB'!J:J)+SUMIF('ADV - FB'!L:L,$A575,'ADV - FB'!K:K)</f>
        <v>0</v>
      </c>
      <c r="K575" s="321" t="str">
        <f t="shared" si="2"/>
        <v>-</v>
      </c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ht="15.75" customHeight="1">
      <c r="A576" s="313" t="s">
        <v>845</v>
      </c>
      <c r="B576" s="314"/>
      <c r="C576" s="315"/>
      <c r="D576" s="315"/>
      <c r="E576" s="317"/>
      <c r="F576" s="318" t="str">
        <f t="shared" si="1"/>
        <v>TP575 -  -  - </v>
      </c>
      <c r="G576" s="319">
        <f>SUMIF('ADV - FB'!L:L,$A576,'ADV - FB'!E:E)</f>
        <v>0</v>
      </c>
      <c r="H576" s="320" t="str">
        <f>IFERROR(SUMIF('ADV - FB'!L:L,$A576,'ADV - FB'!H:H)/(SUMIF('ADV - FB'!L:L,$A576,'ADV - FB'!G:G)),"-")</f>
        <v>-</v>
      </c>
      <c r="I576" s="321" t="str">
        <f>IFERROR(SUMIF('ADV - FB'!L:L,$A576,'ADV - FB'!E:E)/(SUMIF('ADV - FB'!L:L,$A576,'ADV - FB'!F:F)),"-")</f>
        <v>-</v>
      </c>
      <c r="J576" s="315">
        <f>SUMIF('ADV - FB'!L:L,$A576,'ADV - FB'!I:I)+SUMIF('ADV - FB'!L:L,$A576,'ADV - FB'!J:J)+SUMIF('ADV - FB'!L:L,$A576,'ADV - FB'!K:K)</f>
        <v>0</v>
      </c>
      <c r="K576" s="321" t="str">
        <f t="shared" si="2"/>
        <v>-</v>
      </c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ht="15.75" customHeight="1">
      <c r="A577" s="313" t="s">
        <v>846</v>
      </c>
      <c r="B577" s="314"/>
      <c r="C577" s="315"/>
      <c r="D577" s="315"/>
      <c r="E577" s="317"/>
      <c r="F577" s="318" t="str">
        <f t="shared" si="1"/>
        <v>TP576 -  -  - </v>
      </c>
      <c r="G577" s="319">
        <f>SUMIF('ADV - FB'!L:L,$A577,'ADV - FB'!E:E)</f>
        <v>0</v>
      </c>
      <c r="H577" s="320" t="str">
        <f>IFERROR(SUMIF('ADV - FB'!L:L,$A577,'ADV - FB'!H:H)/(SUMIF('ADV - FB'!L:L,$A577,'ADV - FB'!G:G)),"-")</f>
        <v>-</v>
      </c>
      <c r="I577" s="321" t="str">
        <f>IFERROR(SUMIF('ADV - FB'!L:L,$A577,'ADV - FB'!E:E)/(SUMIF('ADV - FB'!L:L,$A577,'ADV - FB'!F:F)),"-")</f>
        <v>-</v>
      </c>
      <c r="J577" s="315">
        <f>SUMIF('ADV - FB'!L:L,$A577,'ADV - FB'!I:I)+SUMIF('ADV - FB'!L:L,$A577,'ADV - FB'!J:J)+SUMIF('ADV - FB'!L:L,$A577,'ADV - FB'!K:K)</f>
        <v>0</v>
      </c>
      <c r="K577" s="321" t="str">
        <f t="shared" si="2"/>
        <v>-</v>
      </c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ht="15.75" customHeight="1">
      <c r="A578" s="313" t="s">
        <v>847</v>
      </c>
      <c r="B578" s="314"/>
      <c r="C578" s="315"/>
      <c r="D578" s="315"/>
      <c r="E578" s="317"/>
      <c r="F578" s="318" t="str">
        <f t="shared" si="1"/>
        <v>TP577 -  -  - </v>
      </c>
      <c r="G578" s="319">
        <f>SUMIF('ADV - FB'!L:L,$A578,'ADV - FB'!E:E)</f>
        <v>0</v>
      </c>
      <c r="H578" s="320" t="str">
        <f>IFERROR(SUMIF('ADV - FB'!L:L,$A578,'ADV - FB'!H:H)/(SUMIF('ADV - FB'!L:L,$A578,'ADV - FB'!G:G)),"-")</f>
        <v>-</v>
      </c>
      <c r="I578" s="321" t="str">
        <f>IFERROR(SUMIF('ADV - FB'!L:L,$A578,'ADV - FB'!E:E)/(SUMIF('ADV - FB'!L:L,$A578,'ADV - FB'!F:F)),"-")</f>
        <v>-</v>
      </c>
      <c r="J578" s="315">
        <f>SUMIF('ADV - FB'!L:L,$A578,'ADV - FB'!I:I)+SUMIF('ADV - FB'!L:L,$A578,'ADV - FB'!J:J)+SUMIF('ADV - FB'!L:L,$A578,'ADV - FB'!K:K)</f>
        <v>0</v>
      </c>
      <c r="K578" s="321" t="str">
        <f t="shared" si="2"/>
        <v>-</v>
      </c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ht="15.75" customHeight="1">
      <c r="A579" s="313" t="s">
        <v>848</v>
      </c>
      <c r="B579" s="314"/>
      <c r="C579" s="315"/>
      <c r="D579" s="315"/>
      <c r="E579" s="317"/>
      <c r="F579" s="318" t="str">
        <f t="shared" si="1"/>
        <v>TP578 -  -  - </v>
      </c>
      <c r="G579" s="319">
        <f>SUMIF('ADV - FB'!L:L,$A579,'ADV - FB'!E:E)</f>
        <v>0</v>
      </c>
      <c r="H579" s="320" t="str">
        <f>IFERROR(SUMIF('ADV - FB'!L:L,$A579,'ADV - FB'!H:H)/(SUMIF('ADV - FB'!L:L,$A579,'ADV - FB'!G:G)),"-")</f>
        <v>-</v>
      </c>
      <c r="I579" s="321" t="str">
        <f>IFERROR(SUMIF('ADV - FB'!L:L,$A579,'ADV - FB'!E:E)/(SUMIF('ADV - FB'!L:L,$A579,'ADV - FB'!F:F)),"-")</f>
        <v>-</v>
      </c>
      <c r="J579" s="315">
        <f>SUMIF('ADV - FB'!L:L,$A579,'ADV - FB'!I:I)+SUMIF('ADV - FB'!L:L,$A579,'ADV - FB'!J:J)+SUMIF('ADV - FB'!L:L,$A579,'ADV - FB'!K:K)</f>
        <v>0</v>
      </c>
      <c r="K579" s="321" t="str">
        <f t="shared" si="2"/>
        <v>-</v>
      </c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ht="15.75" customHeight="1">
      <c r="A580" s="313" t="s">
        <v>849</v>
      </c>
      <c r="B580" s="314"/>
      <c r="C580" s="315"/>
      <c r="D580" s="315"/>
      <c r="E580" s="317"/>
      <c r="F580" s="318" t="str">
        <f t="shared" si="1"/>
        <v>TP579 -  -  - </v>
      </c>
      <c r="G580" s="319">
        <f>SUMIF('ADV - FB'!L:L,$A580,'ADV - FB'!E:E)</f>
        <v>0</v>
      </c>
      <c r="H580" s="320" t="str">
        <f>IFERROR(SUMIF('ADV - FB'!L:L,$A580,'ADV - FB'!H:H)/(SUMIF('ADV - FB'!L:L,$A580,'ADV - FB'!G:G)),"-")</f>
        <v>-</v>
      </c>
      <c r="I580" s="321" t="str">
        <f>IFERROR(SUMIF('ADV - FB'!L:L,$A580,'ADV - FB'!E:E)/(SUMIF('ADV - FB'!L:L,$A580,'ADV - FB'!F:F)),"-")</f>
        <v>-</v>
      </c>
      <c r="J580" s="315">
        <f>SUMIF('ADV - FB'!L:L,$A580,'ADV - FB'!I:I)+SUMIF('ADV - FB'!L:L,$A580,'ADV - FB'!J:J)+SUMIF('ADV - FB'!L:L,$A580,'ADV - FB'!K:K)</f>
        <v>0</v>
      </c>
      <c r="K580" s="321" t="str">
        <f t="shared" si="2"/>
        <v>-</v>
      </c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ht="15.75" customHeight="1">
      <c r="A581" s="313" t="s">
        <v>850</v>
      </c>
      <c r="B581" s="314"/>
      <c r="C581" s="315"/>
      <c r="D581" s="315"/>
      <c r="E581" s="317"/>
      <c r="F581" s="318" t="str">
        <f t="shared" si="1"/>
        <v>TP580 -  -  - </v>
      </c>
      <c r="G581" s="319">
        <f>SUMIF('ADV - FB'!L:L,$A581,'ADV - FB'!E:E)</f>
        <v>0</v>
      </c>
      <c r="H581" s="320" t="str">
        <f>IFERROR(SUMIF('ADV - FB'!L:L,$A581,'ADV - FB'!H:H)/(SUMIF('ADV - FB'!L:L,$A581,'ADV - FB'!G:G)),"-")</f>
        <v>-</v>
      </c>
      <c r="I581" s="321" t="str">
        <f>IFERROR(SUMIF('ADV - FB'!L:L,$A581,'ADV - FB'!E:E)/(SUMIF('ADV - FB'!L:L,$A581,'ADV - FB'!F:F)),"-")</f>
        <v>-</v>
      </c>
      <c r="J581" s="315">
        <f>SUMIF('ADV - FB'!L:L,$A581,'ADV - FB'!I:I)+SUMIF('ADV - FB'!L:L,$A581,'ADV - FB'!J:J)+SUMIF('ADV - FB'!L:L,$A581,'ADV - FB'!K:K)</f>
        <v>0</v>
      </c>
      <c r="K581" s="321" t="str">
        <f t="shared" si="2"/>
        <v>-</v>
      </c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ht="15.75" customHeight="1">
      <c r="A582" s="313" t="s">
        <v>851</v>
      </c>
      <c r="B582" s="314"/>
      <c r="C582" s="315"/>
      <c r="D582" s="315"/>
      <c r="E582" s="317"/>
      <c r="F582" s="318" t="str">
        <f t="shared" si="1"/>
        <v>TP581 -  -  - </v>
      </c>
      <c r="G582" s="319">
        <f>SUMIF('ADV - FB'!L:L,$A582,'ADV - FB'!E:E)</f>
        <v>0</v>
      </c>
      <c r="H582" s="320" t="str">
        <f>IFERROR(SUMIF('ADV - FB'!L:L,$A582,'ADV - FB'!H:H)/(SUMIF('ADV - FB'!L:L,$A582,'ADV - FB'!G:G)),"-")</f>
        <v>-</v>
      </c>
      <c r="I582" s="321" t="str">
        <f>IFERROR(SUMIF('ADV - FB'!L:L,$A582,'ADV - FB'!E:E)/(SUMIF('ADV - FB'!L:L,$A582,'ADV - FB'!F:F)),"-")</f>
        <v>-</v>
      </c>
      <c r="J582" s="315">
        <f>SUMIF('ADV - FB'!L:L,$A582,'ADV - FB'!I:I)+SUMIF('ADV - FB'!L:L,$A582,'ADV - FB'!J:J)+SUMIF('ADV - FB'!L:L,$A582,'ADV - FB'!K:K)</f>
        <v>0</v>
      </c>
      <c r="K582" s="321" t="str">
        <f t="shared" si="2"/>
        <v>-</v>
      </c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ht="15.75" customHeight="1">
      <c r="A583" s="313" t="s">
        <v>852</v>
      </c>
      <c r="B583" s="314"/>
      <c r="C583" s="315"/>
      <c r="D583" s="315"/>
      <c r="E583" s="317"/>
      <c r="F583" s="318" t="str">
        <f t="shared" si="1"/>
        <v>TP582 -  -  - </v>
      </c>
      <c r="G583" s="319">
        <f>SUMIF('ADV - FB'!L:L,$A583,'ADV - FB'!E:E)</f>
        <v>0</v>
      </c>
      <c r="H583" s="320" t="str">
        <f>IFERROR(SUMIF('ADV - FB'!L:L,$A583,'ADV - FB'!H:H)/(SUMIF('ADV - FB'!L:L,$A583,'ADV - FB'!G:G)),"-")</f>
        <v>-</v>
      </c>
      <c r="I583" s="321" t="str">
        <f>IFERROR(SUMIF('ADV - FB'!L:L,$A583,'ADV - FB'!E:E)/(SUMIF('ADV - FB'!L:L,$A583,'ADV - FB'!F:F)),"-")</f>
        <v>-</v>
      </c>
      <c r="J583" s="315">
        <f>SUMIF('ADV - FB'!L:L,$A583,'ADV - FB'!I:I)+SUMIF('ADV - FB'!L:L,$A583,'ADV - FB'!J:J)+SUMIF('ADV - FB'!L:L,$A583,'ADV - FB'!K:K)</f>
        <v>0</v>
      </c>
      <c r="K583" s="321" t="str">
        <f t="shared" si="2"/>
        <v>-</v>
      </c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ht="15.75" customHeight="1">
      <c r="A584" s="313" t="s">
        <v>853</v>
      </c>
      <c r="B584" s="314"/>
      <c r="C584" s="315"/>
      <c r="D584" s="315"/>
      <c r="E584" s="317"/>
      <c r="F584" s="318" t="str">
        <f t="shared" si="1"/>
        <v>TP583 -  -  - </v>
      </c>
      <c r="G584" s="319">
        <f>SUMIF('ADV - FB'!L:L,$A584,'ADV - FB'!E:E)</f>
        <v>0</v>
      </c>
      <c r="H584" s="320" t="str">
        <f>IFERROR(SUMIF('ADV - FB'!L:L,$A584,'ADV - FB'!H:H)/(SUMIF('ADV - FB'!L:L,$A584,'ADV - FB'!G:G)),"-")</f>
        <v>-</v>
      </c>
      <c r="I584" s="321" t="str">
        <f>IFERROR(SUMIF('ADV - FB'!L:L,$A584,'ADV - FB'!E:E)/(SUMIF('ADV - FB'!L:L,$A584,'ADV - FB'!F:F)),"-")</f>
        <v>-</v>
      </c>
      <c r="J584" s="315">
        <f>SUMIF('ADV - FB'!L:L,$A584,'ADV - FB'!I:I)+SUMIF('ADV - FB'!L:L,$A584,'ADV - FB'!J:J)+SUMIF('ADV - FB'!L:L,$A584,'ADV - FB'!K:K)</f>
        <v>0</v>
      </c>
      <c r="K584" s="321" t="str">
        <f t="shared" si="2"/>
        <v>-</v>
      </c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ht="15.75" customHeight="1">
      <c r="A585" s="313" t="s">
        <v>854</v>
      </c>
      <c r="B585" s="314"/>
      <c r="C585" s="315"/>
      <c r="D585" s="315"/>
      <c r="E585" s="317"/>
      <c r="F585" s="318" t="str">
        <f t="shared" si="1"/>
        <v>TP584 -  -  - </v>
      </c>
      <c r="G585" s="319">
        <f>SUMIF('ADV - FB'!L:L,$A585,'ADV - FB'!E:E)</f>
        <v>0</v>
      </c>
      <c r="H585" s="320" t="str">
        <f>IFERROR(SUMIF('ADV - FB'!L:L,$A585,'ADV - FB'!H:H)/(SUMIF('ADV - FB'!L:L,$A585,'ADV - FB'!G:G)),"-")</f>
        <v>-</v>
      </c>
      <c r="I585" s="321" t="str">
        <f>IFERROR(SUMIF('ADV - FB'!L:L,$A585,'ADV - FB'!E:E)/(SUMIF('ADV - FB'!L:L,$A585,'ADV - FB'!F:F)),"-")</f>
        <v>-</v>
      </c>
      <c r="J585" s="315">
        <f>SUMIF('ADV - FB'!L:L,$A585,'ADV - FB'!I:I)+SUMIF('ADV - FB'!L:L,$A585,'ADV - FB'!J:J)+SUMIF('ADV - FB'!L:L,$A585,'ADV - FB'!K:K)</f>
        <v>0</v>
      </c>
      <c r="K585" s="321" t="str">
        <f t="shared" si="2"/>
        <v>-</v>
      </c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ht="15.75" customHeight="1">
      <c r="A586" s="313" t="s">
        <v>855</v>
      </c>
      <c r="B586" s="314"/>
      <c r="C586" s="315"/>
      <c r="D586" s="315"/>
      <c r="E586" s="317"/>
      <c r="F586" s="318" t="str">
        <f t="shared" si="1"/>
        <v>TP585 -  -  - </v>
      </c>
      <c r="G586" s="319">
        <f>SUMIF('ADV - FB'!L:L,$A586,'ADV - FB'!E:E)</f>
        <v>0</v>
      </c>
      <c r="H586" s="320" t="str">
        <f>IFERROR(SUMIF('ADV - FB'!L:L,$A586,'ADV - FB'!H:H)/(SUMIF('ADV - FB'!L:L,$A586,'ADV - FB'!G:G)),"-")</f>
        <v>-</v>
      </c>
      <c r="I586" s="321" t="str">
        <f>IFERROR(SUMIF('ADV - FB'!L:L,$A586,'ADV - FB'!E:E)/(SUMIF('ADV - FB'!L:L,$A586,'ADV - FB'!F:F)),"-")</f>
        <v>-</v>
      </c>
      <c r="J586" s="315">
        <f>SUMIF('ADV - FB'!L:L,$A586,'ADV - FB'!I:I)+SUMIF('ADV - FB'!L:L,$A586,'ADV - FB'!J:J)+SUMIF('ADV - FB'!L:L,$A586,'ADV - FB'!K:K)</f>
        <v>0</v>
      </c>
      <c r="K586" s="321" t="str">
        <f t="shared" si="2"/>
        <v>-</v>
      </c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ht="15.75" customHeight="1">
      <c r="A587" s="313" t="s">
        <v>856</v>
      </c>
      <c r="B587" s="314"/>
      <c r="C587" s="315"/>
      <c r="D587" s="315"/>
      <c r="E587" s="317"/>
      <c r="F587" s="318" t="str">
        <f t="shared" si="1"/>
        <v>TP586 -  -  - </v>
      </c>
      <c r="G587" s="319">
        <f>SUMIF('ADV - FB'!L:L,$A587,'ADV - FB'!E:E)</f>
        <v>0</v>
      </c>
      <c r="H587" s="320" t="str">
        <f>IFERROR(SUMIF('ADV - FB'!L:L,$A587,'ADV - FB'!H:H)/(SUMIF('ADV - FB'!L:L,$A587,'ADV - FB'!G:G)),"-")</f>
        <v>-</v>
      </c>
      <c r="I587" s="321" t="str">
        <f>IFERROR(SUMIF('ADV - FB'!L:L,$A587,'ADV - FB'!E:E)/(SUMIF('ADV - FB'!L:L,$A587,'ADV - FB'!F:F)),"-")</f>
        <v>-</v>
      </c>
      <c r="J587" s="315">
        <f>SUMIF('ADV - FB'!L:L,$A587,'ADV - FB'!I:I)+SUMIF('ADV - FB'!L:L,$A587,'ADV - FB'!J:J)+SUMIF('ADV - FB'!L:L,$A587,'ADV - FB'!K:K)</f>
        <v>0</v>
      </c>
      <c r="K587" s="321" t="str">
        <f t="shared" si="2"/>
        <v>-</v>
      </c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ht="15.75" customHeight="1">
      <c r="A588" s="313" t="s">
        <v>857</v>
      </c>
      <c r="B588" s="314"/>
      <c r="C588" s="315"/>
      <c r="D588" s="315"/>
      <c r="E588" s="317"/>
      <c r="F588" s="318" t="str">
        <f t="shared" si="1"/>
        <v>TP587 -  -  - </v>
      </c>
      <c r="G588" s="319">
        <f>SUMIF('ADV - FB'!L:L,$A588,'ADV - FB'!E:E)</f>
        <v>0</v>
      </c>
      <c r="H588" s="320" t="str">
        <f>IFERROR(SUMIF('ADV - FB'!L:L,$A588,'ADV - FB'!H:H)/(SUMIF('ADV - FB'!L:L,$A588,'ADV - FB'!G:G)),"-")</f>
        <v>-</v>
      </c>
      <c r="I588" s="321" t="str">
        <f>IFERROR(SUMIF('ADV - FB'!L:L,$A588,'ADV - FB'!E:E)/(SUMIF('ADV - FB'!L:L,$A588,'ADV - FB'!F:F)),"-")</f>
        <v>-</v>
      </c>
      <c r="J588" s="315">
        <f>SUMIF('ADV - FB'!L:L,$A588,'ADV - FB'!I:I)+SUMIF('ADV - FB'!L:L,$A588,'ADV - FB'!J:J)+SUMIF('ADV - FB'!L:L,$A588,'ADV - FB'!K:K)</f>
        <v>0</v>
      </c>
      <c r="K588" s="321" t="str">
        <f t="shared" si="2"/>
        <v>-</v>
      </c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ht="15.75" customHeight="1">
      <c r="A589" s="313" t="s">
        <v>858</v>
      </c>
      <c r="B589" s="314"/>
      <c r="C589" s="315"/>
      <c r="D589" s="315"/>
      <c r="E589" s="317"/>
      <c r="F589" s="318" t="str">
        <f t="shared" si="1"/>
        <v>TP588 -  -  - </v>
      </c>
      <c r="G589" s="319">
        <f>SUMIF('ADV - FB'!L:L,$A589,'ADV - FB'!E:E)</f>
        <v>0</v>
      </c>
      <c r="H589" s="320" t="str">
        <f>IFERROR(SUMIF('ADV - FB'!L:L,$A589,'ADV - FB'!H:H)/(SUMIF('ADV - FB'!L:L,$A589,'ADV - FB'!G:G)),"-")</f>
        <v>-</v>
      </c>
      <c r="I589" s="321" t="str">
        <f>IFERROR(SUMIF('ADV - FB'!L:L,$A589,'ADV - FB'!E:E)/(SUMIF('ADV - FB'!L:L,$A589,'ADV - FB'!F:F)),"-")</f>
        <v>-</v>
      </c>
      <c r="J589" s="315">
        <f>SUMIF('ADV - FB'!L:L,$A589,'ADV - FB'!I:I)+SUMIF('ADV - FB'!L:L,$A589,'ADV - FB'!J:J)+SUMIF('ADV - FB'!L:L,$A589,'ADV - FB'!K:K)</f>
        <v>0</v>
      </c>
      <c r="K589" s="321" t="str">
        <f t="shared" si="2"/>
        <v>-</v>
      </c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ht="15.75" customHeight="1">
      <c r="A590" s="313" t="s">
        <v>859</v>
      </c>
      <c r="B590" s="314"/>
      <c r="C590" s="315"/>
      <c r="D590" s="315"/>
      <c r="E590" s="317"/>
      <c r="F590" s="318" t="str">
        <f t="shared" si="1"/>
        <v>TP589 -  -  - </v>
      </c>
      <c r="G590" s="319">
        <f>SUMIF('ADV - FB'!L:L,$A590,'ADV - FB'!E:E)</f>
        <v>0</v>
      </c>
      <c r="H590" s="320" t="str">
        <f>IFERROR(SUMIF('ADV - FB'!L:L,$A590,'ADV - FB'!H:H)/(SUMIF('ADV - FB'!L:L,$A590,'ADV - FB'!G:G)),"-")</f>
        <v>-</v>
      </c>
      <c r="I590" s="321" t="str">
        <f>IFERROR(SUMIF('ADV - FB'!L:L,$A590,'ADV - FB'!E:E)/(SUMIF('ADV - FB'!L:L,$A590,'ADV - FB'!F:F)),"-")</f>
        <v>-</v>
      </c>
      <c r="J590" s="315">
        <f>SUMIF('ADV - FB'!L:L,$A590,'ADV - FB'!I:I)+SUMIF('ADV - FB'!L:L,$A590,'ADV - FB'!J:J)+SUMIF('ADV - FB'!L:L,$A590,'ADV - FB'!K:K)</f>
        <v>0</v>
      </c>
      <c r="K590" s="321" t="str">
        <f t="shared" si="2"/>
        <v>-</v>
      </c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ht="15.75" customHeight="1">
      <c r="A591" s="313" t="s">
        <v>860</v>
      </c>
      <c r="B591" s="314"/>
      <c r="C591" s="315"/>
      <c r="D591" s="315"/>
      <c r="E591" s="317"/>
      <c r="F591" s="318" t="str">
        <f t="shared" si="1"/>
        <v>TP590 -  -  - </v>
      </c>
      <c r="G591" s="319">
        <f>SUMIF('ADV - FB'!L:L,$A591,'ADV - FB'!E:E)</f>
        <v>0</v>
      </c>
      <c r="H591" s="320" t="str">
        <f>IFERROR(SUMIF('ADV - FB'!L:L,$A591,'ADV - FB'!H:H)/(SUMIF('ADV - FB'!L:L,$A591,'ADV - FB'!G:G)),"-")</f>
        <v>-</v>
      </c>
      <c r="I591" s="321" t="str">
        <f>IFERROR(SUMIF('ADV - FB'!L:L,$A591,'ADV - FB'!E:E)/(SUMIF('ADV - FB'!L:L,$A591,'ADV - FB'!F:F)),"-")</f>
        <v>-</v>
      </c>
      <c r="J591" s="315">
        <f>SUMIF('ADV - FB'!L:L,$A591,'ADV - FB'!I:I)+SUMIF('ADV - FB'!L:L,$A591,'ADV - FB'!J:J)+SUMIF('ADV - FB'!L:L,$A591,'ADV - FB'!K:K)</f>
        <v>0</v>
      </c>
      <c r="K591" s="321" t="str">
        <f t="shared" si="2"/>
        <v>-</v>
      </c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ht="15.75" customHeight="1">
      <c r="A592" s="313" t="s">
        <v>861</v>
      </c>
      <c r="B592" s="314"/>
      <c r="C592" s="315"/>
      <c r="D592" s="315"/>
      <c r="E592" s="317"/>
      <c r="F592" s="318" t="str">
        <f t="shared" si="1"/>
        <v>TP591 -  -  - </v>
      </c>
      <c r="G592" s="319">
        <f>SUMIF('ADV - FB'!L:L,$A592,'ADV - FB'!E:E)</f>
        <v>0</v>
      </c>
      <c r="H592" s="320" t="str">
        <f>IFERROR(SUMIF('ADV - FB'!L:L,$A592,'ADV - FB'!H:H)/(SUMIF('ADV - FB'!L:L,$A592,'ADV - FB'!G:G)),"-")</f>
        <v>-</v>
      </c>
      <c r="I592" s="321" t="str">
        <f>IFERROR(SUMIF('ADV - FB'!L:L,$A592,'ADV - FB'!E:E)/(SUMIF('ADV - FB'!L:L,$A592,'ADV - FB'!F:F)),"-")</f>
        <v>-</v>
      </c>
      <c r="J592" s="315">
        <f>SUMIF('ADV - FB'!L:L,$A592,'ADV - FB'!I:I)+SUMIF('ADV - FB'!L:L,$A592,'ADV - FB'!J:J)+SUMIF('ADV - FB'!L:L,$A592,'ADV - FB'!K:K)</f>
        <v>0</v>
      </c>
      <c r="K592" s="321" t="str">
        <f t="shared" si="2"/>
        <v>-</v>
      </c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ht="15.75" customHeight="1">
      <c r="A593" s="313" t="s">
        <v>862</v>
      </c>
      <c r="B593" s="314"/>
      <c r="C593" s="315"/>
      <c r="D593" s="315"/>
      <c r="E593" s="317"/>
      <c r="F593" s="318" t="str">
        <f t="shared" si="1"/>
        <v>TP592 -  -  - </v>
      </c>
      <c r="G593" s="319">
        <f>SUMIF('ADV - FB'!L:L,$A593,'ADV - FB'!E:E)</f>
        <v>0</v>
      </c>
      <c r="H593" s="320" t="str">
        <f>IFERROR(SUMIF('ADV - FB'!L:L,$A593,'ADV - FB'!H:H)/(SUMIF('ADV - FB'!L:L,$A593,'ADV - FB'!G:G)),"-")</f>
        <v>-</v>
      </c>
      <c r="I593" s="321" t="str">
        <f>IFERROR(SUMIF('ADV - FB'!L:L,$A593,'ADV - FB'!E:E)/(SUMIF('ADV - FB'!L:L,$A593,'ADV - FB'!F:F)),"-")</f>
        <v>-</v>
      </c>
      <c r="J593" s="315">
        <f>SUMIF('ADV - FB'!L:L,$A593,'ADV - FB'!I:I)+SUMIF('ADV - FB'!L:L,$A593,'ADV - FB'!J:J)+SUMIF('ADV - FB'!L:L,$A593,'ADV - FB'!K:K)</f>
        <v>0</v>
      </c>
      <c r="K593" s="321" t="str">
        <f t="shared" si="2"/>
        <v>-</v>
      </c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ht="15.75" customHeight="1">
      <c r="A594" s="313" t="s">
        <v>863</v>
      </c>
      <c r="B594" s="314"/>
      <c r="C594" s="315"/>
      <c r="D594" s="315"/>
      <c r="E594" s="317"/>
      <c r="F594" s="318" t="str">
        <f t="shared" si="1"/>
        <v>TP593 -  -  - </v>
      </c>
      <c r="G594" s="319">
        <f>SUMIF('ADV - FB'!L:L,$A594,'ADV - FB'!E:E)</f>
        <v>0</v>
      </c>
      <c r="H594" s="320" t="str">
        <f>IFERROR(SUMIF('ADV - FB'!L:L,$A594,'ADV - FB'!H:H)/(SUMIF('ADV - FB'!L:L,$A594,'ADV - FB'!G:G)),"-")</f>
        <v>-</v>
      </c>
      <c r="I594" s="321" t="str">
        <f>IFERROR(SUMIF('ADV - FB'!L:L,$A594,'ADV - FB'!E:E)/(SUMIF('ADV - FB'!L:L,$A594,'ADV - FB'!F:F)),"-")</f>
        <v>-</v>
      </c>
      <c r="J594" s="315">
        <f>SUMIF('ADV - FB'!L:L,$A594,'ADV - FB'!I:I)+SUMIF('ADV - FB'!L:L,$A594,'ADV - FB'!J:J)+SUMIF('ADV - FB'!L:L,$A594,'ADV - FB'!K:K)</f>
        <v>0</v>
      </c>
      <c r="K594" s="321" t="str">
        <f t="shared" si="2"/>
        <v>-</v>
      </c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ht="15.75" customHeight="1">
      <c r="A595" s="313" t="s">
        <v>864</v>
      </c>
      <c r="B595" s="314"/>
      <c r="C595" s="315"/>
      <c r="D595" s="315"/>
      <c r="E595" s="317"/>
      <c r="F595" s="318" t="str">
        <f t="shared" si="1"/>
        <v>TP594 -  -  - </v>
      </c>
      <c r="G595" s="319">
        <f>SUMIF('ADV - FB'!L:L,$A595,'ADV - FB'!E:E)</f>
        <v>0</v>
      </c>
      <c r="H595" s="320" t="str">
        <f>IFERROR(SUMIF('ADV - FB'!L:L,$A595,'ADV - FB'!H:H)/(SUMIF('ADV - FB'!L:L,$A595,'ADV - FB'!G:G)),"-")</f>
        <v>-</v>
      </c>
      <c r="I595" s="321" t="str">
        <f>IFERROR(SUMIF('ADV - FB'!L:L,$A595,'ADV - FB'!E:E)/(SUMIF('ADV - FB'!L:L,$A595,'ADV - FB'!F:F)),"-")</f>
        <v>-</v>
      </c>
      <c r="J595" s="315">
        <f>SUMIF('ADV - FB'!L:L,$A595,'ADV - FB'!I:I)+SUMIF('ADV - FB'!L:L,$A595,'ADV - FB'!J:J)+SUMIF('ADV - FB'!L:L,$A595,'ADV - FB'!K:K)</f>
        <v>0</v>
      </c>
      <c r="K595" s="321" t="str">
        <f t="shared" si="2"/>
        <v>-</v>
      </c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ht="15.75" customHeight="1">
      <c r="A596" s="313" t="s">
        <v>865</v>
      </c>
      <c r="B596" s="314"/>
      <c r="C596" s="315"/>
      <c r="D596" s="315"/>
      <c r="E596" s="317"/>
      <c r="F596" s="318" t="str">
        <f t="shared" si="1"/>
        <v>TP595 -  -  - </v>
      </c>
      <c r="G596" s="319">
        <f>SUMIF('ADV - FB'!L:L,$A596,'ADV - FB'!E:E)</f>
        <v>0</v>
      </c>
      <c r="H596" s="320" t="str">
        <f>IFERROR(SUMIF('ADV - FB'!L:L,$A596,'ADV - FB'!H:H)/(SUMIF('ADV - FB'!L:L,$A596,'ADV - FB'!G:G)),"-")</f>
        <v>-</v>
      </c>
      <c r="I596" s="321" t="str">
        <f>IFERROR(SUMIF('ADV - FB'!L:L,$A596,'ADV - FB'!E:E)/(SUMIF('ADV - FB'!L:L,$A596,'ADV - FB'!F:F)),"-")</f>
        <v>-</v>
      </c>
      <c r="J596" s="315">
        <f>SUMIF('ADV - FB'!L:L,$A596,'ADV - FB'!I:I)+SUMIF('ADV - FB'!L:L,$A596,'ADV - FB'!J:J)+SUMIF('ADV - FB'!L:L,$A596,'ADV - FB'!K:K)</f>
        <v>0</v>
      </c>
      <c r="K596" s="321" t="str">
        <f t="shared" si="2"/>
        <v>-</v>
      </c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ht="15.75" customHeight="1">
      <c r="A597" s="313" t="s">
        <v>866</v>
      </c>
      <c r="B597" s="314"/>
      <c r="C597" s="315"/>
      <c r="D597" s="315"/>
      <c r="E597" s="317"/>
      <c r="F597" s="318" t="str">
        <f t="shared" si="1"/>
        <v>TP596 -  -  - </v>
      </c>
      <c r="G597" s="319">
        <f>SUMIF('ADV - FB'!L:L,$A597,'ADV - FB'!E:E)</f>
        <v>0</v>
      </c>
      <c r="H597" s="320" t="str">
        <f>IFERROR(SUMIF('ADV - FB'!L:L,$A597,'ADV - FB'!H:H)/(SUMIF('ADV - FB'!L:L,$A597,'ADV - FB'!G:G)),"-")</f>
        <v>-</v>
      </c>
      <c r="I597" s="321" t="str">
        <f>IFERROR(SUMIF('ADV - FB'!L:L,$A597,'ADV - FB'!E:E)/(SUMIF('ADV - FB'!L:L,$A597,'ADV - FB'!F:F)),"-")</f>
        <v>-</v>
      </c>
      <c r="J597" s="315">
        <f>SUMIF('ADV - FB'!L:L,$A597,'ADV - FB'!I:I)+SUMIF('ADV - FB'!L:L,$A597,'ADV - FB'!J:J)+SUMIF('ADV - FB'!L:L,$A597,'ADV - FB'!K:K)</f>
        <v>0</v>
      </c>
      <c r="K597" s="321" t="str">
        <f t="shared" si="2"/>
        <v>-</v>
      </c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ht="15.75" customHeight="1">
      <c r="A598" s="313" t="s">
        <v>867</v>
      </c>
      <c r="B598" s="314"/>
      <c r="C598" s="315"/>
      <c r="D598" s="315"/>
      <c r="E598" s="317"/>
      <c r="F598" s="318" t="str">
        <f t="shared" si="1"/>
        <v>TP597 -  -  - </v>
      </c>
      <c r="G598" s="319">
        <f>SUMIF('ADV - FB'!L:L,$A598,'ADV - FB'!E:E)</f>
        <v>0</v>
      </c>
      <c r="H598" s="320" t="str">
        <f>IFERROR(SUMIF('ADV - FB'!L:L,$A598,'ADV - FB'!H:H)/(SUMIF('ADV - FB'!L:L,$A598,'ADV - FB'!G:G)),"-")</f>
        <v>-</v>
      </c>
      <c r="I598" s="321" t="str">
        <f>IFERROR(SUMIF('ADV - FB'!L:L,$A598,'ADV - FB'!E:E)/(SUMIF('ADV - FB'!L:L,$A598,'ADV - FB'!F:F)),"-")</f>
        <v>-</v>
      </c>
      <c r="J598" s="315">
        <f>SUMIF('ADV - FB'!L:L,$A598,'ADV - FB'!I:I)+SUMIF('ADV - FB'!L:L,$A598,'ADV - FB'!J:J)+SUMIF('ADV - FB'!L:L,$A598,'ADV - FB'!K:K)</f>
        <v>0</v>
      </c>
      <c r="K598" s="321" t="str">
        <f t="shared" si="2"/>
        <v>-</v>
      </c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ht="15.75" customHeight="1">
      <c r="A599" s="313" t="s">
        <v>868</v>
      </c>
      <c r="B599" s="314"/>
      <c r="C599" s="315"/>
      <c r="D599" s="315"/>
      <c r="E599" s="317"/>
      <c r="F599" s="318" t="str">
        <f t="shared" si="1"/>
        <v>TP598 -  -  - </v>
      </c>
      <c r="G599" s="319">
        <f>SUMIF('ADV - FB'!L:L,$A599,'ADV - FB'!E:E)</f>
        <v>0</v>
      </c>
      <c r="H599" s="320" t="str">
        <f>IFERROR(SUMIF('ADV - FB'!L:L,$A599,'ADV - FB'!H:H)/(SUMIF('ADV - FB'!L:L,$A599,'ADV - FB'!G:G)),"-")</f>
        <v>-</v>
      </c>
      <c r="I599" s="321" t="str">
        <f>IFERROR(SUMIF('ADV - FB'!L:L,$A599,'ADV - FB'!E:E)/(SUMIF('ADV - FB'!L:L,$A599,'ADV - FB'!F:F)),"-")</f>
        <v>-</v>
      </c>
      <c r="J599" s="315">
        <f>SUMIF('ADV - FB'!L:L,$A599,'ADV - FB'!I:I)+SUMIF('ADV - FB'!L:L,$A599,'ADV - FB'!J:J)+SUMIF('ADV - FB'!L:L,$A599,'ADV - FB'!K:K)</f>
        <v>0</v>
      </c>
      <c r="K599" s="321" t="str">
        <f t="shared" si="2"/>
        <v>-</v>
      </c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ht="15.75" customHeight="1">
      <c r="A600" s="313" t="s">
        <v>869</v>
      </c>
      <c r="B600" s="314"/>
      <c r="C600" s="315"/>
      <c r="D600" s="315"/>
      <c r="E600" s="317"/>
      <c r="F600" s="318" t="str">
        <f t="shared" si="1"/>
        <v>TP599 -  -  - </v>
      </c>
      <c r="G600" s="319">
        <f>SUMIF('ADV - FB'!L:L,$A600,'ADV - FB'!E:E)</f>
        <v>0</v>
      </c>
      <c r="H600" s="320" t="str">
        <f>IFERROR(SUMIF('ADV - FB'!L:L,$A600,'ADV - FB'!H:H)/(SUMIF('ADV - FB'!L:L,$A600,'ADV - FB'!G:G)),"-")</f>
        <v>-</v>
      </c>
      <c r="I600" s="321" t="str">
        <f>IFERROR(SUMIF('ADV - FB'!L:L,$A600,'ADV - FB'!E:E)/(SUMIF('ADV - FB'!L:L,$A600,'ADV - FB'!F:F)),"-")</f>
        <v>-</v>
      </c>
      <c r="J600" s="315">
        <f>SUMIF('ADV - FB'!L:L,$A600,'ADV - FB'!I:I)+SUMIF('ADV - FB'!L:L,$A600,'ADV - FB'!J:J)+SUMIF('ADV - FB'!L:L,$A600,'ADV - FB'!K:K)</f>
        <v>0</v>
      </c>
      <c r="K600" s="321" t="str">
        <f t="shared" si="2"/>
        <v>-</v>
      </c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ht="15.75" customHeight="1">
      <c r="A601" s="313" t="s">
        <v>870</v>
      </c>
      <c r="B601" s="314"/>
      <c r="C601" s="315"/>
      <c r="D601" s="315"/>
      <c r="E601" s="317"/>
      <c r="F601" s="318" t="str">
        <f t="shared" si="1"/>
        <v>TP600 -  -  - </v>
      </c>
      <c r="G601" s="319">
        <f>SUMIF('ADV - FB'!L:L,$A601,'ADV - FB'!E:E)</f>
        <v>0</v>
      </c>
      <c r="H601" s="320" t="str">
        <f>IFERROR(SUMIF('ADV - FB'!L:L,$A601,'ADV - FB'!H:H)/(SUMIF('ADV - FB'!L:L,$A601,'ADV - FB'!G:G)),"-")</f>
        <v>-</v>
      </c>
      <c r="I601" s="321" t="str">
        <f>IFERROR(SUMIF('ADV - FB'!L:L,$A601,'ADV - FB'!E:E)/(SUMIF('ADV - FB'!L:L,$A601,'ADV - FB'!F:F)),"-")</f>
        <v>-</v>
      </c>
      <c r="J601" s="315">
        <f>SUMIF('ADV - FB'!L:L,$A601,'ADV - FB'!I:I)+SUMIF('ADV - FB'!L:L,$A601,'ADV - FB'!J:J)+SUMIF('ADV - FB'!L:L,$A601,'ADV - FB'!K:K)</f>
        <v>0</v>
      </c>
      <c r="K601" s="321" t="str">
        <f t="shared" si="2"/>
        <v>-</v>
      </c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ht="15.75" customHeight="1">
      <c r="A602" s="313" t="s">
        <v>871</v>
      </c>
      <c r="B602" s="314"/>
      <c r="C602" s="315"/>
      <c r="D602" s="315"/>
      <c r="E602" s="317"/>
      <c r="F602" s="318" t="str">
        <f t="shared" si="1"/>
        <v>TP601 -  -  - </v>
      </c>
      <c r="G602" s="319">
        <f>SUMIF('ADV - FB'!L:L,$A602,'ADV - FB'!E:E)</f>
        <v>0</v>
      </c>
      <c r="H602" s="320" t="str">
        <f>IFERROR(SUMIF('ADV - FB'!L:L,$A602,'ADV - FB'!H:H)/(SUMIF('ADV - FB'!L:L,$A602,'ADV - FB'!G:G)),"-")</f>
        <v>-</v>
      </c>
      <c r="I602" s="321" t="str">
        <f>IFERROR(SUMIF('ADV - FB'!L:L,$A602,'ADV - FB'!E:E)/(SUMIF('ADV - FB'!L:L,$A602,'ADV - FB'!F:F)),"-")</f>
        <v>-</v>
      </c>
      <c r="J602" s="315">
        <f>SUMIF('ADV - FB'!L:L,$A602,'ADV - FB'!I:I)+SUMIF('ADV - FB'!L:L,$A602,'ADV - FB'!J:J)+SUMIF('ADV - FB'!L:L,$A602,'ADV - FB'!K:K)</f>
        <v>0</v>
      </c>
      <c r="K602" s="321" t="str">
        <f t="shared" si="2"/>
        <v>-</v>
      </c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ht="15.75" customHeight="1">
      <c r="A603" s="313" t="s">
        <v>872</v>
      </c>
      <c r="B603" s="314"/>
      <c r="C603" s="315"/>
      <c r="D603" s="315"/>
      <c r="E603" s="317"/>
      <c r="F603" s="318" t="str">
        <f t="shared" si="1"/>
        <v>TP602 -  -  - </v>
      </c>
      <c r="G603" s="319">
        <f>SUMIF('ADV - FB'!L:L,$A603,'ADV - FB'!E:E)</f>
        <v>0</v>
      </c>
      <c r="H603" s="320" t="str">
        <f>IFERROR(SUMIF('ADV - FB'!L:L,$A603,'ADV - FB'!H:H)/(SUMIF('ADV - FB'!L:L,$A603,'ADV - FB'!G:G)),"-")</f>
        <v>-</v>
      </c>
      <c r="I603" s="321" t="str">
        <f>IFERROR(SUMIF('ADV - FB'!L:L,$A603,'ADV - FB'!E:E)/(SUMIF('ADV - FB'!L:L,$A603,'ADV - FB'!F:F)),"-")</f>
        <v>-</v>
      </c>
      <c r="J603" s="315">
        <f>SUMIF('ADV - FB'!L:L,$A603,'ADV - FB'!I:I)+SUMIF('ADV - FB'!L:L,$A603,'ADV - FB'!J:J)+SUMIF('ADV - FB'!L:L,$A603,'ADV - FB'!K:K)</f>
        <v>0</v>
      </c>
      <c r="K603" s="321" t="str">
        <f t="shared" si="2"/>
        <v>-</v>
      </c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ht="15.75" customHeight="1">
      <c r="A604" s="313" t="s">
        <v>873</v>
      </c>
      <c r="B604" s="314"/>
      <c r="C604" s="315"/>
      <c r="D604" s="315"/>
      <c r="E604" s="317"/>
      <c r="F604" s="318" t="str">
        <f t="shared" si="1"/>
        <v>TP603 -  -  - </v>
      </c>
      <c r="G604" s="319">
        <f>SUMIF('ADV - FB'!L:L,$A604,'ADV - FB'!E:E)</f>
        <v>0</v>
      </c>
      <c r="H604" s="320" t="str">
        <f>IFERROR(SUMIF('ADV - FB'!L:L,$A604,'ADV - FB'!H:H)/(SUMIF('ADV - FB'!L:L,$A604,'ADV - FB'!G:G)),"-")</f>
        <v>-</v>
      </c>
      <c r="I604" s="321" t="str">
        <f>IFERROR(SUMIF('ADV - FB'!L:L,$A604,'ADV - FB'!E:E)/(SUMIF('ADV - FB'!L:L,$A604,'ADV - FB'!F:F)),"-")</f>
        <v>-</v>
      </c>
      <c r="J604" s="315">
        <f>SUMIF('ADV - FB'!L:L,$A604,'ADV - FB'!I:I)+SUMIF('ADV - FB'!L:L,$A604,'ADV - FB'!J:J)+SUMIF('ADV - FB'!L:L,$A604,'ADV - FB'!K:K)</f>
        <v>0</v>
      </c>
      <c r="K604" s="321" t="str">
        <f t="shared" si="2"/>
        <v>-</v>
      </c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ht="15.75" customHeight="1">
      <c r="A605" s="313" t="s">
        <v>874</v>
      </c>
      <c r="B605" s="314"/>
      <c r="C605" s="315"/>
      <c r="D605" s="315"/>
      <c r="E605" s="317"/>
      <c r="F605" s="318" t="str">
        <f t="shared" si="1"/>
        <v>TP604 -  -  - </v>
      </c>
      <c r="G605" s="319">
        <f>SUMIF('ADV - FB'!L:L,$A605,'ADV - FB'!E:E)</f>
        <v>0</v>
      </c>
      <c r="H605" s="320" t="str">
        <f>IFERROR(SUMIF('ADV - FB'!L:L,$A605,'ADV - FB'!H:H)/(SUMIF('ADV - FB'!L:L,$A605,'ADV - FB'!G:G)),"-")</f>
        <v>-</v>
      </c>
      <c r="I605" s="321" t="str">
        <f>IFERROR(SUMIF('ADV - FB'!L:L,$A605,'ADV - FB'!E:E)/(SUMIF('ADV - FB'!L:L,$A605,'ADV - FB'!F:F)),"-")</f>
        <v>-</v>
      </c>
      <c r="J605" s="315">
        <f>SUMIF('ADV - FB'!L:L,$A605,'ADV - FB'!I:I)+SUMIF('ADV - FB'!L:L,$A605,'ADV - FB'!J:J)+SUMIF('ADV - FB'!L:L,$A605,'ADV - FB'!K:K)</f>
        <v>0</v>
      </c>
      <c r="K605" s="321" t="str">
        <f t="shared" si="2"/>
        <v>-</v>
      </c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ht="15.75" customHeight="1">
      <c r="A606" s="313" t="s">
        <v>875</v>
      </c>
      <c r="B606" s="314"/>
      <c r="C606" s="315"/>
      <c r="D606" s="315"/>
      <c r="E606" s="317"/>
      <c r="F606" s="318" t="str">
        <f t="shared" si="1"/>
        <v>TP605 -  -  - </v>
      </c>
      <c r="G606" s="319">
        <f>SUMIF('ADV - FB'!L:L,$A606,'ADV - FB'!E:E)</f>
        <v>0</v>
      </c>
      <c r="H606" s="320" t="str">
        <f>IFERROR(SUMIF('ADV - FB'!L:L,$A606,'ADV - FB'!H:H)/(SUMIF('ADV - FB'!L:L,$A606,'ADV - FB'!G:G)),"-")</f>
        <v>-</v>
      </c>
      <c r="I606" s="321" t="str">
        <f>IFERROR(SUMIF('ADV - FB'!L:L,$A606,'ADV - FB'!E:E)/(SUMIF('ADV - FB'!L:L,$A606,'ADV - FB'!F:F)),"-")</f>
        <v>-</v>
      </c>
      <c r="J606" s="315">
        <f>SUMIF('ADV - FB'!L:L,$A606,'ADV - FB'!I:I)+SUMIF('ADV - FB'!L:L,$A606,'ADV - FB'!J:J)+SUMIF('ADV - FB'!L:L,$A606,'ADV - FB'!K:K)</f>
        <v>0</v>
      </c>
      <c r="K606" s="321" t="str">
        <f t="shared" si="2"/>
        <v>-</v>
      </c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ht="15.75" customHeight="1">
      <c r="A607" s="313" t="s">
        <v>876</v>
      </c>
      <c r="B607" s="314"/>
      <c r="C607" s="315"/>
      <c r="D607" s="315"/>
      <c r="E607" s="317"/>
      <c r="F607" s="318" t="str">
        <f t="shared" si="1"/>
        <v>TP606 -  -  - </v>
      </c>
      <c r="G607" s="319">
        <f>SUMIF('ADV - FB'!L:L,$A607,'ADV - FB'!E:E)</f>
        <v>0</v>
      </c>
      <c r="H607" s="320" t="str">
        <f>IFERROR(SUMIF('ADV - FB'!L:L,$A607,'ADV - FB'!H:H)/(SUMIF('ADV - FB'!L:L,$A607,'ADV - FB'!G:G)),"-")</f>
        <v>-</v>
      </c>
      <c r="I607" s="321" t="str">
        <f>IFERROR(SUMIF('ADV - FB'!L:L,$A607,'ADV - FB'!E:E)/(SUMIF('ADV - FB'!L:L,$A607,'ADV - FB'!F:F)),"-")</f>
        <v>-</v>
      </c>
      <c r="J607" s="315">
        <f>SUMIF('ADV - FB'!L:L,$A607,'ADV - FB'!I:I)+SUMIF('ADV - FB'!L:L,$A607,'ADV - FB'!J:J)+SUMIF('ADV - FB'!L:L,$A607,'ADV - FB'!K:K)</f>
        <v>0</v>
      </c>
      <c r="K607" s="321" t="str">
        <f t="shared" si="2"/>
        <v>-</v>
      </c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ht="15.75" customHeight="1">
      <c r="A608" s="313" t="s">
        <v>877</v>
      </c>
      <c r="B608" s="314"/>
      <c r="C608" s="315"/>
      <c r="D608" s="315"/>
      <c r="E608" s="317"/>
      <c r="F608" s="318" t="str">
        <f t="shared" si="1"/>
        <v>TP607 -  -  - </v>
      </c>
      <c r="G608" s="319">
        <f>SUMIF('ADV - FB'!L:L,$A608,'ADV - FB'!E:E)</f>
        <v>0</v>
      </c>
      <c r="H608" s="320" t="str">
        <f>IFERROR(SUMIF('ADV - FB'!L:L,$A608,'ADV - FB'!H:H)/(SUMIF('ADV - FB'!L:L,$A608,'ADV - FB'!G:G)),"-")</f>
        <v>-</v>
      </c>
      <c r="I608" s="321" t="str">
        <f>IFERROR(SUMIF('ADV - FB'!L:L,$A608,'ADV - FB'!E:E)/(SUMIF('ADV - FB'!L:L,$A608,'ADV - FB'!F:F)),"-")</f>
        <v>-</v>
      </c>
      <c r="J608" s="315">
        <f>SUMIF('ADV - FB'!L:L,$A608,'ADV - FB'!I:I)+SUMIF('ADV - FB'!L:L,$A608,'ADV - FB'!J:J)+SUMIF('ADV - FB'!L:L,$A608,'ADV - FB'!K:K)</f>
        <v>0</v>
      </c>
      <c r="K608" s="321" t="str">
        <f t="shared" si="2"/>
        <v>-</v>
      </c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ht="15.75" customHeight="1">
      <c r="A609" s="313" t="s">
        <v>878</v>
      </c>
      <c r="B609" s="314"/>
      <c r="C609" s="315"/>
      <c r="D609" s="315"/>
      <c r="E609" s="317"/>
      <c r="F609" s="318" t="str">
        <f t="shared" si="1"/>
        <v>TP608 -  -  - </v>
      </c>
      <c r="G609" s="319">
        <f>SUMIF('ADV - FB'!L:L,$A609,'ADV - FB'!E:E)</f>
        <v>0</v>
      </c>
      <c r="H609" s="320" t="str">
        <f>IFERROR(SUMIF('ADV - FB'!L:L,$A609,'ADV - FB'!H:H)/(SUMIF('ADV - FB'!L:L,$A609,'ADV - FB'!G:G)),"-")</f>
        <v>-</v>
      </c>
      <c r="I609" s="321" t="str">
        <f>IFERROR(SUMIF('ADV - FB'!L:L,$A609,'ADV - FB'!E:E)/(SUMIF('ADV - FB'!L:L,$A609,'ADV - FB'!F:F)),"-")</f>
        <v>-</v>
      </c>
      <c r="J609" s="315">
        <f>SUMIF('ADV - FB'!L:L,$A609,'ADV - FB'!I:I)+SUMIF('ADV - FB'!L:L,$A609,'ADV - FB'!J:J)+SUMIF('ADV - FB'!L:L,$A609,'ADV - FB'!K:K)</f>
        <v>0</v>
      </c>
      <c r="K609" s="321" t="str">
        <f t="shared" si="2"/>
        <v>-</v>
      </c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ht="15.75" customHeight="1">
      <c r="A610" s="313" t="s">
        <v>879</v>
      </c>
      <c r="B610" s="314"/>
      <c r="C610" s="315"/>
      <c r="D610" s="315"/>
      <c r="E610" s="317"/>
      <c r="F610" s="318" t="str">
        <f t="shared" si="1"/>
        <v>TP609 -  -  - </v>
      </c>
      <c r="G610" s="319">
        <f>SUMIF('ADV - FB'!L:L,$A610,'ADV - FB'!E:E)</f>
        <v>0</v>
      </c>
      <c r="H610" s="320" t="str">
        <f>IFERROR(SUMIF('ADV - FB'!L:L,$A610,'ADV - FB'!H:H)/(SUMIF('ADV - FB'!L:L,$A610,'ADV - FB'!G:G)),"-")</f>
        <v>-</v>
      </c>
      <c r="I610" s="321" t="str">
        <f>IFERROR(SUMIF('ADV - FB'!L:L,$A610,'ADV - FB'!E:E)/(SUMIF('ADV - FB'!L:L,$A610,'ADV - FB'!F:F)),"-")</f>
        <v>-</v>
      </c>
      <c r="J610" s="315">
        <f>SUMIF('ADV - FB'!L:L,$A610,'ADV - FB'!I:I)+SUMIF('ADV - FB'!L:L,$A610,'ADV - FB'!J:J)+SUMIF('ADV - FB'!L:L,$A610,'ADV - FB'!K:K)</f>
        <v>0</v>
      </c>
      <c r="K610" s="321" t="str">
        <f t="shared" si="2"/>
        <v>-</v>
      </c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ht="15.75" customHeight="1">
      <c r="A611" s="313" t="s">
        <v>880</v>
      </c>
      <c r="B611" s="314"/>
      <c r="C611" s="315"/>
      <c r="D611" s="315"/>
      <c r="E611" s="317"/>
      <c r="F611" s="318" t="str">
        <f t="shared" si="1"/>
        <v>TP610 -  -  - </v>
      </c>
      <c r="G611" s="319">
        <f>SUMIF('ADV - FB'!L:L,$A611,'ADV - FB'!E:E)</f>
        <v>0</v>
      </c>
      <c r="H611" s="320" t="str">
        <f>IFERROR(SUMIF('ADV - FB'!L:L,$A611,'ADV - FB'!H:H)/(SUMIF('ADV - FB'!L:L,$A611,'ADV - FB'!G:G)),"-")</f>
        <v>-</v>
      </c>
      <c r="I611" s="321" t="str">
        <f>IFERROR(SUMIF('ADV - FB'!L:L,$A611,'ADV - FB'!E:E)/(SUMIF('ADV - FB'!L:L,$A611,'ADV - FB'!F:F)),"-")</f>
        <v>-</v>
      </c>
      <c r="J611" s="315">
        <f>SUMIF('ADV - FB'!L:L,$A611,'ADV - FB'!I:I)+SUMIF('ADV - FB'!L:L,$A611,'ADV - FB'!J:J)+SUMIF('ADV - FB'!L:L,$A611,'ADV - FB'!K:K)</f>
        <v>0</v>
      </c>
      <c r="K611" s="321" t="str">
        <f t="shared" si="2"/>
        <v>-</v>
      </c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ht="15.75" customHeight="1">
      <c r="A612" s="313" t="s">
        <v>881</v>
      </c>
      <c r="B612" s="314"/>
      <c r="C612" s="315"/>
      <c r="D612" s="315"/>
      <c r="E612" s="317"/>
      <c r="F612" s="318" t="str">
        <f t="shared" si="1"/>
        <v>TP611 -  -  - </v>
      </c>
      <c r="G612" s="319">
        <f>SUMIF('ADV - FB'!L:L,$A612,'ADV - FB'!E:E)</f>
        <v>0</v>
      </c>
      <c r="H612" s="320" t="str">
        <f>IFERROR(SUMIF('ADV - FB'!L:L,$A612,'ADV - FB'!H:H)/(SUMIF('ADV - FB'!L:L,$A612,'ADV - FB'!G:G)),"-")</f>
        <v>-</v>
      </c>
      <c r="I612" s="321" t="str">
        <f>IFERROR(SUMIF('ADV - FB'!L:L,$A612,'ADV - FB'!E:E)/(SUMIF('ADV - FB'!L:L,$A612,'ADV - FB'!F:F)),"-")</f>
        <v>-</v>
      </c>
      <c r="J612" s="315">
        <f>SUMIF('ADV - FB'!L:L,$A612,'ADV - FB'!I:I)+SUMIF('ADV - FB'!L:L,$A612,'ADV - FB'!J:J)+SUMIF('ADV - FB'!L:L,$A612,'ADV - FB'!K:K)</f>
        <v>0</v>
      </c>
      <c r="K612" s="321" t="str">
        <f t="shared" si="2"/>
        <v>-</v>
      </c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ht="15.75" customHeight="1">
      <c r="A613" s="313" t="s">
        <v>882</v>
      </c>
      <c r="B613" s="314"/>
      <c r="C613" s="315"/>
      <c r="D613" s="315"/>
      <c r="E613" s="317"/>
      <c r="F613" s="318" t="str">
        <f t="shared" si="1"/>
        <v>TP612 -  -  - </v>
      </c>
      <c r="G613" s="319">
        <f>SUMIF('ADV - FB'!L:L,$A613,'ADV - FB'!E:E)</f>
        <v>0</v>
      </c>
      <c r="H613" s="320" t="str">
        <f>IFERROR(SUMIF('ADV - FB'!L:L,$A613,'ADV - FB'!H:H)/(SUMIF('ADV - FB'!L:L,$A613,'ADV - FB'!G:G)),"-")</f>
        <v>-</v>
      </c>
      <c r="I613" s="321" t="str">
        <f>IFERROR(SUMIF('ADV - FB'!L:L,$A613,'ADV - FB'!E:E)/(SUMIF('ADV - FB'!L:L,$A613,'ADV - FB'!F:F)),"-")</f>
        <v>-</v>
      </c>
      <c r="J613" s="315">
        <f>SUMIF('ADV - FB'!L:L,$A613,'ADV - FB'!I:I)+SUMIF('ADV - FB'!L:L,$A613,'ADV - FB'!J:J)+SUMIF('ADV - FB'!L:L,$A613,'ADV - FB'!K:K)</f>
        <v>0</v>
      </c>
      <c r="K613" s="321" t="str">
        <f t="shared" si="2"/>
        <v>-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ht="15.75" customHeight="1">
      <c r="A614" s="313" t="s">
        <v>883</v>
      </c>
      <c r="B614" s="314"/>
      <c r="C614" s="315"/>
      <c r="D614" s="315"/>
      <c r="E614" s="317"/>
      <c r="F614" s="318" t="str">
        <f t="shared" si="1"/>
        <v>TP613 -  -  - </v>
      </c>
      <c r="G614" s="319">
        <f>SUMIF('ADV - FB'!L:L,$A614,'ADV - FB'!E:E)</f>
        <v>0</v>
      </c>
      <c r="H614" s="320" t="str">
        <f>IFERROR(SUMIF('ADV - FB'!L:L,$A614,'ADV - FB'!H:H)/(SUMIF('ADV - FB'!L:L,$A614,'ADV - FB'!G:G)),"-")</f>
        <v>-</v>
      </c>
      <c r="I614" s="321" t="str">
        <f>IFERROR(SUMIF('ADV - FB'!L:L,$A614,'ADV - FB'!E:E)/(SUMIF('ADV - FB'!L:L,$A614,'ADV - FB'!F:F)),"-")</f>
        <v>-</v>
      </c>
      <c r="J614" s="315">
        <f>SUMIF('ADV - FB'!L:L,$A614,'ADV - FB'!I:I)+SUMIF('ADV - FB'!L:L,$A614,'ADV - FB'!J:J)+SUMIF('ADV - FB'!L:L,$A614,'ADV - FB'!K:K)</f>
        <v>0</v>
      </c>
      <c r="K614" s="321" t="str">
        <f t="shared" si="2"/>
        <v>-</v>
      </c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ht="15.75" customHeight="1">
      <c r="A615" s="313" t="s">
        <v>884</v>
      </c>
      <c r="B615" s="314"/>
      <c r="C615" s="315"/>
      <c r="D615" s="315"/>
      <c r="E615" s="317"/>
      <c r="F615" s="318" t="str">
        <f t="shared" si="1"/>
        <v>TP614 -  -  - </v>
      </c>
      <c r="G615" s="319">
        <f>SUMIF('ADV - FB'!L:L,$A615,'ADV - FB'!E:E)</f>
        <v>0</v>
      </c>
      <c r="H615" s="320" t="str">
        <f>IFERROR(SUMIF('ADV - FB'!L:L,$A615,'ADV - FB'!H:H)/(SUMIF('ADV - FB'!L:L,$A615,'ADV - FB'!G:G)),"-")</f>
        <v>-</v>
      </c>
      <c r="I615" s="321" t="str">
        <f>IFERROR(SUMIF('ADV - FB'!L:L,$A615,'ADV - FB'!E:E)/(SUMIF('ADV - FB'!L:L,$A615,'ADV - FB'!F:F)),"-")</f>
        <v>-</v>
      </c>
      <c r="J615" s="315">
        <f>SUMIF('ADV - FB'!L:L,$A615,'ADV - FB'!I:I)+SUMIF('ADV - FB'!L:L,$A615,'ADV - FB'!J:J)+SUMIF('ADV - FB'!L:L,$A615,'ADV - FB'!K:K)</f>
        <v>0</v>
      </c>
      <c r="K615" s="321" t="str">
        <f t="shared" si="2"/>
        <v>-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ht="15.75" customHeight="1">
      <c r="A616" s="313" t="s">
        <v>885</v>
      </c>
      <c r="B616" s="314"/>
      <c r="C616" s="315"/>
      <c r="D616" s="315"/>
      <c r="E616" s="317"/>
      <c r="F616" s="318" t="str">
        <f t="shared" si="1"/>
        <v>TP615 -  -  - </v>
      </c>
      <c r="G616" s="319">
        <f>SUMIF('ADV - FB'!L:L,$A616,'ADV - FB'!E:E)</f>
        <v>0</v>
      </c>
      <c r="H616" s="320" t="str">
        <f>IFERROR(SUMIF('ADV - FB'!L:L,$A616,'ADV - FB'!H:H)/(SUMIF('ADV - FB'!L:L,$A616,'ADV - FB'!G:G)),"-")</f>
        <v>-</v>
      </c>
      <c r="I616" s="321" t="str">
        <f>IFERROR(SUMIF('ADV - FB'!L:L,$A616,'ADV - FB'!E:E)/(SUMIF('ADV - FB'!L:L,$A616,'ADV - FB'!F:F)),"-")</f>
        <v>-</v>
      </c>
      <c r="J616" s="315">
        <f>SUMIF('ADV - FB'!L:L,$A616,'ADV - FB'!I:I)+SUMIF('ADV - FB'!L:L,$A616,'ADV - FB'!J:J)+SUMIF('ADV - FB'!L:L,$A616,'ADV - FB'!K:K)</f>
        <v>0</v>
      </c>
      <c r="K616" s="321" t="str">
        <f t="shared" si="2"/>
        <v>-</v>
      </c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ht="15.75" customHeight="1">
      <c r="A617" s="313" t="s">
        <v>886</v>
      </c>
      <c r="B617" s="314"/>
      <c r="C617" s="315"/>
      <c r="D617" s="315"/>
      <c r="E617" s="317"/>
      <c r="F617" s="318" t="str">
        <f t="shared" si="1"/>
        <v>TP616 -  -  - </v>
      </c>
      <c r="G617" s="319">
        <f>SUMIF('ADV - FB'!L:L,$A617,'ADV - FB'!E:E)</f>
        <v>0</v>
      </c>
      <c r="H617" s="320" t="str">
        <f>IFERROR(SUMIF('ADV - FB'!L:L,$A617,'ADV - FB'!H:H)/(SUMIF('ADV - FB'!L:L,$A617,'ADV - FB'!G:G)),"-")</f>
        <v>-</v>
      </c>
      <c r="I617" s="321" t="str">
        <f>IFERROR(SUMIF('ADV - FB'!L:L,$A617,'ADV - FB'!E:E)/(SUMIF('ADV - FB'!L:L,$A617,'ADV - FB'!F:F)),"-")</f>
        <v>-</v>
      </c>
      <c r="J617" s="315">
        <f>SUMIF('ADV - FB'!L:L,$A617,'ADV - FB'!I:I)+SUMIF('ADV - FB'!L:L,$A617,'ADV - FB'!J:J)+SUMIF('ADV - FB'!L:L,$A617,'ADV - FB'!K:K)</f>
        <v>0</v>
      </c>
      <c r="K617" s="321" t="str">
        <f t="shared" si="2"/>
        <v>-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ht="15.75" customHeight="1">
      <c r="A618" s="313" t="s">
        <v>887</v>
      </c>
      <c r="B618" s="314"/>
      <c r="C618" s="315"/>
      <c r="D618" s="315"/>
      <c r="E618" s="317"/>
      <c r="F618" s="318" t="str">
        <f t="shared" si="1"/>
        <v>TP617 -  -  - </v>
      </c>
      <c r="G618" s="319">
        <f>SUMIF('ADV - FB'!L:L,$A618,'ADV - FB'!E:E)</f>
        <v>0</v>
      </c>
      <c r="H618" s="320" t="str">
        <f>IFERROR(SUMIF('ADV - FB'!L:L,$A618,'ADV - FB'!H:H)/(SUMIF('ADV - FB'!L:L,$A618,'ADV - FB'!G:G)),"-")</f>
        <v>-</v>
      </c>
      <c r="I618" s="321" t="str">
        <f>IFERROR(SUMIF('ADV - FB'!L:L,$A618,'ADV - FB'!E:E)/(SUMIF('ADV - FB'!L:L,$A618,'ADV - FB'!F:F)),"-")</f>
        <v>-</v>
      </c>
      <c r="J618" s="315">
        <f>SUMIF('ADV - FB'!L:L,$A618,'ADV - FB'!I:I)+SUMIF('ADV - FB'!L:L,$A618,'ADV - FB'!J:J)+SUMIF('ADV - FB'!L:L,$A618,'ADV - FB'!K:K)</f>
        <v>0</v>
      </c>
      <c r="K618" s="321" t="str">
        <f t="shared" si="2"/>
        <v>-</v>
      </c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ht="15.75" customHeight="1">
      <c r="A619" s="313" t="s">
        <v>888</v>
      </c>
      <c r="B619" s="314"/>
      <c r="C619" s="315"/>
      <c r="D619" s="315"/>
      <c r="E619" s="317"/>
      <c r="F619" s="318" t="str">
        <f t="shared" si="1"/>
        <v>TP618 -  -  - </v>
      </c>
      <c r="G619" s="319">
        <f>SUMIF('ADV - FB'!L:L,$A619,'ADV - FB'!E:E)</f>
        <v>0</v>
      </c>
      <c r="H619" s="320" t="str">
        <f>IFERROR(SUMIF('ADV - FB'!L:L,$A619,'ADV - FB'!H:H)/(SUMIF('ADV - FB'!L:L,$A619,'ADV - FB'!G:G)),"-")</f>
        <v>-</v>
      </c>
      <c r="I619" s="321" t="str">
        <f>IFERROR(SUMIF('ADV - FB'!L:L,$A619,'ADV - FB'!E:E)/(SUMIF('ADV - FB'!L:L,$A619,'ADV - FB'!F:F)),"-")</f>
        <v>-</v>
      </c>
      <c r="J619" s="315">
        <f>SUMIF('ADV - FB'!L:L,$A619,'ADV - FB'!I:I)+SUMIF('ADV - FB'!L:L,$A619,'ADV - FB'!J:J)+SUMIF('ADV - FB'!L:L,$A619,'ADV - FB'!K:K)</f>
        <v>0</v>
      </c>
      <c r="K619" s="321" t="str">
        <f t="shared" si="2"/>
        <v>-</v>
      </c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ht="15.75" customHeight="1">
      <c r="A620" s="313" t="s">
        <v>889</v>
      </c>
      <c r="B620" s="314"/>
      <c r="C620" s="315"/>
      <c r="D620" s="315"/>
      <c r="E620" s="317"/>
      <c r="F620" s="318" t="str">
        <f t="shared" si="1"/>
        <v>TP619 -  -  - </v>
      </c>
      <c r="G620" s="319">
        <f>SUMIF('ADV - FB'!L:L,$A620,'ADV - FB'!E:E)</f>
        <v>0</v>
      </c>
      <c r="H620" s="320" t="str">
        <f>IFERROR(SUMIF('ADV - FB'!L:L,$A620,'ADV - FB'!H:H)/(SUMIF('ADV - FB'!L:L,$A620,'ADV - FB'!G:G)),"-")</f>
        <v>-</v>
      </c>
      <c r="I620" s="321" t="str">
        <f>IFERROR(SUMIF('ADV - FB'!L:L,$A620,'ADV - FB'!E:E)/(SUMIF('ADV - FB'!L:L,$A620,'ADV - FB'!F:F)),"-")</f>
        <v>-</v>
      </c>
      <c r="J620" s="315">
        <f>SUMIF('ADV - FB'!L:L,$A620,'ADV - FB'!I:I)+SUMIF('ADV - FB'!L:L,$A620,'ADV - FB'!J:J)+SUMIF('ADV - FB'!L:L,$A620,'ADV - FB'!K:K)</f>
        <v>0</v>
      </c>
      <c r="K620" s="321" t="str">
        <f t="shared" si="2"/>
        <v>-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ht="15.75" customHeight="1">
      <c r="A621" s="313" t="s">
        <v>890</v>
      </c>
      <c r="B621" s="314"/>
      <c r="C621" s="315"/>
      <c r="D621" s="315"/>
      <c r="E621" s="317"/>
      <c r="F621" s="318" t="str">
        <f t="shared" si="1"/>
        <v>TP620 -  -  - </v>
      </c>
      <c r="G621" s="319">
        <f>SUMIF('ADV - FB'!L:L,$A621,'ADV - FB'!E:E)</f>
        <v>0</v>
      </c>
      <c r="H621" s="320" t="str">
        <f>IFERROR(SUMIF('ADV - FB'!L:L,$A621,'ADV - FB'!H:H)/(SUMIF('ADV - FB'!L:L,$A621,'ADV - FB'!G:G)),"-")</f>
        <v>-</v>
      </c>
      <c r="I621" s="321" t="str">
        <f>IFERROR(SUMIF('ADV - FB'!L:L,$A621,'ADV - FB'!E:E)/(SUMIF('ADV - FB'!L:L,$A621,'ADV - FB'!F:F)),"-")</f>
        <v>-</v>
      </c>
      <c r="J621" s="315">
        <f>SUMIF('ADV - FB'!L:L,$A621,'ADV - FB'!I:I)+SUMIF('ADV - FB'!L:L,$A621,'ADV - FB'!J:J)+SUMIF('ADV - FB'!L:L,$A621,'ADV - FB'!K:K)</f>
        <v>0</v>
      </c>
      <c r="K621" s="321" t="str">
        <f t="shared" si="2"/>
        <v>-</v>
      </c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ht="15.75" customHeight="1">
      <c r="A622" s="313" t="s">
        <v>891</v>
      </c>
      <c r="B622" s="314"/>
      <c r="C622" s="315"/>
      <c r="D622" s="315"/>
      <c r="E622" s="317"/>
      <c r="F622" s="318" t="str">
        <f t="shared" si="1"/>
        <v>TP621 -  -  - </v>
      </c>
      <c r="G622" s="319">
        <f>SUMIF('ADV - FB'!L:L,$A622,'ADV - FB'!E:E)</f>
        <v>0</v>
      </c>
      <c r="H622" s="320" t="str">
        <f>IFERROR(SUMIF('ADV - FB'!L:L,$A622,'ADV - FB'!H:H)/(SUMIF('ADV - FB'!L:L,$A622,'ADV - FB'!G:G)),"-")</f>
        <v>-</v>
      </c>
      <c r="I622" s="321" t="str">
        <f>IFERROR(SUMIF('ADV - FB'!L:L,$A622,'ADV - FB'!E:E)/(SUMIF('ADV - FB'!L:L,$A622,'ADV - FB'!F:F)),"-")</f>
        <v>-</v>
      </c>
      <c r="J622" s="315">
        <f>SUMIF('ADV - FB'!L:L,$A622,'ADV - FB'!I:I)+SUMIF('ADV - FB'!L:L,$A622,'ADV - FB'!J:J)+SUMIF('ADV - FB'!L:L,$A622,'ADV - FB'!K:K)</f>
        <v>0</v>
      </c>
      <c r="K622" s="321" t="str">
        <f t="shared" si="2"/>
        <v>-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ht="15.75" customHeight="1">
      <c r="A623" s="313" t="s">
        <v>892</v>
      </c>
      <c r="B623" s="314"/>
      <c r="C623" s="315"/>
      <c r="D623" s="315"/>
      <c r="E623" s="317"/>
      <c r="F623" s="318" t="str">
        <f t="shared" si="1"/>
        <v>TP622 -  -  - </v>
      </c>
      <c r="G623" s="319">
        <f>SUMIF('ADV - FB'!L:L,$A623,'ADV - FB'!E:E)</f>
        <v>0</v>
      </c>
      <c r="H623" s="320" t="str">
        <f>IFERROR(SUMIF('ADV - FB'!L:L,$A623,'ADV - FB'!H:H)/(SUMIF('ADV - FB'!L:L,$A623,'ADV - FB'!G:G)),"-")</f>
        <v>-</v>
      </c>
      <c r="I623" s="321" t="str">
        <f>IFERROR(SUMIF('ADV - FB'!L:L,$A623,'ADV - FB'!E:E)/(SUMIF('ADV - FB'!L:L,$A623,'ADV - FB'!F:F)),"-")</f>
        <v>-</v>
      </c>
      <c r="J623" s="315">
        <f>SUMIF('ADV - FB'!L:L,$A623,'ADV - FB'!I:I)+SUMIF('ADV - FB'!L:L,$A623,'ADV - FB'!J:J)+SUMIF('ADV - FB'!L:L,$A623,'ADV - FB'!K:K)</f>
        <v>0</v>
      </c>
      <c r="K623" s="321" t="str">
        <f t="shared" si="2"/>
        <v>-</v>
      </c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ht="15.75" customHeight="1">
      <c r="A624" s="313" t="s">
        <v>893</v>
      </c>
      <c r="B624" s="314"/>
      <c r="C624" s="315"/>
      <c r="D624" s="315"/>
      <c r="E624" s="317"/>
      <c r="F624" s="318" t="str">
        <f t="shared" si="1"/>
        <v>TP623 -  -  - </v>
      </c>
      <c r="G624" s="319">
        <f>SUMIF('ADV - FB'!L:L,$A624,'ADV - FB'!E:E)</f>
        <v>0</v>
      </c>
      <c r="H624" s="320" t="str">
        <f>IFERROR(SUMIF('ADV - FB'!L:L,$A624,'ADV - FB'!H:H)/(SUMIF('ADV - FB'!L:L,$A624,'ADV - FB'!G:G)),"-")</f>
        <v>-</v>
      </c>
      <c r="I624" s="321" t="str">
        <f>IFERROR(SUMIF('ADV - FB'!L:L,$A624,'ADV - FB'!E:E)/(SUMIF('ADV - FB'!L:L,$A624,'ADV - FB'!F:F)),"-")</f>
        <v>-</v>
      </c>
      <c r="J624" s="315">
        <f>SUMIF('ADV - FB'!L:L,$A624,'ADV - FB'!I:I)+SUMIF('ADV - FB'!L:L,$A624,'ADV - FB'!J:J)+SUMIF('ADV - FB'!L:L,$A624,'ADV - FB'!K:K)</f>
        <v>0</v>
      </c>
      <c r="K624" s="321" t="str">
        <f t="shared" si="2"/>
        <v>-</v>
      </c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ht="15.75" customHeight="1">
      <c r="A625" s="313" t="s">
        <v>894</v>
      </c>
      <c r="B625" s="314"/>
      <c r="C625" s="315"/>
      <c r="D625" s="315"/>
      <c r="E625" s="317"/>
      <c r="F625" s="318" t="str">
        <f t="shared" si="1"/>
        <v>TP624 -  -  - </v>
      </c>
      <c r="G625" s="319">
        <f>SUMIF('ADV - FB'!L:L,$A625,'ADV - FB'!E:E)</f>
        <v>0</v>
      </c>
      <c r="H625" s="320" t="str">
        <f>IFERROR(SUMIF('ADV - FB'!L:L,$A625,'ADV - FB'!H:H)/(SUMIF('ADV - FB'!L:L,$A625,'ADV - FB'!G:G)),"-")</f>
        <v>-</v>
      </c>
      <c r="I625" s="321" t="str">
        <f>IFERROR(SUMIF('ADV - FB'!L:L,$A625,'ADV - FB'!E:E)/(SUMIF('ADV - FB'!L:L,$A625,'ADV - FB'!F:F)),"-")</f>
        <v>-</v>
      </c>
      <c r="J625" s="315">
        <f>SUMIF('ADV - FB'!L:L,$A625,'ADV - FB'!I:I)+SUMIF('ADV - FB'!L:L,$A625,'ADV - FB'!J:J)+SUMIF('ADV - FB'!L:L,$A625,'ADV - FB'!K:K)</f>
        <v>0</v>
      </c>
      <c r="K625" s="321" t="str">
        <f t="shared" si="2"/>
        <v>-</v>
      </c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ht="15.75" customHeight="1">
      <c r="A626" s="313" t="s">
        <v>895</v>
      </c>
      <c r="B626" s="314"/>
      <c r="C626" s="315"/>
      <c r="D626" s="315"/>
      <c r="E626" s="317"/>
      <c r="F626" s="318" t="str">
        <f t="shared" si="1"/>
        <v>TP625 -  -  - </v>
      </c>
      <c r="G626" s="319">
        <f>SUMIF('ADV - FB'!L:L,$A626,'ADV - FB'!E:E)</f>
        <v>0</v>
      </c>
      <c r="H626" s="320" t="str">
        <f>IFERROR(SUMIF('ADV - FB'!L:L,$A626,'ADV - FB'!H:H)/(SUMIF('ADV - FB'!L:L,$A626,'ADV - FB'!G:G)),"-")</f>
        <v>-</v>
      </c>
      <c r="I626" s="321" t="str">
        <f>IFERROR(SUMIF('ADV - FB'!L:L,$A626,'ADV - FB'!E:E)/(SUMIF('ADV - FB'!L:L,$A626,'ADV - FB'!F:F)),"-")</f>
        <v>-</v>
      </c>
      <c r="J626" s="315">
        <f>SUMIF('ADV - FB'!L:L,$A626,'ADV - FB'!I:I)+SUMIF('ADV - FB'!L:L,$A626,'ADV - FB'!J:J)+SUMIF('ADV - FB'!L:L,$A626,'ADV - FB'!K:K)</f>
        <v>0</v>
      </c>
      <c r="K626" s="321" t="str">
        <f t="shared" si="2"/>
        <v>-</v>
      </c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ht="15.75" customHeight="1">
      <c r="A627" s="313" t="s">
        <v>896</v>
      </c>
      <c r="B627" s="314"/>
      <c r="C627" s="315"/>
      <c r="D627" s="315"/>
      <c r="E627" s="317"/>
      <c r="F627" s="318" t="str">
        <f t="shared" si="1"/>
        <v>TP626 -  -  - </v>
      </c>
      <c r="G627" s="319">
        <f>SUMIF('ADV - FB'!L:L,$A627,'ADV - FB'!E:E)</f>
        <v>0</v>
      </c>
      <c r="H627" s="320" t="str">
        <f>IFERROR(SUMIF('ADV - FB'!L:L,$A627,'ADV - FB'!H:H)/(SUMIF('ADV - FB'!L:L,$A627,'ADV - FB'!G:G)),"-")</f>
        <v>-</v>
      </c>
      <c r="I627" s="321" t="str">
        <f>IFERROR(SUMIF('ADV - FB'!L:L,$A627,'ADV - FB'!E:E)/(SUMIF('ADV - FB'!L:L,$A627,'ADV - FB'!F:F)),"-")</f>
        <v>-</v>
      </c>
      <c r="J627" s="315">
        <f>SUMIF('ADV - FB'!L:L,$A627,'ADV - FB'!I:I)+SUMIF('ADV - FB'!L:L,$A627,'ADV - FB'!J:J)+SUMIF('ADV - FB'!L:L,$A627,'ADV - FB'!K:K)</f>
        <v>0</v>
      </c>
      <c r="K627" s="321" t="str">
        <f t="shared" si="2"/>
        <v>-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ht="15.75" customHeight="1">
      <c r="A628" s="313" t="s">
        <v>897</v>
      </c>
      <c r="B628" s="314"/>
      <c r="C628" s="315"/>
      <c r="D628" s="315"/>
      <c r="E628" s="317"/>
      <c r="F628" s="318" t="str">
        <f t="shared" si="1"/>
        <v>TP627 -  -  - </v>
      </c>
      <c r="G628" s="319">
        <f>SUMIF('ADV - FB'!L:L,$A628,'ADV - FB'!E:E)</f>
        <v>0</v>
      </c>
      <c r="H628" s="320" t="str">
        <f>IFERROR(SUMIF('ADV - FB'!L:L,$A628,'ADV - FB'!H:H)/(SUMIF('ADV - FB'!L:L,$A628,'ADV - FB'!G:G)),"-")</f>
        <v>-</v>
      </c>
      <c r="I628" s="321" t="str">
        <f>IFERROR(SUMIF('ADV - FB'!L:L,$A628,'ADV - FB'!E:E)/(SUMIF('ADV - FB'!L:L,$A628,'ADV - FB'!F:F)),"-")</f>
        <v>-</v>
      </c>
      <c r="J628" s="315">
        <f>SUMIF('ADV - FB'!L:L,$A628,'ADV - FB'!I:I)+SUMIF('ADV - FB'!L:L,$A628,'ADV - FB'!J:J)+SUMIF('ADV - FB'!L:L,$A628,'ADV - FB'!K:K)</f>
        <v>0</v>
      </c>
      <c r="K628" s="321" t="str">
        <f t="shared" si="2"/>
        <v>-</v>
      </c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ht="15.75" customHeight="1">
      <c r="A629" s="313" t="s">
        <v>898</v>
      </c>
      <c r="B629" s="314"/>
      <c r="C629" s="315"/>
      <c r="D629" s="315"/>
      <c r="E629" s="317"/>
      <c r="F629" s="318" t="str">
        <f t="shared" si="1"/>
        <v>TP628 -  -  - </v>
      </c>
      <c r="G629" s="319">
        <f>SUMIF('ADV - FB'!L:L,$A629,'ADV - FB'!E:E)</f>
        <v>0</v>
      </c>
      <c r="H629" s="320" t="str">
        <f>IFERROR(SUMIF('ADV - FB'!L:L,$A629,'ADV - FB'!H:H)/(SUMIF('ADV - FB'!L:L,$A629,'ADV - FB'!G:G)),"-")</f>
        <v>-</v>
      </c>
      <c r="I629" s="321" t="str">
        <f>IFERROR(SUMIF('ADV - FB'!L:L,$A629,'ADV - FB'!E:E)/(SUMIF('ADV - FB'!L:L,$A629,'ADV - FB'!F:F)),"-")</f>
        <v>-</v>
      </c>
      <c r="J629" s="315">
        <f>SUMIF('ADV - FB'!L:L,$A629,'ADV - FB'!I:I)+SUMIF('ADV - FB'!L:L,$A629,'ADV - FB'!J:J)+SUMIF('ADV - FB'!L:L,$A629,'ADV - FB'!K:K)</f>
        <v>0</v>
      </c>
      <c r="K629" s="321" t="str">
        <f t="shared" si="2"/>
        <v>-</v>
      </c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ht="15.75" customHeight="1">
      <c r="A630" s="313" t="s">
        <v>899</v>
      </c>
      <c r="B630" s="314"/>
      <c r="C630" s="315"/>
      <c r="D630" s="315"/>
      <c r="E630" s="317"/>
      <c r="F630" s="318" t="str">
        <f t="shared" si="1"/>
        <v>TP629 -  -  - </v>
      </c>
      <c r="G630" s="319">
        <f>SUMIF('ADV - FB'!L:L,$A630,'ADV - FB'!E:E)</f>
        <v>0</v>
      </c>
      <c r="H630" s="320" t="str">
        <f>IFERROR(SUMIF('ADV - FB'!L:L,$A630,'ADV - FB'!H:H)/(SUMIF('ADV - FB'!L:L,$A630,'ADV - FB'!G:G)),"-")</f>
        <v>-</v>
      </c>
      <c r="I630" s="321" t="str">
        <f>IFERROR(SUMIF('ADV - FB'!L:L,$A630,'ADV - FB'!E:E)/(SUMIF('ADV - FB'!L:L,$A630,'ADV - FB'!F:F)),"-")</f>
        <v>-</v>
      </c>
      <c r="J630" s="315">
        <f>SUMIF('ADV - FB'!L:L,$A630,'ADV - FB'!I:I)+SUMIF('ADV - FB'!L:L,$A630,'ADV - FB'!J:J)+SUMIF('ADV - FB'!L:L,$A630,'ADV - FB'!K:K)</f>
        <v>0</v>
      </c>
      <c r="K630" s="321" t="str">
        <f t="shared" si="2"/>
        <v>-</v>
      </c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ht="15.75" customHeight="1">
      <c r="A631" s="313" t="s">
        <v>900</v>
      </c>
      <c r="B631" s="314"/>
      <c r="C631" s="315"/>
      <c r="D631" s="315"/>
      <c r="E631" s="317"/>
      <c r="F631" s="318" t="str">
        <f t="shared" si="1"/>
        <v>TP630 -  -  - </v>
      </c>
      <c r="G631" s="319">
        <f>SUMIF('ADV - FB'!L:L,$A631,'ADV - FB'!E:E)</f>
        <v>0</v>
      </c>
      <c r="H631" s="320" t="str">
        <f>IFERROR(SUMIF('ADV - FB'!L:L,$A631,'ADV - FB'!H:H)/(SUMIF('ADV - FB'!L:L,$A631,'ADV - FB'!G:G)),"-")</f>
        <v>-</v>
      </c>
      <c r="I631" s="321" t="str">
        <f>IFERROR(SUMIF('ADV - FB'!L:L,$A631,'ADV - FB'!E:E)/(SUMIF('ADV - FB'!L:L,$A631,'ADV - FB'!F:F)),"-")</f>
        <v>-</v>
      </c>
      <c r="J631" s="315">
        <f>SUMIF('ADV - FB'!L:L,$A631,'ADV - FB'!I:I)+SUMIF('ADV - FB'!L:L,$A631,'ADV - FB'!J:J)+SUMIF('ADV - FB'!L:L,$A631,'ADV - FB'!K:K)</f>
        <v>0</v>
      </c>
      <c r="K631" s="321" t="str">
        <f t="shared" si="2"/>
        <v>-</v>
      </c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ht="15.75" customHeight="1">
      <c r="A632" s="313" t="s">
        <v>901</v>
      </c>
      <c r="B632" s="314"/>
      <c r="C632" s="315"/>
      <c r="D632" s="315"/>
      <c r="E632" s="317"/>
      <c r="F632" s="318" t="str">
        <f t="shared" si="1"/>
        <v>TP631 -  -  - </v>
      </c>
      <c r="G632" s="319">
        <f>SUMIF('ADV - FB'!L:L,$A632,'ADV - FB'!E:E)</f>
        <v>0</v>
      </c>
      <c r="H632" s="320" t="str">
        <f>IFERROR(SUMIF('ADV - FB'!L:L,$A632,'ADV - FB'!H:H)/(SUMIF('ADV - FB'!L:L,$A632,'ADV - FB'!G:G)),"-")</f>
        <v>-</v>
      </c>
      <c r="I632" s="321" t="str">
        <f>IFERROR(SUMIF('ADV - FB'!L:L,$A632,'ADV - FB'!E:E)/(SUMIF('ADV - FB'!L:L,$A632,'ADV - FB'!F:F)),"-")</f>
        <v>-</v>
      </c>
      <c r="J632" s="315">
        <f>SUMIF('ADV - FB'!L:L,$A632,'ADV - FB'!I:I)+SUMIF('ADV - FB'!L:L,$A632,'ADV - FB'!J:J)+SUMIF('ADV - FB'!L:L,$A632,'ADV - FB'!K:K)</f>
        <v>0</v>
      </c>
      <c r="K632" s="321" t="str">
        <f t="shared" si="2"/>
        <v>-</v>
      </c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ht="15.75" customHeight="1">
      <c r="A633" s="313" t="s">
        <v>902</v>
      </c>
      <c r="B633" s="314"/>
      <c r="C633" s="315"/>
      <c r="D633" s="315"/>
      <c r="E633" s="317"/>
      <c r="F633" s="318" t="str">
        <f t="shared" si="1"/>
        <v>TP632 -  -  - </v>
      </c>
      <c r="G633" s="319">
        <f>SUMIF('ADV - FB'!L:L,$A633,'ADV - FB'!E:E)</f>
        <v>0</v>
      </c>
      <c r="H633" s="320" t="str">
        <f>IFERROR(SUMIF('ADV - FB'!L:L,$A633,'ADV - FB'!H:H)/(SUMIF('ADV - FB'!L:L,$A633,'ADV - FB'!G:G)),"-")</f>
        <v>-</v>
      </c>
      <c r="I633" s="321" t="str">
        <f>IFERROR(SUMIF('ADV - FB'!L:L,$A633,'ADV - FB'!E:E)/(SUMIF('ADV - FB'!L:L,$A633,'ADV - FB'!F:F)),"-")</f>
        <v>-</v>
      </c>
      <c r="J633" s="315">
        <f>SUMIF('ADV - FB'!L:L,$A633,'ADV - FB'!I:I)+SUMIF('ADV - FB'!L:L,$A633,'ADV - FB'!J:J)+SUMIF('ADV - FB'!L:L,$A633,'ADV - FB'!K:K)</f>
        <v>0</v>
      </c>
      <c r="K633" s="321" t="str">
        <f t="shared" si="2"/>
        <v>-</v>
      </c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ht="15.75" customHeight="1">
      <c r="A634" s="313" t="s">
        <v>903</v>
      </c>
      <c r="B634" s="314"/>
      <c r="C634" s="315"/>
      <c r="D634" s="315"/>
      <c r="E634" s="317"/>
      <c r="F634" s="318" t="str">
        <f t="shared" si="1"/>
        <v>TP633 -  -  - </v>
      </c>
      <c r="G634" s="319">
        <f>SUMIF('ADV - FB'!L:L,$A634,'ADV - FB'!E:E)</f>
        <v>0</v>
      </c>
      <c r="H634" s="320" t="str">
        <f>IFERROR(SUMIF('ADV - FB'!L:L,$A634,'ADV - FB'!H:H)/(SUMIF('ADV - FB'!L:L,$A634,'ADV - FB'!G:G)),"-")</f>
        <v>-</v>
      </c>
      <c r="I634" s="321" t="str">
        <f>IFERROR(SUMIF('ADV - FB'!L:L,$A634,'ADV - FB'!E:E)/(SUMIF('ADV - FB'!L:L,$A634,'ADV - FB'!F:F)),"-")</f>
        <v>-</v>
      </c>
      <c r="J634" s="315">
        <f>SUMIF('ADV - FB'!L:L,$A634,'ADV - FB'!I:I)+SUMIF('ADV - FB'!L:L,$A634,'ADV - FB'!J:J)+SUMIF('ADV - FB'!L:L,$A634,'ADV - FB'!K:K)</f>
        <v>0</v>
      </c>
      <c r="K634" s="321" t="str">
        <f t="shared" si="2"/>
        <v>-</v>
      </c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ht="15.75" customHeight="1">
      <c r="A635" s="313" t="s">
        <v>904</v>
      </c>
      <c r="B635" s="314"/>
      <c r="C635" s="315"/>
      <c r="D635" s="315"/>
      <c r="E635" s="317"/>
      <c r="F635" s="318" t="str">
        <f t="shared" si="1"/>
        <v>TP634 -  -  - </v>
      </c>
      <c r="G635" s="319">
        <f>SUMIF('ADV - FB'!L:L,$A635,'ADV - FB'!E:E)</f>
        <v>0</v>
      </c>
      <c r="H635" s="320" t="str">
        <f>IFERROR(SUMIF('ADV - FB'!L:L,$A635,'ADV - FB'!H:H)/(SUMIF('ADV - FB'!L:L,$A635,'ADV - FB'!G:G)),"-")</f>
        <v>-</v>
      </c>
      <c r="I635" s="321" t="str">
        <f>IFERROR(SUMIF('ADV - FB'!L:L,$A635,'ADV - FB'!E:E)/(SUMIF('ADV - FB'!L:L,$A635,'ADV - FB'!F:F)),"-")</f>
        <v>-</v>
      </c>
      <c r="J635" s="315">
        <f>SUMIF('ADV - FB'!L:L,$A635,'ADV - FB'!I:I)+SUMIF('ADV - FB'!L:L,$A635,'ADV - FB'!J:J)+SUMIF('ADV - FB'!L:L,$A635,'ADV - FB'!K:K)</f>
        <v>0</v>
      </c>
      <c r="K635" s="321" t="str">
        <f t="shared" si="2"/>
        <v>-</v>
      </c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ht="15.75" customHeight="1">
      <c r="A636" s="313" t="s">
        <v>905</v>
      </c>
      <c r="B636" s="314"/>
      <c r="C636" s="315"/>
      <c r="D636" s="315"/>
      <c r="E636" s="317"/>
      <c r="F636" s="318" t="str">
        <f t="shared" si="1"/>
        <v>TP635 -  -  - </v>
      </c>
      <c r="G636" s="319">
        <f>SUMIF('ADV - FB'!L:L,$A636,'ADV - FB'!E:E)</f>
        <v>0</v>
      </c>
      <c r="H636" s="320" t="str">
        <f>IFERROR(SUMIF('ADV - FB'!L:L,$A636,'ADV - FB'!H:H)/(SUMIF('ADV - FB'!L:L,$A636,'ADV - FB'!G:G)),"-")</f>
        <v>-</v>
      </c>
      <c r="I636" s="321" t="str">
        <f>IFERROR(SUMIF('ADV - FB'!L:L,$A636,'ADV - FB'!E:E)/(SUMIF('ADV - FB'!L:L,$A636,'ADV - FB'!F:F)),"-")</f>
        <v>-</v>
      </c>
      <c r="J636" s="315">
        <f>SUMIF('ADV - FB'!L:L,$A636,'ADV - FB'!I:I)+SUMIF('ADV - FB'!L:L,$A636,'ADV - FB'!J:J)+SUMIF('ADV - FB'!L:L,$A636,'ADV - FB'!K:K)</f>
        <v>0</v>
      </c>
      <c r="K636" s="321" t="str">
        <f t="shared" si="2"/>
        <v>-</v>
      </c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ht="15.75" customHeight="1">
      <c r="A637" s="313" t="s">
        <v>906</v>
      </c>
      <c r="B637" s="314"/>
      <c r="C637" s="315"/>
      <c r="D637" s="315"/>
      <c r="E637" s="317"/>
      <c r="F637" s="318" t="str">
        <f t="shared" si="1"/>
        <v>TP636 -  -  - </v>
      </c>
      <c r="G637" s="319">
        <f>SUMIF('ADV - FB'!L:L,$A637,'ADV - FB'!E:E)</f>
        <v>0</v>
      </c>
      <c r="H637" s="320" t="str">
        <f>IFERROR(SUMIF('ADV - FB'!L:L,$A637,'ADV - FB'!H:H)/(SUMIF('ADV - FB'!L:L,$A637,'ADV - FB'!G:G)),"-")</f>
        <v>-</v>
      </c>
      <c r="I637" s="321" t="str">
        <f>IFERROR(SUMIF('ADV - FB'!L:L,$A637,'ADV - FB'!E:E)/(SUMIF('ADV - FB'!L:L,$A637,'ADV - FB'!F:F)),"-")</f>
        <v>-</v>
      </c>
      <c r="J637" s="315">
        <f>SUMIF('ADV - FB'!L:L,$A637,'ADV - FB'!I:I)+SUMIF('ADV - FB'!L:L,$A637,'ADV - FB'!J:J)+SUMIF('ADV - FB'!L:L,$A637,'ADV - FB'!K:K)</f>
        <v>0</v>
      </c>
      <c r="K637" s="321" t="str">
        <f t="shared" si="2"/>
        <v>-</v>
      </c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ht="15.75" customHeight="1">
      <c r="A638" s="313" t="s">
        <v>907</v>
      </c>
      <c r="B638" s="314"/>
      <c r="C638" s="315"/>
      <c r="D638" s="315"/>
      <c r="E638" s="317"/>
      <c r="F638" s="318" t="str">
        <f t="shared" si="1"/>
        <v>TP637 -  -  - </v>
      </c>
      <c r="G638" s="319">
        <f>SUMIF('ADV - FB'!L:L,$A638,'ADV - FB'!E:E)</f>
        <v>0</v>
      </c>
      <c r="H638" s="320" t="str">
        <f>IFERROR(SUMIF('ADV - FB'!L:L,$A638,'ADV - FB'!H:H)/(SUMIF('ADV - FB'!L:L,$A638,'ADV - FB'!G:G)),"-")</f>
        <v>-</v>
      </c>
      <c r="I638" s="321" t="str">
        <f>IFERROR(SUMIF('ADV - FB'!L:L,$A638,'ADV - FB'!E:E)/(SUMIF('ADV - FB'!L:L,$A638,'ADV - FB'!F:F)),"-")</f>
        <v>-</v>
      </c>
      <c r="J638" s="315">
        <f>SUMIF('ADV - FB'!L:L,$A638,'ADV - FB'!I:I)+SUMIF('ADV - FB'!L:L,$A638,'ADV - FB'!J:J)+SUMIF('ADV - FB'!L:L,$A638,'ADV - FB'!K:K)</f>
        <v>0</v>
      </c>
      <c r="K638" s="321" t="str">
        <f t="shared" si="2"/>
        <v>-</v>
      </c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ht="15.75" customHeight="1">
      <c r="A639" s="313" t="s">
        <v>908</v>
      </c>
      <c r="B639" s="314"/>
      <c r="C639" s="315"/>
      <c r="D639" s="315"/>
      <c r="E639" s="317"/>
      <c r="F639" s="318" t="str">
        <f t="shared" si="1"/>
        <v>TP638 -  -  - </v>
      </c>
      <c r="G639" s="319">
        <f>SUMIF('ADV - FB'!L:L,$A639,'ADV - FB'!E:E)</f>
        <v>0</v>
      </c>
      <c r="H639" s="320" t="str">
        <f>IFERROR(SUMIF('ADV - FB'!L:L,$A639,'ADV - FB'!H:H)/(SUMIF('ADV - FB'!L:L,$A639,'ADV - FB'!G:G)),"-")</f>
        <v>-</v>
      </c>
      <c r="I639" s="321" t="str">
        <f>IFERROR(SUMIF('ADV - FB'!L:L,$A639,'ADV - FB'!E:E)/(SUMIF('ADV - FB'!L:L,$A639,'ADV - FB'!F:F)),"-")</f>
        <v>-</v>
      </c>
      <c r="J639" s="315">
        <f>SUMIF('ADV - FB'!L:L,$A639,'ADV - FB'!I:I)+SUMIF('ADV - FB'!L:L,$A639,'ADV - FB'!J:J)+SUMIF('ADV - FB'!L:L,$A639,'ADV - FB'!K:K)</f>
        <v>0</v>
      </c>
      <c r="K639" s="321" t="str">
        <f t="shared" si="2"/>
        <v>-</v>
      </c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ht="15.75" customHeight="1">
      <c r="A640" s="313" t="s">
        <v>909</v>
      </c>
      <c r="B640" s="314"/>
      <c r="C640" s="315"/>
      <c r="D640" s="315"/>
      <c r="E640" s="317"/>
      <c r="F640" s="318" t="str">
        <f t="shared" si="1"/>
        <v>TP639 -  -  - </v>
      </c>
      <c r="G640" s="319">
        <f>SUMIF('ADV - FB'!L:L,$A640,'ADV - FB'!E:E)</f>
        <v>0</v>
      </c>
      <c r="H640" s="320" t="str">
        <f>IFERROR(SUMIF('ADV - FB'!L:L,$A640,'ADV - FB'!H:H)/(SUMIF('ADV - FB'!L:L,$A640,'ADV - FB'!G:G)),"-")</f>
        <v>-</v>
      </c>
      <c r="I640" s="321" t="str">
        <f>IFERROR(SUMIF('ADV - FB'!L:L,$A640,'ADV - FB'!E:E)/(SUMIF('ADV - FB'!L:L,$A640,'ADV - FB'!F:F)),"-")</f>
        <v>-</v>
      </c>
      <c r="J640" s="315">
        <f>SUMIF('ADV - FB'!L:L,$A640,'ADV - FB'!I:I)+SUMIF('ADV - FB'!L:L,$A640,'ADV - FB'!J:J)+SUMIF('ADV - FB'!L:L,$A640,'ADV - FB'!K:K)</f>
        <v>0</v>
      </c>
      <c r="K640" s="321" t="str">
        <f t="shared" si="2"/>
        <v>-</v>
      </c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ht="15.75" customHeight="1">
      <c r="A641" s="313" t="s">
        <v>910</v>
      </c>
      <c r="B641" s="314"/>
      <c r="C641" s="315"/>
      <c r="D641" s="315"/>
      <c r="E641" s="317"/>
      <c r="F641" s="318" t="str">
        <f t="shared" si="1"/>
        <v>TP640 -  -  - </v>
      </c>
      <c r="G641" s="319">
        <f>SUMIF('ADV - FB'!L:L,$A641,'ADV - FB'!E:E)</f>
        <v>0</v>
      </c>
      <c r="H641" s="320" t="str">
        <f>IFERROR(SUMIF('ADV - FB'!L:L,$A641,'ADV - FB'!H:H)/(SUMIF('ADV - FB'!L:L,$A641,'ADV - FB'!G:G)),"-")</f>
        <v>-</v>
      </c>
      <c r="I641" s="321" t="str">
        <f>IFERROR(SUMIF('ADV - FB'!L:L,$A641,'ADV - FB'!E:E)/(SUMIF('ADV - FB'!L:L,$A641,'ADV - FB'!F:F)),"-")</f>
        <v>-</v>
      </c>
      <c r="J641" s="315">
        <f>SUMIF('ADV - FB'!L:L,$A641,'ADV - FB'!I:I)+SUMIF('ADV - FB'!L:L,$A641,'ADV - FB'!J:J)+SUMIF('ADV - FB'!L:L,$A641,'ADV - FB'!K:K)</f>
        <v>0</v>
      </c>
      <c r="K641" s="321" t="str">
        <f t="shared" si="2"/>
        <v>-</v>
      </c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ht="15.75" customHeight="1">
      <c r="A642" s="313" t="s">
        <v>911</v>
      </c>
      <c r="B642" s="314"/>
      <c r="C642" s="315"/>
      <c r="D642" s="315"/>
      <c r="E642" s="317"/>
      <c r="F642" s="318" t="str">
        <f t="shared" si="1"/>
        <v>TP641 -  -  - </v>
      </c>
      <c r="G642" s="319">
        <f>SUMIF('ADV - FB'!L:L,$A642,'ADV - FB'!E:E)</f>
        <v>0</v>
      </c>
      <c r="H642" s="320" t="str">
        <f>IFERROR(SUMIF('ADV - FB'!L:L,$A642,'ADV - FB'!H:H)/(SUMIF('ADV - FB'!L:L,$A642,'ADV - FB'!G:G)),"-")</f>
        <v>-</v>
      </c>
      <c r="I642" s="321" t="str">
        <f>IFERROR(SUMIF('ADV - FB'!L:L,$A642,'ADV - FB'!E:E)/(SUMIF('ADV - FB'!L:L,$A642,'ADV - FB'!F:F)),"-")</f>
        <v>-</v>
      </c>
      <c r="J642" s="315">
        <f>SUMIF('ADV - FB'!L:L,$A642,'ADV - FB'!I:I)+SUMIF('ADV - FB'!L:L,$A642,'ADV - FB'!J:J)+SUMIF('ADV - FB'!L:L,$A642,'ADV - FB'!K:K)</f>
        <v>0</v>
      </c>
      <c r="K642" s="321" t="str">
        <f t="shared" si="2"/>
        <v>-</v>
      </c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ht="15.75" customHeight="1">
      <c r="A643" s="313" t="s">
        <v>912</v>
      </c>
      <c r="B643" s="314"/>
      <c r="C643" s="315"/>
      <c r="D643" s="315"/>
      <c r="E643" s="317"/>
      <c r="F643" s="318" t="str">
        <f t="shared" si="1"/>
        <v>TP642 -  -  - </v>
      </c>
      <c r="G643" s="319">
        <f>SUMIF('ADV - FB'!L:L,$A643,'ADV - FB'!E:E)</f>
        <v>0</v>
      </c>
      <c r="H643" s="320" t="str">
        <f>IFERROR(SUMIF('ADV - FB'!L:L,$A643,'ADV - FB'!H:H)/(SUMIF('ADV - FB'!L:L,$A643,'ADV - FB'!G:G)),"-")</f>
        <v>-</v>
      </c>
      <c r="I643" s="321" t="str">
        <f>IFERROR(SUMIF('ADV - FB'!L:L,$A643,'ADV - FB'!E:E)/(SUMIF('ADV - FB'!L:L,$A643,'ADV - FB'!F:F)),"-")</f>
        <v>-</v>
      </c>
      <c r="J643" s="315">
        <f>SUMIF('ADV - FB'!L:L,$A643,'ADV - FB'!I:I)+SUMIF('ADV - FB'!L:L,$A643,'ADV - FB'!J:J)+SUMIF('ADV - FB'!L:L,$A643,'ADV - FB'!K:K)</f>
        <v>0</v>
      </c>
      <c r="K643" s="321" t="str">
        <f t="shared" si="2"/>
        <v>-</v>
      </c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ht="15.75" customHeight="1">
      <c r="A644" s="313" t="s">
        <v>913</v>
      </c>
      <c r="B644" s="314"/>
      <c r="C644" s="315"/>
      <c r="D644" s="315"/>
      <c r="E644" s="317"/>
      <c r="F644" s="318" t="str">
        <f t="shared" si="1"/>
        <v>TP643 -  -  - </v>
      </c>
      <c r="G644" s="319">
        <f>SUMIF('ADV - FB'!L:L,$A644,'ADV - FB'!E:E)</f>
        <v>0</v>
      </c>
      <c r="H644" s="320" t="str">
        <f>IFERROR(SUMIF('ADV - FB'!L:L,$A644,'ADV - FB'!H:H)/(SUMIF('ADV - FB'!L:L,$A644,'ADV - FB'!G:G)),"-")</f>
        <v>-</v>
      </c>
      <c r="I644" s="321" t="str">
        <f>IFERROR(SUMIF('ADV - FB'!L:L,$A644,'ADV - FB'!E:E)/(SUMIF('ADV - FB'!L:L,$A644,'ADV - FB'!F:F)),"-")</f>
        <v>-</v>
      </c>
      <c r="J644" s="315">
        <f>SUMIF('ADV - FB'!L:L,$A644,'ADV - FB'!I:I)+SUMIF('ADV - FB'!L:L,$A644,'ADV - FB'!J:J)+SUMIF('ADV - FB'!L:L,$A644,'ADV - FB'!K:K)</f>
        <v>0</v>
      </c>
      <c r="K644" s="321" t="str">
        <f t="shared" si="2"/>
        <v>-</v>
      </c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ht="15.75" customHeight="1">
      <c r="A645" s="313" t="s">
        <v>914</v>
      </c>
      <c r="B645" s="314"/>
      <c r="C645" s="315"/>
      <c r="D645" s="315"/>
      <c r="E645" s="317"/>
      <c r="F645" s="318" t="str">
        <f t="shared" si="1"/>
        <v>TP644 -  -  - </v>
      </c>
      <c r="G645" s="319">
        <f>SUMIF('ADV - FB'!L:L,$A645,'ADV - FB'!E:E)</f>
        <v>0</v>
      </c>
      <c r="H645" s="320" t="str">
        <f>IFERROR(SUMIF('ADV - FB'!L:L,$A645,'ADV - FB'!H:H)/(SUMIF('ADV - FB'!L:L,$A645,'ADV - FB'!G:G)),"-")</f>
        <v>-</v>
      </c>
      <c r="I645" s="321" t="str">
        <f>IFERROR(SUMIF('ADV - FB'!L:L,$A645,'ADV - FB'!E:E)/(SUMIF('ADV - FB'!L:L,$A645,'ADV - FB'!F:F)),"-")</f>
        <v>-</v>
      </c>
      <c r="J645" s="315">
        <f>SUMIF('ADV - FB'!L:L,$A645,'ADV - FB'!I:I)+SUMIF('ADV - FB'!L:L,$A645,'ADV - FB'!J:J)+SUMIF('ADV - FB'!L:L,$A645,'ADV - FB'!K:K)</f>
        <v>0</v>
      </c>
      <c r="K645" s="321" t="str">
        <f t="shared" si="2"/>
        <v>-</v>
      </c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ht="15.75" customHeight="1">
      <c r="A646" s="313" t="s">
        <v>915</v>
      </c>
      <c r="B646" s="314"/>
      <c r="C646" s="315"/>
      <c r="D646" s="315"/>
      <c r="E646" s="317"/>
      <c r="F646" s="318" t="str">
        <f t="shared" si="1"/>
        <v>TP645 -  -  - </v>
      </c>
      <c r="G646" s="319">
        <f>SUMIF('ADV - FB'!L:L,$A646,'ADV - FB'!E:E)</f>
        <v>0</v>
      </c>
      <c r="H646" s="320" t="str">
        <f>IFERROR(SUMIF('ADV - FB'!L:L,$A646,'ADV - FB'!H:H)/(SUMIF('ADV - FB'!L:L,$A646,'ADV - FB'!G:G)),"-")</f>
        <v>-</v>
      </c>
      <c r="I646" s="321" t="str">
        <f>IFERROR(SUMIF('ADV - FB'!L:L,$A646,'ADV - FB'!E:E)/(SUMIF('ADV - FB'!L:L,$A646,'ADV - FB'!F:F)),"-")</f>
        <v>-</v>
      </c>
      <c r="J646" s="315">
        <f>SUMIF('ADV - FB'!L:L,$A646,'ADV - FB'!I:I)+SUMIF('ADV - FB'!L:L,$A646,'ADV - FB'!J:J)+SUMIF('ADV - FB'!L:L,$A646,'ADV - FB'!K:K)</f>
        <v>0</v>
      </c>
      <c r="K646" s="321" t="str">
        <f t="shared" si="2"/>
        <v>-</v>
      </c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ht="15.75" customHeight="1">
      <c r="A647" s="313" t="s">
        <v>916</v>
      </c>
      <c r="B647" s="314"/>
      <c r="C647" s="315"/>
      <c r="D647" s="315"/>
      <c r="E647" s="317"/>
      <c r="F647" s="318" t="str">
        <f t="shared" si="1"/>
        <v>TP646 -  -  - </v>
      </c>
      <c r="G647" s="319">
        <f>SUMIF('ADV - FB'!L:L,$A647,'ADV - FB'!E:E)</f>
        <v>0</v>
      </c>
      <c r="H647" s="320" t="str">
        <f>IFERROR(SUMIF('ADV - FB'!L:L,$A647,'ADV - FB'!H:H)/(SUMIF('ADV - FB'!L:L,$A647,'ADV - FB'!G:G)),"-")</f>
        <v>-</v>
      </c>
      <c r="I647" s="321" t="str">
        <f>IFERROR(SUMIF('ADV - FB'!L:L,$A647,'ADV - FB'!E:E)/(SUMIF('ADV - FB'!L:L,$A647,'ADV - FB'!F:F)),"-")</f>
        <v>-</v>
      </c>
      <c r="J647" s="315">
        <f>SUMIF('ADV - FB'!L:L,$A647,'ADV - FB'!I:I)+SUMIF('ADV - FB'!L:L,$A647,'ADV - FB'!J:J)+SUMIF('ADV - FB'!L:L,$A647,'ADV - FB'!K:K)</f>
        <v>0</v>
      </c>
      <c r="K647" s="321" t="str">
        <f t="shared" si="2"/>
        <v>-</v>
      </c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ht="15.75" customHeight="1">
      <c r="A648" s="313" t="s">
        <v>917</v>
      </c>
      <c r="B648" s="314"/>
      <c r="C648" s="315"/>
      <c r="D648" s="315"/>
      <c r="E648" s="317"/>
      <c r="F648" s="318" t="str">
        <f t="shared" si="1"/>
        <v>TP647 -  -  - </v>
      </c>
      <c r="G648" s="319">
        <f>SUMIF('ADV - FB'!L:L,$A648,'ADV - FB'!E:E)</f>
        <v>0</v>
      </c>
      <c r="H648" s="320" t="str">
        <f>IFERROR(SUMIF('ADV - FB'!L:L,$A648,'ADV - FB'!H:H)/(SUMIF('ADV - FB'!L:L,$A648,'ADV - FB'!G:G)),"-")</f>
        <v>-</v>
      </c>
      <c r="I648" s="321" t="str">
        <f>IFERROR(SUMIF('ADV - FB'!L:L,$A648,'ADV - FB'!E:E)/(SUMIF('ADV - FB'!L:L,$A648,'ADV - FB'!F:F)),"-")</f>
        <v>-</v>
      </c>
      <c r="J648" s="315">
        <f>SUMIF('ADV - FB'!L:L,$A648,'ADV - FB'!I:I)+SUMIF('ADV - FB'!L:L,$A648,'ADV - FB'!J:J)+SUMIF('ADV - FB'!L:L,$A648,'ADV - FB'!K:K)</f>
        <v>0</v>
      </c>
      <c r="K648" s="321" t="str">
        <f t="shared" si="2"/>
        <v>-</v>
      </c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ht="15.75" customHeight="1">
      <c r="A649" s="313" t="s">
        <v>918</v>
      </c>
      <c r="B649" s="314"/>
      <c r="C649" s="315"/>
      <c r="D649" s="315"/>
      <c r="E649" s="317"/>
      <c r="F649" s="318" t="str">
        <f t="shared" si="1"/>
        <v>TP648 -  -  - </v>
      </c>
      <c r="G649" s="319">
        <f>SUMIF('ADV - FB'!L:L,$A649,'ADV - FB'!E:E)</f>
        <v>0</v>
      </c>
      <c r="H649" s="320" t="str">
        <f>IFERROR(SUMIF('ADV - FB'!L:L,$A649,'ADV - FB'!H:H)/(SUMIF('ADV - FB'!L:L,$A649,'ADV - FB'!G:G)),"-")</f>
        <v>-</v>
      </c>
      <c r="I649" s="321" t="str">
        <f>IFERROR(SUMIF('ADV - FB'!L:L,$A649,'ADV - FB'!E:E)/(SUMIF('ADV - FB'!L:L,$A649,'ADV - FB'!F:F)),"-")</f>
        <v>-</v>
      </c>
      <c r="J649" s="315">
        <f>SUMIF('ADV - FB'!L:L,$A649,'ADV - FB'!I:I)+SUMIF('ADV - FB'!L:L,$A649,'ADV - FB'!J:J)+SUMIF('ADV - FB'!L:L,$A649,'ADV - FB'!K:K)</f>
        <v>0</v>
      </c>
      <c r="K649" s="321" t="str">
        <f t="shared" si="2"/>
        <v>-</v>
      </c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ht="15.75" customHeight="1">
      <c r="A650" s="313" t="s">
        <v>919</v>
      </c>
      <c r="B650" s="314"/>
      <c r="C650" s="315"/>
      <c r="D650" s="315"/>
      <c r="E650" s="317"/>
      <c r="F650" s="318" t="str">
        <f t="shared" si="1"/>
        <v>TP649 -  -  - </v>
      </c>
      <c r="G650" s="319">
        <f>SUMIF('ADV - FB'!L:L,$A650,'ADV - FB'!E:E)</f>
        <v>0</v>
      </c>
      <c r="H650" s="320" t="str">
        <f>IFERROR(SUMIF('ADV - FB'!L:L,$A650,'ADV - FB'!H:H)/(SUMIF('ADV - FB'!L:L,$A650,'ADV - FB'!G:G)),"-")</f>
        <v>-</v>
      </c>
      <c r="I650" s="321" t="str">
        <f>IFERROR(SUMIF('ADV - FB'!L:L,$A650,'ADV - FB'!E:E)/(SUMIF('ADV - FB'!L:L,$A650,'ADV - FB'!F:F)),"-")</f>
        <v>-</v>
      </c>
      <c r="J650" s="315">
        <f>SUMIF('ADV - FB'!L:L,$A650,'ADV - FB'!I:I)+SUMIF('ADV - FB'!L:L,$A650,'ADV - FB'!J:J)+SUMIF('ADV - FB'!L:L,$A650,'ADV - FB'!K:K)</f>
        <v>0</v>
      </c>
      <c r="K650" s="321" t="str">
        <f t="shared" si="2"/>
        <v>-</v>
      </c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ht="15.75" customHeight="1">
      <c r="A651" s="313" t="s">
        <v>920</v>
      </c>
      <c r="B651" s="314"/>
      <c r="C651" s="315"/>
      <c r="D651" s="315"/>
      <c r="E651" s="317"/>
      <c r="F651" s="318" t="str">
        <f t="shared" si="1"/>
        <v>TP650 -  -  - </v>
      </c>
      <c r="G651" s="319">
        <f>SUMIF('ADV - FB'!L:L,$A651,'ADV - FB'!E:E)</f>
        <v>0</v>
      </c>
      <c r="H651" s="320" t="str">
        <f>IFERROR(SUMIF('ADV - FB'!L:L,$A651,'ADV - FB'!H:H)/(SUMIF('ADV - FB'!L:L,$A651,'ADV - FB'!G:G)),"-")</f>
        <v>-</v>
      </c>
      <c r="I651" s="321" t="str">
        <f>IFERROR(SUMIF('ADV - FB'!L:L,$A651,'ADV - FB'!E:E)/(SUMIF('ADV - FB'!L:L,$A651,'ADV - FB'!F:F)),"-")</f>
        <v>-</v>
      </c>
      <c r="J651" s="315">
        <f>SUMIF('ADV - FB'!L:L,$A651,'ADV - FB'!I:I)+SUMIF('ADV - FB'!L:L,$A651,'ADV - FB'!J:J)+SUMIF('ADV - FB'!L:L,$A651,'ADV - FB'!K:K)</f>
        <v>0</v>
      </c>
      <c r="K651" s="321" t="str">
        <f t="shared" si="2"/>
        <v>-</v>
      </c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ht="15.75" customHeight="1">
      <c r="A652" s="313" t="s">
        <v>921</v>
      </c>
      <c r="B652" s="314"/>
      <c r="C652" s="315"/>
      <c r="D652" s="315"/>
      <c r="E652" s="317"/>
      <c r="F652" s="318" t="str">
        <f t="shared" si="1"/>
        <v>TP651 -  -  - </v>
      </c>
      <c r="G652" s="319">
        <f>SUMIF('ADV - FB'!L:L,$A652,'ADV - FB'!E:E)</f>
        <v>0</v>
      </c>
      <c r="H652" s="320" t="str">
        <f>IFERROR(SUMIF('ADV - FB'!L:L,$A652,'ADV - FB'!H:H)/(SUMIF('ADV - FB'!L:L,$A652,'ADV - FB'!G:G)),"-")</f>
        <v>-</v>
      </c>
      <c r="I652" s="321" t="str">
        <f>IFERROR(SUMIF('ADV - FB'!L:L,$A652,'ADV - FB'!E:E)/(SUMIF('ADV - FB'!L:L,$A652,'ADV - FB'!F:F)),"-")</f>
        <v>-</v>
      </c>
      <c r="J652" s="315">
        <f>SUMIF('ADV - FB'!L:L,$A652,'ADV - FB'!I:I)+SUMIF('ADV - FB'!L:L,$A652,'ADV - FB'!J:J)+SUMIF('ADV - FB'!L:L,$A652,'ADV - FB'!K:K)</f>
        <v>0</v>
      </c>
      <c r="K652" s="321" t="str">
        <f t="shared" si="2"/>
        <v>-</v>
      </c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ht="15.75" customHeight="1">
      <c r="A653" s="313" t="s">
        <v>922</v>
      </c>
      <c r="B653" s="314"/>
      <c r="C653" s="315"/>
      <c r="D653" s="315"/>
      <c r="E653" s="317"/>
      <c r="F653" s="318" t="str">
        <f t="shared" si="1"/>
        <v>TP652 -  -  - </v>
      </c>
      <c r="G653" s="319">
        <f>SUMIF('ADV - FB'!L:L,$A653,'ADV - FB'!E:E)</f>
        <v>0</v>
      </c>
      <c r="H653" s="320" t="str">
        <f>IFERROR(SUMIF('ADV - FB'!L:L,$A653,'ADV - FB'!H:H)/(SUMIF('ADV - FB'!L:L,$A653,'ADV - FB'!G:G)),"-")</f>
        <v>-</v>
      </c>
      <c r="I653" s="321" t="str">
        <f>IFERROR(SUMIF('ADV - FB'!L:L,$A653,'ADV - FB'!E:E)/(SUMIF('ADV - FB'!L:L,$A653,'ADV - FB'!F:F)),"-")</f>
        <v>-</v>
      </c>
      <c r="J653" s="315">
        <f>SUMIF('ADV - FB'!L:L,$A653,'ADV - FB'!I:I)+SUMIF('ADV - FB'!L:L,$A653,'ADV - FB'!J:J)+SUMIF('ADV - FB'!L:L,$A653,'ADV - FB'!K:K)</f>
        <v>0</v>
      </c>
      <c r="K653" s="321" t="str">
        <f t="shared" si="2"/>
        <v>-</v>
      </c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ht="15.75" customHeight="1">
      <c r="A654" s="313" t="s">
        <v>923</v>
      </c>
      <c r="B654" s="314"/>
      <c r="C654" s="315"/>
      <c r="D654" s="315"/>
      <c r="E654" s="317"/>
      <c r="F654" s="318" t="str">
        <f t="shared" si="1"/>
        <v>TP653 -  -  - </v>
      </c>
      <c r="G654" s="319">
        <f>SUMIF('ADV - FB'!L:L,$A654,'ADV - FB'!E:E)</f>
        <v>0</v>
      </c>
      <c r="H654" s="320" t="str">
        <f>IFERROR(SUMIF('ADV - FB'!L:L,$A654,'ADV - FB'!H:H)/(SUMIF('ADV - FB'!L:L,$A654,'ADV - FB'!G:G)),"-")</f>
        <v>-</v>
      </c>
      <c r="I654" s="321" t="str">
        <f>IFERROR(SUMIF('ADV - FB'!L:L,$A654,'ADV - FB'!E:E)/(SUMIF('ADV - FB'!L:L,$A654,'ADV - FB'!F:F)),"-")</f>
        <v>-</v>
      </c>
      <c r="J654" s="315">
        <f>SUMIF('ADV - FB'!L:L,$A654,'ADV - FB'!I:I)+SUMIF('ADV - FB'!L:L,$A654,'ADV - FB'!J:J)+SUMIF('ADV - FB'!L:L,$A654,'ADV - FB'!K:K)</f>
        <v>0</v>
      </c>
      <c r="K654" s="321" t="str">
        <f t="shared" si="2"/>
        <v>-</v>
      </c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ht="15.75" customHeight="1">
      <c r="A655" s="313" t="s">
        <v>924</v>
      </c>
      <c r="B655" s="314"/>
      <c r="C655" s="315"/>
      <c r="D655" s="315"/>
      <c r="E655" s="317"/>
      <c r="F655" s="318" t="str">
        <f t="shared" si="1"/>
        <v>TP654 -  -  - </v>
      </c>
      <c r="G655" s="319">
        <f>SUMIF('ADV - FB'!L:L,$A655,'ADV - FB'!E:E)</f>
        <v>0</v>
      </c>
      <c r="H655" s="320" t="str">
        <f>IFERROR(SUMIF('ADV - FB'!L:L,$A655,'ADV - FB'!H:H)/(SUMIF('ADV - FB'!L:L,$A655,'ADV - FB'!G:G)),"-")</f>
        <v>-</v>
      </c>
      <c r="I655" s="321" t="str">
        <f>IFERROR(SUMIF('ADV - FB'!L:L,$A655,'ADV - FB'!E:E)/(SUMIF('ADV - FB'!L:L,$A655,'ADV - FB'!F:F)),"-")</f>
        <v>-</v>
      </c>
      <c r="J655" s="315">
        <f>SUMIF('ADV - FB'!L:L,$A655,'ADV - FB'!I:I)+SUMIF('ADV - FB'!L:L,$A655,'ADV - FB'!J:J)+SUMIF('ADV - FB'!L:L,$A655,'ADV - FB'!K:K)</f>
        <v>0</v>
      </c>
      <c r="K655" s="321" t="str">
        <f t="shared" si="2"/>
        <v>-</v>
      </c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ht="15.75" customHeight="1">
      <c r="A656" s="313" t="s">
        <v>925</v>
      </c>
      <c r="B656" s="314"/>
      <c r="C656" s="315"/>
      <c r="D656" s="315"/>
      <c r="E656" s="317"/>
      <c r="F656" s="318" t="str">
        <f t="shared" si="1"/>
        <v>TP655 -  -  - </v>
      </c>
      <c r="G656" s="319">
        <f>SUMIF('ADV - FB'!L:L,$A656,'ADV - FB'!E:E)</f>
        <v>0</v>
      </c>
      <c r="H656" s="320" t="str">
        <f>IFERROR(SUMIF('ADV - FB'!L:L,$A656,'ADV - FB'!H:H)/(SUMIF('ADV - FB'!L:L,$A656,'ADV - FB'!G:G)),"-")</f>
        <v>-</v>
      </c>
      <c r="I656" s="321" t="str">
        <f>IFERROR(SUMIF('ADV - FB'!L:L,$A656,'ADV - FB'!E:E)/(SUMIF('ADV - FB'!L:L,$A656,'ADV - FB'!F:F)),"-")</f>
        <v>-</v>
      </c>
      <c r="J656" s="315">
        <f>SUMIF('ADV - FB'!L:L,$A656,'ADV - FB'!I:I)+SUMIF('ADV - FB'!L:L,$A656,'ADV - FB'!J:J)+SUMIF('ADV - FB'!L:L,$A656,'ADV - FB'!K:K)</f>
        <v>0</v>
      </c>
      <c r="K656" s="321" t="str">
        <f t="shared" si="2"/>
        <v>-</v>
      </c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ht="15.75" customHeight="1">
      <c r="A657" s="313" t="s">
        <v>926</v>
      </c>
      <c r="B657" s="314"/>
      <c r="C657" s="315"/>
      <c r="D657" s="315"/>
      <c r="E657" s="317"/>
      <c r="F657" s="318" t="str">
        <f t="shared" si="1"/>
        <v>TP656 -  -  - </v>
      </c>
      <c r="G657" s="319">
        <f>SUMIF('ADV - FB'!L:L,$A657,'ADV - FB'!E:E)</f>
        <v>0</v>
      </c>
      <c r="H657" s="320" t="str">
        <f>IFERROR(SUMIF('ADV - FB'!L:L,$A657,'ADV - FB'!H:H)/(SUMIF('ADV - FB'!L:L,$A657,'ADV - FB'!G:G)),"-")</f>
        <v>-</v>
      </c>
      <c r="I657" s="321" t="str">
        <f>IFERROR(SUMIF('ADV - FB'!L:L,$A657,'ADV - FB'!E:E)/(SUMIF('ADV - FB'!L:L,$A657,'ADV - FB'!F:F)),"-")</f>
        <v>-</v>
      </c>
      <c r="J657" s="315">
        <f>SUMIF('ADV - FB'!L:L,$A657,'ADV - FB'!I:I)+SUMIF('ADV - FB'!L:L,$A657,'ADV - FB'!J:J)+SUMIF('ADV - FB'!L:L,$A657,'ADV - FB'!K:K)</f>
        <v>0</v>
      </c>
      <c r="K657" s="321" t="str">
        <f t="shared" si="2"/>
        <v>-</v>
      </c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ht="15.75" customHeight="1">
      <c r="A658" s="313" t="s">
        <v>927</v>
      </c>
      <c r="B658" s="314"/>
      <c r="C658" s="315"/>
      <c r="D658" s="315"/>
      <c r="E658" s="317"/>
      <c r="F658" s="318" t="str">
        <f t="shared" si="1"/>
        <v>TP657 -  -  - </v>
      </c>
      <c r="G658" s="319">
        <f>SUMIF('ADV - FB'!L:L,$A658,'ADV - FB'!E:E)</f>
        <v>0</v>
      </c>
      <c r="H658" s="320" t="str">
        <f>IFERROR(SUMIF('ADV - FB'!L:L,$A658,'ADV - FB'!H:H)/(SUMIF('ADV - FB'!L:L,$A658,'ADV - FB'!G:G)),"-")</f>
        <v>-</v>
      </c>
      <c r="I658" s="321" t="str">
        <f>IFERROR(SUMIF('ADV - FB'!L:L,$A658,'ADV - FB'!E:E)/(SUMIF('ADV - FB'!L:L,$A658,'ADV - FB'!F:F)),"-")</f>
        <v>-</v>
      </c>
      <c r="J658" s="315">
        <f>SUMIF('ADV - FB'!L:L,$A658,'ADV - FB'!I:I)+SUMIF('ADV - FB'!L:L,$A658,'ADV - FB'!J:J)+SUMIF('ADV - FB'!L:L,$A658,'ADV - FB'!K:K)</f>
        <v>0</v>
      </c>
      <c r="K658" s="321" t="str">
        <f t="shared" si="2"/>
        <v>-</v>
      </c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ht="15.75" customHeight="1">
      <c r="A659" s="313" t="s">
        <v>928</v>
      </c>
      <c r="B659" s="314"/>
      <c r="C659" s="315"/>
      <c r="D659" s="315"/>
      <c r="E659" s="317"/>
      <c r="F659" s="318" t="str">
        <f t="shared" si="1"/>
        <v>TP658 -  -  - </v>
      </c>
      <c r="G659" s="319">
        <f>SUMIF('ADV - FB'!L:L,$A659,'ADV - FB'!E:E)</f>
        <v>0</v>
      </c>
      <c r="H659" s="320" t="str">
        <f>IFERROR(SUMIF('ADV - FB'!L:L,$A659,'ADV - FB'!H:H)/(SUMIF('ADV - FB'!L:L,$A659,'ADV - FB'!G:G)),"-")</f>
        <v>-</v>
      </c>
      <c r="I659" s="321" t="str">
        <f>IFERROR(SUMIF('ADV - FB'!L:L,$A659,'ADV - FB'!E:E)/(SUMIF('ADV - FB'!L:L,$A659,'ADV - FB'!F:F)),"-")</f>
        <v>-</v>
      </c>
      <c r="J659" s="315">
        <f>SUMIF('ADV - FB'!L:L,$A659,'ADV - FB'!I:I)+SUMIF('ADV - FB'!L:L,$A659,'ADV - FB'!J:J)+SUMIF('ADV - FB'!L:L,$A659,'ADV - FB'!K:K)</f>
        <v>0</v>
      </c>
      <c r="K659" s="321" t="str">
        <f t="shared" si="2"/>
        <v>-</v>
      </c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ht="15.75" customHeight="1">
      <c r="A660" s="313" t="s">
        <v>929</v>
      </c>
      <c r="B660" s="314"/>
      <c r="C660" s="315"/>
      <c r="D660" s="315"/>
      <c r="E660" s="317"/>
      <c r="F660" s="318" t="str">
        <f t="shared" si="1"/>
        <v>TP659 -  -  - </v>
      </c>
      <c r="G660" s="319">
        <f>SUMIF('ADV - FB'!L:L,$A660,'ADV - FB'!E:E)</f>
        <v>0</v>
      </c>
      <c r="H660" s="320" t="str">
        <f>IFERROR(SUMIF('ADV - FB'!L:L,$A660,'ADV - FB'!H:H)/(SUMIF('ADV - FB'!L:L,$A660,'ADV - FB'!G:G)),"-")</f>
        <v>-</v>
      </c>
      <c r="I660" s="321" t="str">
        <f>IFERROR(SUMIF('ADV - FB'!L:L,$A660,'ADV - FB'!E:E)/(SUMIF('ADV - FB'!L:L,$A660,'ADV - FB'!F:F)),"-")</f>
        <v>-</v>
      </c>
      <c r="J660" s="315">
        <f>SUMIF('ADV - FB'!L:L,$A660,'ADV - FB'!I:I)+SUMIF('ADV - FB'!L:L,$A660,'ADV - FB'!J:J)+SUMIF('ADV - FB'!L:L,$A660,'ADV - FB'!K:K)</f>
        <v>0</v>
      </c>
      <c r="K660" s="321" t="str">
        <f t="shared" si="2"/>
        <v>-</v>
      </c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ht="15.75" customHeight="1">
      <c r="A661" s="313" t="s">
        <v>930</v>
      </c>
      <c r="B661" s="314"/>
      <c r="C661" s="315"/>
      <c r="D661" s="315"/>
      <c r="E661" s="317"/>
      <c r="F661" s="318" t="str">
        <f t="shared" si="1"/>
        <v>TP660 -  -  - </v>
      </c>
      <c r="G661" s="319">
        <f>SUMIF('ADV - FB'!L:L,$A661,'ADV - FB'!E:E)</f>
        <v>0</v>
      </c>
      <c r="H661" s="320" t="str">
        <f>IFERROR(SUMIF('ADV - FB'!L:L,$A661,'ADV - FB'!H:H)/(SUMIF('ADV - FB'!L:L,$A661,'ADV - FB'!G:G)),"-")</f>
        <v>-</v>
      </c>
      <c r="I661" s="321" t="str">
        <f>IFERROR(SUMIF('ADV - FB'!L:L,$A661,'ADV - FB'!E:E)/(SUMIF('ADV - FB'!L:L,$A661,'ADV - FB'!F:F)),"-")</f>
        <v>-</v>
      </c>
      <c r="J661" s="315">
        <f>SUMIF('ADV - FB'!L:L,$A661,'ADV - FB'!I:I)+SUMIF('ADV - FB'!L:L,$A661,'ADV - FB'!J:J)+SUMIF('ADV - FB'!L:L,$A661,'ADV - FB'!K:K)</f>
        <v>0</v>
      </c>
      <c r="K661" s="321" t="str">
        <f t="shared" si="2"/>
        <v>-</v>
      </c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ht="15.75" customHeight="1">
      <c r="A662" s="313" t="s">
        <v>931</v>
      </c>
      <c r="B662" s="314"/>
      <c r="C662" s="315"/>
      <c r="D662" s="315"/>
      <c r="E662" s="317"/>
      <c r="F662" s="318" t="str">
        <f t="shared" si="1"/>
        <v>TP661 -  -  - </v>
      </c>
      <c r="G662" s="319">
        <f>SUMIF('ADV - FB'!L:L,$A662,'ADV - FB'!E:E)</f>
        <v>0</v>
      </c>
      <c r="H662" s="320" t="str">
        <f>IFERROR(SUMIF('ADV - FB'!L:L,$A662,'ADV - FB'!H:H)/(SUMIF('ADV - FB'!L:L,$A662,'ADV - FB'!G:G)),"-")</f>
        <v>-</v>
      </c>
      <c r="I662" s="321" t="str">
        <f>IFERROR(SUMIF('ADV - FB'!L:L,$A662,'ADV - FB'!E:E)/(SUMIF('ADV - FB'!L:L,$A662,'ADV - FB'!F:F)),"-")</f>
        <v>-</v>
      </c>
      <c r="J662" s="315">
        <f>SUMIF('ADV - FB'!L:L,$A662,'ADV - FB'!I:I)+SUMIF('ADV - FB'!L:L,$A662,'ADV - FB'!J:J)+SUMIF('ADV - FB'!L:L,$A662,'ADV - FB'!K:K)</f>
        <v>0</v>
      </c>
      <c r="K662" s="321" t="str">
        <f t="shared" si="2"/>
        <v>-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ht="15.75" customHeight="1">
      <c r="A663" s="313" t="s">
        <v>932</v>
      </c>
      <c r="B663" s="314"/>
      <c r="C663" s="315"/>
      <c r="D663" s="315"/>
      <c r="E663" s="317"/>
      <c r="F663" s="318" t="str">
        <f t="shared" si="1"/>
        <v>TP662 -  -  - </v>
      </c>
      <c r="G663" s="319">
        <f>SUMIF('ADV - FB'!L:L,$A663,'ADV - FB'!E:E)</f>
        <v>0</v>
      </c>
      <c r="H663" s="320" t="str">
        <f>IFERROR(SUMIF('ADV - FB'!L:L,$A663,'ADV - FB'!H:H)/(SUMIF('ADV - FB'!L:L,$A663,'ADV - FB'!G:G)),"-")</f>
        <v>-</v>
      </c>
      <c r="I663" s="321" t="str">
        <f>IFERROR(SUMIF('ADV - FB'!L:L,$A663,'ADV - FB'!E:E)/(SUMIF('ADV - FB'!L:L,$A663,'ADV - FB'!F:F)),"-")</f>
        <v>-</v>
      </c>
      <c r="J663" s="315">
        <f>SUMIF('ADV - FB'!L:L,$A663,'ADV - FB'!I:I)+SUMIF('ADV - FB'!L:L,$A663,'ADV - FB'!J:J)+SUMIF('ADV - FB'!L:L,$A663,'ADV - FB'!K:K)</f>
        <v>0</v>
      </c>
      <c r="K663" s="321" t="str">
        <f t="shared" si="2"/>
        <v>-</v>
      </c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ht="15.75" customHeight="1">
      <c r="A664" s="313" t="s">
        <v>933</v>
      </c>
      <c r="B664" s="314"/>
      <c r="C664" s="315"/>
      <c r="D664" s="315"/>
      <c r="E664" s="317"/>
      <c r="F664" s="318" t="str">
        <f t="shared" si="1"/>
        <v>TP663 -  -  - </v>
      </c>
      <c r="G664" s="319">
        <f>SUMIF('ADV - FB'!L:L,$A664,'ADV - FB'!E:E)</f>
        <v>0</v>
      </c>
      <c r="H664" s="320" t="str">
        <f>IFERROR(SUMIF('ADV - FB'!L:L,$A664,'ADV - FB'!H:H)/(SUMIF('ADV - FB'!L:L,$A664,'ADV - FB'!G:G)),"-")</f>
        <v>-</v>
      </c>
      <c r="I664" s="321" t="str">
        <f>IFERROR(SUMIF('ADV - FB'!L:L,$A664,'ADV - FB'!E:E)/(SUMIF('ADV - FB'!L:L,$A664,'ADV - FB'!F:F)),"-")</f>
        <v>-</v>
      </c>
      <c r="J664" s="315">
        <f>SUMIF('ADV - FB'!L:L,$A664,'ADV - FB'!I:I)+SUMIF('ADV - FB'!L:L,$A664,'ADV - FB'!J:J)+SUMIF('ADV - FB'!L:L,$A664,'ADV - FB'!K:K)</f>
        <v>0</v>
      </c>
      <c r="K664" s="321" t="str">
        <f t="shared" si="2"/>
        <v>-</v>
      </c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ht="15.75" customHeight="1">
      <c r="A665" s="313" t="s">
        <v>934</v>
      </c>
      <c r="B665" s="314"/>
      <c r="C665" s="315"/>
      <c r="D665" s="315"/>
      <c r="E665" s="317"/>
      <c r="F665" s="318" t="str">
        <f t="shared" si="1"/>
        <v>TP664 -  -  - </v>
      </c>
      <c r="G665" s="319">
        <f>SUMIF('ADV - FB'!L:L,$A665,'ADV - FB'!E:E)</f>
        <v>0</v>
      </c>
      <c r="H665" s="320" t="str">
        <f>IFERROR(SUMIF('ADV - FB'!L:L,$A665,'ADV - FB'!H:H)/(SUMIF('ADV - FB'!L:L,$A665,'ADV - FB'!G:G)),"-")</f>
        <v>-</v>
      </c>
      <c r="I665" s="321" t="str">
        <f>IFERROR(SUMIF('ADV - FB'!L:L,$A665,'ADV - FB'!E:E)/(SUMIF('ADV - FB'!L:L,$A665,'ADV - FB'!F:F)),"-")</f>
        <v>-</v>
      </c>
      <c r="J665" s="315">
        <f>SUMIF('ADV - FB'!L:L,$A665,'ADV - FB'!I:I)+SUMIF('ADV - FB'!L:L,$A665,'ADV - FB'!J:J)+SUMIF('ADV - FB'!L:L,$A665,'ADV - FB'!K:K)</f>
        <v>0</v>
      </c>
      <c r="K665" s="321" t="str">
        <f t="shared" si="2"/>
        <v>-</v>
      </c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ht="15.75" customHeight="1">
      <c r="A666" s="313" t="s">
        <v>935</v>
      </c>
      <c r="B666" s="314"/>
      <c r="C666" s="315"/>
      <c r="D666" s="315"/>
      <c r="E666" s="317"/>
      <c r="F666" s="318" t="str">
        <f t="shared" si="1"/>
        <v>TP665 -  -  - </v>
      </c>
      <c r="G666" s="319">
        <f>SUMIF('ADV - FB'!L:L,$A666,'ADV - FB'!E:E)</f>
        <v>0</v>
      </c>
      <c r="H666" s="320" t="str">
        <f>IFERROR(SUMIF('ADV - FB'!L:L,$A666,'ADV - FB'!H:H)/(SUMIF('ADV - FB'!L:L,$A666,'ADV - FB'!G:G)),"-")</f>
        <v>-</v>
      </c>
      <c r="I666" s="321" t="str">
        <f>IFERROR(SUMIF('ADV - FB'!L:L,$A666,'ADV - FB'!E:E)/(SUMIF('ADV - FB'!L:L,$A666,'ADV - FB'!F:F)),"-")</f>
        <v>-</v>
      </c>
      <c r="J666" s="315">
        <f>SUMIF('ADV - FB'!L:L,$A666,'ADV - FB'!I:I)+SUMIF('ADV - FB'!L:L,$A666,'ADV - FB'!J:J)+SUMIF('ADV - FB'!L:L,$A666,'ADV - FB'!K:K)</f>
        <v>0</v>
      </c>
      <c r="K666" s="321" t="str">
        <f t="shared" si="2"/>
        <v>-</v>
      </c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ht="15.75" customHeight="1">
      <c r="A667" s="313" t="s">
        <v>936</v>
      </c>
      <c r="B667" s="314"/>
      <c r="C667" s="315"/>
      <c r="D667" s="315"/>
      <c r="E667" s="317"/>
      <c r="F667" s="318" t="str">
        <f t="shared" si="1"/>
        <v>TP666 -  -  - </v>
      </c>
      <c r="G667" s="319">
        <f>SUMIF('ADV - FB'!L:L,$A667,'ADV - FB'!E:E)</f>
        <v>0</v>
      </c>
      <c r="H667" s="320" t="str">
        <f>IFERROR(SUMIF('ADV - FB'!L:L,$A667,'ADV - FB'!H:H)/(SUMIF('ADV - FB'!L:L,$A667,'ADV - FB'!G:G)),"-")</f>
        <v>-</v>
      </c>
      <c r="I667" s="321" t="str">
        <f>IFERROR(SUMIF('ADV - FB'!L:L,$A667,'ADV - FB'!E:E)/(SUMIF('ADV - FB'!L:L,$A667,'ADV - FB'!F:F)),"-")</f>
        <v>-</v>
      </c>
      <c r="J667" s="315">
        <f>SUMIF('ADV - FB'!L:L,$A667,'ADV - FB'!I:I)+SUMIF('ADV - FB'!L:L,$A667,'ADV - FB'!J:J)+SUMIF('ADV - FB'!L:L,$A667,'ADV - FB'!K:K)</f>
        <v>0</v>
      </c>
      <c r="K667" s="321" t="str">
        <f t="shared" si="2"/>
        <v>-</v>
      </c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ht="15.75" customHeight="1">
      <c r="A668" s="313" t="s">
        <v>937</v>
      </c>
      <c r="B668" s="314"/>
      <c r="C668" s="315"/>
      <c r="D668" s="315"/>
      <c r="E668" s="317"/>
      <c r="F668" s="318" t="str">
        <f t="shared" si="1"/>
        <v>TP667 -  -  - </v>
      </c>
      <c r="G668" s="319">
        <f>SUMIF('ADV - FB'!L:L,$A668,'ADV - FB'!E:E)</f>
        <v>0</v>
      </c>
      <c r="H668" s="320" t="str">
        <f>IFERROR(SUMIF('ADV - FB'!L:L,$A668,'ADV - FB'!H:H)/(SUMIF('ADV - FB'!L:L,$A668,'ADV - FB'!G:G)),"-")</f>
        <v>-</v>
      </c>
      <c r="I668" s="321" t="str">
        <f>IFERROR(SUMIF('ADV - FB'!L:L,$A668,'ADV - FB'!E:E)/(SUMIF('ADV - FB'!L:L,$A668,'ADV - FB'!F:F)),"-")</f>
        <v>-</v>
      </c>
      <c r="J668" s="315">
        <f>SUMIF('ADV - FB'!L:L,$A668,'ADV - FB'!I:I)+SUMIF('ADV - FB'!L:L,$A668,'ADV - FB'!J:J)+SUMIF('ADV - FB'!L:L,$A668,'ADV - FB'!K:K)</f>
        <v>0</v>
      </c>
      <c r="K668" s="321" t="str">
        <f t="shared" si="2"/>
        <v>-</v>
      </c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ht="15.75" customHeight="1">
      <c r="A669" s="313" t="s">
        <v>938</v>
      </c>
      <c r="B669" s="314"/>
      <c r="C669" s="315"/>
      <c r="D669" s="315"/>
      <c r="E669" s="317"/>
      <c r="F669" s="318" t="str">
        <f t="shared" si="1"/>
        <v>TP668 -  -  - </v>
      </c>
      <c r="G669" s="319">
        <f>SUMIF('ADV - FB'!L:L,$A669,'ADV - FB'!E:E)</f>
        <v>0</v>
      </c>
      <c r="H669" s="320" t="str">
        <f>IFERROR(SUMIF('ADV - FB'!L:L,$A669,'ADV - FB'!H:H)/(SUMIF('ADV - FB'!L:L,$A669,'ADV - FB'!G:G)),"-")</f>
        <v>-</v>
      </c>
      <c r="I669" s="321" t="str">
        <f>IFERROR(SUMIF('ADV - FB'!L:L,$A669,'ADV - FB'!E:E)/(SUMIF('ADV - FB'!L:L,$A669,'ADV - FB'!F:F)),"-")</f>
        <v>-</v>
      </c>
      <c r="J669" s="315">
        <f>SUMIF('ADV - FB'!L:L,$A669,'ADV - FB'!I:I)+SUMIF('ADV - FB'!L:L,$A669,'ADV - FB'!J:J)+SUMIF('ADV - FB'!L:L,$A669,'ADV - FB'!K:K)</f>
        <v>0</v>
      </c>
      <c r="K669" s="321" t="str">
        <f t="shared" si="2"/>
        <v>-</v>
      </c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ht="15.75" customHeight="1">
      <c r="A670" s="313" t="s">
        <v>939</v>
      </c>
      <c r="B670" s="314"/>
      <c r="C670" s="315"/>
      <c r="D670" s="315"/>
      <c r="E670" s="317"/>
      <c r="F670" s="318" t="str">
        <f t="shared" si="1"/>
        <v>TP669 -  -  - </v>
      </c>
      <c r="G670" s="319">
        <f>SUMIF('ADV - FB'!L:L,$A670,'ADV - FB'!E:E)</f>
        <v>0</v>
      </c>
      <c r="H670" s="320" t="str">
        <f>IFERROR(SUMIF('ADV - FB'!L:L,$A670,'ADV - FB'!H:H)/(SUMIF('ADV - FB'!L:L,$A670,'ADV - FB'!G:G)),"-")</f>
        <v>-</v>
      </c>
      <c r="I670" s="321" t="str">
        <f>IFERROR(SUMIF('ADV - FB'!L:L,$A670,'ADV - FB'!E:E)/(SUMIF('ADV - FB'!L:L,$A670,'ADV - FB'!F:F)),"-")</f>
        <v>-</v>
      </c>
      <c r="J670" s="315">
        <f>SUMIF('ADV - FB'!L:L,$A670,'ADV - FB'!I:I)+SUMIF('ADV - FB'!L:L,$A670,'ADV - FB'!J:J)+SUMIF('ADV - FB'!L:L,$A670,'ADV - FB'!K:K)</f>
        <v>0</v>
      </c>
      <c r="K670" s="321" t="str">
        <f t="shared" si="2"/>
        <v>-</v>
      </c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ht="15.75" customHeight="1">
      <c r="A671" s="313" t="s">
        <v>940</v>
      </c>
      <c r="B671" s="314"/>
      <c r="C671" s="315"/>
      <c r="D671" s="315"/>
      <c r="E671" s="317"/>
      <c r="F671" s="318" t="str">
        <f t="shared" si="1"/>
        <v>TP670 -  -  - </v>
      </c>
      <c r="G671" s="319">
        <f>SUMIF('ADV - FB'!L:L,$A671,'ADV - FB'!E:E)</f>
        <v>0</v>
      </c>
      <c r="H671" s="320" t="str">
        <f>IFERROR(SUMIF('ADV - FB'!L:L,$A671,'ADV - FB'!H:H)/(SUMIF('ADV - FB'!L:L,$A671,'ADV - FB'!G:G)),"-")</f>
        <v>-</v>
      </c>
      <c r="I671" s="321" t="str">
        <f>IFERROR(SUMIF('ADV - FB'!L:L,$A671,'ADV - FB'!E:E)/(SUMIF('ADV - FB'!L:L,$A671,'ADV - FB'!F:F)),"-")</f>
        <v>-</v>
      </c>
      <c r="J671" s="315">
        <f>SUMIF('ADV - FB'!L:L,$A671,'ADV - FB'!I:I)+SUMIF('ADV - FB'!L:L,$A671,'ADV - FB'!J:J)+SUMIF('ADV - FB'!L:L,$A671,'ADV - FB'!K:K)</f>
        <v>0</v>
      </c>
      <c r="K671" s="321" t="str">
        <f t="shared" si="2"/>
        <v>-</v>
      </c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ht="15.75" customHeight="1">
      <c r="A672" s="313" t="s">
        <v>941</v>
      </c>
      <c r="B672" s="314"/>
      <c r="C672" s="315"/>
      <c r="D672" s="315"/>
      <c r="E672" s="317"/>
      <c r="F672" s="318" t="str">
        <f t="shared" si="1"/>
        <v>TP671 -  -  - </v>
      </c>
      <c r="G672" s="319">
        <f>SUMIF('ADV - FB'!L:L,$A672,'ADV - FB'!E:E)</f>
        <v>0</v>
      </c>
      <c r="H672" s="320" t="str">
        <f>IFERROR(SUMIF('ADV - FB'!L:L,$A672,'ADV - FB'!H:H)/(SUMIF('ADV - FB'!L:L,$A672,'ADV - FB'!G:G)),"-")</f>
        <v>-</v>
      </c>
      <c r="I672" s="321" t="str">
        <f>IFERROR(SUMIF('ADV - FB'!L:L,$A672,'ADV - FB'!E:E)/(SUMIF('ADV - FB'!L:L,$A672,'ADV - FB'!F:F)),"-")</f>
        <v>-</v>
      </c>
      <c r="J672" s="315">
        <f>SUMIF('ADV - FB'!L:L,$A672,'ADV - FB'!I:I)+SUMIF('ADV - FB'!L:L,$A672,'ADV - FB'!J:J)+SUMIF('ADV - FB'!L:L,$A672,'ADV - FB'!K:K)</f>
        <v>0</v>
      </c>
      <c r="K672" s="321" t="str">
        <f t="shared" si="2"/>
        <v>-</v>
      </c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ht="15.75" customHeight="1">
      <c r="A673" s="313" t="s">
        <v>942</v>
      </c>
      <c r="B673" s="314"/>
      <c r="C673" s="315"/>
      <c r="D673" s="315"/>
      <c r="E673" s="317"/>
      <c r="F673" s="318" t="str">
        <f t="shared" si="1"/>
        <v>TP672 -  -  - </v>
      </c>
      <c r="G673" s="319">
        <f>SUMIF('ADV - FB'!L:L,$A673,'ADV - FB'!E:E)</f>
        <v>0</v>
      </c>
      <c r="H673" s="320" t="str">
        <f>IFERROR(SUMIF('ADV - FB'!L:L,$A673,'ADV - FB'!H:H)/(SUMIF('ADV - FB'!L:L,$A673,'ADV - FB'!G:G)),"-")</f>
        <v>-</v>
      </c>
      <c r="I673" s="321" t="str">
        <f>IFERROR(SUMIF('ADV - FB'!L:L,$A673,'ADV - FB'!E:E)/(SUMIF('ADV - FB'!L:L,$A673,'ADV - FB'!F:F)),"-")</f>
        <v>-</v>
      </c>
      <c r="J673" s="315">
        <f>SUMIF('ADV - FB'!L:L,$A673,'ADV - FB'!I:I)+SUMIF('ADV - FB'!L:L,$A673,'ADV - FB'!J:J)+SUMIF('ADV - FB'!L:L,$A673,'ADV - FB'!K:K)</f>
        <v>0</v>
      </c>
      <c r="K673" s="321" t="str">
        <f t="shared" si="2"/>
        <v>-</v>
      </c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ht="15.75" customHeight="1">
      <c r="A674" s="313" t="s">
        <v>943</v>
      </c>
      <c r="B674" s="314"/>
      <c r="C674" s="315"/>
      <c r="D674" s="315"/>
      <c r="E674" s="317"/>
      <c r="F674" s="318" t="str">
        <f t="shared" si="1"/>
        <v>TP673 -  -  - </v>
      </c>
      <c r="G674" s="319">
        <f>SUMIF('ADV - FB'!L:L,$A674,'ADV - FB'!E:E)</f>
        <v>0</v>
      </c>
      <c r="H674" s="320" t="str">
        <f>IFERROR(SUMIF('ADV - FB'!L:L,$A674,'ADV - FB'!H:H)/(SUMIF('ADV - FB'!L:L,$A674,'ADV - FB'!G:G)),"-")</f>
        <v>-</v>
      </c>
      <c r="I674" s="321" t="str">
        <f>IFERROR(SUMIF('ADV - FB'!L:L,$A674,'ADV - FB'!E:E)/(SUMIF('ADV - FB'!L:L,$A674,'ADV - FB'!F:F)),"-")</f>
        <v>-</v>
      </c>
      <c r="J674" s="315">
        <f>SUMIF('ADV - FB'!L:L,$A674,'ADV - FB'!I:I)+SUMIF('ADV - FB'!L:L,$A674,'ADV - FB'!J:J)+SUMIF('ADV - FB'!L:L,$A674,'ADV - FB'!K:K)</f>
        <v>0</v>
      </c>
      <c r="K674" s="321" t="str">
        <f t="shared" si="2"/>
        <v>-</v>
      </c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ht="15.75" customHeight="1">
      <c r="A675" s="313" t="s">
        <v>944</v>
      </c>
      <c r="B675" s="314"/>
      <c r="C675" s="315"/>
      <c r="D675" s="315"/>
      <c r="E675" s="317"/>
      <c r="F675" s="318" t="str">
        <f t="shared" si="1"/>
        <v>TP674 -  -  - </v>
      </c>
      <c r="G675" s="319">
        <f>SUMIF('ADV - FB'!L:L,$A675,'ADV - FB'!E:E)</f>
        <v>0</v>
      </c>
      <c r="H675" s="320" t="str">
        <f>IFERROR(SUMIF('ADV - FB'!L:L,$A675,'ADV - FB'!H:H)/(SUMIF('ADV - FB'!L:L,$A675,'ADV - FB'!G:G)),"-")</f>
        <v>-</v>
      </c>
      <c r="I675" s="321" t="str">
        <f>IFERROR(SUMIF('ADV - FB'!L:L,$A675,'ADV - FB'!E:E)/(SUMIF('ADV - FB'!L:L,$A675,'ADV - FB'!F:F)),"-")</f>
        <v>-</v>
      </c>
      <c r="J675" s="315">
        <f>SUMIF('ADV - FB'!L:L,$A675,'ADV - FB'!I:I)+SUMIF('ADV - FB'!L:L,$A675,'ADV - FB'!J:J)+SUMIF('ADV - FB'!L:L,$A675,'ADV - FB'!K:K)</f>
        <v>0</v>
      </c>
      <c r="K675" s="321" t="str">
        <f t="shared" si="2"/>
        <v>-</v>
      </c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ht="15.75" customHeight="1">
      <c r="A676" s="313" t="s">
        <v>945</v>
      </c>
      <c r="B676" s="314"/>
      <c r="C676" s="315"/>
      <c r="D676" s="315"/>
      <c r="E676" s="317"/>
      <c r="F676" s="318" t="str">
        <f t="shared" si="1"/>
        <v>TP675 -  -  - </v>
      </c>
      <c r="G676" s="319">
        <f>SUMIF('ADV - FB'!L:L,$A676,'ADV - FB'!E:E)</f>
        <v>0</v>
      </c>
      <c r="H676" s="320" t="str">
        <f>IFERROR(SUMIF('ADV - FB'!L:L,$A676,'ADV - FB'!H:H)/(SUMIF('ADV - FB'!L:L,$A676,'ADV - FB'!G:G)),"-")</f>
        <v>-</v>
      </c>
      <c r="I676" s="321" t="str">
        <f>IFERROR(SUMIF('ADV - FB'!L:L,$A676,'ADV - FB'!E:E)/(SUMIF('ADV - FB'!L:L,$A676,'ADV - FB'!F:F)),"-")</f>
        <v>-</v>
      </c>
      <c r="J676" s="315">
        <f>SUMIF('ADV - FB'!L:L,$A676,'ADV - FB'!I:I)+SUMIF('ADV - FB'!L:L,$A676,'ADV - FB'!J:J)+SUMIF('ADV - FB'!L:L,$A676,'ADV - FB'!K:K)</f>
        <v>0</v>
      </c>
      <c r="K676" s="321" t="str">
        <f t="shared" si="2"/>
        <v>-</v>
      </c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ht="15.75" customHeight="1">
      <c r="A677" s="313" t="s">
        <v>946</v>
      </c>
      <c r="B677" s="314"/>
      <c r="C677" s="315"/>
      <c r="D677" s="315"/>
      <c r="E677" s="317"/>
      <c r="F677" s="318" t="str">
        <f t="shared" si="1"/>
        <v>TP676 -  -  - </v>
      </c>
      <c r="G677" s="319">
        <f>SUMIF('ADV - FB'!L:L,$A677,'ADV - FB'!E:E)</f>
        <v>0</v>
      </c>
      <c r="H677" s="320" t="str">
        <f>IFERROR(SUMIF('ADV - FB'!L:L,$A677,'ADV - FB'!H:H)/(SUMIF('ADV - FB'!L:L,$A677,'ADV - FB'!G:G)),"-")</f>
        <v>-</v>
      </c>
      <c r="I677" s="321" t="str">
        <f>IFERROR(SUMIF('ADV - FB'!L:L,$A677,'ADV - FB'!E:E)/(SUMIF('ADV - FB'!L:L,$A677,'ADV - FB'!F:F)),"-")</f>
        <v>-</v>
      </c>
      <c r="J677" s="315">
        <f>SUMIF('ADV - FB'!L:L,$A677,'ADV - FB'!I:I)+SUMIF('ADV - FB'!L:L,$A677,'ADV - FB'!J:J)+SUMIF('ADV - FB'!L:L,$A677,'ADV - FB'!K:K)</f>
        <v>0</v>
      </c>
      <c r="K677" s="321" t="str">
        <f t="shared" si="2"/>
        <v>-</v>
      </c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ht="15.75" customHeight="1">
      <c r="A678" s="313" t="s">
        <v>947</v>
      </c>
      <c r="B678" s="314"/>
      <c r="C678" s="315"/>
      <c r="D678" s="315"/>
      <c r="E678" s="317"/>
      <c r="F678" s="318" t="str">
        <f t="shared" si="1"/>
        <v>TP677 -  -  - </v>
      </c>
      <c r="G678" s="319">
        <f>SUMIF('ADV - FB'!L:L,$A678,'ADV - FB'!E:E)</f>
        <v>0</v>
      </c>
      <c r="H678" s="320" t="str">
        <f>IFERROR(SUMIF('ADV - FB'!L:L,$A678,'ADV - FB'!H:H)/(SUMIF('ADV - FB'!L:L,$A678,'ADV - FB'!G:G)),"-")</f>
        <v>-</v>
      </c>
      <c r="I678" s="321" t="str">
        <f>IFERROR(SUMIF('ADV - FB'!L:L,$A678,'ADV - FB'!E:E)/(SUMIF('ADV - FB'!L:L,$A678,'ADV - FB'!F:F)),"-")</f>
        <v>-</v>
      </c>
      <c r="J678" s="315">
        <f>SUMIF('ADV - FB'!L:L,$A678,'ADV - FB'!I:I)+SUMIF('ADV - FB'!L:L,$A678,'ADV - FB'!J:J)+SUMIF('ADV - FB'!L:L,$A678,'ADV - FB'!K:K)</f>
        <v>0</v>
      </c>
      <c r="K678" s="321" t="str">
        <f t="shared" si="2"/>
        <v>-</v>
      </c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ht="15.75" customHeight="1">
      <c r="A679" s="313" t="s">
        <v>948</v>
      </c>
      <c r="B679" s="314"/>
      <c r="C679" s="315"/>
      <c r="D679" s="315"/>
      <c r="E679" s="317"/>
      <c r="F679" s="318" t="str">
        <f t="shared" si="1"/>
        <v>TP678 -  -  - </v>
      </c>
      <c r="G679" s="319">
        <f>SUMIF('ADV - FB'!L:L,$A679,'ADV - FB'!E:E)</f>
        <v>0</v>
      </c>
      <c r="H679" s="320" t="str">
        <f>IFERROR(SUMIF('ADV - FB'!L:L,$A679,'ADV - FB'!H:H)/(SUMIF('ADV - FB'!L:L,$A679,'ADV - FB'!G:G)),"-")</f>
        <v>-</v>
      </c>
      <c r="I679" s="321" t="str">
        <f>IFERROR(SUMIF('ADV - FB'!L:L,$A679,'ADV - FB'!E:E)/(SUMIF('ADV - FB'!L:L,$A679,'ADV - FB'!F:F)),"-")</f>
        <v>-</v>
      </c>
      <c r="J679" s="315">
        <f>SUMIF('ADV - FB'!L:L,$A679,'ADV - FB'!I:I)+SUMIF('ADV - FB'!L:L,$A679,'ADV - FB'!J:J)+SUMIF('ADV - FB'!L:L,$A679,'ADV - FB'!K:K)</f>
        <v>0</v>
      </c>
      <c r="K679" s="321" t="str">
        <f t="shared" si="2"/>
        <v>-</v>
      </c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ht="15.75" customHeight="1">
      <c r="A680" s="313" t="s">
        <v>949</v>
      </c>
      <c r="B680" s="314"/>
      <c r="C680" s="315"/>
      <c r="D680" s="315"/>
      <c r="E680" s="317"/>
      <c r="F680" s="318" t="str">
        <f t="shared" si="1"/>
        <v>TP679 -  -  - </v>
      </c>
      <c r="G680" s="319">
        <f>SUMIF('ADV - FB'!L:L,$A680,'ADV - FB'!E:E)</f>
        <v>0</v>
      </c>
      <c r="H680" s="320" t="str">
        <f>IFERROR(SUMIF('ADV - FB'!L:L,$A680,'ADV - FB'!H:H)/(SUMIF('ADV - FB'!L:L,$A680,'ADV - FB'!G:G)),"-")</f>
        <v>-</v>
      </c>
      <c r="I680" s="321" t="str">
        <f>IFERROR(SUMIF('ADV - FB'!L:L,$A680,'ADV - FB'!E:E)/(SUMIF('ADV - FB'!L:L,$A680,'ADV - FB'!F:F)),"-")</f>
        <v>-</v>
      </c>
      <c r="J680" s="315">
        <f>SUMIF('ADV - FB'!L:L,$A680,'ADV - FB'!I:I)+SUMIF('ADV - FB'!L:L,$A680,'ADV - FB'!J:J)+SUMIF('ADV - FB'!L:L,$A680,'ADV - FB'!K:K)</f>
        <v>0</v>
      </c>
      <c r="K680" s="321" t="str">
        <f t="shared" si="2"/>
        <v>-</v>
      </c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ht="15.75" customHeight="1">
      <c r="A681" s="313" t="s">
        <v>950</v>
      </c>
      <c r="B681" s="314"/>
      <c r="C681" s="315"/>
      <c r="D681" s="315"/>
      <c r="E681" s="317"/>
      <c r="F681" s="318" t="str">
        <f t="shared" si="1"/>
        <v>TP680 -  -  - </v>
      </c>
      <c r="G681" s="319">
        <f>SUMIF('ADV - FB'!L:L,$A681,'ADV - FB'!E:E)</f>
        <v>0</v>
      </c>
      <c r="H681" s="320" t="str">
        <f>IFERROR(SUMIF('ADV - FB'!L:L,$A681,'ADV - FB'!H:H)/(SUMIF('ADV - FB'!L:L,$A681,'ADV - FB'!G:G)),"-")</f>
        <v>-</v>
      </c>
      <c r="I681" s="321" t="str">
        <f>IFERROR(SUMIF('ADV - FB'!L:L,$A681,'ADV - FB'!E:E)/(SUMIF('ADV - FB'!L:L,$A681,'ADV - FB'!F:F)),"-")</f>
        <v>-</v>
      </c>
      <c r="J681" s="315">
        <f>SUMIF('ADV - FB'!L:L,$A681,'ADV - FB'!I:I)+SUMIF('ADV - FB'!L:L,$A681,'ADV - FB'!J:J)+SUMIF('ADV - FB'!L:L,$A681,'ADV - FB'!K:K)</f>
        <v>0</v>
      </c>
      <c r="K681" s="321" t="str">
        <f t="shared" si="2"/>
        <v>-</v>
      </c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ht="15.75" customHeight="1">
      <c r="A682" s="313" t="s">
        <v>951</v>
      </c>
      <c r="B682" s="314"/>
      <c r="C682" s="315"/>
      <c r="D682" s="315"/>
      <c r="E682" s="317"/>
      <c r="F682" s="318" t="str">
        <f t="shared" si="1"/>
        <v>TP681 -  -  - </v>
      </c>
      <c r="G682" s="319">
        <f>SUMIF('ADV - FB'!L:L,$A682,'ADV - FB'!E:E)</f>
        <v>0</v>
      </c>
      <c r="H682" s="320" t="str">
        <f>IFERROR(SUMIF('ADV - FB'!L:L,$A682,'ADV - FB'!H:H)/(SUMIF('ADV - FB'!L:L,$A682,'ADV - FB'!G:G)),"-")</f>
        <v>-</v>
      </c>
      <c r="I682" s="321" t="str">
        <f>IFERROR(SUMIF('ADV - FB'!L:L,$A682,'ADV - FB'!E:E)/(SUMIF('ADV - FB'!L:L,$A682,'ADV - FB'!F:F)),"-")</f>
        <v>-</v>
      </c>
      <c r="J682" s="315">
        <f>SUMIF('ADV - FB'!L:L,$A682,'ADV - FB'!I:I)+SUMIF('ADV - FB'!L:L,$A682,'ADV - FB'!J:J)+SUMIF('ADV - FB'!L:L,$A682,'ADV - FB'!K:K)</f>
        <v>0</v>
      </c>
      <c r="K682" s="321" t="str">
        <f t="shared" si="2"/>
        <v>-</v>
      </c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ht="15.75" customHeight="1">
      <c r="A683" s="313" t="s">
        <v>952</v>
      </c>
      <c r="B683" s="314"/>
      <c r="C683" s="315"/>
      <c r="D683" s="315"/>
      <c r="E683" s="317"/>
      <c r="F683" s="318" t="str">
        <f t="shared" si="1"/>
        <v>TP682 -  -  - </v>
      </c>
      <c r="G683" s="319">
        <f>SUMIF('ADV - FB'!L:L,$A683,'ADV - FB'!E:E)</f>
        <v>0</v>
      </c>
      <c r="H683" s="320" t="str">
        <f>IFERROR(SUMIF('ADV - FB'!L:L,$A683,'ADV - FB'!H:H)/(SUMIF('ADV - FB'!L:L,$A683,'ADV - FB'!G:G)),"-")</f>
        <v>-</v>
      </c>
      <c r="I683" s="321" t="str">
        <f>IFERROR(SUMIF('ADV - FB'!L:L,$A683,'ADV - FB'!E:E)/(SUMIF('ADV - FB'!L:L,$A683,'ADV - FB'!F:F)),"-")</f>
        <v>-</v>
      </c>
      <c r="J683" s="315">
        <f>SUMIF('ADV - FB'!L:L,$A683,'ADV - FB'!I:I)+SUMIF('ADV - FB'!L:L,$A683,'ADV - FB'!J:J)+SUMIF('ADV - FB'!L:L,$A683,'ADV - FB'!K:K)</f>
        <v>0</v>
      </c>
      <c r="K683" s="321" t="str">
        <f t="shared" si="2"/>
        <v>-</v>
      </c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ht="15.75" customHeight="1">
      <c r="A684" s="313" t="s">
        <v>953</v>
      </c>
      <c r="B684" s="314"/>
      <c r="C684" s="315"/>
      <c r="D684" s="315"/>
      <c r="E684" s="317"/>
      <c r="F684" s="318" t="str">
        <f t="shared" si="1"/>
        <v>TP683 -  -  - </v>
      </c>
      <c r="G684" s="319">
        <f>SUMIF('ADV - FB'!L:L,$A684,'ADV - FB'!E:E)</f>
        <v>0</v>
      </c>
      <c r="H684" s="320" t="str">
        <f>IFERROR(SUMIF('ADV - FB'!L:L,$A684,'ADV - FB'!H:H)/(SUMIF('ADV - FB'!L:L,$A684,'ADV - FB'!G:G)),"-")</f>
        <v>-</v>
      </c>
      <c r="I684" s="321" t="str">
        <f>IFERROR(SUMIF('ADV - FB'!L:L,$A684,'ADV - FB'!E:E)/(SUMIF('ADV - FB'!L:L,$A684,'ADV - FB'!F:F)),"-")</f>
        <v>-</v>
      </c>
      <c r="J684" s="315">
        <f>SUMIF('ADV - FB'!L:L,$A684,'ADV - FB'!I:I)+SUMIF('ADV - FB'!L:L,$A684,'ADV - FB'!J:J)+SUMIF('ADV - FB'!L:L,$A684,'ADV - FB'!K:K)</f>
        <v>0</v>
      </c>
      <c r="K684" s="321" t="str">
        <f t="shared" si="2"/>
        <v>-</v>
      </c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ht="15.75" customHeight="1">
      <c r="A685" s="313" t="s">
        <v>954</v>
      </c>
      <c r="B685" s="314"/>
      <c r="C685" s="315"/>
      <c r="D685" s="315"/>
      <c r="E685" s="317"/>
      <c r="F685" s="318" t="str">
        <f t="shared" si="1"/>
        <v>TP684 -  -  - </v>
      </c>
      <c r="G685" s="319">
        <f>SUMIF('ADV - FB'!L:L,$A685,'ADV - FB'!E:E)</f>
        <v>0</v>
      </c>
      <c r="H685" s="320" t="str">
        <f>IFERROR(SUMIF('ADV - FB'!L:L,$A685,'ADV - FB'!H:H)/(SUMIF('ADV - FB'!L:L,$A685,'ADV - FB'!G:G)),"-")</f>
        <v>-</v>
      </c>
      <c r="I685" s="321" t="str">
        <f>IFERROR(SUMIF('ADV - FB'!L:L,$A685,'ADV - FB'!E:E)/(SUMIF('ADV - FB'!L:L,$A685,'ADV - FB'!F:F)),"-")</f>
        <v>-</v>
      </c>
      <c r="J685" s="315">
        <f>SUMIF('ADV - FB'!L:L,$A685,'ADV - FB'!I:I)+SUMIF('ADV - FB'!L:L,$A685,'ADV - FB'!J:J)+SUMIF('ADV - FB'!L:L,$A685,'ADV - FB'!K:K)</f>
        <v>0</v>
      </c>
      <c r="K685" s="321" t="str">
        <f t="shared" si="2"/>
        <v>-</v>
      </c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ht="15.75" customHeight="1">
      <c r="A686" s="313" t="s">
        <v>955</v>
      </c>
      <c r="B686" s="314"/>
      <c r="C686" s="315"/>
      <c r="D686" s="315"/>
      <c r="E686" s="317"/>
      <c r="F686" s="318" t="str">
        <f t="shared" si="1"/>
        <v>TP685 -  -  - </v>
      </c>
      <c r="G686" s="319">
        <f>SUMIF('ADV - FB'!L:L,$A686,'ADV - FB'!E:E)</f>
        <v>0</v>
      </c>
      <c r="H686" s="320" t="str">
        <f>IFERROR(SUMIF('ADV - FB'!L:L,$A686,'ADV - FB'!H:H)/(SUMIF('ADV - FB'!L:L,$A686,'ADV - FB'!G:G)),"-")</f>
        <v>-</v>
      </c>
      <c r="I686" s="321" t="str">
        <f>IFERROR(SUMIF('ADV - FB'!L:L,$A686,'ADV - FB'!E:E)/(SUMIF('ADV - FB'!L:L,$A686,'ADV - FB'!F:F)),"-")</f>
        <v>-</v>
      </c>
      <c r="J686" s="315">
        <f>SUMIF('ADV - FB'!L:L,$A686,'ADV - FB'!I:I)+SUMIF('ADV - FB'!L:L,$A686,'ADV - FB'!J:J)+SUMIF('ADV - FB'!L:L,$A686,'ADV - FB'!K:K)</f>
        <v>0</v>
      </c>
      <c r="K686" s="321" t="str">
        <f t="shared" si="2"/>
        <v>-</v>
      </c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ht="15.75" customHeight="1">
      <c r="A687" s="313" t="s">
        <v>956</v>
      </c>
      <c r="B687" s="314"/>
      <c r="C687" s="315"/>
      <c r="D687" s="315"/>
      <c r="E687" s="317"/>
      <c r="F687" s="318" t="str">
        <f t="shared" si="1"/>
        <v>TP686 -  -  - </v>
      </c>
      <c r="G687" s="319">
        <f>SUMIF('ADV - FB'!L:L,$A687,'ADV - FB'!E:E)</f>
        <v>0</v>
      </c>
      <c r="H687" s="320" t="str">
        <f>IFERROR(SUMIF('ADV - FB'!L:L,$A687,'ADV - FB'!H:H)/(SUMIF('ADV - FB'!L:L,$A687,'ADV - FB'!G:G)),"-")</f>
        <v>-</v>
      </c>
      <c r="I687" s="321" t="str">
        <f>IFERROR(SUMIF('ADV - FB'!L:L,$A687,'ADV - FB'!E:E)/(SUMIF('ADV - FB'!L:L,$A687,'ADV - FB'!F:F)),"-")</f>
        <v>-</v>
      </c>
      <c r="J687" s="315">
        <f>SUMIF('ADV - FB'!L:L,$A687,'ADV - FB'!I:I)+SUMIF('ADV - FB'!L:L,$A687,'ADV - FB'!J:J)+SUMIF('ADV - FB'!L:L,$A687,'ADV - FB'!K:K)</f>
        <v>0</v>
      </c>
      <c r="K687" s="321" t="str">
        <f t="shared" si="2"/>
        <v>-</v>
      </c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ht="15.75" customHeight="1">
      <c r="A688" s="313" t="s">
        <v>957</v>
      </c>
      <c r="B688" s="314"/>
      <c r="C688" s="315"/>
      <c r="D688" s="315"/>
      <c r="E688" s="317"/>
      <c r="F688" s="318" t="str">
        <f t="shared" si="1"/>
        <v>TP687 -  -  - </v>
      </c>
      <c r="G688" s="319">
        <f>SUMIF('ADV - FB'!L:L,$A688,'ADV - FB'!E:E)</f>
        <v>0</v>
      </c>
      <c r="H688" s="320" t="str">
        <f>IFERROR(SUMIF('ADV - FB'!L:L,$A688,'ADV - FB'!H:H)/(SUMIF('ADV - FB'!L:L,$A688,'ADV - FB'!G:G)),"-")</f>
        <v>-</v>
      </c>
      <c r="I688" s="321" t="str">
        <f>IFERROR(SUMIF('ADV - FB'!L:L,$A688,'ADV - FB'!E:E)/(SUMIF('ADV - FB'!L:L,$A688,'ADV - FB'!F:F)),"-")</f>
        <v>-</v>
      </c>
      <c r="J688" s="315">
        <f>SUMIF('ADV - FB'!L:L,$A688,'ADV - FB'!I:I)+SUMIF('ADV - FB'!L:L,$A688,'ADV - FB'!J:J)+SUMIF('ADV - FB'!L:L,$A688,'ADV - FB'!K:K)</f>
        <v>0</v>
      </c>
      <c r="K688" s="321" t="str">
        <f t="shared" si="2"/>
        <v>-</v>
      </c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ht="15.75" customHeight="1">
      <c r="A689" s="313" t="s">
        <v>958</v>
      </c>
      <c r="B689" s="314"/>
      <c r="C689" s="315"/>
      <c r="D689" s="315"/>
      <c r="E689" s="317"/>
      <c r="F689" s="318" t="str">
        <f t="shared" si="1"/>
        <v>TP688 -  -  - </v>
      </c>
      <c r="G689" s="319">
        <f>SUMIF('ADV - FB'!L:L,$A689,'ADV - FB'!E:E)</f>
        <v>0</v>
      </c>
      <c r="H689" s="320" t="str">
        <f>IFERROR(SUMIF('ADV - FB'!L:L,$A689,'ADV - FB'!H:H)/(SUMIF('ADV - FB'!L:L,$A689,'ADV - FB'!G:G)),"-")</f>
        <v>-</v>
      </c>
      <c r="I689" s="321" t="str">
        <f>IFERROR(SUMIF('ADV - FB'!L:L,$A689,'ADV - FB'!E:E)/(SUMIF('ADV - FB'!L:L,$A689,'ADV - FB'!F:F)),"-")</f>
        <v>-</v>
      </c>
      <c r="J689" s="315">
        <f>SUMIF('ADV - FB'!L:L,$A689,'ADV - FB'!I:I)+SUMIF('ADV - FB'!L:L,$A689,'ADV - FB'!J:J)+SUMIF('ADV - FB'!L:L,$A689,'ADV - FB'!K:K)</f>
        <v>0</v>
      </c>
      <c r="K689" s="321" t="str">
        <f t="shared" si="2"/>
        <v>-</v>
      </c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ht="15.75" customHeight="1">
      <c r="A690" s="313" t="s">
        <v>959</v>
      </c>
      <c r="B690" s="314"/>
      <c r="C690" s="315"/>
      <c r="D690" s="315"/>
      <c r="E690" s="317"/>
      <c r="F690" s="318" t="str">
        <f t="shared" si="1"/>
        <v>TP689 -  -  - </v>
      </c>
      <c r="G690" s="319">
        <f>SUMIF('ADV - FB'!L:L,$A690,'ADV - FB'!E:E)</f>
        <v>0</v>
      </c>
      <c r="H690" s="320" t="str">
        <f>IFERROR(SUMIF('ADV - FB'!L:L,$A690,'ADV - FB'!H:H)/(SUMIF('ADV - FB'!L:L,$A690,'ADV - FB'!G:G)),"-")</f>
        <v>-</v>
      </c>
      <c r="I690" s="321" t="str">
        <f>IFERROR(SUMIF('ADV - FB'!L:L,$A690,'ADV - FB'!E:E)/(SUMIF('ADV - FB'!L:L,$A690,'ADV - FB'!F:F)),"-")</f>
        <v>-</v>
      </c>
      <c r="J690" s="315">
        <f>SUMIF('ADV - FB'!L:L,$A690,'ADV - FB'!I:I)+SUMIF('ADV - FB'!L:L,$A690,'ADV - FB'!J:J)+SUMIF('ADV - FB'!L:L,$A690,'ADV - FB'!K:K)</f>
        <v>0</v>
      </c>
      <c r="K690" s="321" t="str">
        <f t="shared" si="2"/>
        <v>-</v>
      </c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ht="15.75" customHeight="1">
      <c r="A691" s="313" t="s">
        <v>960</v>
      </c>
      <c r="B691" s="314"/>
      <c r="C691" s="315"/>
      <c r="D691" s="315"/>
      <c r="E691" s="317"/>
      <c r="F691" s="318" t="str">
        <f t="shared" si="1"/>
        <v>TP690 -  -  - </v>
      </c>
      <c r="G691" s="319">
        <f>SUMIF('ADV - FB'!L:L,$A691,'ADV - FB'!E:E)</f>
        <v>0</v>
      </c>
      <c r="H691" s="320" t="str">
        <f>IFERROR(SUMIF('ADV - FB'!L:L,$A691,'ADV - FB'!H:H)/(SUMIF('ADV - FB'!L:L,$A691,'ADV - FB'!G:G)),"-")</f>
        <v>-</v>
      </c>
      <c r="I691" s="321" t="str">
        <f>IFERROR(SUMIF('ADV - FB'!L:L,$A691,'ADV - FB'!E:E)/(SUMIF('ADV - FB'!L:L,$A691,'ADV - FB'!F:F)),"-")</f>
        <v>-</v>
      </c>
      <c r="J691" s="315">
        <f>SUMIF('ADV - FB'!L:L,$A691,'ADV - FB'!I:I)+SUMIF('ADV - FB'!L:L,$A691,'ADV - FB'!J:J)+SUMIF('ADV - FB'!L:L,$A691,'ADV - FB'!K:K)</f>
        <v>0</v>
      </c>
      <c r="K691" s="321" t="str">
        <f t="shared" si="2"/>
        <v>-</v>
      </c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ht="15.75" customHeight="1">
      <c r="A692" s="313" t="s">
        <v>961</v>
      </c>
      <c r="B692" s="314"/>
      <c r="C692" s="315"/>
      <c r="D692" s="315"/>
      <c r="E692" s="317"/>
      <c r="F692" s="318" t="str">
        <f t="shared" si="1"/>
        <v>TP691 -  -  - </v>
      </c>
      <c r="G692" s="319">
        <f>SUMIF('ADV - FB'!L:L,$A692,'ADV - FB'!E:E)</f>
        <v>0</v>
      </c>
      <c r="H692" s="320" t="str">
        <f>IFERROR(SUMIF('ADV - FB'!L:L,$A692,'ADV - FB'!H:H)/(SUMIF('ADV - FB'!L:L,$A692,'ADV - FB'!G:G)),"-")</f>
        <v>-</v>
      </c>
      <c r="I692" s="321" t="str">
        <f>IFERROR(SUMIF('ADV - FB'!L:L,$A692,'ADV - FB'!E:E)/(SUMIF('ADV - FB'!L:L,$A692,'ADV - FB'!F:F)),"-")</f>
        <v>-</v>
      </c>
      <c r="J692" s="315">
        <f>SUMIF('ADV - FB'!L:L,$A692,'ADV - FB'!I:I)+SUMIF('ADV - FB'!L:L,$A692,'ADV - FB'!J:J)+SUMIF('ADV - FB'!L:L,$A692,'ADV - FB'!K:K)</f>
        <v>0</v>
      </c>
      <c r="K692" s="321" t="str">
        <f t="shared" si="2"/>
        <v>-</v>
      </c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ht="15.75" customHeight="1">
      <c r="A693" s="313" t="s">
        <v>962</v>
      </c>
      <c r="B693" s="314"/>
      <c r="C693" s="315"/>
      <c r="D693" s="315"/>
      <c r="E693" s="317"/>
      <c r="F693" s="318" t="str">
        <f t="shared" si="1"/>
        <v>TP692 -  -  - </v>
      </c>
      <c r="G693" s="319">
        <f>SUMIF('ADV - FB'!L:L,$A693,'ADV - FB'!E:E)</f>
        <v>0</v>
      </c>
      <c r="H693" s="320" t="str">
        <f>IFERROR(SUMIF('ADV - FB'!L:L,$A693,'ADV - FB'!H:H)/(SUMIF('ADV - FB'!L:L,$A693,'ADV - FB'!G:G)),"-")</f>
        <v>-</v>
      </c>
      <c r="I693" s="321" t="str">
        <f>IFERROR(SUMIF('ADV - FB'!L:L,$A693,'ADV - FB'!E:E)/(SUMIF('ADV - FB'!L:L,$A693,'ADV - FB'!F:F)),"-")</f>
        <v>-</v>
      </c>
      <c r="J693" s="315">
        <f>SUMIF('ADV - FB'!L:L,$A693,'ADV - FB'!I:I)+SUMIF('ADV - FB'!L:L,$A693,'ADV - FB'!J:J)+SUMIF('ADV - FB'!L:L,$A693,'ADV - FB'!K:K)</f>
        <v>0</v>
      </c>
      <c r="K693" s="321" t="str">
        <f t="shared" si="2"/>
        <v>-</v>
      </c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ht="15.75" customHeight="1">
      <c r="A694" s="313" t="s">
        <v>963</v>
      </c>
      <c r="B694" s="314"/>
      <c r="C694" s="315"/>
      <c r="D694" s="315"/>
      <c r="E694" s="317"/>
      <c r="F694" s="318" t="str">
        <f t="shared" si="1"/>
        <v>TP693 -  -  - </v>
      </c>
      <c r="G694" s="319">
        <f>SUMIF('ADV - FB'!L:L,$A694,'ADV - FB'!E:E)</f>
        <v>0</v>
      </c>
      <c r="H694" s="320" t="str">
        <f>IFERROR(SUMIF('ADV - FB'!L:L,$A694,'ADV - FB'!H:H)/(SUMIF('ADV - FB'!L:L,$A694,'ADV - FB'!G:G)),"-")</f>
        <v>-</v>
      </c>
      <c r="I694" s="321" t="str">
        <f>IFERROR(SUMIF('ADV - FB'!L:L,$A694,'ADV - FB'!E:E)/(SUMIF('ADV - FB'!L:L,$A694,'ADV - FB'!F:F)),"-")</f>
        <v>-</v>
      </c>
      <c r="J694" s="315">
        <f>SUMIF('ADV - FB'!L:L,$A694,'ADV - FB'!I:I)+SUMIF('ADV - FB'!L:L,$A694,'ADV - FB'!J:J)+SUMIF('ADV - FB'!L:L,$A694,'ADV - FB'!K:K)</f>
        <v>0</v>
      </c>
      <c r="K694" s="321" t="str">
        <f t="shared" si="2"/>
        <v>-</v>
      </c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ht="15.75" customHeight="1">
      <c r="A695" s="313" t="s">
        <v>964</v>
      </c>
      <c r="B695" s="314"/>
      <c r="C695" s="315"/>
      <c r="D695" s="315"/>
      <c r="E695" s="317"/>
      <c r="F695" s="318" t="str">
        <f t="shared" si="1"/>
        <v>TP694 -  -  - </v>
      </c>
      <c r="G695" s="319">
        <f>SUMIF('ADV - FB'!L:L,$A695,'ADV - FB'!E:E)</f>
        <v>0</v>
      </c>
      <c r="H695" s="320" t="str">
        <f>IFERROR(SUMIF('ADV - FB'!L:L,$A695,'ADV - FB'!H:H)/(SUMIF('ADV - FB'!L:L,$A695,'ADV - FB'!G:G)),"-")</f>
        <v>-</v>
      </c>
      <c r="I695" s="321" t="str">
        <f>IFERROR(SUMIF('ADV - FB'!L:L,$A695,'ADV - FB'!E:E)/(SUMIF('ADV - FB'!L:L,$A695,'ADV - FB'!F:F)),"-")</f>
        <v>-</v>
      </c>
      <c r="J695" s="315">
        <f>SUMIF('ADV - FB'!L:L,$A695,'ADV - FB'!I:I)+SUMIF('ADV - FB'!L:L,$A695,'ADV - FB'!J:J)+SUMIF('ADV - FB'!L:L,$A695,'ADV - FB'!K:K)</f>
        <v>0</v>
      </c>
      <c r="K695" s="321" t="str">
        <f t="shared" si="2"/>
        <v>-</v>
      </c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ht="15.75" customHeight="1">
      <c r="A696" s="313" t="s">
        <v>965</v>
      </c>
      <c r="B696" s="314"/>
      <c r="C696" s="315"/>
      <c r="D696" s="315"/>
      <c r="E696" s="317"/>
      <c r="F696" s="318" t="str">
        <f t="shared" si="1"/>
        <v>TP695 -  -  - </v>
      </c>
      <c r="G696" s="319">
        <f>SUMIF('ADV - FB'!L:L,$A696,'ADV - FB'!E:E)</f>
        <v>0</v>
      </c>
      <c r="H696" s="320" t="str">
        <f>IFERROR(SUMIF('ADV - FB'!L:L,$A696,'ADV - FB'!H:H)/(SUMIF('ADV - FB'!L:L,$A696,'ADV - FB'!G:G)),"-")</f>
        <v>-</v>
      </c>
      <c r="I696" s="321" t="str">
        <f>IFERROR(SUMIF('ADV - FB'!L:L,$A696,'ADV - FB'!E:E)/(SUMIF('ADV - FB'!L:L,$A696,'ADV - FB'!F:F)),"-")</f>
        <v>-</v>
      </c>
      <c r="J696" s="315">
        <f>SUMIF('ADV - FB'!L:L,$A696,'ADV - FB'!I:I)+SUMIF('ADV - FB'!L:L,$A696,'ADV - FB'!J:J)+SUMIF('ADV - FB'!L:L,$A696,'ADV - FB'!K:K)</f>
        <v>0</v>
      </c>
      <c r="K696" s="321" t="str">
        <f t="shared" si="2"/>
        <v>-</v>
      </c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ht="15.75" customHeight="1">
      <c r="A697" s="313" t="s">
        <v>966</v>
      </c>
      <c r="B697" s="314"/>
      <c r="C697" s="315"/>
      <c r="D697" s="315"/>
      <c r="E697" s="317"/>
      <c r="F697" s="318" t="str">
        <f t="shared" si="1"/>
        <v>TP696 -  -  - </v>
      </c>
      <c r="G697" s="319">
        <f>SUMIF('ADV - FB'!L:L,$A697,'ADV - FB'!E:E)</f>
        <v>0</v>
      </c>
      <c r="H697" s="320" t="str">
        <f>IFERROR(SUMIF('ADV - FB'!L:L,$A697,'ADV - FB'!H:H)/(SUMIF('ADV - FB'!L:L,$A697,'ADV - FB'!G:G)),"-")</f>
        <v>-</v>
      </c>
      <c r="I697" s="321" t="str">
        <f>IFERROR(SUMIF('ADV - FB'!L:L,$A697,'ADV - FB'!E:E)/(SUMIF('ADV - FB'!L:L,$A697,'ADV - FB'!F:F)),"-")</f>
        <v>-</v>
      </c>
      <c r="J697" s="315">
        <f>SUMIF('ADV - FB'!L:L,$A697,'ADV - FB'!I:I)+SUMIF('ADV - FB'!L:L,$A697,'ADV - FB'!J:J)+SUMIF('ADV - FB'!L:L,$A697,'ADV - FB'!K:K)</f>
        <v>0</v>
      </c>
      <c r="K697" s="321" t="str">
        <f t="shared" si="2"/>
        <v>-</v>
      </c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ht="15.75" customHeight="1">
      <c r="A698" s="313" t="s">
        <v>967</v>
      </c>
      <c r="B698" s="314"/>
      <c r="C698" s="315"/>
      <c r="D698" s="315"/>
      <c r="E698" s="317"/>
      <c r="F698" s="318" t="str">
        <f t="shared" si="1"/>
        <v>TP697 -  -  - </v>
      </c>
      <c r="G698" s="319">
        <f>SUMIF('ADV - FB'!L:L,$A698,'ADV - FB'!E:E)</f>
        <v>0</v>
      </c>
      <c r="H698" s="320" t="str">
        <f>IFERROR(SUMIF('ADV - FB'!L:L,$A698,'ADV - FB'!H:H)/(SUMIF('ADV - FB'!L:L,$A698,'ADV - FB'!G:G)),"-")</f>
        <v>-</v>
      </c>
      <c r="I698" s="321" t="str">
        <f>IFERROR(SUMIF('ADV - FB'!L:L,$A698,'ADV - FB'!E:E)/(SUMIF('ADV - FB'!L:L,$A698,'ADV - FB'!F:F)),"-")</f>
        <v>-</v>
      </c>
      <c r="J698" s="315">
        <f>SUMIF('ADV - FB'!L:L,$A698,'ADV - FB'!I:I)+SUMIF('ADV - FB'!L:L,$A698,'ADV - FB'!J:J)+SUMIF('ADV - FB'!L:L,$A698,'ADV - FB'!K:K)</f>
        <v>0</v>
      </c>
      <c r="K698" s="321" t="str">
        <f t="shared" si="2"/>
        <v>-</v>
      </c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ht="15.75" customHeight="1">
      <c r="A699" s="313" t="s">
        <v>968</v>
      </c>
      <c r="B699" s="314"/>
      <c r="C699" s="315"/>
      <c r="D699" s="315"/>
      <c r="E699" s="317"/>
      <c r="F699" s="318" t="str">
        <f t="shared" si="1"/>
        <v>TP698 -  -  - </v>
      </c>
      <c r="G699" s="319">
        <f>SUMIF('ADV - FB'!L:L,$A699,'ADV - FB'!E:E)</f>
        <v>0</v>
      </c>
      <c r="H699" s="320" t="str">
        <f>IFERROR(SUMIF('ADV - FB'!L:L,$A699,'ADV - FB'!H:H)/(SUMIF('ADV - FB'!L:L,$A699,'ADV - FB'!G:G)),"-")</f>
        <v>-</v>
      </c>
      <c r="I699" s="321" t="str">
        <f>IFERROR(SUMIF('ADV - FB'!L:L,$A699,'ADV - FB'!E:E)/(SUMIF('ADV - FB'!L:L,$A699,'ADV - FB'!F:F)),"-")</f>
        <v>-</v>
      </c>
      <c r="J699" s="315">
        <f>SUMIF('ADV - FB'!L:L,$A699,'ADV - FB'!I:I)+SUMIF('ADV - FB'!L:L,$A699,'ADV - FB'!J:J)+SUMIF('ADV - FB'!L:L,$A699,'ADV - FB'!K:K)</f>
        <v>0</v>
      </c>
      <c r="K699" s="321" t="str">
        <f t="shared" si="2"/>
        <v>-</v>
      </c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ht="15.75" customHeight="1">
      <c r="A700" s="313" t="s">
        <v>969</v>
      </c>
      <c r="B700" s="314"/>
      <c r="C700" s="315"/>
      <c r="D700" s="315"/>
      <c r="E700" s="317"/>
      <c r="F700" s="318" t="str">
        <f t="shared" si="1"/>
        <v>TP699 -  -  - </v>
      </c>
      <c r="G700" s="319">
        <f>SUMIF('ADV - FB'!L:L,$A700,'ADV - FB'!E:E)</f>
        <v>0</v>
      </c>
      <c r="H700" s="320" t="str">
        <f>IFERROR(SUMIF('ADV - FB'!L:L,$A700,'ADV - FB'!H:H)/(SUMIF('ADV - FB'!L:L,$A700,'ADV - FB'!G:G)),"-")</f>
        <v>-</v>
      </c>
      <c r="I700" s="321" t="str">
        <f>IFERROR(SUMIF('ADV - FB'!L:L,$A700,'ADV - FB'!E:E)/(SUMIF('ADV - FB'!L:L,$A700,'ADV - FB'!F:F)),"-")</f>
        <v>-</v>
      </c>
      <c r="J700" s="315">
        <f>SUMIF('ADV - FB'!L:L,$A700,'ADV - FB'!I:I)+SUMIF('ADV - FB'!L:L,$A700,'ADV - FB'!J:J)+SUMIF('ADV - FB'!L:L,$A700,'ADV - FB'!K:K)</f>
        <v>0</v>
      </c>
      <c r="K700" s="321" t="str">
        <f t="shared" si="2"/>
        <v>-</v>
      </c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ht="15.75" customHeight="1">
      <c r="A701" s="313" t="s">
        <v>970</v>
      </c>
      <c r="B701" s="314"/>
      <c r="C701" s="315"/>
      <c r="D701" s="315"/>
      <c r="E701" s="317"/>
      <c r="F701" s="318" t="str">
        <f t="shared" si="1"/>
        <v>TP700 -  -  - </v>
      </c>
      <c r="G701" s="319">
        <f>SUMIF('ADV - FB'!L:L,$A701,'ADV - FB'!E:E)</f>
        <v>0</v>
      </c>
      <c r="H701" s="320" t="str">
        <f>IFERROR(SUMIF('ADV - FB'!L:L,$A701,'ADV - FB'!H:H)/(SUMIF('ADV - FB'!L:L,$A701,'ADV - FB'!G:G)),"-")</f>
        <v>-</v>
      </c>
      <c r="I701" s="321" t="str">
        <f>IFERROR(SUMIF('ADV - FB'!L:L,$A701,'ADV - FB'!E:E)/(SUMIF('ADV - FB'!L:L,$A701,'ADV - FB'!F:F)),"-")</f>
        <v>-</v>
      </c>
      <c r="J701" s="315">
        <f>SUMIF('ADV - FB'!L:L,$A701,'ADV - FB'!I:I)+SUMIF('ADV - FB'!L:L,$A701,'ADV - FB'!J:J)+SUMIF('ADV - FB'!L:L,$A701,'ADV - FB'!K:K)</f>
        <v>0</v>
      </c>
      <c r="K701" s="321" t="str">
        <f t="shared" si="2"/>
        <v>-</v>
      </c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ht="15.75" customHeight="1">
      <c r="A702" s="313" t="s">
        <v>971</v>
      </c>
      <c r="B702" s="314"/>
      <c r="C702" s="315"/>
      <c r="D702" s="315"/>
      <c r="E702" s="317"/>
      <c r="F702" s="318" t="str">
        <f t="shared" si="1"/>
        <v>TP701 -  -  - </v>
      </c>
      <c r="G702" s="319">
        <f>SUMIF('ADV - FB'!L:L,$A702,'ADV - FB'!E:E)</f>
        <v>0</v>
      </c>
      <c r="H702" s="320" t="str">
        <f>IFERROR(SUMIF('ADV - FB'!L:L,$A702,'ADV - FB'!H:H)/(SUMIF('ADV - FB'!L:L,$A702,'ADV - FB'!G:G)),"-")</f>
        <v>-</v>
      </c>
      <c r="I702" s="321" t="str">
        <f>IFERROR(SUMIF('ADV - FB'!L:L,$A702,'ADV - FB'!E:E)/(SUMIF('ADV - FB'!L:L,$A702,'ADV - FB'!F:F)),"-")</f>
        <v>-</v>
      </c>
      <c r="J702" s="315">
        <f>SUMIF('ADV - FB'!L:L,$A702,'ADV - FB'!I:I)+SUMIF('ADV - FB'!L:L,$A702,'ADV - FB'!J:J)+SUMIF('ADV - FB'!L:L,$A702,'ADV - FB'!K:K)</f>
        <v>0</v>
      </c>
      <c r="K702" s="321" t="str">
        <f t="shared" si="2"/>
        <v>-</v>
      </c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ht="15.75" customHeight="1">
      <c r="A703" s="313" t="s">
        <v>972</v>
      </c>
      <c r="B703" s="314"/>
      <c r="C703" s="315"/>
      <c r="D703" s="315"/>
      <c r="E703" s="317"/>
      <c r="F703" s="318" t="str">
        <f t="shared" si="1"/>
        <v>TP702 -  -  - </v>
      </c>
      <c r="G703" s="319">
        <f>SUMIF('ADV - FB'!L:L,$A703,'ADV - FB'!E:E)</f>
        <v>0</v>
      </c>
      <c r="H703" s="320" t="str">
        <f>IFERROR(SUMIF('ADV - FB'!L:L,$A703,'ADV - FB'!H:H)/(SUMIF('ADV - FB'!L:L,$A703,'ADV - FB'!G:G)),"-")</f>
        <v>-</v>
      </c>
      <c r="I703" s="321" t="str">
        <f>IFERROR(SUMIF('ADV - FB'!L:L,$A703,'ADV - FB'!E:E)/(SUMIF('ADV - FB'!L:L,$A703,'ADV - FB'!F:F)),"-")</f>
        <v>-</v>
      </c>
      <c r="J703" s="315">
        <f>SUMIF('ADV - FB'!L:L,$A703,'ADV - FB'!I:I)+SUMIF('ADV - FB'!L:L,$A703,'ADV - FB'!J:J)+SUMIF('ADV - FB'!L:L,$A703,'ADV - FB'!K:K)</f>
        <v>0</v>
      </c>
      <c r="K703" s="321" t="str">
        <f t="shared" si="2"/>
        <v>-</v>
      </c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ht="15.75" customHeight="1">
      <c r="A704" s="313" t="s">
        <v>973</v>
      </c>
      <c r="B704" s="314"/>
      <c r="C704" s="315"/>
      <c r="D704" s="315"/>
      <c r="E704" s="317"/>
      <c r="F704" s="318" t="str">
        <f t="shared" si="1"/>
        <v>TP703 -  -  - </v>
      </c>
      <c r="G704" s="319">
        <f>SUMIF('ADV - FB'!L:L,$A704,'ADV - FB'!E:E)</f>
        <v>0</v>
      </c>
      <c r="H704" s="320" t="str">
        <f>IFERROR(SUMIF('ADV - FB'!L:L,$A704,'ADV - FB'!H:H)/(SUMIF('ADV - FB'!L:L,$A704,'ADV - FB'!G:G)),"-")</f>
        <v>-</v>
      </c>
      <c r="I704" s="321" t="str">
        <f>IFERROR(SUMIF('ADV - FB'!L:L,$A704,'ADV - FB'!E:E)/(SUMIF('ADV - FB'!L:L,$A704,'ADV - FB'!F:F)),"-")</f>
        <v>-</v>
      </c>
      <c r="J704" s="315">
        <f>SUMIF('ADV - FB'!L:L,$A704,'ADV - FB'!I:I)+SUMIF('ADV - FB'!L:L,$A704,'ADV - FB'!J:J)+SUMIF('ADV - FB'!L:L,$A704,'ADV - FB'!K:K)</f>
        <v>0</v>
      </c>
      <c r="K704" s="321" t="str">
        <f t="shared" si="2"/>
        <v>-</v>
      </c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ht="15.75" customHeight="1">
      <c r="A705" s="313" t="s">
        <v>974</v>
      </c>
      <c r="B705" s="314"/>
      <c r="C705" s="315"/>
      <c r="D705" s="315"/>
      <c r="E705" s="317"/>
      <c r="F705" s="318" t="str">
        <f t="shared" si="1"/>
        <v>TP704 -  -  - </v>
      </c>
      <c r="G705" s="319">
        <f>SUMIF('ADV - FB'!L:L,$A705,'ADV - FB'!E:E)</f>
        <v>0</v>
      </c>
      <c r="H705" s="320" t="str">
        <f>IFERROR(SUMIF('ADV - FB'!L:L,$A705,'ADV - FB'!H:H)/(SUMIF('ADV - FB'!L:L,$A705,'ADV - FB'!G:G)),"-")</f>
        <v>-</v>
      </c>
      <c r="I705" s="321" t="str">
        <f>IFERROR(SUMIF('ADV - FB'!L:L,$A705,'ADV - FB'!E:E)/(SUMIF('ADV - FB'!L:L,$A705,'ADV - FB'!F:F)),"-")</f>
        <v>-</v>
      </c>
      <c r="J705" s="315">
        <f>SUMIF('ADV - FB'!L:L,$A705,'ADV - FB'!I:I)+SUMIF('ADV - FB'!L:L,$A705,'ADV - FB'!J:J)+SUMIF('ADV - FB'!L:L,$A705,'ADV - FB'!K:K)</f>
        <v>0</v>
      </c>
      <c r="K705" s="321" t="str">
        <f t="shared" si="2"/>
        <v>-</v>
      </c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ht="15.75" customHeight="1">
      <c r="A706" s="313" t="s">
        <v>975</v>
      </c>
      <c r="B706" s="314"/>
      <c r="C706" s="315"/>
      <c r="D706" s="315"/>
      <c r="E706" s="317"/>
      <c r="F706" s="318" t="str">
        <f t="shared" si="1"/>
        <v>TP705 -  -  - </v>
      </c>
      <c r="G706" s="319">
        <f>SUMIF('ADV - FB'!L:L,$A706,'ADV - FB'!E:E)</f>
        <v>0</v>
      </c>
      <c r="H706" s="320" t="str">
        <f>IFERROR(SUMIF('ADV - FB'!L:L,$A706,'ADV - FB'!H:H)/(SUMIF('ADV - FB'!L:L,$A706,'ADV - FB'!G:G)),"-")</f>
        <v>-</v>
      </c>
      <c r="I706" s="321" t="str">
        <f>IFERROR(SUMIF('ADV - FB'!L:L,$A706,'ADV - FB'!E:E)/(SUMIF('ADV - FB'!L:L,$A706,'ADV - FB'!F:F)),"-")</f>
        <v>-</v>
      </c>
      <c r="J706" s="315">
        <f>SUMIF('ADV - FB'!L:L,$A706,'ADV - FB'!I:I)+SUMIF('ADV - FB'!L:L,$A706,'ADV - FB'!J:J)+SUMIF('ADV - FB'!L:L,$A706,'ADV - FB'!K:K)</f>
        <v>0</v>
      </c>
      <c r="K706" s="321" t="str">
        <f t="shared" si="2"/>
        <v>-</v>
      </c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ht="15.75" customHeight="1">
      <c r="A707" s="313" t="s">
        <v>976</v>
      </c>
      <c r="B707" s="314"/>
      <c r="C707" s="315"/>
      <c r="D707" s="315"/>
      <c r="E707" s="317"/>
      <c r="F707" s="318" t="str">
        <f t="shared" si="1"/>
        <v>TP706 -  -  - </v>
      </c>
      <c r="G707" s="319">
        <f>SUMIF('ADV - FB'!L:L,$A707,'ADV - FB'!E:E)</f>
        <v>0</v>
      </c>
      <c r="H707" s="320" t="str">
        <f>IFERROR(SUMIF('ADV - FB'!L:L,$A707,'ADV - FB'!H:H)/(SUMIF('ADV - FB'!L:L,$A707,'ADV - FB'!G:G)),"-")</f>
        <v>-</v>
      </c>
      <c r="I707" s="321" t="str">
        <f>IFERROR(SUMIF('ADV - FB'!L:L,$A707,'ADV - FB'!E:E)/(SUMIF('ADV - FB'!L:L,$A707,'ADV - FB'!F:F)),"-")</f>
        <v>-</v>
      </c>
      <c r="J707" s="315">
        <f>SUMIF('ADV - FB'!L:L,$A707,'ADV - FB'!I:I)+SUMIF('ADV - FB'!L:L,$A707,'ADV - FB'!J:J)+SUMIF('ADV - FB'!L:L,$A707,'ADV - FB'!K:K)</f>
        <v>0</v>
      </c>
      <c r="K707" s="321" t="str">
        <f t="shared" si="2"/>
        <v>-</v>
      </c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ht="15.75" customHeight="1">
      <c r="A708" s="313" t="s">
        <v>977</v>
      </c>
      <c r="B708" s="314"/>
      <c r="C708" s="315"/>
      <c r="D708" s="315"/>
      <c r="E708" s="317"/>
      <c r="F708" s="318" t="str">
        <f t="shared" si="1"/>
        <v>TP707 -  -  - </v>
      </c>
      <c r="G708" s="319">
        <f>SUMIF('ADV - FB'!L:L,$A708,'ADV - FB'!E:E)</f>
        <v>0</v>
      </c>
      <c r="H708" s="320" t="str">
        <f>IFERROR(SUMIF('ADV - FB'!L:L,$A708,'ADV - FB'!H:H)/(SUMIF('ADV - FB'!L:L,$A708,'ADV - FB'!G:G)),"-")</f>
        <v>-</v>
      </c>
      <c r="I708" s="321" t="str">
        <f>IFERROR(SUMIF('ADV - FB'!L:L,$A708,'ADV - FB'!E:E)/(SUMIF('ADV - FB'!L:L,$A708,'ADV - FB'!F:F)),"-")</f>
        <v>-</v>
      </c>
      <c r="J708" s="315">
        <f>SUMIF('ADV - FB'!L:L,$A708,'ADV - FB'!I:I)+SUMIF('ADV - FB'!L:L,$A708,'ADV - FB'!J:J)+SUMIF('ADV - FB'!L:L,$A708,'ADV - FB'!K:K)</f>
        <v>0</v>
      </c>
      <c r="K708" s="321" t="str">
        <f t="shared" si="2"/>
        <v>-</v>
      </c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ht="15.75" customHeight="1">
      <c r="A709" s="313" t="s">
        <v>978</v>
      </c>
      <c r="B709" s="314"/>
      <c r="C709" s="315"/>
      <c r="D709" s="315"/>
      <c r="E709" s="317"/>
      <c r="F709" s="318" t="str">
        <f t="shared" si="1"/>
        <v>TP708 -  -  - </v>
      </c>
      <c r="G709" s="319">
        <f>SUMIF('ADV - FB'!L:L,$A709,'ADV - FB'!E:E)</f>
        <v>0</v>
      </c>
      <c r="H709" s="320" t="str">
        <f>IFERROR(SUMIF('ADV - FB'!L:L,$A709,'ADV - FB'!H:H)/(SUMIF('ADV - FB'!L:L,$A709,'ADV - FB'!G:G)),"-")</f>
        <v>-</v>
      </c>
      <c r="I709" s="321" t="str">
        <f>IFERROR(SUMIF('ADV - FB'!L:L,$A709,'ADV - FB'!E:E)/(SUMIF('ADV - FB'!L:L,$A709,'ADV - FB'!F:F)),"-")</f>
        <v>-</v>
      </c>
      <c r="J709" s="315">
        <f>SUMIF('ADV - FB'!L:L,$A709,'ADV - FB'!I:I)+SUMIF('ADV - FB'!L:L,$A709,'ADV - FB'!J:J)+SUMIF('ADV - FB'!L:L,$A709,'ADV - FB'!K:K)</f>
        <v>0</v>
      </c>
      <c r="K709" s="321" t="str">
        <f t="shared" si="2"/>
        <v>-</v>
      </c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ht="15.75" customHeight="1">
      <c r="A710" s="313" t="s">
        <v>979</v>
      </c>
      <c r="B710" s="314"/>
      <c r="C710" s="315"/>
      <c r="D710" s="315"/>
      <c r="E710" s="317"/>
      <c r="F710" s="318" t="str">
        <f t="shared" si="1"/>
        <v>TP709 -  -  - </v>
      </c>
      <c r="G710" s="319">
        <f>SUMIF('ADV - FB'!L:L,$A710,'ADV - FB'!E:E)</f>
        <v>0</v>
      </c>
      <c r="H710" s="320" t="str">
        <f>IFERROR(SUMIF('ADV - FB'!L:L,$A710,'ADV - FB'!H:H)/(SUMIF('ADV - FB'!L:L,$A710,'ADV - FB'!G:G)),"-")</f>
        <v>-</v>
      </c>
      <c r="I710" s="321" t="str">
        <f>IFERROR(SUMIF('ADV - FB'!L:L,$A710,'ADV - FB'!E:E)/(SUMIF('ADV - FB'!L:L,$A710,'ADV - FB'!F:F)),"-")</f>
        <v>-</v>
      </c>
      <c r="J710" s="315">
        <f>SUMIF('ADV - FB'!L:L,$A710,'ADV - FB'!I:I)+SUMIF('ADV - FB'!L:L,$A710,'ADV - FB'!J:J)+SUMIF('ADV - FB'!L:L,$A710,'ADV - FB'!K:K)</f>
        <v>0</v>
      </c>
      <c r="K710" s="321" t="str">
        <f t="shared" si="2"/>
        <v>-</v>
      </c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ht="15.75" customHeight="1">
      <c r="A711" s="313" t="s">
        <v>980</v>
      </c>
      <c r="B711" s="314"/>
      <c r="C711" s="315"/>
      <c r="D711" s="315"/>
      <c r="E711" s="317"/>
      <c r="F711" s="318" t="str">
        <f t="shared" si="1"/>
        <v>TP710 -  -  - </v>
      </c>
      <c r="G711" s="319">
        <f>SUMIF('ADV - FB'!L:L,$A711,'ADV - FB'!E:E)</f>
        <v>0</v>
      </c>
      <c r="H711" s="320" t="str">
        <f>IFERROR(SUMIF('ADV - FB'!L:L,$A711,'ADV - FB'!H:H)/(SUMIF('ADV - FB'!L:L,$A711,'ADV - FB'!G:G)),"-")</f>
        <v>-</v>
      </c>
      <c r="I711" s="321" t="str">
        <f>IFERROR(SUMIF('ADV - FB'!L:L,$A711,'ADV - FB'!E:E)/(SUMIF('ADV - FB'!L:L,$A711,'ADV - FB'!F:F)),"-")</f>
        <v>-</v>
      </c>
      <c r="J711" s="315">
        <f>SUMIF('ADV - FB'!L:L,$A711,'ADV - FB'!I:I)+SUMIF('ADV - FB'!L:L,$A711,'ADV - FB'!J:J)+SUMIF('ADV - FB'!L:L,$A711,'ADV - FB'!K:K)</f>
        <v>0</v>
      </c>
      <c r="K711" s="321" t="str">
        <f t="shared" si="2"/>
        <v>-</v>
      </c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ht="15.75" customHeight="1">
      <c r="A712" s="313" t="s">
        <v>981</v>
      </c>
      <c r="B712" s="314"/>
      <c r="C712" s="315"/>
      <c r="D712" s="315"/>
      <c r="E712" s="317"/>
      <c r="F712" s="318" t="str">
        <f t="shared" si="1"/>
        <v>TP711 -  -  - </v>
      </c>
      <c r="G712" s="319">
        <f>SUMIF('ADV - FB'!L:L,$A712,'ADV - FB'!E:E)</f>
        <v>0</v>
      </c>
      <c r="H712" s="320" t="str">
        <f>IFERROR(SUMIF('ADV - FB'!L:L,$A712,'ADV - FB'!H:H)/(SUMIF('ADV - FB'!L:L,$A712,'ADV - FB'!G:G)),"-")</f>
        <v>-</v>
      </c>
      <c r="I712" s="321" t="str">
        <f>IFERROR(SUMIF('ADV - FB'!L:L,$A712,'ADV - FB'!E:E)/(SUMIF('ADV - FB'!L:L,$A712,'ADV - FB'!F:F)),"-")</f>
        <v>-</v>
      </c>
      <c r="J712" s="315">
        <f>SUMIF('ADV - FB'!L:L,$A712,'ADV - FB'!I:I)+SUMIF('ADV - FB'!L:L,$A712,'ADV - FB'!J:J)+SUMIF('ADV - FB'!L:L,$A712,'ADV - FB'!K:K)</f>
        <v>0</v>
      </c>
      <c r="K712" s="321" t="str">
        <f t="shared" si="2"/>
        <v>-</v>
      </c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ht="15.75" customHeight="1">
      <c r="A713" s="313" t="s">
        <v>982</v>
      </c>
      <c r="B713" s="314"/>
      <c r="C713" s="315"/>
      <c r="D713" s="315"/>
      <c r="E713" s="317"/>
      <c r="F713" s="318" t="str">
        <f t="shared" si="1"/>
        <v>TP712 -  -  - </v>
      </c>
      <c r="G713" s="319">
        <f>SUMIF('ADV - FB'!L:L,$A713,'ADV - FB'!E:E)</f>
        <v>0</v>
      </c>
      <c r="H713" s="320" t="str">
        <f>IFERROR(SUMIF('ADV - FB'!L:L,$A713,'ADV - FB'!H:H)/(SUMIF('ADV - FB'!L:L,$A713,'ADV - FB'!G:G)),"-")</f>
        <v>-</v>
      </c>
      <c r="I713" s="321" t="str">
        <f>IFERROR(SUMIF('ADV - FB'!L:L,$A713,'ADV - FB'!E:E)/(SUMIF('ADV - FB'!L:L,$A713,'ADV - FB'!F:F)),"-")</f>
        <v>-</v>
      </c>
      <c r="J713" s="315">
        <f>SUMIF('ADV - FB'!L:L,$A713,'ADV - FB'!I:I)+SUMIF('ADV - FB'!L:L,$A713,'ADV - FB'!J:J)+SUMIF('ADV - FB'!L:L,$A713,'ADV - FB'!K:K)</f>
        <v>0</v>
      </c>
      <c r="K713" s="321" t="str">
        <f t="shared" si="2"/>
        <v>-</v>
      </c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ht="15.75" customHeight="1">
      <c r="A714" s="313" t="s">
        <v>983</v>
      </c>
      <c r="B714" s="314"/>
      <c r="C714" s="315"/>
      <c r="D714" s="315"/>
      <c r="E714" s="317"/>
      <c r="F714" s="318" t="str">
        <f t="shared" si="1"/>
        <v>TP713 -  -  - </v>
      </c>
      <c r="G714" s="319">
        <f>SUMIF('ADV - FB'!L:L,$A714,'ADV - FB'!E:E)</f>
        <v>0</v>
      </c>
      <c r="H714" s="320" t="str">
        <f>IFERROR(SUMIF('ADV - FB'!L:L,$A714,'ADV - FB'!H:H)/(SUMIF('ADV - FB'!L:L,$A714,'ADV - FB'!G:G)),"-")</f>
        <v>-</v>
      </c>
      <c r="I714" s="321" t="str">
        <f>IFERROR(SUMIF('ADV - FB'!L:L,$A714,'ADV - FB'!E:E)/(SUMIF('ADV - FB'!L:L,$A714,'ADV - FB'!F:F)),"-")</f>
        <v>-</v>
      </c>
      <c r="J714" s="315">
        <f>SUMIF('ADV - FB'!L:L,$A714,'ADV - FB'!I:I)+SUMIF('ADV - FB'!L:L,$A714,'ADV - FB'!J:J)+SUMIF('ADV - FB'!L:L,$A714,'ADV - FB'!K:K)</f>
        <v>0</v>
      </c>
      <c r="K714" s="321" t="str">
        <f t="shared" si="2"/>
        <v>-</v>
      </c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ht="15.75" customHeight="1">
      <c r="A715" s="313" t="s">
        <v>984</v>
      </c>
      <c r="B715" s="314"/>
      <c r="C715" s="315"/>
      <c r="D715" s="315"/>
      <c r="E715" s="317"/>
      <c r="F715" s="318" t="str">
        <f t="shared" si="1"/>
        <v>TP714 -  -  - </v>
      </c>
      <c r="G715" s="319">
        <f>SUMIF('ADV - FB'!L:L,$A715,'ADV - FB'!E:E)</f>
        <v>0</v>
      </c>
      <c r="H715" s="320" t="str">
        <f>IFERROR(SUMIF('ADV - FB'!L:L,$A715,'ADV - FB'!H:H)/(SUMIF('ADV - FB'!L:L,$A715,'ADV - FB'!G:G)),"-")</f>
        <v>-</v>
      </c>
      <c r="I715" s="321" t="str">
        <f>IFERROR(SUMIF('ADV - FB'!L:L,$A715,'ADV - FB'!E:E)/(SUMIF('ADV - FB'!L:L,$A715,'ADV - FB'!F:F)),"-")</f>
        <v>-</v>
      </c>
      <c r="J715" s="315">
        <f>SUMIF('ADV - FB'!L:L,$A715,'ADV - FB'!I:I)+SUMIF('ADV - FB'!L:L,$A715,'ADV - FB'!J:J)+SUMIF('ADV - FB'!L:L,$A715,'ADV - FB'!K:K)</f>
        <v>0</v>
      </c>
      <c r="K715" s="321" t="str">
        <f t="shared" si="2"/>
        <v>-</v>
      </c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ht="15.75" customHeight="1">
      <c r="A716" s="313" t="s">
        <v>985</v>
      </c>
      <c r="B716" s="314"/>
      <c r="C716" s="315"/>
      <c r="D716" s="315"/>
      <c r="E716" s="317"/>
      <c r="F716" s="318" t="str">
        <f t="shared" si="1"/>
        <v>TP715 -  -  - </v>
      </c>
      <c r="G716" s="319">
        <f>SUMIF('ADV - FB'!L:L,$A716,'ADV - FB'!E:E)</f>
        <v>0</v>
      </c>
      <c r="H716" s="320" t="str">
        <f>IFERROR(SUMIF('ADV - FB'!L:L,$A716,'ADV - FB'!H:H)/(SUMIF('ADV - FB'!L:L,$A716,'ADV - FB'!G:G)),"-")</f>
        <v>-</v>
      </c>
      <c r="I716" s="321" t="str">
        <f>IFERROR(SUMIF('ADV - FB'!L:L,$A716,'ADV - FB'!E:E)/(SUMIF('ADV - FB'!L:L,$A716,'ADV - FB'!F:F)),"-")</f>
        <v>-</v>
      </c>
      <c r="J716" s="315">
        <f>SUMIF('ADV - FB'!L:L,$A716,'ADV - FB'!I:I)+SUMIF('ADV - FB'!L:L,$A716,'ADV - FB'!J:J)+SUMIF('ADV - FB'!L:L,$A716,'ADV - FB'!K:K)</f>
        <v>0</v>
      </c>
      <c r="K716" s="321" t="str">
        <f t="shared" si="2"/>
        <v>-</v>
      </c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ht="15.75" customHeight="1">
      <c r="A717" s="313" t="s">
        <v>986</v>
      </c>
      <c r="B717" s="314"/>
      <c r="C717" s="315"/>
      <c r="D717" s="315"/>
      <c r="E717" s="317"/>
      <c r="F717" s="318" t="str">
        <f t="shared" si="1"/>
        <v>TP716 -  -  - </v>
      </c>
      <c r="G717" s="319">
        <f>SUMIF('ADV - FB'!L:L,$A717,'ADV - FB'!E:E)</f>
        <v>0</v>
      </c>
      <c r="H717" s="320" t="str">
        <f>IFERROR(SUMIF('ADV - FB'!L:L,$A717,'ADV - FB'!H:H)/(SUMIF('ADV - FB'!L:L,$A717,'ADV - FB'!G:G)),"-")</f>
        <v>-</v>
      </c>
      <c r="I717" s="321" t="str">
        <f>IFERROR(SUMIF('ADV - FB'!L:L,$A717,'ADV - FB'!E:E)/(SUMIF('ADV - FB'!L:L,$A717,'ADV - FB'!F:F)),"-")</f>
        <v>-</v>
      </c>
      <c r="J717" s="315">
        <f>SUMIF('ADV - FB'!L:L,$A717,'ADV - FB'!I:I)+SUMIF('ADV - FB'!L:L,$A717,'ADV - FB'!J:J)+SUMIF('ADV - FB'!L:L,$A717,'ADV - FB'!K:K)</f>
        <v>0</v>
      </c>
      <c r="K717" s="321" t="str">
        <f t="shared" si="2"/>
        <v>-</v>
      </c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ht="15.75" customHeight="1">
      <c r="A718" s="313" t="s">
        <v>987</v>
      </c>
      <c r="B718" s="314"/>
      <c r="C718" s="315"/>
      <c r="D718" s="315"/>
      <c r="E718" s="317"/>
      <c r="F718" s="318" t="str">
        <f t="shared" si="1"/>
        <v>TP717 -  -  - </v>
      </c>
      <c r="G718" s="319">
        <f>SUMIF('ADV - FB'!L:L,$A718,'ADV - FB'!E:E)</f>
        <v>0</v>
      </c>
      <c r="H718" s="320" t="str">
        <f>IFERROR(SUMIF('ADV - FB'!L:L,$A718,'ADV - FB'!H:H)/(SUMIF('ADV - FB'!L:L,$A718,'ADV - FB'!G:G)),"-")</f>
        <v>-</v>
      </c>
      <c r="I718" s="321" t="str">
        <f>IFERROR(SUMIF('ADV - FB'!L:L,$A718,'ADV - FB'!E:E)/(SUMIF('ADV - FB'!L:L,$A718,'ADV - FB'!F:F)),"-")</f>
        <v>-</v>
      </c>
      <c r="J718" s="315">
        <f>SUMIF('ADV - FB'!L:L,$A718,'ADV - FB'!I:I)+SUMIF('ADV - FB'!L:L,$A718,'ADV - FB'!J:J)+SUMIF('ADV - FB'!L:L,$A718,'ADV - FB'!K:K)</f>
        <v>0</v>
      </c>
      <c r="K718" s="321" t="str">
        <f t="shared" si="2"/>
        <v>-</v>
      </c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ht="15.75" customHeight="1">
      <c r="A719" s="313" t="s">
        <v>988</v>
      </c>
      <c r="B719" s="314"/>
      <c r="C719" s="315"/>
      <c r="D719" s="315"/>
      <c r="E719" s="317"/>
      <c r="F719" s="318" t="str">
        <f t="shared" si="1"/>
        <v>TP718 -  -  - </v>
      </c>
      <c r="G719" s="319">
        <f>SUMIF('ADV - FB'!L:L,$A719,'ADV - FB'!E:E)</f>
        <v>0</v>
      </c>
      <c r="H719" s="320" t="str">
        <f>IFERROR(SUMIF('ADV - FB'!L:L,$A719,'ADV - FB'!H:H)/(SUMIF('ADV - FB'!L:L,$A719,'ADV - FB'!G:G)),"-")</f>
        <v>-</v>
      </c>
      <c r="I719" s="321" t="str">
        <f>IFERROR(SUMIF('ADV - FB'!L:L,$A719,'ADV - FB'!E:E)/(SUMIF('ADV - FB'!L:L,$A719,'ADV - FB'!F:F)),"-")</f>
        <v>-</v>
      </c>
      <c r="J719" s="315">
        <f>SUMIF('ADV - FB'!L:L,$A719,'ADV - FB'!I:I)+SUMIF('ADV - FB'!L:L,$A719,'ADV - FB'!J:J)+SUMIF('ADV - FB'!L:L,$A719,'ADV - FB'!K:K)</f>
        <v>0</v>
      </c>
      <c r="K719" s="321" t="str">
        <f t="shared" si="2"/>
        <v>-</v>
      </c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ht="15.75" customHeight="1">
      <c r="A720" s="313" t="s">
        <v>989</v>
      </c>
      <c r="B720" s="314"/>
      <c r="C720" s="315"/>
      <c r="D720" s="315"/>
      <c r="E720" s="317"/>
      <c r="F720" s="318" t="str">
        <f t="shared" si="1"/>
        <v>TP719 -  -  - </v>
      </c>
      <c r="G720" s="319">
        <f>SUMIF('ADV - FB'!L:L,$A720,'ADV - FB'!E:E)</f>
        <v>0</v>
      </c>
      <c r="H720" s="320" t="str">
        <f>IFERROR(SUMIF('ADV - FB'!L:L,$A720,'ADV - FB'!H:H)/(SUMIF('ADV - FB'!L:L,$A720,'ADV - FB'!G:G)),"-")</f>
        <v>-</v>
      </c>
      <c r="I720" s="321" t="str">
        <f>IFERROR(SUMIF('ADV - FB'!L:L,$A720,'ADV - FB'!E:E)/(SUMIF('ADV - FB'!L:L,$A720,'ADV - FB'!F:F)),"-")</f>
        <v>-</v>
      </c>
      <c r="J720" s="315">
        <f>SUMIF('ADV - FB'!L:L,$A720,'ADV - FB'!I:I)+SUMIF('ADV - FB'!L:L,$A720,'ADV - FB'!J:J)+SUMIF('ADV - FB'!L:L,$A720,'ADV - FB'!K:K)</f>
        <v>0</v>
      </c>
      <c r="K720" s="321" t="str">
        <f t="shared" si="2"/>
        <v>-</v>
      </c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ht="15.75" customHeight="1">
      <c r="A721" s="313" t="s">
        <v>990</v>
      </c>
      <c r="B721" s="314"/>
      <c r="C721" s="315"/>
      <c r="D721" s="315"/>
      <c r="E721" s="317"/>
      <c r="F721" s="318" t="str">
        <f t="shared" si="1"/>
        <v>TP720 -  -  - </v>
      </c>
      <c r="G721" s="319">
        <f>SUMIF('ADV - FB'!L:L,$A721,'ADV - FB'!E:E)</f>
        <v>0</v>
      </c>
      <c r="H721" s="320" t="str">
        <f>IFERROR(SUMIF('ADV - FB'!L:L,$A721,'ADV - FB'!H:H)/(SUMIF('ADV - FB'!L:L,$A721,'ADV - FB'!G:G)),"-")</f>
        <v>-</v>
      </c>
      <c r="I721" s="321" t="str">
        <f>IFERROR(SUMIF('ADV - FB'!L:L,$A721,'ADV - FB'!E:E)/(SUMIF('ADV - FB'!L:L,$A721,'ADV - FB'!F:F)),"-")</f>
        <v>-</v>
      </c>
      <c r="J721" s="315">
        <f>SUMIF('ADV - FB'!L:L,$A721,'ADV - FB'!I:I)+SUMIF('ADV - FB'!L:L,$A721,'ADV - FB'!J:J)+SUMIF('ADV - FB'!L:L,$A721,'ADV - FB'!K:K)</f>
        <v>0</v>
      </c>
      <c r="K721" s="321" t="str">
        <f t="shared" si="2"/>
        <v>-</v>
      </c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ht="15.75" customHeight="1">
      <c r="A722" s="313" t="s">
        <v>991</v>
      </c>
      <c r="B722" s="314"/>
      <c r="C722" s="315"/>
      <c r="D722" s="315"/>
      <c r="E722" s="317"/>
      <c r="F722" s="318" t="str">
        <f t="shared" si="1"/>
        <v>TP721 -  -  - </v>
      </c>
      <c r="G722" s="319">
        <f>SUMIF('ADV - FB'!L:L,$A722,'ADV - FB'!E:E)</f>
        <v>0</v>
      </c>
      <c r="H722" s="320" t="str">
        <f>IFERROR(SUMIF('ADV - FB'!L:L,$A722,'ADV - FB'!H:H)/(SUMIF('ADV - FB'!L:L,$A722,'ADV - FB'!G:G)),"-")</f>
        <v>-</v>
      </c>
      <c r="I722" s="321" t="str">
        <f>IFERROR(SUMIF('ADV - FB'!L:L,$A722,'ADV - FB'!E:E)/(SUMIF('ADV - FB'!L:L,$A722,'ADV - FB'!F:F)),"-")</f>
        <v>-</v>
      </c>
      <c r="J722" s="315">
        <f>SUMIF('ADV - FB'!L:L,$A722,'ADV - FB'!I:I)+SUMIF('ADV - FB'!L:L,$A722,'ADV - FB'!J:J)+SUMIF('ADV - FB'!L:L,$A722,'ADV - FB'!K:K)</f>
        <v>0</v>
      </c>
      <c r="K722" s="321" t="str">
        <f t="shared" si="2"/>
        <v>-</v>
      </c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ht="15.75" customHeight="1">
      <c r="A723" s="313" t="s">
        <v>992</v>
      </c>
      <c r="B723" s="314"/>
      <c r="C723" s="315"/>
      <c r="D723" s="315"/>
      <c r="E723" s="317"/>
      <c r="F723" s="318" t="str">
        <f t="shared" si="1"/>
        <v>TP722 -  -  - </v>
      </c>
      <c r="G723" s="319">
        <f>SUMIF('ADV - FB'!L:L,$A723,'ADV - FB'!E:E)</f>
        <v>0</v>
      </c>
      <c r="H723" s="320" t="str">
        <f>IFERROR(SUMIF('ADV - FB'!L:L,$A723,'ADV - FB'!H:H)/(SUMIF('ADV - FB'!L:L,$A723,'ADV - FB'!G:G)),"-")</f>
        <v>-</v>
      </c>
      <c r="I723" s="321" t="str">
        <f>IFERROR(SUMIF('ADV - FB'!L:L,$A723,'ADV - FB'!E:E)/(SUMIF('ADV - FB'!L:L,$A723,'ADV - FB'!F:F)),"-")</f>
        <v>-</v>
      </c>
      <c r="J723" s="315">
        <f>SUMIF('ADV - FB'!L:L,$A723,'ADV - FB'!I:I)+SUMIF('ADV - FB'!L:L,$A723,'ADV - FB'!J:J)+SUMIF('ADV - FB'!L:L,$A723,'ADV - FB'!K:K)</f>
        <v>0</v>
      </c>
      <c r="K723" s="321" t="str">
        <f t="shared" si="2"/>
        <v>-</v>
      </c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ht="15.75" customHeight="1">
      <c r="A724" s="313" t="s">
        <v>993</v>
      </c>
      <c r="B724" s="314"/>
      <c r="C724" s="315"/>
      <c r="D724" s="315"/>
      <c r="E724" s="317"/>
      <c r="F724" s="318" t="str">
        <f t="shared" si="1"/>
        <v>TP723 -  -  - </v>
      </c>
      <c r="G724" s="319">
        <f>SUMIF('ADV - FB'!L:L,$A724,'ADV - FB'!E:E)</f>
        <v>0</v>
      </c>
      <c r="H724" s="320" t="str">
        <f>IFERROR(SUMIF('ADV - FB'!L:L,$A724,'ADV - FB'!H:H)/(SUMIF('ADV - FB'!L:L,$A724,'ADV - FB'!G:G)),"-")</f>
        <v>-</v>
      </c>
      <c r="I724" s="321" t="str">
        <f>IFERROR(SUMIF('ADV - FB'!L:L,$A724,'ADV - FB'!E:E)/(SUMIF('ADV - FB'!L:L,$A724,'ADV - FB'!F:F)),"-")</f>
        <v>-</v>
      </c>
      <c r="J724" s="315">
        <f>SUMIF('ADV - FB'!L:L,$A724,'ADV - FB'!I:I)+SUMIF('ADV - FB'!L:L,$A724,'ADV - FB'!J:J)+SUMIF('ADV - FB'!L:L,$A724,'ADV - FB'!K:K)</f>
        <v>0</v>
      </c>
      <c r="K724" s="321" t="str">
        <f t="shared" si="2"/>
        <v>-</v>
      </c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ht="15.75" customHeight="1">
      <c r="A725" s="313" t="s">
        <v>994</v>
      </c>
      <c r="B725" s="314"/>
      <c r="C725" s="315"/>
      <c r="D725" s="315"/>
      <c r="E725" s="317"/>
      <c r="F725" s="318" t="str">
        <f t="shared" si="1"/>
        <v>TP724 -  -  - </v>
      </c>
      <c r="G725" s="319">
        <f>SUMIF('ADV - FB'!L:L,$A725,'ADV - FB'!E:E)</f>
        <v>0</v>
      </c>
      <c r="H725" s="320" t="str">
        <f>IFERROR(SUMIF('ADV - FB'!L:L,$A725,'ADV - FB'!H:H)/(SUMIF('ADV - FB'!L:L,$A725,'ADV - FB'!G:G)),"-")</f>
        <v>-</v>
      </c>
      <c r="I725" s="321" t="str">
        <f>IFERROR(SUMIF('ADV - FB'!L:L,$A725,'ADV - FB'!E:E)/(SUMIF('ADV - FB'!L:L,$A725,'ADV - FB'!F:F)),"-")</f>
        <v>-</v>
      </c>
      <c r="J725" s="315">
        <f>SUMIF('ADV - FB'!L:L,$A725,'ADV - FB'!I:I)+SUMIF('ADV - FB'!L:L,$A725,'ADV - FB'!J:J)+SUMIF('ADV - FB'!L:L,$A725,'ADV - FB'!K:K)</f>
        <v>0</v>
      </c>
      <c r="K725" s="321" t="str">
        <f t="shared" si="2"/>
        <v>-</v>
      </c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ht="15.75" customHeight="1">
      <c r="A726" s="313" t="s">
        <v>995</v>
      </c>
      <c r="B726" s="314"/>
      <c r="C726" s="315"/>
      <c r="D726" s="315"/>
      <c r="E726" s="317"/>
      <c r="F726" s="318" t="str">
        <f t="shared" si="1"/>
        <v>TP725 -  -  - </v>
      </c>
      <c r="G726" s="319">
        <f>SUMIF('ADV - FB'!L:L,$A726,'ADV - FB'!E:E)</f>
        <v>0</v>
      </c>
      <c r="H726" s="320" t="str">
        <f>IFERROR(SUMIF('ADV - FB'!L:L,$A726,'ADV - FB'!H:H)/(SUMIF('ADV - FB'!L:L,$A726,'ADV - FB'!G:G)),"-")</f>
        <v>-</v>
      </c>
      <c r="I726" s="321" t="str">
        <f>IFERROR(SUMIF('ADV - FB'!L:L,$A726,'ADV - FB'!E:E)/(SUMIF('ADV - FB'!L:L,$A726,'ADV - FB'!F:F)),"-")</f>
        <v>-</v>
      </c>
      <c r="J726" s="315">
        <f>SUMIF('ADV - FB'!L:L,$A726,'ADV - FB'!I:I)+SUMIF('ADV - FB'!L:L,$A726,'ADV - FB'!J:J)+SUMIF('ADV - FB'!L:L,$A726,'ADV - FB'!K:K)</f>
        <v>0</v>
      </c>
      <c r="K726" s="321" t="str">
        <f t="shared" si="2"/>
        <v>-</v>
      </c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ht="15.75" customHeight="1">
      <c r="A727" s="313" t="s">
        <v>996</v>
      </c>
      <c r="B727" s="314"/>
      <c r="C727" s="315"/>
      <c r="D727" s="315"/>
      <c r="E727" s="317"/>
      <c r="F727" s="318" t="str">
        <f t="shared" si="1"/>
        <v>TP726 -  -  - </v>
      </c>
      <c r="G727" s="319">
        <f>SUMIF('ADV - FB'!L:L,$A727,'ADV - FB'!E:E)</f>
        <v>0</v>
      </c>
      <c r="H727" s="320" t="str">
        <f>IFERROR(SUMIF('ADV - FB'!L:L,$A727,'ADV - FB'!H:H)/(SUMIF('ADV - FB'!L:L,$A727,'ADV - FB'!G:G)),"-")</f>
        <v>-</v>
      </c>
      <c r="I727" s="321" t="str">
        <f>IFERROR(SUMIF('ADV - FB'!L:L,$A727,'ADV - FB'!E:E)/(SUMIF('ADV - FB'!L:L,$A727,'ADV - FB'!F:F)),"-")</f>
        <v>-</v>
      </c>
      <c r="J727" s="315">
        <f>SUMIF('ADV - FB'!L:L,$A727,'ADV - FB'!I:I)+SUMIF('ADV - FB'!L:L,$A727,'ADV - FB'!J:J)+SUMIF('ADV - FB'!L:L,$A727,'ADV - FB'!K:K)</f>
        <v>0</v>
      </c>
      <c r="K727" s="321" t="str">
        <f t="shared" si="2"/>
        <v>-</v>
      </c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ht="15.75" customHeight="1">
      <c r="A728" s="313" t="s">
        <v>997</v>
      </c>
      <c r="B728" s="314"/>
      <c r="C728" s="315"/>
      <c r="D728" s="315"/>
      <c r="E728" s="317"/>
      <c r="F728" s="318" t="str">
        <f t="shared" si="1"/>
        <v>TP727 -  -  - </v>
      </c>
      <c r="G728" s="319">
        <f>SUMIF('ADV - FB'!L:L,$A728,'ADV - FB'!E:E)</f>
        <v>0</v>
      </c>
      <c r="H728" s="320" t="str">
        <f>IFERROR(SUMIF('ADV - FB'!L:L,$A728,'ADV - FB'!H:H)/(SUMIF('ADV - FB'!L:L,$A728,'ADV - FB'!G:G)),"-")</f>
        <v>-</v>
      </c>
      <c r="I728" s="321" t="str">
        <f>IFERROR(SUMIF('ADV - FB'!L:L,$A728,'ADV - FB'!E:E)/(SUMIF('ADV - FB'!L:L,$A728,'ADV - FB'!F:F)),"-")</f>
        <v>-</v>
      </c>
      <c r="J728" s="315">
        <f>SUMIF('ADV - FB'!L:L,$A728,'ADV - FB'!I:I)+SUMIF('ADV - FB'!L:L,$A728,'ADV - FB'!J:J)+SUMIF('ADV - FB'!L:L,$A728,'ADV - FB'!K:K)</f>
        <v>0</v>
      </c>
      <c r="K728" s="321" t="str">
        <f t="shared" si="2"/>
        <v>-</v>
      </c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ht="15.75" customHeight="1">
      <c r="A729" s="313" t="s">
        <v>998</v>
      </c>
      <c r="B729" s="314"/>
      <c r="C729" s="315"/>
      <c r="D729" s="315"/>
      <c r="E729" s="317"/>
      <c r="F729" s="318" t="str">
        <f t="shared" si="1"/>
        <v>TP728 -  -  - </v>
      </c>
      <c r="G729" s="319">
        <f>SUMIF('ADV - FB'!L:L,$A729,'ADV - FB'!E:E)</f>
        <v>0</v>
      </c>
      <c r="H729" s="320" t="str">
        <f>IFERROR(SUMIF('ADV - FB'!L:L,$A729,'ADV - FB'!H:H)/(SUMIF('ADV - FB'!L:L,$A729,'ADV - FB'!G:G)),"-")</f>
        <v>-</v>
      </c>
      <c r="I729" s="321" t="str">
        <f>IFERROR(SUMIF('ADV - FB'!L:L,$A729,'ADV - FB'!E:E)/(SUMIF('ADV - FB'!L:L,$A729,'ADV - FB'!F:F)),"-")</f>
        <v>-</v>
      </c>
      <c r="J729" s="315">
        <f>SUMIF('ADV - FB'!L:L,$A729,'ADV - FB'!I:I)+SUMIF('ADV - FB'!L:L,$A729,'ADV - FB'!J:J)+SUMIF('ADV - FB'!L:L,$A729,'ADV - FB'!K:K)</f>
        <v>0</v>
      </c>
      <c r="K729" s="321" t="str">
        <f t="shared" si="2"/>
        <v>-</v>
      </c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ht="15.75" customHeight="1">
      <c r="A730" s="313" t="s">
        <v>999</v>
      </c>
      <c r="B730" s="314"/>
      <c r="C730" s="315"/>
      <c r="D730" s="315"/>
      <c r="E730" s="317"/>
      <c r="F730" s="318" t="str">
        <f t="shared" si="1"/>
        <v>TP729 -  -  - </v>
      </c>
      <c r="G730" s="319">
        <f>SUMIF('ADV - FB'!L:L,$A730,'ADV - FB'!E:E)</f>
        <v>0</v>
      </c>
      <c r="H730" s="320" t="str">
        <f>IFERROR(SUMIF('ADV - FB'!L:L,$A730,'ADV - FB'!H:H)/(SUMIF('ADV - FB'!L:L,$A730,'ADV - FB'!G:G)),"-")</f>
        <v>-</v>
      </c>
      <c r="I730" s="321" t="str">
        <f>IFERROR(SUMIF('ADV - FB'!L:L,$A730,'ADV - FB'!E:E)/(SUMIF('ADV - FB'!L:L,$A730,'ADV - FB'!F:F)),"-")</f>
        <v>-</v>
      </c>
      <c r="J730" s="315">
        <f>SUMIF('ADV - FB'!L:L,$A730,'ADV - FB'!I:I)+SUMIF('ADV - FB'!L:L,$A730,'ADV - FB'!J:J)+SUMIF('ADV - FB'!L:L,$A730,'ADV - FB'!K:K)</f>
        <v>0</v>
      </c>
      <c r="K730" s="321" t="str">
        <f t="shared" si="2"/>
        <v>-</v>
      </c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ht="15.75" customHeight="1">
      <c r="A731" s="313" t="s">
        <v>1000</v>
      </c>
      <c r="B731" s="314"/>
      <c r="C731" s="315"/>
      <c r="D731" s="315"/>
      <c r="E731" s="317"/>
      <c r="F731" s="318" t="str">
        <f t="shared" si="1"/>
        <v>TP730 -  -  - </v>
      </c>
      <c r="G731" s="319">
        <f>SUMIF('ADV - FB'!L:L,$A731,'ADV - FB'!E:E)</f>
        <v>0</v>
      </c>
      <c r="H731" s="320" t="str">
        <f>IFERROR(SUMIF('ADV - FB'!L:L,$A731,'ADV - FB'!H:H)/(SUMIF('ADV - FB'!L:L,$A731,'ADV - FB'!G:G)),"-")</f>
        <v>-</v>
      </c>
      <c r="I731" s="321" t="str">
        <f>IFERROR(SUMIF('ADV - FB'!L:L,$A731,'ADV - FB'!E:E)/(SUMIF('ADV - FB'!L:L,$A731,'ADV - FB'!F:F)),"-")</f>
        <v>-</v>
      </c>
      <c r="J731" s="315">
        <f>SUMIF('ADV - FB'!L:L,$A731,'ADV - FB'!I:I)+SUMIF('ADV - FB'!L:L,$A731,'ADV - FB'!J:J)+SUMIF('ADV - FB'!L:L,$A731,'ADV - FB'!K:K)</f>
        <v>0</v>
      </c>
      <c r="K731" s="321" t="str">
        <f t="shared" si="2"/>
        <v>-</v>
      </c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ht="15.75" customHeight="1">
      <c r="A732" s="313" t="s">
        <v>1001</v>
      </c>
      <c r="B732" s="314"/>
      <c r="C732" s="315"/>
      <c r="D732" s="315"/>
      <c r="E732" s="317"/>
      <c r="F732" s="318" t="str">
        <f t="shared" si="1"/>
        <v>TP731 -  -  - </v>
      </c>
      <c r="G732" s="319">
        <f>SUMIF('ADV - FB'!L:L,$A732,'ADV - FB'!E:E)</f>
        <v>0</v>
      </c>
      <c r="H732" s="320" t="str">
        <f>IFERROR(SUMIF('ADV - FB'!L:L,$A732,'ADV - FB'!H:H)/(SUMIF('ADV - FB'!L:L,$A732,'ADV - FB'!G:G)),"-")</f>
        <v>-</v>
      </c>
      <c r="I732" s="321" t="str">
        <f>IFERROR(SUMIF('ADV - FB'!L:L,$A732,'ADV - FB'!E:E)/(SUMIF('ADV - FB'!L:L,$A732,'ADV - FB'!F:F)),"-")</f>
        <v>-</v>
      </c>
      <c r="J732" s="315">
        <f>SUMIF('ADV - FB'!L:L,$A732,'ADV - FB'!I:I)+SUMIF('ADV - FB'!L:L,$A732,'ADV - FB'!J:J)+SUMIF('ADV - FB'!L:L,$A732,'ADV - FB'!K:K)</f>
        <v>0</v>
      </c>
      <c r="K732" s="321" t="str">
        <f t="shared" si="2"/>
        <v>-</v>
      </c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ht="15.75" customHeight="1">
      <c r="A733" s="313" t="s">
        <v>1002</v>
      </c>
      <c r="B733" s="314"/>
      <c r="C733" s="315"/>
      <c r="D733" s="315"/>
      <c r="E733" s="317"/>
      <c r="F733" s="318" t="str">
        <f t="shared" si="1"/>
        <v>TP732 -  -  - </v>
      </c>
      <c r="G733" s="319">
        <f>SUMIF('ADV - FB'!L:L,$A733,'ADV - FB'!E:E)</f>
        <v>0</v>
      </c>
      <c r="H733" s="320" t="str">
        <f>IFERROR(SUMIF('ADV - FB'!L:L,$A733,'ADV - FB'!H:H)/(SUMIF('ADV - FB'!L:L,$A733,'ADV - FB'!G:G)),"-")</f>
        <v>-</v>
      </c>
      <c r="I733" s="321" t="str">
        <f>IFERROR(SUMIF('ADV - FB'!L:L,$A733,'ADV - FB'!E:E)/(SUMIF('ADV - FB'!L:L,$A733,'ADV - FB'!F:F)),"-")</f>
        <v>-</v>
      </c>
      <c r="J733" s="315">
        <f>SUMIF('ADV - FB'!L:L,$A733,'ADV - FB'!I:I)+SUMIF('ADV - FB'!L:L,$A733,'ADV - FB'!J:J)+SUMIF('ADV - FB'!L:L,$A733,'ADV - FB'!K:K)</f>
        <v>0</v>
      </c>
      <c r="K733" s="321" t="str">
        <f t="shared" si="2"/>
        <v>-</v>
      </c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ht="15.75" customHeight="1">
      <c r="A734" s="313" t="s">
        <v>1003</v>
      </c>
      <c r="B734" s="314"/>
      <c r="C734" s="315"/>
      <c r="D734" s="315"/>
      <c r="E734" s="317"/>
      <c r="F734" s="318" t="str">
        <f t="shared" si="1"/>
        <v>TP733 -  -  - </v>
      </c>
      <c r="G734" s="319">
        <f>SUMIF('ADV - FB'!L:L,$A734,'ADV - FB'!E:E)</f>
        <v>0</v>
      </c>
      <c r="H734" s="320" t="str">
        <f>IFERROR(SUMIF('ADV - FB'!L:L,$A734,'ADV - FB'!H:H)/(SUMIF('ADV - FB'!L:L,$A734,'ADV - FB'!G:G)),"-")</f>
        <v>-</v>
      </c>
      <c r="I734" s="321" t="str">
        <f>IFERROR(SUMIF('ADV - FB'!L:L,$A734,'ADV - FB'!E:E)/(SUMIF('ADV - FB'!L:L,$A734,'ADV - FB'!F:F)),"-")</f>
        <v>-</v>
      </c>
      <c r="J734" s="315">
        <f>SUMIF('ADV - FB'!L:L,$A734,'ADV - FB'!I:I)+SUMIF('ADV - FB'!L:L,$A734,'ADV - FB'!J:J)+SUMIF('ADV - FB'!L:L,$A734,'ADV - FB'!K:K)</f>
        <v>0</v>
      </c>
      <c r="K734" s="321" t="str">
        <f t="shared" si="2"/>
        <v>-</v>
      </c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ht="15.75" customHeight="1">
      <c r="A735" s="313" t="s">
        <v>1004</v>
      </c>
      <c r="B735" s="314"/>
      <c r="C735" s="315"/>
      <c r="D735" s="315"/>
      <c r="E735" s="317"/>
      <c r="F735" s="318" t="str">
        <f t="shared" si="1"/>
        <v>TP734 -  -  - </v>
      </c>
      <c r="G735" s="319">
        <f>SUMIF('ADV - FB'!L:L,$A735,'ADV - FB'!E:E)</f>
        <v>0</v>
      </c>
      <c r="H735" s="320" t="str">
        <f>IFERROR(SUMIF('ADV - FB'!L:L,$A735,'ADV - FB'!H:H)/(SUMIF('ADV - FB'!L:L,$A735,'ADV - FB'!G:G)),"-")</f>
        <v>-</v>
      </c>
      <c r="I735" s="321" t="str">
        <f>IFERROR(SUMIF('ADV - FB'!L:L,$A735,'ADV - FB'!E:E)/(SUMIF('ADV - FB'!L:L,$A735,'ADV - FB'!F:F)),"-")</f>
        <v>-</v>
      </c>
      <c r="J735" s="315">
        <f>SUMIF('ADV - FB'!L:L,$A735,'ADV - FB'!I:I)+SUMIF('ADV - FB'!L:L,$A735,'ADV - FB'!J:J)+SUMIF('ADV - FB'!L:L,$A735,'ADV - FB'!K:K)</f>
        <v>0</v>
      </c>
      <c r="K735" s="321" t="str">
        <f t="shared" si="2"/>
        <v>-</v>
      </c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ht="15.75" customHeight="1">
      <c r="A736" s="313" t="s">
        <v>1005</v>
      </c>
      <c r="B736" s="314"/>
      <c r="C736" s="315"/>
      <c r="D736" s="315"/>
      <c r="E736" s="317"/>
      <c r="F736" s="318" t="str">
        <f t="shared" si="1"/>
        <v>TP735 -  -  - </v>
      </c>
      <c r="G736" s="319">
        <f>SUMIF('ADV - FB'!L:L,$A736,'ADV - FB'!E:E)</f>
        <v>0</v>
      </c>
      <c r="H736" s="320" t="str">
        <f>IFERROR(SUMIF('ADV - FB'!L:L,$A736,'ADV - FB'!H:H)/(SUMIF('ADV - FB'!L:L,$A736,'ADV - FB'!G:G)),"-")</f>
        <v>-</v>
      </c>
      <c r="I736" s="321" t="str">
        <f>IFERROR(SUMIF('ADV - FB'!L:L,$A736,'ADV - FB'!E:E)/(SUMIF('ADV - FB'!L:L,$A736,'ADV - FB'!F:F)),"-")</f>
        <v>-</v>
      </c>
      <c r="J736" s="315">
        <f>SUMIF('ADV - FB'!L:L,$A736,'ADV - FB'!I:I)+SUMIF('ADV - FB'!L:L,$A736,'ADV - FB'!J:J)+SUMIF('ADV - FB'!L:L,$A736,'ADV - FB'!K:K)</f>
        <v>0</v>
      </c>
      <c r="K736" s="321" t="str">
        <f t="shared" si="2"/>
        <v>-</v>
      </c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ht="15.75" customHeight="1">
      <c r="A737" s="313" t="s">
        <v>1006</v>
      </c>
      <c r="B737" s="314"/>
      <c r="C737" s="315"/>
      <c r="D737" s="315"/>
      <c r="E737" s="317"/>
      <c r="F737" s="318" t="str">
        <f t="shared" si="1"/>
        <v>TP736 -  -  - </v>
      </c>
      <c r="G737" s="319">
        <f>SUMIF('ADV - FB'!L:L,$A737,'ADV - FB'!E:E)</f>
        <v>0</v>
      </c>
      <c r="H737" s="320" t="str">
        <f>IFERROR(SUMIF('ADV - FB'!L:L,$A737,'ADV - FB'!H:H)/(SUMIF('ADV - FB'!L:L,$A737,'ADV - FB'!G:G)),"-")</f>
        <v>-</v>
      </c>
      <c r="I737" s="321" t="str">
        <f>IFERROR(SUMIF('ADV - FB'!L:L,$A737,'ADV - FB'!E:E)/(SUMIF('ADV - FB'!L:L,$A737,'ADV - FB'!F:F)),"-")</f>
        <v>-</v>
      </c>
      <c r="J737" s="315">
        <f>SUMIF('ADV - FB'!L:L,$A737,'ADV - FB'!I:I)+SUMIF('ADV - FB'!L:L,$A737,'ADV - FB'!J:J)+SUMIF('ADV - FB'!L:L,$A737,'ADV - FB'!K:K)</f>
        <v>0</v>
      </c>
      <c r="K737" s="321" t="str">
        <f t="shared" si="2"/>
        <v>-</v>
      </c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ht="15.75" customHeight="1">
      <c r="A738" s="313" t="s">
        <v>1007</v>
      </c>
      <c r="B738" s="314"/>
      <c r="C738" s="315"/>
      <c r="D738" s="315"/>
      <c r="E738" s="317"/>
      <c r="F738" s="318" t="str">
        <f t="shared" si="1"/>
        <v>TP737 -  -  - </v>
      </c>
      <c r="G738" s="319">
        <f>SUMIF('ADV - FB'!L:L,$A738,'ADV - FB'!E:E)</f>
        <v>0</v>
      </c>
      <c r="H738" s="320" t="str">
        <f>IFERROR(SUMIF('ADV - FB'!L:L,$A738,'ADV - FB'!H:H)/(SUMIF('ADV - FB'!L:L,$A738,'ADV - FB'!G:G)),"-")</f>
        <v>-</v>
      </c>
      <c r="I738" s="321" t="str">
        <f>IFERROR(SUMIF('ADV - FB'!L:L,$A738,'ADV - FB'!E:E)/(SUMIF('ADV - FB'!L:L,$A738,'ADV - FB'!F:F)),"-")</f>
        <v>-</v>
      </c>
      <c r="J738" s="315">
        <f>SUMIF('ADV - FB'!L:L,$A738,'ADV - FB'!I:I)+SUMIF('ADV - FB'!L:L,$A738,'ADV - FB'!J:J)+SUMIF('ADV - FB'!L:L,$A738,'ADV - FB'!K:K)</f>
        <v>0</v>
      </c>
      <c r="K738" s="321" t="str">
        <f t="shared" si="2"/>
        <v>-</v>
      </c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ht="15.75" customHeight="1">
      <c r="A739" s="313" t="s">
        <v>1008</v>
      </c>
      <c r="B739" s="314"/>
      <c r="C739" s="315"/>
      <c r="D739" s="315"/>
      <c r="E739" s="317"/>
      <c r="F739" s="318" t="str">
        <f t="shared" si="1"/>
        <v>TP738 -  -  - </v>
      </c>
      <c r="G739" s="319">
        <f>SUMIF('ADV - FB'!L:L,$A739,'ADV - FB'!E:E)</f>
        <v>0</v>
      </c>
      <c r="H739" s="320" t="str">
        <f>IFERROR(SUMIF('ADV - FB'!L:L,$A739,'ADV - FB'!H:H)/(SUMIF('ADV - FB'!L:L,$A739,'ADV - FB'!G:G)),"-")</f>
        <v>-</v>
      </c>
      <c r="I739" s="321" t="str">
        <f>IFERROR(SUMIF('ADV - FB'!L:L,$A739,'ADV - FB'!E:E)/(SUMIF('ADV - FB'!L:L,$A739,'ADV - FB'!F:F)),"-")</f>
        <v>-</v>
      </c>
      <c r="J739" s="315">
        <f>SUMIF('ADV - FB'!L:L,$A739,'ADV - FB'!I:I)+SUMIF('ADV - FB'!L:L,$A739,'ADV - FB'!J:J)+SUMIF('ADV - FB'!L:L,$A739,'ADV - FB'!K:K)</f>
        <v>0</v>
      </c>
      <c r="K739" s="321" t="str">
        <f t="shared" si="2"/>
        <v>-</v>
      </c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ht="15.75" customHeight="1">
      <c r="A740" s="313" t="s">
        <v>1009</v>
      </c>
      <c r="B740" s="314"/>
      <c r="C740" s="315"/>
      <c r="D740" s="315"/>
      <c r="E740" s="317"/>
      <c r="F740" s="318" t="str">
        <f t="shared" si="1"/>
        <v>TP739 -  -  - </v>
      </c>
      <c r="G740" s="319">
        <f>SUMIF('ADV - FB'!L:L,$A740,'ADV - FB'!E:E)</f>
        <v>0</v>
      </c>
      <c r="H740" s="320" t="str">
        <f>IFERROR(SUMIF('ADV - FB'!L:L,$A740,'ADV - FB'!H:H)/(SUMIF('ADV - FB'!L:L,$A740,'ADV - FB'!G:G)),"-")</f>
        <v>-</v>
      </c>
      <c r="I740" s="321" t="str">
        <f>IFERROR(SUMIF('ADV - FB'!L:L,$A740,'ADV - FB'!E:E)/(SUMIF('ADV - FB'!L:L,$A740,'ADV - FB'!F:F)),"-")</f>
        <v>-</v>
      </c>
      <c r="J740" s="315">
        <f>SUMIF('ADV - FB'!L:L,$A740,'ADV - FB'!I:I)+SUMIF('ADV - FB'!L:L,$A740,'ADV - FB'!J:J)+SUMIF('ADV - FB'!L:L,$A740,'ADV - FB'!K:K)</f>
        <v>0</v>
      </c>
      <c r="K740" s="321" t="str">
        <f t="shared" si="2"/>
        <v>-</v>
      </c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ht="15.75" customHeight="1">
      <c r="A741" s="313" t="s">
        <v>1010</v>
      </c>
      <c r="B741" s="314"/>
      <c r="C741" s="315"/>
      <c r="D741" s="315"/>
      <c r="E741" s="317"/>
      <c r="F741" s="318" t="str">
        <f t="shared" si="1"/>
        <v>TP740 -  -  - </v>
      </c>
      <c r="G741" s="319">
        <f>SUMIF('ADV - FB'!L:L,$A741,'ADV - FB'!E:E)</f>
        <v>0</v>
      </c>
      <c r="H741" s="320" t="str">
        <f>IFERROR(SUMIF('ADV - FB'!L:L,$A741,'ADV - FB'!H:H)/(SUMIF('ADV - FB'!L:L,$A741,'ADV - FB'!G:G)),"-")</f>
        <v>-</v>
      </c>
      <c r="I741" s="321" t="str">
        <f>IFERROR(SUMIF('ADV - FB'!L:L,$A741,'ADV - FB'!E:E)/(SUMIF('ADV - FB'!L:L,$A741,'ADV - FB'!F:F)),"-")</f>
        <v>-</v>
      </c>
      <c r="J741" s="315">
        <f>SUMIF('ADV - FB'!L:L,$A741,'ADV - FB'!I:I)+SUMIF('ADV - FB'!L:L,$A741,'ADV - FB'!J:J)+SUMIF('ADV - FB'!L:L,$A741,'ADV - FB'!K:K)</f>
        <v>0</v>
      </c>
      <c r="K741" s="321" t="str">
        <f t="shared" si="2"/>
        <v>-</v>
      </c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ht="15.75" customHeight="1">
      <c r="A742" s="313" t="s">
        <v>1011</v>
      </c>
      <c r="B742" s="314"/>
      <c r="C742" s="315"/>
      <c r="D742" s="315"/>
      <c r="E742" s="317"/>
      <c r="F742" s="318" t="str">
        <f t="shared" si="1"/>
        <v>TP741 -  -  - </v>
      </c>
      <c r="G742" s="319">
        <f>SUMIF('ADV - FB'!L:L,$A742,'ADV - FB'!E:E)</f>
        <v>0</v>
      </c>
      <c r="H742" s="320" t="str">
        <f>IFERROR(SUMIF('ADV - FB'!L:L,$A742,'ADV - FB'!H:H)/(SUMIF('ADV - FB'!L:L,$A742,'ADV - FB'!G:G)),"-")</f>
        <v>-</v>
      </c>
      <c r="I742" s="321" t="str">
        <f>IFERROR(SUMIF('ADV - FB'!L:L,$A742,'ADV - FB'!E:E)/(SUMIF('ADV - FB'!L:L,$A742,'ADV - FB'!F:F)),"-")</f>
        <v>-</v>
      </c>
      <c r="J742" s="315">
        <f>SUMIF('ADV - FB'!L:L,$A742,'ADV - FB'!I:I)+SUMIF('ADV - FB'!L:L,$A742,'ADV - FB'!J:J)+SUMIF('ADV - FB'!L:L,$A742,'ADV - FB'!K:K)</f>
        <v>0</v>
      </c>
      <c r="K742" s="321" t="str">
        <f t="shared" si="2"/>
        <v>-</v>
      </c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ht="15.75" customHeight="1">
      <c r="A743" s="313" t="s">
        <v>1012</v>
      </c>
      <c r="B743" s="314"/>
      <c r="C743" s="315"/>
      <c r="D743" s="315"/>
      <c r="E743" s="317"/>
      <c r="F743" s="318" t="str">
        <f t="shared" si="1"/>
        <v>TP742 -  -  - </v>
      </c>
      <c r="G743" s="319">
        <f>SUMIF('ADV - FB'!L:L,$A743,'ADV - FB'!E:E)</f>
        <v>0</v>
      </c>
      <c r="H743" s="320" t="str">
        <f>IFERROR(SUMIF('ADV - FB'!L:L,$A743,'ADV - FB'!H:H)/(SUMIF('ADV - FB'!L:L,$A743,'ADV - FB'!G:G)),"-")</f>
        <v>-</v>
      </c>
      <c r="I743" s="321" t="str">
        <f>IFERROR(SUMIF('ADV - FB'!L:L,$A743,'ADV - FB'!E:E)/(SUMIF('ADV - FB'!L:L,$A743,'ADV - FB'!F:F)),"-")</f>
        <v>-</v>
      </c>
      <c r="J743" s="315">
        <f>SUMIF('ADV - FB'!L:L,$A743,'ADV - FB'!I:I)+SUMIF('ADV - FB'!L:L,$A743,'ADV - FB'!J:J)+SUMIF('ADV - FB'!L:L,$A743,'ADV - FB'!K:K)</f>
        <v>0</v>
      </c>
      <c r="K743" s="321" t="str">
        <f t="shared" si="2"/>
        <v>-</v>
      </c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ht="15.75" customHeight="1">
      <c r="A744" s="313" t="s">
        <v>1013</v>
      </c>
      <c r="B744" s="314"/>
      <c r="C744" s="315"/>
      <c r="D744" s="315"/>
      <c r="E744" s="317"/>
      <c r="F744" s="318" t="str">
        <f t="shared" si="1"/>
        <v>TP743 -  -  - </v>
      </c>
      <c r="G744" s="319">
        <f>SUMIF('ADV - FB'!L:L,$A744,'ADV - FB'!E:E)</f>
        <v>0</v>
      </c>
      <c r="H744" s="320" t="str">
        <f>IFERROR(SUMIF('ADV - FB'!L:L,$A744,'ADV - FB'!H:H)/(SUMIF('ADV - FB'!L:L,$A744,'ADV - FB'!G:G)),"-")</f>
        <v>-</v>
      </c>
      <c r="I744" s="321" t="str">
        <f>IFERROR(SUMIF('ADV - FB'!L:L,$A744,'ADV - FB'!E:E)/(SUMIF('ADV - FB'!L:L,$A744,'ADV - FB'!F:F)),"-")</f>
        <v>-</v>
      </c>
      <c r="J744" s="315">
        <f>SUMIF('ADV - FB'!L:L,$A744,'ADV - FB'!I:I)+SUMIF('ADV - FB'!L:L,$A744,'ADV - FB'!J:J)+SUMIF('ADV - FB'!L:L,$A744,'ADV - FB'!K:K)</f>
        <v>0</v>
      </c>
      <c r="K744" s="321" t="str">
        <f t="shared" si="2"/>
        <v>-</v>
      </c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ht="15.75" customHeight="1">
      <c r="A745" s="313" t="s">
        <v>1014</v>
      </c>
      <c r="B745" s="314"/>
      <c r="C745" s="315"/>
      <c r="D745" s="315"/>
      <c r="E745" s="317"/>
      <c r="F745" s="318" t="str">
        <f t="shared" si="1"/>
        <v>TP744 -  -  - </v>
      </c>
      <c r="G745" s="319">
        <f>SUMIF('ADV - FB'!L:L,$A745,'ADV - FB'!E:E)</f>
        <v>0</v>
      </c>
      <c r="H745" s="320" t="str">
        <f>IFERROR(SUMIF('ADV - FB'!L:L,$A745,'ADV - FB'!H:H)/(SUMIF('ADV - FB'!L:L,$A745,'ADV - FB'!G:G)),"-")</f>
        <v>-</v>
      </c>
      <c r="I745" s="321" t="str">
        <f>IFERROR(SUMIF('ADV - FB'!L:L,$A745,'ADV - FB'!E:E)/(SUMIF('ADV - FB'!L:L,$A745,'ADV - FB'!F:F)),"-")</f>
        <v>-</v>
      </c>
      <c r="J745" s="315">
        <f>SUMIF('ADV - FB'!L:L,$A745,'ADV - FB'!I:I)+SUMIF('ADV - FB'!L:L,$A745,'ADV - FB'!J:J)+SUMIF('ADV - FB'!L:L,$A745,'ADV - FB'!K:K)</f>
        <v>0</v>
      </c>
      <c r="K745" s="321" t="str">
        <f t="shared" si="2"/>
        <v>-</v>
      </c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ht="15.75" customHeight="1">
      <c r="A746" s="313" t="s">
        <v>1015</v>
      </c>
      <c r="B746" s="314"/>
      <c r="C746" s="315"/>
      <c r="D746" s="315"/>
      <c r="E746" s="317"/>
      <c r="F746" s="318" t="str">
        <f t="shared" si="1"/>
        <v>TP745 -  -  - </v>
      </c>
      <c r="G746" s="319">
        <f>SUMIF('ADV - FB'!L:L,$A746,'ADV - FB'!E:E)</f>
        <v>0</v>
      </c>
      <c r="H746" s="320" t="str">
        <f>IFERROR(SUMIF('ADV - FB'!L:L,$A746,'ADV - FB'!H:H)/(SUMIF('ADV - FB'!L:L,$A746,'ADV - FB'!G:G)),"-")</f>
        <v>-</v>
      </c>
      <c r="I746" s="321" t="str">
        <f>IFERROR(SUMIF('ADV - FB'!L:L,$A746,'ADV - FB'!E:E)/(SUMIF('ADV - FB'!L:L,$A746,'ADV - FB'!F:F)),"-")</f>
        <v>-</v>
      </c>
      <c r="J746" s="315">
        <f>SUMIF('ADV - FB'!L:L,$A746,'ADV - FB'!I:I)+SUMIF('ADV - FB'!L:L,$A746,'ADV - FB'!J:J)+SUMIF('ADV - FB'!L:L,$A746,'ADV - FB'!K:K)</f>
        <v>0</v>
      </c>
      <c r="K746" s="321" t="str">
        <f t="shared" si="2"/>
        <v>-</v>
      </c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ht="15.75" customHeight="1">
      <c r="A747" s="313" t="s">
        <v>1016</v>
      </c>
      <c r="B747" s="314"/>
      <c r="C747" s="315"/>
      <c r="D747" s="315"/>
      <c r="E747" s="317"/>
      <c r="F747" s="318" t="str">
        <f t="shared" si="1"/>
        <v>TP746 -  -  - </v>
      </c>
      <c r="G747" s="319">
        <f>SUMIF('ADV - FB'!L:L,$A747,'ADV - FB'!E:E)</f>
        <v>0</v>
      </c>
      <c r="H747" s="320" t="str">
        <f>IFERROR(SUMIF('ADV - FB'!L:L,$A747,'ADV - FB'!H:H)/(SUMIF('ADV - FB'!L:L,$A747,'ADV - FB'!G:G)),"-")</f>
        <v>-</v>
      </c>
      <c r="I747" s="321" t="str">
        <f>IFERROR(SUMIF('ADV - FB'!L:L,$A747,'ADV - FB'!E:E)/(SUMIF('ADV - FB'!L:L,$A747,'ADV - FB'!F:F)),"-")</f>
        <v>-</v>
      </c>
      <c r="J747" s="315">
        <f>SUMIF('ADV - FB'!L:L,$A747,'ADV - FB'!I:I)+SUMIF('ADV - FB'!L:L,$A747,'ADV - FB'!J:J)+SUMIF('ADV - FB'!L:L,$A747,'ADV - FB'!K:K)</f>
        <v>0</v>
      </c>
      <c r="K747" s="321" t="str">
        <f t="shared" si="2"/>
        <v>-</v>
      </c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ht="15.75" customHeight="1">
      <c r="A748" s="313" t="s">
        <v>1017</v>
      </c>
      <c r="B748" s="314"/>
      <c r="C748" s="315"/>
      <c r="D748" s="315"/>
      <c r="E748" s="317"/>
      <c r="F748" s="318" t="str">
        <f t="shared" si="1"/>
        <v>TP747 -  -  - </v>
      </c>
      <c r="G748" s="319">
        <f>SUMIF('ADV - FB'!L:L,$A748,'ADV - FB'!E:E)</f>
        <v>0</v>
      </c>
      <c r="H748" s="320" t="str">
        <f>IFERROR(SUMIF('ADV - FB'!L:L,$A748,'ADV - FB'!H:H)/(SUMIF('ADV - FB'!L:L,$A748,'ADV - FB'!G:G)),"-")</f>
        <v>-</v>
      </c>
      <c r="I748" s="321" t="str">
        <f>IFERROR(SUMIF('ADV - FB'!L:L,$A748,'ADV - FB'!E:E)/(SUMIF('ADV - FB'!L:L,$A748,'ADV - FB'!F:F)),"-")</f>
        <v>-</v>
      </c>
      <c r="J748" s="315">
        <f>SUMIF('ADV - FB'!L:L,$A748,'ADV - FB'!I:I)+SUMIF('ADV - FB'!L:L,$A748,'ADV - FB'!J:J)+SUMIF('ADV - FB'!L:L,$A748,'ADV - FB'!K:K)</f>
        <v>0</v>
      </c>
      <c r="K748" s="321" t="str">
        <f t="shared" si="2"/>
        <v>-</v>
      </c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ht="15.75" customHeight="1">
      <c r="A749" s="313" t="s">
        <v>1018</v>
      </c>
      <c r="B749" s="314"/>
      <c r="C749" s="315"/>
      <c r="D749" s="315"/>
      <c r="E749" s="317"/>
      <c r="F749" s="318" t="str">
        <f t="shared" si="1"/>
        <v>TP748 -  -  - </v>
      </c>
      <c r="G749" s="319">
        <f>SUMIF('ADV - FB'!L:L,$A749,'ADV - FB'!E:E)</f>
        <v>0</v>
      </c>
      <c r="H749" s="320" t="str">
        <f>IFERROR(SUMIF('ADV - FB'!L:L,$A749,'ADV - FB'!H:H)/(SUMIF('ADV - FB'!L:L,$A749,'ADV - FB'!G:G)),"-")</f>
        <v>-</v>
      </c>
      <c r="I749" s="321" t="str">
        <f>IFERROR(SUMIF('ADV - FB'!L:L,$A749,'ADV - FB'!E:E)/(SUMIF('ADV - FB'!L:L,$A749,'ADV - FB'!F:F)),"-")</f>
        <v>-</v>
      </c>
      <c r="J749" s="315">
        <f>SUMIF('ADV - FB'!L:L,$A749,'ADV - FB'!I:I)+SUMIF('ADV - FB'!L:L,$A749,'ADV - FB'!J:J)+SUMIF('ADV - FB'!L:L,$A749,'ADV - FB'!K:K)</f>
        <v>0</v>
      </c>
      <c r="K749" s="321" t="str">
        <f t="shared" si="2"/>
        <v>-</v>
      </c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ht="15.75" customHeight="1">
      <c r="A750" s="313" t="s">
        <v>1019</v>
      </c>
      <c r="B750" s="314"/>
      <c r="C750" s="315"/>
      <c r="D750" s="315"/>
      <c r="E750" s="317"/>
      <c r="F750" s="318" t="str">
        <f t="shared" si="1"/>
        <v>TP749 -  -  - </v>
      </c>
      <c r="G750" s="319">
        <f>SUMIF('ADV - FB'!L:L,$A750,'ADV - FB'!E:E)</f>
        <v>0</v>
      </c>
      <c r="H750" s="320" t="str">
        <f>IFERROR(SUMIF('ADV - FB'!L:L,$A750,'ADV - FB'!H:H)/(SUMIF('ADV - FB'!L:L,$A750,'ADV - FB'!G:G)),"-")</f>
        <v>-</v>
      </c>
      <c r="I750" s="321" t="str">
        <f>IFERROR(SUMIF('ADV - FB'!L:L,$A750,'ADV - FB'!E:E)/(SUMIF('ADV - FB'!L:L,$A750,'ADV - FB'!F:F)),"-")</f>
        <v>-</v>
      </c>
      <c r="J750" s="315">
        <f>SUMIF('ADV - FB'!L:L,$A750,'ADV - FB'!I:I)+SUMIF('ADV - FB'!L:L,$A750,'ADV - FB'!J:J)+SUMIF('ADV - FB'!L:L,$A750,'ADV - FB'!K:K)</f>
        <v>0</v>
      </c>
      <c r="K750" s="321" t="str">
        <f t="shared" si="2"/>
        <v>-</v>
      </c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ht="15.75" customHeight="1">
      <c r="A751" s="313" t="s">
        <v>1020</v>
      </c>
      <c r="B751" s="314"/>
      <c r="C751" s="315"/>
      <c r="D751" s="315"/>
      <c r="E751" s="317"/>
      <c r="F751" s="318" t="str">
        <f t="shared" si="1"/>
        <v>TP750 -  -  - </v>
      </c>
      <c r="G751" s="319">
        <f>SUMIF('ADV - FB'!L:L,$A751,'ADV - FB'!E:E)</f>
        <v>0</v>
      </c>
      <c r="H751" s="320" t="str">
        <f>IFERROR(SUMIF('ADV - FB'!L:L,$A751,'ADV - FB'!H:H)/(SUMIF('ADV - FB'!L:L,$A751,'ADV - FB'!G:G)),"-")</f>
        <v>-</v>
      </c>
      <c r="I751" s="321" t="str">
        <f>IFERROR(SUMIF('ADV - FB'!L:L,$A751,'ADV - FB'!E:E)/(SUMIF('ADV - FB'!L:L,$A751,'ADV - FB'!F:F)),"-")</f>
        <v>-</v>
      </c>
      <c r="J751" s="315">
        <f>SUMIF('ADV - FB'!L:L,$A751,'ADV - FB'!I:I)+SUMIF('ADV - FB'!L:L,$A751,'ADV - FB'!J:J)+SUMIF('ADV - FB'!L:L,$A751,'ADV - FB'!K:K)</f>
        <v>0</v>
      </c>
      <c r="K751" s="321" t="str">
        <f t="shared" si="2"/>
        <v>-</v>
      </c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ht="15.75" customHeight="1">
      <c r="A752" s="313" t="s">
        <v>1021</v>
      </c>
      <c r="B752" s="314"/>
      <c r="C752" s="315"/>
      <c r="D752" s="315"/>
      <c r="E752" s="317"/>
      <c r="F752" s="318" t="str">
        <f t="shared" si="1"/>
        <v>TP751 -  -  - </v>
      </c>
      <c r="G752" s="319">
        <f>SUMIF('ADV - FB'!L:L,$A752,'ADV - FB'!E:E)</f>
        <v>0</v>
      </c>
      <c r="H752" s="320" t="str">
        <f>IFERROR(SUMIF('ADV - FB'!L:L,$A752,'ADV - FB'!H:H)/(SUMIF('ADV - FB'!L:L,$A752,'ADV - FB'!G:G)),"-")</f>
        <v>-</v>
      </c>
      <c r="I752" s="321" t="str">
        <f>IFERROR(SUMIF('ADV - FB'!L:L,$A752,'ADV - FB'!E:E)/(SUMIF('ADV - FB'!L:L,$A752,'ADV - FB'!F:F)),"-")</f>
        <v>-</v>
      </c>
      <c r="J752" s="315">
        <f>SUMIF('ADV - FB'!L:L,$A752,'ADV - FB'!I:I)+SUMIF('ADV - FB'!L:L,$A752,'ADV - FB'!J:J)+SUMIF('ADV - FB'!L:L,$A752,'ADV - FB'!K:K)</f>
        <v>0</v>
      </c>
      <c r="K752" s="321" t="str">
        <f t="shared" si="2"/>
        <v>-</v>
      </c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ht="15.75" customHeight="1">
      <c r="A753" s="313" t="s">
        <v>1022</v>
      </c>
      <c r="B753" s="314"/>
      <c r="C753" s="315"/>
      <c r="D753" s="315"/>
      <c r="E753" s="317"/>
      <c r="F753" s="318" t="str">
        <f t="shared" si="1"/>
        <v>TP752 -  -  - </v>
      </c>
      <c r="G753" s="319">
        <f>SUMIF('ADV - FB'!L:L,$A753,'ADV - FB'!E:E)</f>
        <v>0</v>
      </c>
      <c r="H753" s="320" t="str">
        <f>IFERROR(SUMIF('ADV - FB'!L:L,$A753,'ADV - FB'!H:H)/(SUMIF('ADV - FB'!L:L,$A753,'ADV - FB'!G:G)),"-")</f>
        <v>-</v>
      </c>
      <c r="I753" s="321" t="str">
        <f>IFERROR(SUMIF('ADV - FB'!L:L,$A753,'ADV - FB'!E:E)/(SUMIF('ADV - FB'!L:L,$A753,'ADV - FB'!F:F)),"-")</f>
        <v>-</v>
      </c>
      <c r="J753" s="315">
        <f>SUMIF('ADV - FB'!L:L,$A753,'ADV - FB'!I:I)+SUMIF('ADV - FB'!L:L,$A753,'ADV - FB'!J:J)+SUMIF('ADV - FB'!L:L,$A753,'ADV - FB'!K:K)</f>
        <v>0</v>
      </c>
      <c r="K753" s="321" t="str">
        <f t="shared" si="2"/>
        <v>-</v>
      </c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ht="15.75" customHeight="1">
      <c r="A754" s="313" t="s">
        <v>1023</v>
      </c>
      <c r="B754" s="314"/>
      <c r="C754" s="315"/>
      <c r="D754" s="315"/>
      <c r="E754" s="317"/>
      <c r="F754" s="318" t="str">
        <f t="shared" si="1"/>
        <v>TP753 -  -  - </v>
      </c>
      <c r="G754" s="319">
        <f>SUMIF('ADV - FB'!L:L,$A754,'ADV - FB'!E:E)</f>
        <v>0</v>
      </c>
      <c r="H754" s="320" t="str">
        <f>IFERROR(SUMIF('ADV - FB'!L:L,$A754,'ADV - FB'!H:H)/(SUMIF('ADV - FB'!L:L,$A754,'ADV - FB'!G:G)),"-")</f>
        <v>-</v>
      </c>
      <c r="I754" s="321" t="str">
        <f>IFERROR(SUMIF('ADV - FB'!L:L,$A754,'ADV - FB'!E:E)/(SUMIF('ADV - FB'!L:L,$A754,'ADV - FB'!F:F)),"-")</f>
        <v>-</v>
      </c>
      <c r="J754" s="315">
        <f>SUMIF('ADV - FB'!L:L,$A754,'ADV - FB'!I:I)+SUMIF('ADV - FB'!L:L,$A754,'ADV - FB'!J:J)+SUMIF('ADV - FB'!L:L,$A754,'ADV - FB'!K:K)</f>
        <v>0</v>
      </c>
      <c r="K754" s="321" t="str">
        <f t="shared" si="2"/>
        <v>-</v>
      </c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ht="15.75" customHeight="1">
      <c r="A755" s="313" t="s">
        <v>1024</v>
      </c>
      <c r="B755" s="314"/>
      <c r="C755" s="315"/>
      <c r="D755" s="315"/>
      <c r="E755" s="317"/>
      <c r="F755" s="318" t="str">
        <f t="shared" si="1"/>
        <v>TP754 -  -  - </v>
      </c>
      <c r="G755" s="319">
        <f>SUMIF('ADV - FB'!L:L,$A755,'ADV - FB'!E:E)</f>
        <v>0</v>
      </c>
      <c r="H755" s="320" t="str">
        <f>IFERROR(SUMIF('ADV - FB'!L:L,$A755,'ADV - FB'!H:H)/(SUMIF('ADV - FB'!L:L,$A755,'ADV - FB'!G:G)),"-")</f>
        <v>-</v>
      </c>
      <c r="I755" s="321" t="str">
        <f>IFERROR(SUMIF('ADV - FB'!L:L,$A755,'ADV - FB'!E:E)/(SUMIF('ADV - FB'!L:L,$A755,'ADV - FB'!F:F)),"-")</f>
        <v>-</v>
      </c>
      <c r="J755" s="315">
        <f>SUMIF('ADV - FB'!L:L,$A755,'ADV - FB'!I:I)+SUMIF('ADV - FB'!L:L,$A755,'ADV - FB'!J:J)+SUMIF('ADV - FB'!L:L,$A755,'ADV - FB'!K:K)</f>
        <v>0</v>
      </c>
      <c r="K755" s="321" t="str">
        <f t="shared" si="2"/>
        <v>-</v>
      </c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ht="15.75" customHeight="1">
      <c r="A756" s="313" t="s">
        <v>1025</v>
      </c>
      <c r="B756" s="314"/>
      <c r="C756" s="315"/>
      <c r="D756" s="315"/>
      <c r="E756" s="317"/>
      <c r="F756" s="318" t="str">
        <f t="shared" si="1"/>
        <v>TP755 -  -  - </v>
      </c>
      <c r="G756" s="319">
        <f>SUMIF('ADV - FB'!L:L,$A756,'ADV - FB'!E:E)</f>
        <v>0</v>
      </c>
      <c r="H756" s="320" t="str">
        <f>IFERROR(SUMIF('ADV - FB'!L:L,$A756,'ADV - FB'!H:H)/(SUMIF('ADV - FB'!L:L,$A756,'ADV - FB'!G:G)),"-")</f>
        <v>-</v>
      </c>
      <c r="I756" s="321" t="str">
        <f>IFERROR(SUMIF('ADV - FB'!L:L,$A756,'ADV - FB'!E:E)/(SUMIF('ADV - FB'!L:L,$A756,'ADV - FB'!F:F)),"-")</f>
        <v>-</v>
      </c>
      <c r="J756" s="315">
        <f>SUMIF('ADV - FB'!L:L,$A756,'ADV - FB'!I:I)+SUMIF('ADV - FB'!L:L,$A756,'ADV - FB'!J:J)+SUMIF('ADV - FB'!L:L,$A756,'ADV - FB'!K:K)</f>
        <v>0</v>
      </c>
      <c r="K756" s="321" t="str">
        <f t="shared" si="2"/>
        <v>-</v>
      </c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ht="15.75" customHeight="1">
      <c r="A757" s="313" t="s">
        <v>1026</v>
      </c>
      <c r="B757" s="314"/>
      <c r="C757" s="315"/>
      <c r="D757" s="315"/>
      <c r="E757" s="317"/>
      <c r="F757" s="318" t="str">
        <f t="shared" si="1"/>
        <v>TP756 -  -  - </v>
      </c>
      <c r="G757" s="319">
        <f>SUMIF('ADV - FB'!L:L,$A757,'ADV - FB'!E:E)</f>
        <v>0</v>
      </c>
      <c r="H757" s="320" t="str">
        <f>IFERROR(SUMIF('ADV - FB'!L:L,$A757,'ADV - FB'!H:H)/(SUMIF('ADV - FB'!L:L,$A757,'ADV - FB'!G:G)),"-")</f>
        <v>-</v>
      </c>
      <c r="I757" s="321" t="str">
        <f>IFERROR(SUMIF('ADV - FB'!L:L,$A757,'ADV - FB'!E:E)/(SUMIF('ADV - FB'!L:L,$A757,'ADV - FB'!F:F)),"-")</f>
        <v>-</v>
      </c>
      <c r="J757" s="315">
        <f>SUMIF('ADV - FB'!L:L,$A757,'ADV - FB'!I:I)+SUMIF('ADV - FB'!L:L,$A757,'ADV - FB'!J:J)+SUMIF('ADV - FB'!L:L,$A757,'ADV - FB'!K:K)</f>
        <v>0</v>
      </c>
      <c r="K757" s="321" t="str">
        <f t="shared" si="2"/>
        <v>-</v>
      </c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ht="15.75" customHeight="1">
      <c r="A758" s="313" t="s">
        <v>1027</v>
      </c>
      <c r="B758" s="314"/>
      <c r="C758" s="315"/>
      <c r="D758" s="315"/>
      <c r="E758" s="317"/>
      <c r="F758" s="318" t="str">
        <f t="shared" si="1"/>
        <v>TP757 -  -  - </v>
      </c>
      <c r="G758" s="319">
        <f>SUMIF('ADV - FB'!L:L,$A758,'ADV - FB'!E:E)</f>
        <v>0</v>
      </c>
      <c r="H758" s="320" t="str">
        <f>IFERROR(SUMIF('ADV - FB'!L:L,$A758,'ADV - FB'!H:H)/(SUMIF('ADV - FB'!L:L,$A758,'ADV - FB'!G:G)),"-")</f>
        <v>-</v>
      </c>
      <c r="I758" s="321" t="str">
        <f>IFERROR(SUMIF('ADV - FB'!L:L,$A758,'ADV - FB'!E:E)/(SUMIF('ADV - FB'!L:L,$A758,'ADV - FB'!F:F)),"-")</f>
        <v>-</v>
      </c>
      <c r="J758" s="315">
        <f>SUMIF('ADV - FB'!L:L,$A758,'ADV - FB'!I:I)+SUMIF('ADV - FB'!L:L,$A758,'ADV - FB'!J:J)+SUMIF('ADV - FB'!L:L,$A758,'ADV - FB'!K:K)</f>
        <v>0</v>
      </c>
      <c r="K758" s="321" t="str">
        <f t="shared" si="2"/>
        <v>-</v>
      </c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ht="15.75" customHeight="1">
      <c r="A759" s="313" t="s">
        <v>1028</v>
      </c>
      <c r="B759" s="314"/>
      <c r="C759" s="315"/>
      <c r="D759" s="315"/>
      <c r="E759" s="317"/>
      <c r="F759" s="318" t="str">
        <f t="shared" si="1"/>
        <v>TP758 -  -  - </v>
      </c>
      <c r="G759" s="319">
        <f>SUMIF('ADV - FB'!L:L,$A759,'ADV - FB'!E:E)</f>
        <v>0</v>
      </c>
      <c r="H759" s="320" t="str">
        <f>IFERROR(SUMIF('ADV - FB'!L:L,$A759,'ADV - FB'!H:H)/(SUMIF('ADV - FB'!L:L,$A759,'ADV - FB'!G:G)),"-")</f>
        <v>-</v>
      </c>
      <c r="I759" s="321" t="str">
        <f>IFERROR(SUMIF('ADV - FB'!L:L,$A759,'ADV - FB'!E:E)/(SUMIF('ADV - FB'!L:L,$A759,'ADV - FB'!F:F)),"-")</f>
        <v>-</v>
      </c>
      <c r="J759" s="315">
        <f>SUMIF('ADV - FB'!L:L,$A759,'ADV - FB'!I:I)+SUMIF('ADV - FB'!L:L,$A759,'ADV - FB'!J:J)+SUMIF('ADV - FB'!L:L,$A759,'ADV - FB'!K:K)</f>
        <v>0</v>
      </c>
      <c r="K759" s="321" t="str">
        <f t="shared" si="2"/>
        <v>-</v>
      </c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ht="15.75" customHeight="1">
      <c r="A760" s="313" t="s">
        <v>1029</v>
      </c>
      <c r="B760" s="314"/>
      <c r="C760" s="315"/>
      <c r="D760" s="315"/>
      <c r="E760" s="317"/>
      <c r="F760" s="318" t="str">
        <f t="shared" si="1"/>
        <v>TP759 -  -  - </v>
      </c>
      <c r="G760" s="319">
        <f>SUMIF('ADV - FB'!L:L,$A760,'ADV - FB'!E:E)</f>
        <v>0</v>
      </c>
      <c r="H760" s="320" t="str">
        <f>IFERROR(SUMIF('ADV - FB'!L:L,$A760,'ADV - FB'!H:H)/(SUMIF('ADV - FB'!L:L,$A760,'ADV - FB'!G:G)),"-")</f>
        <v>-</v>
      </c>
      <c r="I760" s="321" t="str">
        <f>IFERROR(SUMIF('ADV - FB'!L:L,$A760,'ADV - FB'!E:E)/(SUMIF('ADV - FB'!L:L,$A760,'ADV - FB'!F:F)),"-")</f>
        <v>-</v>
      </c>
      <c r="J760" s="315">
        <f>SUMIF('ADV - FB'!L:L,$A760,'ADV - FB'!I:I)+SUMIF('ADV - FB'!L:L,$A760,'ADV - FB'!J:J)+SUMIF('ADV - FB'!L:L,$A760,'ADV - FB'!K:K)</f>
        <v>0</v>
      </c>
      <c r="K760" s="321" t="str">
        <f t="shared" si="2"/>
        <v>-</v>
      </c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ht="15.75" customHeight="1">
      <c r="A761" s="313" t="s">
        <v>1030</v>
      </c>
      <c r="B761" s="314"/>
      <c r="C761" s="315"/>
      <c r="D761" s="315"/>
      <c r="E761" s="317"/>
      <c r="F761" s="318" t="str">
        <f t="shared" si="1"/>
        <v>TP760 -  -  - </v>
      </c>
      <c r="G761" s="319">
        <f>SUMIF('ADV - FB'!L:L,$A761,'ADV - FB'!E:E)</f>
        <v>0</v>
      </c>
      <c r="H761" s="320" t="str">
        <f>IFERROR(SUMIF('ADV - FB'!L:L,$A761,'ADV - FB'!H:H)/(SUMIF('ADV - FB'!L:L,$A761,'ADV - FB'!G:G)),"-")</f>
        <v>-</v>
      </c>
      <c r="I761" s="321" t="str">
        <f>IFERROR(SUMIF('ADV - FB'!L:L,$A761,'ADV - FB'!E:E)/(SUMIF('ADV - FB'!L:L,$A761,'ADV - FB'!F:F)),"-")</f>
        <v>-</v>
      </c>
      <c r="J761" s="315">
        <f>SUMIF('ADV - FB'!L:L,$A761,'ADV - FB'!I:I)+SUMIF('ADV - FB'!L:L,$A761,'ADV - FB'!J:J)+SUMIF('ADV - FB'!L:L,$A761,'ADV - FB'!K:K)</f>
        <v>0</v>
      </c>
      <c r="K761" s="321" t="str">
        <f t="shared" si="2"/>
        <v>-</v>
      </c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ht="15.75" customHeight="1">
      <c r="A762" s="313" t="s">
        <v>1031</v>
      </c>
      <c r="B762" s="314"/>
      <c r="C762" s="315"/>
      <c r="D762" s="315"/>
      <c r="E762" s="317"/>
      <c r="F762" s="318" t="str">
        <f t="shared" si="1"/>
        <v>TP761 -  -  - </v>
      </c>
      <c r="G762" s="319">
        <f>SUMIF('ADV - FB'!L:L,$A762,'ADV - FB'!E:E)</f>
        <v>0</v>
      </c>
      <c r="H762" s="320" t="str">
        <f>IFERROR(SUMIF('ADV - FB'!L:L,$A762,'ADV - FB'!H:H)/(SUMIF('ADV - FB'!L:L,$A762,'ADV - FB'!G:G)),"-")</f>
        <v>-</v>
      </c>
      <c r="I762" s="321" t="str">
        <f>IFERROR(SUMIF('ADV - FB'!L:L,$A762,'ADV - FB'!E:E)/(SUMIF('ADV - FB'!L:L,$A762,'ADV - FB'!F:F)),"-")</f>
        <v>-</v>
      </c>
      <c r="J762" s="315">
        <f>SUMIF('ADV - FB'!L:L,$A762,'ADV - FB'!I:I)+SUMIF('ADV - FB'!L:L,$A762,'ADV - FB'!J:J)+SUMIF('ADV - FB'!L:L,$A762,'ADV - FB'!K:K)</f>
        <v>0</v>
      </c>
      <c r="K762" s="321" t="str">
        <f t="shared" si="2"/>
        <v>-</v>
      </c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ht="15.75" customHeight="1">
      <c r="A763" s="313" t="s">
        <v>1032</v>
      </c>
      <c r="B763" s="314"/>
      <c r="C763" s="315"/>
      <c r="D763" s="315"/>
      <c r="E763" s="317"/>
      <c r="F763" s="318" t="str">
        <f t="shared" si="1"/>
        <v>TP762 -  -  - </v>
      </c>
      <c r="G763" s="319">
        <f>SUMIF('ADV - FB'!L:L,$A763,'ADV - FB'!E:E)</f>
        <v>0</v>
      </c>
      <c r="H763" s="320" t="str">
        <f>IFERROR(SUMIF('ADV - FB'!L:L,$A763,'ADV - FB'!H:H)/(SUMIF('ADV - FB'!L:L,$A763,'ADV - FB'!G:G)),"-")</f>
        <v>-</v>
      </c>
      <c r="I763" s="321" t="str">
        <f>IFERROR(SUMIF('ADV - FB'!L:L,$A763,'ADV - FB'!E:E)/(SUMIF('ADV - FB'!L:L,$A763,'ADV - FB'!F:F)),"-")</f>
        <v>-</v>
      </c>
      <c r="J763" s="315">
        <f>SUMIF('ADV - FB'!L:L,$A763,'ADV - FB'!I:I)+SUMIF('ADV - FB'!L:L,$A763,'ADV - FB'!J:J)+SUMIF('ADV - FB'!L:L,$A763,'ADV - FB'!K:K)</f>
        <v>0</v>
      </c>
      <c r="K763" s="321" t="str">
        <f t="shared" si="2"/>
        <v>-</v>
      </c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ht="15.75" customHeight="1">
      <c r="A764" s="313" t="s">
        <v>1033</v>
      </c>
      <c r="B764" s="314"/>
      <c r="C764" s="315"/>
      <c r="D764" s="315"/>
      <c r="E764" s="317"/>
      <c r="F764" s="318" t="str">
        <f t="shared" si="1"/>
        <v>TP763 -  -  - </v>
      </c>
      <c r="G764" s="319">
        <f>SUMIF('ADV - FB'!L:L,$A764,'ADV - FB'!E:E)</f>
        <v>0</v>
      </c>
      <c r="H764" s="320" t="str">
        <f>IFERROR(SUMIF('ADV - FB'!L:L,$A764,'ADV - FB'!H:H)/(SUMIF('ADV - FB'!L:L,$A764,'ADV - FB'!G:G)),"-")</f>
        <v>-</v>
      </c>
      <c r="I764" s="321" t="str">
        <f>IFERROR(SUMIF('ADV - FB'!L:L,$A764,'ADV - FB'!E:E)/(SUMIF('ADV - FB'!L:L,$A764,'ADV - FB'!F:F)),"-")</f>
        <v>-</v>
      </c>
      <c r="J764" s="315">
        <f>SUMIF('ADV - FB'!L:L,$A764,'ADV - FB'!I:I)+SUMIF('ADV - FB'!L:L,$A764,'ADV - FB'!J:J)+SUMIF('ADV - FB'!L:L,$A764,'ADV - FB'!K:K)</f>
        <v>0</v>
      </c>
      <c r="K764" s="321" t="str">
        <f t="shared" si="2"/>
        <v>-</v>
      </c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ht="15.75" customHeight="1">
      <c r="A765" s="313" t="s">
        <v>1034</v>
      </c>
      <c r="B765" s="314"/>
      <c r="C765" s="315"/>
      <c r="D765" s="315"/>
      <c r="E765" s="317"/>
      <c r="F765" s="318" t="str">
        <f t="shared" si="1"/>
        <v>TP764 -  -  - </v>
      </c>
      <c r="G765" s="319">
        <f>SUMIF('ADV - FB'!L:L,$A765,'ADV - FB'!E:E)</f>
        <v>0</v>
      </c>
      <c r="H765" s="320" t="str">
        <f>IFERROR(SUMIF('ADV - FB'!L:L,$A765,'ADV - FB'!H:H)/(SUMIF('ADV - FB'!L:L,$A765,'ADV - FB'!G:G)),"-")</f>
        <v>-</v>
      </c>
      <c r="I765" s="321" t="str">
        <f>IFERROR(SUMIF('ADV - FB'!L:L,$A765,'ADV - FB'!E:E)/(SUMIF('ADV - FB'!L:L,$A765,'ADV - FB'!F:F)),"-")</f>
        <v>-</v>
      </c>
      <c r="J765" s="315">
        <f>SUMIF('ADV - FB'!L:L,$A765,'ADV - FB'!I:I)+SUMIF('ADV - FB'!L:L,$A765,'ADV - FB'!J:J)+SUMIF('ADV - FB'!L:L,$A765,'ADV - FB'!K:K)</f>
        <v>0</v>
      </c>
      <c r="K765" s="321" t="str">
        <f t="shared" si="2"/>
        <v>-</v>
      </c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ht="15.75" customHeight="1">
      <c r="A766" s="313" t="s">
        <v>1035</v>
      </c>
      <c r="B766" s="314"/>
      <c r="C766" s="315"/>
      <c r="D766" s="315"/>
      <c r="E766" s="317"/>
      <c r="F766" s="318" t="str">
        <f t="shared" si="1"/>
        <v>TP765 -  -  - </v>
      </c>
      <c r="G766" s="319">
        <f>SUMIF('ADV - FB'!L:L,$A766,'ADV - FB'!E:E)</f>
        <v>0</v>
      </c>
      <c r="H766" s="320" t="str">
        <f>IFERROR(SUMIF('ADV - FB'!L:L,$A766,'ADV - FB'!H:H)/(SUMIF('ADV - FB'!L:L,$A766,'ADV - FB'!G:G)),"-")</f>
        <v>-</v>
      </c>
      <c r="I766" s="321" t="str">
        <f>IFERROR(SUMIF('ADV - FB'!L:L,$A766,'ADV - FB'!E:E)/(SUMIF('ADV - FB'!L:L,$A766,'ADV - FB'!F:F)),"-")</f>
        <v>-</v>
      </c>
      <c r="J766" s="315">
        <f>SUMIF('ADV - FB'!L:L,$A766,'ADV - FB'!I:I)+SUMIF('ADV - FB'!L:L,$A766,'ADV - FB'!J:J)+SUMIF('ADV - FB'!L:L,$A766,'ADV - FB'!K:K)</f>
        <v>0</v>
      </c>
      <c r="K766" s="321" t="str">
        <f t="shared" si="2"/>
        <v>-</v>
      </c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ht="15.75" customHeight="1">
      <c r="A767" s="313" t="s">
        <v>1036</v>
      </c>
      <c r="B767" s="314"/>
      <c r="C767" s="315"/>
      <c r="D767" s="315"/>
      <c r="E767" s="317"/>
      <c r="F767" s="318" t="str">
        <f t="shared" si="1"/>
        <v>TP766 -  -  - </v>
      </c>
      <c r="G767" s="319">
        <f>SUMIF('ADV - FB'!L:L,$A767,'ADV - FB'!E:E)</f>
        <v>0</v>
      </c>
      <c r="H767" s="320" t="str">
        <f>IFERROR(SUMIF('ADV - FB'!L:L,$A767,'ADV - FB'!H:H)/(SUMIF('ADV - FB'!L:L,$A767,'ADV - FB'!G:G)),"-")</f>
        <v>-</v>
      </c>
      <c r="I767" s="321" t="str">
        <f>IFERROR(SUMIF('ADV - FB'!L:L,$A767,'ADV - FB'!E:E)/(SUMIF('ADV - FB'!L:L,$A767,'ADV - FB'!F:F)),"-")</f>
        <v>-</v>
      </c>
      <c r="J767" s="315">
        <f>SUMIF('ADV - FB'!L:L,$A767,'ADV - FB'!I:I)+SUMIF('ADV - FB'!L:L,$A767,'ADV - FB'!J:J)+SUMIF('ADV - FB'!L:L,$A767,'ADV - FB'!K:K)</f>
        <v>0</v>
      </c>
      <c r="K767" s="321" t="str">
        <f t="shared" si="2"/>
        <v>-</v>
      </c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ht="15.75" customHeight="1">
      <c r="A768" s="313" t="s">
        <v>1037</v>
      </c>
      <c r="B768" s="314"/>
      <c r="C768" s="315"/>
      <c r="D768" s="315"/>
      <c r="E768" s="317"/>
      <c r="F768" s="318" t="str">
        <f t="shared" si="1"/>
        <v>TP767 -  -  - </v>
      </c>
      <c r="G768" s="319">
        <f>SUMIF('ADV - FB'!L:L,$A768,'ADV - FB'!E:E)</f>
        <v>0</v>
      </c>
      <c r="H768" s="320" t="str">
        <f>IFERROR(SUMIF('ADV - FB'!L:L,$A768,'ADV - FB'!H:H)/(SUMIF('ADV - FB'!L:L,$A768,'ADV - FB'!G:G)),"-")</f>
        <v>-</v>
      </c>
      <c r="I768" s="321" t="str">
        <f>IFERROR(SUMIF('ADV - FB'!L:L,$A768,'ADV - FB'!E:E)/(SUMIF('ADV - FB'!L:L,$A768,'ADV - FB'!F:F)),"-")</f>
        <v>-</v>
      </c>
      <c r="J768" s="315">
        <f>SUMIF('ADV - FB'!L:L,$A768,'ADV - FB'!I:I)+SUMIF('ADV - FB'!L:L,$A768,'ADV - FB'!J:J)+SUMIF('ADV - FB'!L:L,$A768,'ADV - FB'!K:K)</f>
        <v>0</v>
      </c>
      <c r="K768" s="321" t="str">
        <f t="shared" si="2"/>
        <v>-</v>
      </c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ht="15.75" customHeight="1">
      <c r="A769" s="313" t="s">
        <v>1038</v>
      </c>
      <c r="B769" s="314"/>
      <c r="C769" s="315"/>
      <c r="D769" s="315"/>
      <c r="E769" s="317"/>
      <c r="F769" s="318" t="str">
        <f t="shared" si="1"/>
        <v>TP768 -  -  - </v>
      </c>
      <c r="G769" s="319">
        <f>SUMIF('ADV - FB'!L:L,$A769,'ADV - FB'!E:E)</f>
        <v>0</v>
      </c>
      <c r="H769" s="320" t="str">
        <f>IFERROR(SUMIF('ADV - FB'!L:L,$A769,'ADV - FB'!H:H)/(SUMIF('ADV - FB'!L:L,$A769,'ADV - FB'!G:G)),"-")</f>
        <v>-</v>
      </c>
      <c r="I769" s="321" t="str">
        <f>IFERROR(SUMIF('ADV - FB'!L:L,$A769,'ADV - FB'!E:E)/(SUMIF('ADV - FB'!L:L,$A769,'ADV - FB'!F:F)),"-")</f>
        <v>-</v>
      </c>
      <c r="J769" s="315">
        <f>SUMIF('ADV - FB'!L:L,$A769,'ADV - FB'!I:I)+SUMIF('ADV - FB'!L:L,$A769,'ADV - FB'!J:J)+SUMIF('ADV - FB'!L:L,$A769,'ADV - FB'!K:K)</f>
        <v>0</v>
      </c>
      <c r="K769" s="321" t="str">
        <f t="shared" si="2"/>
        <v>-</v>
      </c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ht="15.75" customHeight="1">
      <c r="A770" s="313" t="s">
        <v>1039</v>
      </c>
      <c r="B770" s="314"/>
      <c r="C770" s="315"/>
      <c r="D770" s="315"/>
      <c r="E770" s="317"/>
      <c r="F770" s="318" t="str">
        <f t="shared" si="1"/>
        <v>TP769 -  -  - </v>
      </c>
      <c r="G770" s="319">
        <f>SUMIF('ADV - FB'!L:L,$A770,'ADV - FB'!E:E)</f>
        <v>0</v>
      </c>
      <c r="H770" s="320" t="str">
        <f>IFERROR(SUMIF('ADV - FB'!L:L,$A770,'ADV - FB'!H:H)/(SUMIF('ADV - FB'!L:L,$A770,'ADV - FB'!G:G)),"-")</f>
        <v>-</v>
      </c>
      <c r="I770" s="321" t="str">
        <f>IFERROR(SUMIF('ADV - FB'!L:L,$A770,'ADV - FB'!E:E)/(SUMIF('ADV - FB'!L:L,$A770,'ADV - FB'!F:F)),"-")</f>
        <v>-</v>
      </c>
      <c r="J770" s="315">
        <f>SUMIF('ADV - FB'!L:L,$A770,'ADV - FB'!I:I)+SUMIF('ADV - FB'!L:L,$A770,'ADV - FB'!J:J)+SUMIF('ADV - FB'!L:L,$A770,'ADV - FB'!K:K)</f>
        <v>0</v>
      </c>
      <c r="K770" s="321" t="str">
        <f t="shared" si="2"/>
        <v>-</v>
      </c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ht="15.75" customHeight="1">
      <c r="A771" s="313" t="s">
        <v>1040</v>
      </c>
      <c r="B771" s="314"/>
      <c r="C771" s="315"/>
      <c r="D771" s="315"/>
      <c r="E771" s="317"/>
      <c r="F771" s="318" t="str">
        <f t="shared" si="1"/>
        <v>TP770 -  -  - </v>
      </c>
      <c r="G771" s="319">
        <f>SUMIF('ADV - FB'!L:L,$A771,'ADV - FB'!E:E)</f>
        <v>0</v>
      </c>
      <c r="H771" s="320" t="str">
        <f>IFERROR(SUMIF('ADV - FB'!L:L,$A771,'ADV - FB'!H:H)/(SUMIF('ADV - FB'!L:L,$A771,'ADV - FB'!G:G)),"-")</f>
        <v>-</v>
      </c>
      <c r="I771" s="321" t="str">
        <f>IFERROR(SUMIF('ADV - FB'!L:L,$A771,'ADV - FB'!E:E)/(SUMIF('ADV - FB'!L:L,$A771,'ADV - FB'!F:F)),"-")</f>
        <v>-</v>
      </c>
      <c r="J771" s="315">
        <f>SUMIF('ADV - FB'!L:L,$A771,'ADV - FB'!I:I)+SUMIF('ADV - FB'!L:L,$A771,'ADV - FB'!J:J)+SUMIF('ADV - FB'!L:L,$A771,'ADV - FB'!K:K)</f>
        <v>0</v>
      </c>
      <c r="K771" s="321" t="str">
        <f t="shared" si="2"/>
        <v>-</v>
      </c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ht="15.75" customHeight="1">
      <c r="A772" s="313" t="s">
        <v>1041</v>
      </c>
      <c r="B772" s="314"/>
      <c r="C772" s="315"/>
      <c r="D772" s="315"/>
      <c r="E772" s="317"/>
      <c r="F772" s="318" t="str">
        <f t="shared" si="1"/>
        <v>TP771 -  -  - </v>
      </c>
      <c r="G772" s="319">
        <f>SUMIF('ADV - FB'!L:L,$A772,'ADV - FB'!E:E)</f>
        <v>0</v>
      </c>
      <c r="H772" s="320" t="str">
        <f>IFERROR(SUMIF('ADV - FB'!L:L,$A772,'ADV - FB'!H:H)/(SUMIF('ADV - FB'!L:L,$A772,'ADV - FB'!G:G)),"-")</f>
        <v>-</v>
      </c>
      <c r="I772" s="321" t="str">
        <f>IFERROR(SUMIF('ADV - FB'!L:L,$A772,'ADV - FB'!E:E)/(SUMIF('ADV - FB'!L:L,$A772,'ADV - FB'!F:F)),"-")</f>
        <v>-</v>
      </c>
      <c r="J772" s="315">
        <f>SUMIF('ADV - FB'!L:L,$A772,'ADV - FB'!I:I)+SUMIF('ADV - FB'!L:L,$A772,'ADV - FB'!J:J)+SUMIF('ADV - FB'!L:L,$A772,'ADV - FB'!K:K)</f>
        <v>0</v>
      </c>
      <c r="K772" s="321" t="str">
        <f t="shared" si="2"/>
        <v>-</v>
      </c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ht="15.75" customHeight="1">
      <c r="A773" s="313" t="s">
        <v>1042</v>
      </c>
      <c r="B773" s="314"/>
      <c r="C773" s="315"/>
      <c r="D773" s="315"/>
      <c r="E773" s="317"/>
      <c r="F773" s="318" t="str">
        <f t="shared" si="1"/>
        <v>TP772 -  -  - </v>
      </c>
      <c r="G773" s="319">
        <f>SUMIF('ADV - FB'!L:L,$A773,'ADV - FB'!E:E)</f>
        <v>0</v>
      </c>
      <c r="H773" s="320" t="str">
        <f>IFERROR(SUMIF('ADV - FB'!L:L,$A773,'ADV - FB'!H:H)/(SUMIF('ADV - FB'!L:L,$A773,'ADV - FB'!G:G)),"-")</f>
        <v>-</v>
      </c>
      <c r="I773" s="321" t="str">
        <f>IFERROR(SUMIF('ADV - FB'!L:L,$A773,'ADV - FB'!E:E)/(SUMIF('ADV - FB'!L:L,$A773,'ADV - FB'!F:F)),"-")</f>
        <v>-</v>
      </c>
      <c r="J773" s="315">
        <f>SUMIF('ADV - FB'!L:L,$A773,'ADV - FB'!I:I)+SUMIF('ADV - FB'!L:L,$A773,'ADV - FB'!J:J)+SUMIF('ADV - FB'!L:L,$A773,'ADV - FB'!K:K)</f>
        <v>0</v>
      </c>
      <c r="K773" s="321" t="str">
        <f t="shared" si="2"/>
        <v>-</v>
      </c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ht="15.75" customHeight="1">
      <c r="A774" s="313" t="s">
        <v>1043</v>
      </c>
      <c r="B774" s="314"/>
      <c r="C774" s="315"/>
      <c r="D774" s="315"/>
      <c r="E774" s="317"/>
      <c r="F774" s="318" t="str">
        <f t="shared" si="1"/>
        <v>TP773 -  -  - </v>
      </c>
      <c r="G774" s="319">
        <f>SUMIF('ADV - FB'!L:L,$A774,'ADV - FB'!E:E)</f>
        <v>0</v>
      </c>
      <c r="H774" s="320" t="str">
        <f>IFERROR(SUMIF('ADV - FB'!L:L,$A774,'ADV - FB'!H:H)/(SUMIF('ADV - FB'!L:L,$A774,'ADV - FB'!G:G)),"-")</f>
        <v>-</v>
      </c>
      <c r="I774" s="321" t="str">
        <f>IFERROR(SUMIF('ADV - FB'!L:L,$A774,'ADV - FB'!E:E)/(SUMIF('ADV - FB'!L:L,$A774,'ADV - FB'!F:F)),"-")</f>
        <v>-</v>
      </c>
      <c r="J774" s="315">
        <f>SUMIF('ADV - FB'!L:L,$A774,'ADV - FB'!I:I)+SUMIF('ADV - FB'!L:L,$A774,'ADV - FB'!J:J)+SUMIF('ADV - FB'!L:L,$A774,'ADV - FB'!K:K)</f>
        <v>0</v>
      </c>
      <c r="K774" s="321" t="str">
        <f t="shared" si="2"/>
        <v>-</v>
      </c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ht="15.75" customHeight="1">
      <c r="A775" s="313" t="s">
        <v>1044</v>
      </c>
      <c r="B775" s="314"/>
      <c r="C775" s="315"/>
      <c r="D775" s="315"/>
      <c r="E775" s="317"/>
      <c r="F775" s="318" t="str">
        <f t="shared" si="1"/>
        <v>TP774 -  -  - </v>
      </c>
      <c r="G775" s="319">
        <f>SUMIF('ADV - FB'!L:L,$A775,'ADV - FB'!E:E)</f>
        <v>0</v>
      </c>
      <c r="H775" s="320" t="str">
        <f>IFERROR(SUMIF('ADV - FB'!L:L,$A775,'ADV - FB'!H:H)/(SUMIF('ADV - FB'!L:L,$A775,'ADV - FB'!G:G)),"-")</f>
        <v>-</v>
      </c>
      <c r="I775" s="321" t="str">
        <f>IFERROR(SUMIF('ADV - FB'!L:L,$A775,'ADV - FB'!E:E)/(SUMIF('ADV - FB'!L:L,$A775,'ADV - FB'!F:F)),"-")</f>
        <v>-</v>
      </c>
      <c r="J775" s="315">
        <f>SUMIF('ADV - FB'!L:L,$A775,'ADV - FB'!I:I)+SUMIF('ADV - FB'!L:L,$A775,'ADV - FB'!J:J)+SUMIF('ADV - FB'!L:L,$A775,'ADV - FB'!K:K)</f>
        <v>0</v>
      </c>
      <c r="K775" s="321" t="str">
        <f t="shared" si="2"/>
        <v>-</v>
      </c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ht="15.75" customHeight="1">
      <c r="A776" s="313" t="s">
        <v>1045</v>
      </c>
      <c r="B776" s="314"/>
      <c r="C776" s="315"/>
      <c r="D776" s="315"/>
      <c r="E776" s="317"/>
      <c r="F776" s="318" t="str">
        <f t="shared" si="1"/>
        <v>TP775 -  -  - </v>
      </c>
      <c r="G776" s="319">
        <f>SUMIF('ADV - FB'!L:L,$A776,'ADV - FB'!E:E)</f>
        <v>0</v>
      </c>
      <c r="H776" s="320" t="str">
        <f>IFERROR(SUMIF('ADV - FB'!L:L,$A776,'ADV - FB'!H:H)/(SUMIF('ADV - FB'!L:L,$A776,'ADV - FB'!G:G)),"-")</f>
        <v>-</v>
      </c>
      <c r="I776" s="321" t="str">
        <f>IFERROR(SUMIF('ADV - FB'!L:L,$A776,'ADV - FB'!E:E)/(SUMIF('ADV - FB'!L:L,$A776,'ADV - FB'!F:F)),"-")</f>
        <v>-</v>
      </c>
      <c r="J776" s="315">
        <f>SUMIF('ADV - FB'!L:L,$A776,'ADV - FB'!I:I)+SUMIF('ADV - FB'!L:L,$A776,'ADV - FB'!J:J)+SUMIF('ADV - FB'!L:L,$A776,'ADV - FB'!K:K)</f>
        <v>0</v>
      </c>
      <c r="K776" s="321" t="str">
        <f t="shared" si="2"/>
        <v>-</v>
      </c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ht="15.75" customHeight="1">
      <c r="A777" s="313" t="s">
        <v>1046</v>
      </c>
      <c r="B777" s="314"/>
      <c r="C777" s="315"/>
      <c r="D777" s="315"/>
      <c r="E777" s="317"/>
      <c r="F777" s="318" t="str">
        <f t="shared" si="1"/>
        <v>TP776 -  -  - </v>
      </c>
      <c r="G777" s="319">
        <f>SUMIF('ADV - FB'!L:L,$A777,'ADV - FB'!E:E)</f>
        <v>0</v>
      </c>
      <c r="H777" s="320" t="str">
        <f>IFERROR(SUMIF('ADV - FB'!L:L,$A777,'ADV - FB'!H:H)/(SUMIF('ADV - FB'!L:L,$A777,'ADV - FB'!G:G)),"-")</f>
        <v>-</v>
      </c>
      <c r="I777" s="321" t="str">
        <f>IFERROR(SUMIF('ADV - FB'!L:L,$A777,'ADV - FB'!E:E)/(SUMIF('ADV - FB'!L:L,$A777,'ADV - FB'!F:F)),"-")</f>
        <v>-</v>
      </c>
      <c r="J777" s="315">
        <f>SUMIF('ADV - FB'!L:L,$A777,'ADV - FB'!I:I)+SUMIF('ADV - FB'!L:L,$A777,'ADV - FB'!J:J)+SUMIF('ADV - FB'!L:L,$A777,'ADV - FB'!K:K)</f>
        <v>0</v>
      </c>
      <c r="K777" s="321" t="str">
        <f t="shared" si="2"/>
        <v>-</v>
      </c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ht="15.75" customHeight="1">
      <c r="A778" s="313" t="s">
        <v>1047</v>
      </c>
      <c r="B778" s="314"/>
      <c r="C778" s="315"/>
      <c r="D778" s="315"/>
      <c r="E778" s="317"/>
      <c r="F778" s="318" t="str">
        <f t="shared" si="1"/>
        <v>TP777 -  -  - </v>
      </c>
      <c r="G778" s="319">
        <f>SUMIF('ADV - FB'!L:L,$A778,'ADV - FB'!E:E)</f>
        <v>0</v>
      </c>
      <c r="H778" s="320" t="str">
        <f>IFERROR(SUMIF('ADV - FB'!L:L,$A778,'ADV - FB'!H:H)/(SUMIF('ADV - FB'!L:L,$A778,'ADV - FB'!G:G)),"-")</f>
        <v>-</v>
      </c>
      <c r="I778" s="321" t="str">
        <f>IFERROR(SUMIF('ADV - FB'!L:L,$A778,'ADV - FB'!E:E)/(SUMIF('ADV - FB'!L:L,$A778,'ADV - FB'!F:F)),"-")</f>
        <v>-</v>
      </c>
      <c r="J778" s="315">
        <f>SUMIF('ADV - FB'!L:L,$A778,'ADV - FB'!I:I)+SUMIF('ADV - FB'!L:L,$A778,'ADV - FB'!J:J)+SUMIF('ADV - FB'!L:L,$A778,'ADV - FB'!K:K)</f>
        <v>0</v>
      </c>
      <c r="K778" s="321" t="str">
        <f t="shared" si="2"/>
        <v>-</v>
      </c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ht="15.75" customHeight="1">
      <c r="A779" s="313" t="s">
        <v>1048</v>
      </c>
      <c r="B779" s="314"/>
      <c r="C779" s="315"/>
      <c r="D779" s="315"/>
      <c r="E779" s="317"/>
      <c r="F779" s="318" t="str">
        <f t="shared" si="1"/>
        <v>TP778 -  -  - </v>
      </c>
      <c r="G779" s="319">
        <f>SUMIF('ADV - FB'!L:L,$A779,'ADV - FB'!E:E)</f>
        <v>0</v>
      </c>
      <c r="H779" s="320" t="str">
        <f>IFERROR(SUMIF('ADV - FB'!L:L,$A779,'ADV - FB'!H:H)/(SUMIF('ADV - FB'!L:L,$A779,'ADV - FB'!G:G)),"-")</f>
        <v>-</v>
      </c>
      <c r="I779" s="321" t="str">
        <f>IFERROR(SUMIF('ADV - FB'!L:L,$A779,'ADV - FB'!E:E)/(SUMIF('ADV - FB'!L:L,$A779,'ADV - FB'!F:F)),"-")</f>
        <v>-</v>
      </c>
      <c r="J779" s="315">
        <f>SUMIF('ADV - FB'!L:L,$A779,'ADV - FB'!I:I)+SUMIF('ADV - FB'!L:L,$A779,'ADV - FB'!J:J)+SUMIF('ADV - FB'!L:L,$A779,'ADV - FB'!K:K)</f>
        <v>0</v>
      </c>
      <c r="K779" s="321" t="str">
        <f t="shared" si="2"/>
        <v>-</v>
      </c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ht="15.75" customHeight="1">
      <c r="A780" s="313" t="s">
        <v>1049</v>
      </c>
      <c r="B780" s="314"/>
      <c r="C780" s="315"/>
      <c r="D780" s="315"/>
      <c r="E780" s="317"/>
      <c r="F780" s="318" t="str">
        <f t="shared" si="1"/>
        <v>TP779 -  -  - </v>
      </c>
      <c r="G780" s="319">
        <f>SUMIF('ADV - FB'!L:L,$A780,'ADV - FB'!E:E)</f>
        <v>0</v>
      </c>
      <c r="H780" s="320" t="str">
        <f>IFERROR(SUMIF('ADV - FB'!L:L,$A780,'ADV - FB'!H:H)/(SUMIF('ADV - FB'!L:L,$A780,'ADV - FB'!G:G)),"-")</f>
        <v>-</v>
      </c>
      <c r="I780" s="321" t="str">
        <f>IFERROR(SUMIF('ADV - FB'!L:L,$A780,'ADV - FB'!E:E)/(SUMIF('ADV - FB'!L:L,$A780,'ADV - FB'!F:F)),"-")</f>
        <v>-</v>
      </c>
      <c r="J780" s="315">
        <f>SUMIF('ADV - FB'!L:L,$A780,'ADV - FB'!I:I)+SUMIF('ADV - FB'!L:L,$A780,'ADV - FB'!J:J)+SUMIF('ADV - FB'!L:L,$A780,'ADV - FB'!K:K)</f>
        <v>0</v>
      </c>
      <c r="K780" s="321" t="str">
        <f t="shared" si="2"/>
        <v>-</v>
      </c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ht="15.75" customHeight="1">
      <c r="A781" s="313" t="s">
        <v>1050</v>
      </c>
      <c r="B781" s="314"/>
      <c r="C781" s="315"/>
      <c r="D781" s="315"/>
      <c r="E781" s="317"/>
      <c r="F781" s="318" t="str">
        <f t="shared" si="1"/>
        <v>TP780 -  -  - </v>
      </c>
      <c r="G781" s="319">
        <f>SUMIF('ADV - FB'!L:L,$A781,'ADV - FB'!E:E)</f>
        <v>0</v>
      </c>
      <c r="H781" s="320" t="str">
        <f>IFERROR(SUMIF('ADV - FB'!L:L,$A781,'ADV - FB'!H:H)/(SUMIF('ADV - FB'!L:L,$A781,'ADV - FB'!G:G)),"-")</f>
        <v>-</v>
      </c>
      <c r="I781" s="321" t="str">
        <f>IFERROR(SUMIF('ADV - FB'!L:L,$A781,'ADV - FB'!E:E)/(SUMIF('ADV - FB'!L:L,$A781,'ADV - FB'!F:F)),"-")</f>
        <v>-</v>
      </c>
      <c r="J781" s="315">
        <f>SUMIF('ADV - FB'!L:L,$A781,'ADV - FB'!I:I)+SUMIF('ADV - FB'!L:L,$A781,'ADV - FB'!J:J)+SUMIF('ADV - FB'!L:L,$A781,'ADV - FB'!K:K)</f>
        <v>0</v>
      </c>
      <c r="K781" s="321" t="str">
        <f t="shared" si="2"/>
        <v>-</v>
      </c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ht="15.75" customHeight="1">
      <c r="A782" s="313" t="s">
        <v>1051</v>
      </c>
      <c r="B782" s="314"/>
      <c r="C782" s="315"/>
      <c r="D782" s="315"/>
      <c r="E782" s="317"/>
      <c r="F782" s="318" t="str">
        <f t="shared" si="1"/>
        <v>TP781 -  -  - </v>
      </c>
      <c r="G782" s="319">
        <f>SUMIF('ADV - FB'!L:L,$A782,'ADV - FB'!E:E)</f>
        <v>0</v>
      </c>
      <c r="H782" s="320" t="str">
        <f>IFERROR(SUMIF('ADV - FB'!L:L,$A782,'ADV - FB'!H:H)/(SUMIF('ADV - FB'!L:L,$A782,'ADV - FB'!G:G)),"-")</f>
        <v>-</v>
      </c>
      <c r="I782" s="321" t="str">
        <f>IFERROR(SUMIF('ADV - FB'!L:L,$A782,'ADV - FB'!E:E)/(SUMIF('ADV - FB'!L:L,$A782,'ADV - FB'!F:F)),"-")</f>
        <v>-</v>
      </c>
      <c r="J782" s="315">
        <f>SUMIF('ADV - FB'!L:L,$A782,'ADV - FB'!I:I)+SUMIF('ADV - FB'!L:L,$A782,'ADV - FB'!J:J)+SUMIF('ADV - FB'!L:L,$A782,'ADV - FB'!K:K)</f>
        <v>0</v>
      </c>
      <c r="K782" s="321" t="str">
        <f t="shared" si="2"/>
        <v>-</v>
      </c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ht="15.75" customHeight="1">
      <c r="A783" s="313" t="s">
        <v>1052</v>
      </c>
      <c r="B783" s="314"/>
      <c r="C783" s="315"/>
      <c r="D783" s="315"/>
      <c r="E783" s="317"/>
      <c r="F783" s="318" t="str">
        <f t="shared" si="1"/>
        <v>TP782 -  -  - </v>
      </c>
      <c r="G783" s="319">
        <f>SUMIF('ADV - FB'!L:L,$A783,'ADV - FB'!E:E)</f>
        <v>0</v>
      </c>
      <c r="H783" s="320" t="str">
        <f>IFERROR(SUMIF('ADV - FB'!L:L,$A783,'ADV - FB'!H:H)/(SUMIF('ADV - FB'!L:L,$A783,'ADV - FB'!G:G)),"-")</f>
        <v>-</v>
      </c>
      <c r="I783" s="321" t="str">
        <f>IFERROR(SUMIF('ADV - FB'!L:L,$A783,'ADV - FB'!E:E)/(SUMIF('ADV - FB'!L:L,$A783,'ADV - FB'!F:F)),"-")</f>
        <v>-</v>
      </c>
      <c r="J783" s="315">
        <f>SUMIF('ADV - FB'!L:L,$A783,'ADV - FB'!I:I)+SUMIF('ADV - FB'!L:L,$A783,'ADV - FB'!J:J)+SUMIF('ADV - FB'!L:L,$A783,'ADV - FB'!K:K)</f>
        <v>0</v>
      </c>
      <c r="K783" s="321" t="str">
        <f t="shared" si="2"/>
        <v>-</v>
      </c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ht="15.75" customHeight="1">
      <c r="A784" s="313" t="s">
        <v>1053</v>
      </c>
      <c r="B784" s="314"/>
      <c r="C784" s="315"/>
      <c r="D784" s="315"/>
      <c r="E784" s="317"/>
      <c r="F784" s="318" t="str">
        <f t="shared" si="1"/>
        <v>TP783 -  -  - </v>
      </c>
      <c r="G784" s="319">
        <f>SUMIF('ADV - FB'!L:L,$A784,'ADV - FB'!E:E)</f>
        <v>0</v>
      </c>
      <c r="H784" s="320" t="str">
        <f>IFERROR(SUMIF('ADV - FB'!L:L,$A784,'ADV - FB'!H:H)/(SUMIF('ADV - FB'!L:L,$A784,'ADV - FB'!G:G)),"-")</f>
        <v>-</v>
      </c>
      <c r="I784" s="321" t="str">
        <f>IFERROR(SUMIF('ADV - FB'!L:L,$A784,'ADV - FB'!E:E)/(SUMIF('ADV - FB'!L:L,$A784,'ADV - FB'!F:F)),"-")</f>
        <v>-</v>
      </c>
      <c r="J784" s="315">
        <f>SUMIF('ADV - FB'!L:L,$A784,'ADV - FB'!I:I)+SUMIF('ADV - FB'!L:L,$A784,'ADV - FB'!J:J)+SUMIF('ADV - FB'!L:L,$A784,'ADV - FB'!K:K)</f>
        <v>0</v>
      </c>
      <c r="K784" s="321" t="str">
        <f t="shared" si="2"/>
        <v>-</v>
      </c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ht="15.75" customHeight="1">
      <c r="A785" s="313" t="s">
        <v>1054</v>
      </c>
      <c r="B785" s="314"/>
      <c r="C785" s="315"/>
      <c r="D785" s="315"/>
      <c r="E785" s="317"/>
      <c r="F785" s="318" t="str">
        <f t="shared" si="1"/>
        <v>TP784 -  -  - </v>
      </c>
      <c r="G785" s="319">
        <f>SUMIF('ADV - FB'!L:L,$A785,'ADV - FB'!E:E)</f>
        <v>0</v>
      </c>
      <c r="H785" s="320" t="str">
        <f>IFERROR(SUMIF('ADV - FB'!L:L,$A785,'ADV - FB'!H:H)/(SUMIF('ADV - FB'!L:L,$A785,'ADV - FB'!G:G)),"-")</f>
        <v>-</v>
      </c>
      <c r="I785" s="321" t="str">
        <f>IFERROR(SUMIF('ADV - FB'!L:L,$A785,'ADV - FB'!E:E)/(SUMIF('ADV - FB'!L:L,$A785,'ADV - FB'!F:F)),"-")</f>
        <v>-</v>
      </c>
      <c r="J785" s="315">
        <f>SUMIF('ADV - FB'!L:L,$A785,'ADV - FB'!I:I)+SUMIF('ADV - FB'!L:L,$A785,'ADV - FB'!J:J)+SUMIF('ADV - FB'!L:L,$A785,'ADV - FB'!K:K)</f>
        <v>0</v>
      </c>
      <c r="K785" s="321" t="str">
        <f t="shared" si="2"/>
        <v>-</v>
      </c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ht="15.75" customHeight="1">
      <c r="A786" s="313" t="s">
        <v>1055</v>
      </c>
      <c r="B786" s="314"/>
      <c r="C786" s="315"/>
      <c r="D786" s="315"/>
      <c r="E786" s="317"/>
      <c r="F786" s="318" t="str">
        <f t="shared" si="1"/>
        <v>TP785 -  -  - </v>
      </c>
      <c r="G786" s="319">
        <f>SUMIF('ADV - FB'!L:L,$A786,'ADV - FB'!E:E)</f>
        <v>0</v>
      </c>
      <c r="H786" s="320" t="str">
        <f>IFERROR(SUMIF('ADV - FB'!L:L,$A786,'ADV - FB'!H:H)/(SUMIF('ADV - FB'!L:L,$A786,'ADV - FB'!G:G)),"-")</f>
        <v>-</v>
      </c>
      <c r="I786" s="321" t="str">
        <f>IFERROR(SUMIF('ADV - FB'!L:L,$A786,'ADV - FB'!E:E)/(SUMIF('ADV - FB'!L:L,$A786,'ADV - FB'!F:F)),"-")</f>
        <v>-</v>
      </c>
      <c r="J786" s="315">
        <f>SUMIF('ADV - FB'!L:L,$A786,'ADV - FB'!I:I)+SUMIF('ADV - FB'!L:L,$A786,'ADV - FB'!J:J)+SUMIF('ADV - FB'!L:L,$A786,'ADV - FB'!K:K)</f>
        <v>0</v>
      </c>
      <c r="K786" s="321" t="str">
        <f t="shared" si="2"/>
        <v>-</v>
      </c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ht="15.75" customHeight="1">
      <c r="A787" s="313" t="s">
        <v>1056</v>
      </c>
      <c r="B787" s="314"/>
      <c r="C787" s="315"/>
      <c r="D787" s="315"/>
      <c r="E787" s="317"/>
      <c r="F787" s="318" t="str">
        <f t="shared" si="1"/>
        <v>TP786 -  -  - </v>
      </c>
      <c r="G787" s="319">
        <f>SUMIF('ADV - FB'!L:L,$A787,'ADV - FB'!E:E)</f>
        <v>0</v>
      </c>
      <c r="H787" s="320" t="str">
        <f>IFERROR(SUMIF('ADV - FB'!L:L,$A787,'ADV - FB'!H:H)/(SUMIF('ADV - FB'!L:L,$A787,'ADV - FB'!G:G)),"-")</f>
        <v>-</v>
      </c>
      <c r="I787" s="321" t="str">
        <f>IFERROR(SUMIF('ADV - FB'!L:L,$A787,'ADV - FB'!E:E)/(SUMIF('ADV - FB'!L:L,$A787,'ADV - FB'!F:F)),"-")</f>
        <v>-</v>
      </c>
      <c r="J787" s="315">
        <f>SUMIF('ADV - FB'!L:L,$A787,'ADV - FB'!I:I)+SUMIF('ADV - FB'!L:L,$A787,'ADV - FB'!J:J)+SUMIF('ADV - FB'!L:L,$A787,'ADV - FB'!K:K)</f>
        <v>0</v>
      </c>
      <c r="K787" s="321" t="str">
        <f t="shared" si="2"/>
        <v>-</v>
      </c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ht="15.75" customHeight="1">
      <c r="A788" s="313" t="s">
        <v>1057</v>
      </c>
      <c r="B788" s="314"/>
      <c r="C788" s="315"/>
      <c r="D788" s="315"/>
      <c r="E788" s="317"/>
      <c r="F788" s="318" t="str">
        <f t="shared" si="1"/>
        <v>TP787 -  -  - </v>
      </c>
      <c r="G788" s="319">
        <f>SUMIF('ADV - FB'!L:L,$A788,'ADV - FB'!E:E)</f>
        <v>0</v>
      </c>
      <c r="H788" s="320" t="str">
        <f>IFERROR(SUMIF('ADV - FB'!L:L,$A788,'ADV - FB'!H:H)/(SUMIF('ADV - FB'!L:L,$A788,'ADV - FB'!G:G)),"-")</f>
        <v>-</v>
      </c>
      <c r="I788" s="321" t="str">
        <f>IFERROR(SUMIF('ADV - FB'!L:L,$A788,'ADV - FB'!E:E)/(SUMIF('ADV - FB'!L:L,$A788,'ADV - FB'!F:F)),"-")</f>
        <v>-</v>
      </c>
      <c r="J788" s="315">
        <f>SUMIF('ADV - FB'!L:L,$A788,'ADV - FB'!I:I)+SUMIF('ADV - FB'!L:L,$A788,'ADV - FB'!J:J)+SUMIF('ADV - FB'!L:L,$A788,'ADV - FB'!K:K)</f>
        <v>0</v>
      </c>
      <c r="K788" s="321" t="str">
        <f t="shared" si="2"/>
        <v>-</v>
      </c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ht="15.75" customHeight="1">
      <c r="A789" s="313" t="s">
        <v>1058</v>
      </c>
      <c r="B789" s="314"/>
      <c r="C789" s="315"/>
      <c r="D789" s="315"/>
      <c r="E789" s="317"/>
      <c r="F789" s="318" t="str">
        <f t="shared" si="1"/>
        <v>TP788 -  -  - </v>
      </c>
      <c r="G789" s="319">
        <f>SUMIF('ADV - FB'!L:L,$A789,'ADV - FB'!E:E)</f>
        <v>0</v>
      </c>
      <c r="H789" s="320" t="str">
        <f>IFERROR(SUMIF('ADV - FB'!L:L,$A789,'ADV - FB'!H:H)/(SUMIF('ADV - FB'!L:L,$A789,'ADV - FB'!G:G)),"-")</f>
        <v>-</v>
      </c>
      <c r="I789" s="321" t="str">
        <f>IFERROR(SUMIF('ADV - FB'!L:L,$A789,'ADV - FB'!E:E)/(SUMIF('ADV - FB'!L:L,$A789,'ADV - FB'!F:F)),"-")</f>
        <v>-</v>
      </c>
      <c r="J789" s="315">
        <f>SUMIF('ADV - FB'!L:L,$A789,'ADV - FB'!I:I)+SUMIF('ADV - FB'!L:L,$A789,'ADV - FB'!J:J)+SUMIF('ADV - FB'!L:L,$A789,'ADV - FB'!K:K)</f>
        <v>0</v>
      </c>
      <c r="K789" s="321" t="str">
        <f t="shared" si="2"/>
        <v>-</v>
      </c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ht="15.75" customHeight="1">
      <c r="A790" s="313" t="s">
        <v>1059</v>
      </c>
      <c r="B790" s="314"/>
      <c r="C790" s="315"/>
      <c r="D790" s="315"/>
      <c r="E790" s="317"/>
      <c r="F790" s="318" t="str">
        <f t="shared" si="1"/>
        <v>TP789 -  -  - </v>
      </c>
      <c r="G790" s="319">
        <f>SUMIF('ADV - FB'!L:L,$A790,'ADV - FB'!E:E)</f>
        <v>0</v>
      </c>
      <c r="H790" s="320" t="str">
        <f>IFERROR(SUMIF('ADV - FB'!L:L,$A790,'ADV - FB'!H:H)/(SUMIF('ADV - FB'!L:L,$A790,'ADV - FB'!G:G)),"-")</f>
        <v>-</v>
      </c>
      <c r="I790" s="321" t="str">
        <f>IFERROR(SUMIF('ADV - FB'!L:L,$A790,'ADV - FB'!E:E)/(SUMIF('ADV - FB'!L:L,$A790,'ADV - FB'!F:F)),"-")</f>
        <v>-</v>
      </c>
      <c r="J790" s="315">
        <f>SUMIF('ADV - FB'!L:L,$A790,'ADV - FB'!I:I)+SUMIF('ADV - FB'!L:L,$A790,'ADV - FB'!J:J)+SUMIF('ADV - FB'!L:L,$A790,'ADV - FB'!K:K)</f>
        <v>0</v>
      </c>
      <c r="K790" s="321" t="str">
        <f t="shared" si="2"/>
        <v>-</v>
      </c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ht="15.75" customHeight="1">
      <c r="A791" s="313" t="s">
        <v>1060</v>
      </c>
      <c r="B791" s="314"/>
      <c r="C791" s="315"/>
      <c r="D791" s="315"/>
      <c r="E791" s="317"/>
      <c r="F791" s="318" t="str">
        <f t="shared" si="1"/>
        <v>TP790 -  -  - </v>
      </c>
      <c r="G791" s="319">
        <f>SUMIF('ADV - FB'!L:L,$A791,'ADV - FB'!E:E)</f>
        <v>0</v>
      </c>
      <c r="H791" s="320" t="str">
        <f>IFERROR(SUMIF('ADV - FB'!L:L,$A791,'ADV - FB'!H:H)/(SUMIF('ADV - FB'!L:L,$A791,'ADV - FB'!G:G)),"-")</f>
        <v>-</v>
      </c>
      <c r="I791" s="321" t="str">
        <f>IFERROR(SUMIF('ADV - FB'!L:L,$A791,'ADV - FB'!E:E)/(SUMIF('ADV - FB'!L:L,$A791,'ADV - FB'!F:F)),"-")</f>
        <v>-</v>
      </c>
      <c r="J791" s="315">
        <f>SUMIF('ADV - FB'!L:L,$A791,'ADV - FB'!I:I)+SUMIF('ADV - FB'!L:L,$A791,'ADV - FB'!J:J)+SUMIF('ADV - FB'!L:L,$A791,'ADV - FB'!K:K)</f>
        <v>0</v>
      </c>
      <c r="K791" s="321" t="str">
        <f t="shared" si="2"/>
        <v>-</v>
      </c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ht="15.75" customHeight="1">
      <c r="A792" s="313" t="s">
        <v>1061</v>
      </c>
      <c r="B792" s="314"/>
      <c r="C792" s="315"/>
      <c r="D792" s="315"/>
      <c r="E792" s="317"/>
      <c r="F792" s="318" t="str">
        <f t="shared" si="1"/>
        <v>TP791 -  -  - </v>
      </c>
      <c r="G792" s="319">
        <f>SUMIF('ADV - FB'!L:L,$A792,'ADV - FB'!E:E)</f>
        <v>0</v>
      </c>
      <c r="H792" s="320" t="str">
        <f>IFERROR(SUMIF('ADV - FB'!L:L,$A792,'ADV - FB'!H:H)/(SUMIF('ADV - FB'!L:L,$A792,'ADV - FB'!G:G)),"-")</f>
        <v>-</v>
      </c>
      <c r="I792" s="321" t="str">
        <f>IFERROR(SUMIF('ADV - FB'!L:L,$A792,'ADV - FB'!E:E)/(SUMIF('ADV - FB'!L:L,$A792,'ADV - FB'!F:F)),"-")</f>
        <v>-</v>
      </c>
      <c r="J792" s="315">
        <f>SUMIF('ADV - FB'!L:L,$A792,'ADV - FB'!I:I)+SUMIF('ADV - FB'!L:L,$A792,'ADV - FB'!J:J)+SUMIF('ADV - FB'!L:L,$A792,'ADV - FB'!K:K)</f>
        <v>0</v>
      </c>
      <c r="K792" s="321" t="str">
        <f t="shared" si="2"/>
        <v>-</v>
      </c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ht="15.75" customHeight="1">
      <c r="A793" s="313" t="s">
        <v>1062</v>
      </c>
      <c r="B793" s="314"/>
      <c r="C793" s="315"/>
      <c r="D793" s="315"/>
      <c r="E793" s="317"/>
      <c r="F793" s="318" t="str">
        <f t="shared" si="1"/>
        <v>TP792 -  -  - </v>
      </c>
      <c r="G793" s="319">
        <f>SUMIF('ADV - FB'!L:L,$A793,'ADV - FB'!E:E)</f>
        <v>0</v>
      </c>
      <c r="H793" s="320" t="str">
        <f>IFERROR(SUMIF('ADV - FB'!L:L,$A793,'ADV - FB'!H:H)/(SUMIF('ADV - FB'!L:L,$A793,'ADV - FB'!G:G)),"-")</f>
        <v>-</v>
      </c>
      <c r="I793" s="321" t="str">
        <f>IFERROR(SUMIF('ADV - FB'!L:L,$A793,'ADV - FB'!E:E)/(SUMIF('ADV - FB'!L:L,$A793,'ADV - FB'!F:F)),"-")</f>
        <v>-</v>
      </c>
      <c r="J793" s="315">
        <f>SUMIF('ADV - FB'!L:L,$A793,'ADV - FB'!I:I)+SUMIF('ADV - FB'!L:L,$A793,'ADV - FB'!J:J)+SUMIF('ADV - FB'!L:L,$A793,'ADV - FB'!K:K)</f>
        <v>0</v>
      </c>
      <c r="K793" s="321" t="str">
        <f t="shared" si="2"/>
        <v>-</v>
      </c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ht="15.75" customHeight="1">
      <c r="A794" s="313" t="s">
        <v>1063</v>
      </c>
      <c r="B794" s="314"/>
      <c r="C794" s="315"/>
      <c r="D794" s="315"/>
      <c r="E794" s="317"/>
      <c r="F794" s="318" t="str">
        <f t="shared" si="1"/>
        <v>TP793 -  -  - </v>
      </c>
      <c r="G794" s="319">
        <f>SUMIF('ADV - FB'!L:L,$A794,'ADV - FB'!E:E)</f>
        <v>0</v>
      </c>
      <c r="H794" s="320" t="str">
        <f>IFERROR(SUMIF('ADV - FB'!L:L,$A794,'ADV - FB'!H:H)/(SUMIF('ADV - FB'!L:L,$A794,'ADV - FB'!G:G)),"-")</f>
        <v>-</v>
      </c>
      <c r="I794" s="321" t="str">
        <f>IFERROR(SUMIF('ADV - FB'!L:L,$A794,'ADV - FB'!E:E)/(SUMIF('ADV - FB'!L:L,$A794,'ADV - FB'!F:F)),"-")</f>
        <v>-</v>
      </c>
      <c r="J794" s="315">
        <f>SUMIF('ADV - FB'!L:L,$A794,'ADV - FB'!I:I)+SUMIF('ADV - FB'!L:L,$A794,'ADV - FB'!J:J)+SUMIF('ADV - FB'!L:L,$A794,'ADV - FB'!K:K)</f>
        <v>0</v>
      </c>
      <c r="K794" s="321" t="str">
        <f t="shared" si="2"/>
        <v>-</v>
      </c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ht="15.75" customHeight="1">
      <c r="A795" s="313" t="s">
        <v>1064</v>
      </c>
      <c r="B795" s="314"/>
      <c r="C795" s="315"/>
      <c r="D795" s="315"/>
      <c r="E795" s="317"/>
      <c r="F795" s="318" t="str">
        <f t="shared" si="1"/>
        <v>TP794 -  -  - </v>
      </c>
      <c r="G795" s="319">
        <f>SUMIF('ADV - FB'!L:L,$A795,'ADV - FB'!E:E)</f>
        <v>0</v>
      </c>
      <c r="H795" s="320" t="str">
        <f>IFERROR(SUMIF('ADV - FB'!L:L,$A795,'ADV - FB'!H:H)/(SUMIF('ADV - FB'!L:L,$A795,'ADV - FB'!G:G)),"-")</f>
        <v>-</v>
      </c>
      <c r="I795" s="321" t="str">
        <f>IFERROR(SUMIF('ADV - FB'!L:L,$A795,'ADV - FB'!E:E)/(SUMIF('ADV - FB'!L:L,$A795,'ADV - FB'!F:F)),"-")</f>
        <v>-</v>
      </c>
      <c r="J795" s="315">
        <f>SUMIF('ADV - FB'!L:L,$A795,'ADV - FB'!I:I)+SUMIF('ADV - FB'!L:L,$A795,'ADV - FB'!J:J)+SUMIF('ADV - FB'!L:L,$A795,'ADV - FB'!K:K)</f>
        <v>0</v>
      </c>
      <c r="K795" s="321" t="str">
        <f t="shared" si="2"/>
        <v>-</v>
      </c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ht="15.75" customHeight="1">
      <c r="A796" s="313" t="s">
        <v>1065</v>
      </c>
      <c r="B796" s="314"/>
      <c r="C796" s="315"/>
      <c r="D796" s="315"/>
      <c r="E796" s="317"/>
      <c r="F796" s="318" t="str">
        <f t="shared" si="1"/>
        <v>TP795 -  -  - </v>
      </c>
      <c r="G796" s="319">
        <f>SUMIF('ADV - FB'!L:L,$A796,'ADV - FB'!E:E)</f>
        <v>0</v>
      </c>
      <c r="H796" s="320" t="str">
        <f>IFERROR(SUMIF('ADV - FB'!L:L,$A796,'ADV - FB'!H:H)/(SUMIF('ADV - FB'!L:L,$A796,'ADV - FB'!G:G)),"-")</f>
        <v>-</v>
      </c>
      <c r="I796" s="321" t="str">
        <f>IFERROR(SUMIF('ADV - FB'!L:L,$A796,'ADV - FB'!E:E)/(SUMIF('ADV - FB'!L:L,$A796,'ADV - FB'!F:F)),"-")</f>
        <v>-</v>
      </c>
      <c r="J796" s="315">
        <f>SUMIF('ADV - FB'!L:L,$A796,'ADV - FB'!I:I)+SUMIF('ADV - FB'!L:L,$A796,'ADV - FB'!J:J)+SUMIF('ADV - FB'!L:L,$A796,'ADV - FB'!K:K)</f>
        <v>0</v>
      </c>
      <c r="K796" s="321" t="str">
        <f t="shared" si="2"/>
        <v>-</v>
      </c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ht="15.75" customHeight="1">
      <c r="A797" s="313" t="s">
        <v>1066</v>
      </c>
      <c r="B797" s="314"/>
      <c r="C797" s="315"/>
      <c r="D797" s="315"/>
      <c r="E797" s="317"/>
      <c r="F797" s="318" t="str">
        <f t="shared" si="1"/>
        <v>TP796 -  -  - </v>
      </c>
      <c r="G797" s="319">
        <f>SUMIF('ADV - FB'!L:L,$A797,'ADV - FB'!E:E)</f>
        <v>0</v>
      </c>
      <c r="H797" s="320" t="str">
        <f>IFERROR(SUMIF('ADV - FB'!L:L,$A797,'ADV - FB'!H:H)/(SUMIF('ADV - FB'!L:L,$A797,'ADV - FB'!G:G)),"-")</f>
        <v>-</v>
      </c>
      <c r="I797" s="321" t="str">
        <f>IFERROR(SUMIF('ADV - FB'!L:L,$A797,'ADV - FB'!E:E)/(SUMIF('ADV - FB'!L:L,$A797,'ADV - FB'!F:F)),"-")</f>
        <v>-</v>
      </c>
      <c r="J797" s="315">
        <f>SUMIF('ADV - FB'!L:L,$A797,'ADV - FB'!I:I)+SUMIF('ADV - FB'!L:L,$A797,'ADV - FB'!J:J)+SUMIF('ADV - FB'!L:L,$A797,'ADV - FB'!K:K)</f>
        <v>0</v>
      </c>
      <c r="K797" s="321" t="str">
        <f t="shared" si="2"/>
        <v>-</v>
      </c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ht="15.75" customHeight="1">
      <c r="A798" s="313" t="s">
        <v>1067</v>
      </c>
      <c r="B798" s="314"/>
      <c r="C798" s="315"/>
      <c r="D798" s="315"/>
      <c r="E798" s="317"/>
      <c r="F798" s="318" t="str">
        <f t="shared" si="1"/>
        <v>TP797 -  -  - </v>
      </c>
      <c r="G798" s="319">
        <f>SUMIF('ADV - FB'!L:L,$A798,'ADV - FB'!E:E)</f>
        <v>0</v>
      </c>
      <c r="H798" s="320" t="str">
        <f>IFERROR(SUMIF('ADV - FB'!L:L,$A798,'ADV - FB'!H:H)/(SUMIF('ADV - FB'!L:L,$A798,'ADV - FB'!G:G)),"-")</f>
        <v>-</v>
      </c>
      <c r="I798" s="321" t="str">
        <f>IFERROR(SUMIF('ADV - FB'!L:L,$A798,'ADV - FB'!E:E)/(SUMIF('ADV - FB'!L:L,$A798,'ADV - FB'!F:F)),"-")</f>
        <v>-</v>
      </c>
      <c r="J798" s="315">
        <f>SUMIF('ADV - FB'!L:L,$A798,'ADV - FB'!I:I)+SUMIF('ADV - FB'!L:L,$A798,'ADV - FB'!J:J)+SUMIF('ADV - FB'!L:L,$A798,'ADV - FB'!K:K)</f>
        <v>0</v>
      </c>
      <c r="K798" s="321" t="str">
        <f t="shared" si="2"/>
        <v>-</v>
      </c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ht="15.75" customHeight="1">
      <c r="A799" s="313" t="s">
        <v>1068</v>
      </c>
      <c r="B799" s="314"/>
      <c r="C799" s="315"/>
      <c r="D799" s="315"/>
      <c r="E799" s="317"/>
      <c r="F799" s="318" t="str">
        <f t="shared" si="1"/>
        <v>TP798 -  -  - </v>
      </c>
      <c r="G799" s="319">
        <f>SUMIF('ADV - FB'!L:L,$A799,'ADV - FB'!E:E)</f>
        <v>0</v>
      </c>
      <c r="H799" s="320" t="str">
        <f>IFERROR(SUMIF('ADV - FB'!L:L,$A799,'ADV - FB'!H:H)/(SUMIF('ADV - FB'!L:L,$A799,'ADV - FB'!G:G)),"-")</f>
        <v>-</v>
      </c>
      <c r="I799" s="321" t="str">
        <f>IFERROR(SUMIF('ADV - FB'!L:L,$A799,'ADV - FB'!E:E)/(SUMIF('ADV - FB'!L:L,$A799,'ADV - FB'!F:F)),"-")</f>
        <v>-</v>
      </c>
      <c r="J799" s="315">
        <f>SUMIF('ADV - FB'!L:L,$A799,'ADV - FB'!I:I)+SUMIF('ADV - FB'!L:L,$A799,'ADV - FB'!J:J)+SUMIF('ADV - FB'!L:L,$A799,'ADV - FB'!K:K)</f>
        <v>0</v>
      </c>
      <c r="K799" s="321" t="str">
        <f t="shared" si="2"/>
        <v>-</v>
      </c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ht="15.75" customHeight="1">
      <c r="A800" s="313" t="s">
        <v>1069</v>
      </c>
      <c r="B800" s="314"/>
      <c r="C800" s="315"/>
      <c r="D800" s="315"/>
      <c r="E800" s="317"/>
      <c r="F800" s="318" t="str">
        <f t="shared" si="1"/>
        <v>TP799 -  -  - </v>
      </c>
      <c r="G800" s="319">
        <f>SUMIF('ADV - FB'!L:L,$A800,'ADV - FB'!E:E)</f>
        <v>0</v>
      </c>
      <c r="H800" s="320" t="str">
        <f>IFERROR(SUMIF('ADV - FB'!L:L,$A800,'ADV - FB'!H:H)/(SUMIF('ADV - FB'!L:L,$A800,'ADV - FB'!G:G)),"-")</f>
        <v>-</v>
      </c>
      <c r="I800" s="321" t="str">
        <f>IFERROR(SUMIF('ADV - FB'!L:L,$A800,'ADV - FB'!E:E)/(SUMIF('ADV - FB'!L:L,$A800,'ADV - FB'!F:F)),"-")</f>
        <v>-</v>
      </c>
      <c r="J800" s="315">
        <f>SUMIF('ADV - FB'!L:L,$A800,'ADV - FB'!I:I)+SUMIF('ADV - FB'!L:L,$A800,'ADV - FB'!J:J)+SUMIF('ADV - FB'!L:L,$A800,'ADV - FB'!K:K)</f>
        <v>0</v>
      </c>
      <c r="K800" s="321" t="str">
        <f t="shared" si="2"/>
        <v>-</v>
      </c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ht="15.75" customHeight="1">
      <c r="A801" s="313" t="s">
        <v>1070</v>
      </c>
      <c r="B801" s="314"/>
      <c r="C801" s="315"/>
      <c r="D801" s="315"/>
      <c r="E801" s="317"/>
      <c r="F801" s="318" t="str">
        <f t="shared" si="1"/>
        <v>TP800 -  -  - </v>
      </c>
      <c r="G801" s="319">
        <f>SUMIF('ADV - FB'!L:L,$A801,'ADV - FB'!E:E)</f>
        <v>0</v>
      </c>
      <c r="H801" s="320" t="str">
        <f>IFERROR(SUMIF('ADV - FB'!L:L,$A801,'ADV - FB'!H:H)/(SUMIF('ADV - FB'!L:L,$A801,'ADV - FB'!G:G)),"-")</f>
        <v>-</v>
      </c>
      <c r="I801" s="321" t="str">
        <f>IFERROR(SUMIF('ADV - FB'!L:L,$A801,'ADV - FB'!E:E)/(SUMIF('ADV - FB'!L:L,$A801,'ADV - FB'!F:F)),"-")</f>
        <v>-</v>
      </c>
      <c r="J801" s="315">
        <f>SUMIF('ADV - FB'!L:L,$A801,'ADV - FB'!I:I)+SUMIF('ADV - FB'!L:L,$A801,'ADV - FB'!J:J)+SUMIF('ADV - FB'!L:L,$A801,'ADV - FB'!K:K)</f>
        <v>0</v>
      </c>
      <c r="K801" s="321" t="str">
        <f t="shared" si="2"/>
        <v>-</v>
      </c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ht="15.75" customHeight="1">
      <c r="A802" s="313" t="s">
        <v>1071</v>
      </c>
      <c r="B802" s="314"/>
      <c r="C802" s="315"/>
      <c r="D802" s="315"/>
      <c r="E802" s="317"/>
      <c r="F802" s="318" t="str">
        <f t="shared" si="1"/>
        <v>TP801 -  -  - </v>
      </c>
      <c r="G802" s="319">
        <f>SUMIF('ADV - FB'!L:L,$A802,'ADV - FB'!E:E)</f>
        <v>0</v>
      </c>
      <c r="H802" s="320" t="str">
        <f>IFERROR(SUMIF('ADV - FB'!L:L,$A802,'ADV - FB'!H:H)/(SUMIF('ADV - FB'!L:L,$A802,'ADV - FB'!G:G)),"-")</f>
        <v>-</v>
      </c>
      <c r="I802" s="321" t="str">
        <f>IFERROR(SUMIF('ADV - FB'!L:L,$A802,'ADV - FB'!E:E)/(SUMIF('ADV - FB'!L:L,$A802,'ADV - FB'!F:F)),"-")</f>
        <v>-</v>
      </c>
      <c r="J802" s="315">
        <f>SUMIF('ADV - FB'!L:L,$A802,'ADV - FB'!I:I)+SUMIF('ADV - FB'!L:L,$A802,'ADV - FB'!J:J)+SUMIF('ADV - FB'!L:L,$A802,'ADV - FB'!K:K)</f>
        <v>0</v>
      </c>
      <c r="K802" s="321" t="str">
        <f t="shared" si="2"/>
        <v>-</v>
      </c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ht="15.75" customHeight="1">
      <c r="A803" s="313" t="s">
        <v>1072</v>
      </c>
      <c r="B803" s="314"/>
      <c r="C803" s="315"/>
      <c r="D803" s="315"/>
      <c r="E803" s="317"/>
      <c r="F803" s="318" t="str">
        <f t="shared" si="1"/>
        <v>TP802 -  -  - </v>
      </c>
      <c r="G803" s="319">
        <f>SUMIF('ADV - FB'!L:L,$A803,'ADV - FB'!E:E)</f>
        <v>0</v>
      </c>
      <c r="H803" s="320" t="str">
        <f>IFERROR(SUMIF('ADV - FB'!L:L,$A803,'ADV - FB'!H:H)/(SUMIF('ADV - FB'!L:L,$A803,'ADV - FB'!G:G)),"-")</f>
        <v>-</v>
      </c>
      <c r="I803" s="321" t="str">
        <f>IFERROR(SUMIF('ADV - FB'!L:L,$A803,'ADV - FB'!E:E)/(SUMIF('ADV - FB'!L:L,$A803,'ADV - FB'!F:F)),"-")</f>
        <v>-</v>
      </c>
      <c r="J803" s="315">
        <f>SUMIF('ADV - FB'!L:L,$A803,'ADV - FB'!I:I)+SUMIF('ADV - FB'!L:L,$A803,'ADV - FB'!J:J)+SUMIF('ADV - FB'!L:L,$A803,'ADV - FB'!K:K)</f>
        <v>0</v>
      </c>
      <c r="K803" s="321" t="str">
        <f t="shared" si="2"/>
        <v>-</v>
      </c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ht="15.75" customHeight="1">
      <c r="A804" s="313" t="s">
        <v>1073</v>
      </c>
      <c r="B804" s="314"/>
      <c r="C804" s="315"/>
      <c r="D804" s="315"/>
      <c r="E804" s="317"/>
      <c r="F804" s="318" t="str">
        <f t="shared" si="1"/>
        <v>TP803 -  -  - </v>
      </c>
      <c r="G804" s="319">
        <f>SUMIF('ADV - FB'!L:L,$A804,'ADV - FB'!E:E)</f>
        <v>0</v>
      </c>
      <c r="H804" s="320" t="str">
        <f>IFERROR(SUMIF('ADV - FB'!L:L,$A804,'ADV - FB'!H:H)/(SUMIF('ADV - FB'!L:L,$A804,'ADV - FB'!G:G)),"-")</f>
        <v>-</v>
      </c>
      <c r="I804" s="321" t="str">
        <f>IFERROR(SUMIF('ADV - FB'!L:L,$A804,'ADV - FB'!E:E)/(SUMIF('ADV - FB'!L:L,$A804,'ADV - FB'!F:F)),"-")</f>
        <v>-</v>
      </c>
      <c r="J804" s="315">
        <f>SUMIF('ADV - FB'!L:L,$A804,'ADV - FB'!I:I)+SUMIF('ADV - FB'!L:L,$A804,'ADV - FB'!J:J)+SUMIF('ADV - FB'!L:L,$A804,'ADV - FB'!K:K)</f>
        <v>0</v>
      </c>
      <c r="K804" s="321" t="str">
        <f t="shared" si="2"/>
        <v>-</v>
      </c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ht="15.75" customHeight="1">
      <c r="A805" s="313" t="s">
        <v>1074</v>
      </c>
      <c r="B805" s="314"/>
      <c r="C805" s="315"/>
      <c r="D805" s="315"/>
      <c r="E805" s="317"/>
      <c r="F805" s="318" t="str">
        <f t="shared" si="1"/>
        <v>TP804 -  -  - </v>
      </c>
      <c r="G805" s="319">
        <f>SUMIF('ADV - FB'!L:L,$A805,'ADV - FB'!E:E)</f>
        <v>0</v>
      </c>
      <c r="H805" s="320" t="str">
        <f>IFERROR(SUMIF('ADV - FB'!L:L,$A805,'ADV - FB'!H:H)/(SUMIF('ADV - FB'!L:L,$A805,'ADV - FB'!G:G)),"-")</f>
        <v>-</v>
      </c>
      <c r="I805" s="321" t="str">
        <f>IFERROR(SUMIF('ADV - FB'!L:L,$A805,'ADV - FB'!E:E)/(SUMIF('ADV - FB'!L:L,$A805,'ADV - FB'!F:F)),"-")</f>
        <v>-</v>
      </c>
      <c r="J805" s="315">
        <f>SUMIF('ADV - FB'!L:L,$A805,'ADV - FB'!I:I)+SUMIF('ADV - FB'!L:L,$A805,'ADV - FB'!J:J)+SUMIF('ADV - FB'!L:L,$A805,'ADV - FB'!K:K)</f>
        <v>0</v>
      </c>
      <c r="K805" s="321" t="str">
        <f t="shared" si="2"/>
        <v>-</v>
      </c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ht="15.75" customHeight="1">
      <c r="A806" s="313" t="s">
        <v>1075</v>
      </c>
      <c r="B806" s="314"/>
      <c r="C806" s="315"/>
      <c r="D806" s="315"/>
      <c r="E806" s="317"/>
      <c r="F806" s="318" t="str">
        <f t="shared" si="1"/>
        <v>TP805 -  -  - </v>
      </c>
      <c r="G806" s="319">
        <f>SUMIF('ADV - FB'!L:L,$A806,'ADV - FB'!E:E)</f>
        <v>0</v>
      </c>
      <c r="H806" s="320" t="str">
        <f>IFERROR(SUMIF('ADV - FB'!L:L,$A806,'ADV - FB'!H:H)/(SUMIF('ADV - FB'!L:L,$A806,'ADV - FB'!G:G)),"-")</f>
        <v>-</v>
      </c>
      <c r="I806" s="321" t="str">
        <f>IFERROR(SUMIF('ADV - FB'!L:L,$A806,'ADV - FB'!E:E)/(SUMIF('ADV - FB'!L:L,$A806,'ADV - FB'!F:F)),"-")</f>
        <v>-</v>
      </c>
      <c r="J806" s="315">
        <f>SUMIF('ADV - FB'!L:L,$A806,'ADV - FB'!I:I)+SUMIF('ADV - FB'!L:L,$A806,'ADV - FB'!J:J)+SUMIF('ADV - FB'!L:L,$A806,'ADV - FB'!K:K)</f>
        <v>0</v>
      </c>
      <c r="K806" s="321" t="str">
        <f t="shared" si="2"/>
        <v>-</v>
      </c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ht="15.75" customHeight="1">
      <c r="A807" s="313" t="s">
        <v>1076</v>
      </c>
      <c r="B807" s="314"/>
      <c r="C807" s="315"/>
      <c r="D807" s="315"/>
      <c r="E807" s="317"/>
      <c r="F807" s="318" t="str">
        <f t="shared" si="1"/>
        <v>TP806 -  -  - </v>
      </c>
      <c r="G807" s="319">
        <f>SUMIF('ADV - FB'!L:L,$A807,'ADV - FB'!E:E)</f>
        <v>0</v>
      </c>
      <c r="H807" s="320" t="str">
        <f>IFERROR(SUMIF('ADV - FB'!L:L,$A807,'ADV - FB'!H:H)/(SUMIF('ADV - FB'!L:L,$A807,'ADV - FB'!G:G)),"-")</f>
        <v>-</v>
      </c>
      <c r="I807" s="321" t="str">
        <f>IFERROR(SUMIF('ADV - FB'!L:L,$A807,'ADV - FB'!E:E)/(SUMIF('ADV - FB'!L:L,$A807,'ADV - FB'!F:F)),"-")</f>
        <v>-</v>
      </c>
      <c r="J807" s="315">
        <f>SUMIF('ADV - FB'!L:L,$A807,'ADV - FB'!I:I)+SUMIF('ADV - FB'!L:L,$A807,'ADV - FB'!J:J)+SUMIF('ADV - FB'!L:L,$A807,'ADV - FB'!K:K)</f>
        <v>0</v>
      </c>
      <c r="K807" s="321" t="str">
        <f t="shared" si="2"/>
        <v>-</v>
      </c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ht="15.75" customHeight="1">
      <c r="A808" s="313" t="s">
        <v>1077</v>
      </c>
      <c r="B808" s="314"/>
      <c r="C808" s="315"/>
      <c r="D808" s="315"/>
      <c r="E808" s="317"/>
      <c r="F808" s="318" t="str">
        <f t="shared" si="1"/>
        <v>TP807 -  -  - </v>
      </c>
      <c r="G808" s="319">
        <f>SUMIF('ADV - FB'!L:L,$A808,'ADV - FB'!E:E)</f>
        <v>0</v>
      </c>
      <c r="H808" s="320" t="str">
        <f>IFERROR(SUMIF('ADV - FB'!L:L,$A808,'ADV - FB'!H:H)/(SUMIF('ADV - FB'!L:L,$A808,'ADV - FB'!G:G)),"-")</f>
        <v>-</v>
      </c>
      <c r="I808" s="321" t="str">
        <f>IFERROR(SUMIF('ADV - FB'!L:L,$A808,'ADV - FB'!E:E)/(SUMIF('ADV - FB'!L:L,$A808,'ADV - FB'!F:F)),"-")</f>
        <v>-</v>
      </c>
      <c r="J808" s="315">
        <f>SUMIF('ADV - FB'!L:L,$A808,'ADV - FB'!I:I)+SUMIF('ADV - FB'!L:L,$A808,'ADV - FB'!J:J)+SUMIF('ADV - FB'!L:L,$A808,'ADV - FB'!K:K)</f>
        <v>0</v>
      </c>
      <c r="K808" s="321" t="str">
        <f t="shared" si="2"/>
        <v>-</v>
      </c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ht="15.75" customHeight="1">
      <c r="A809" s="313" t="s">
        <v>1078</v>
      </c>
      <c r="B809" s="314"/>
      <c r="C809" s="315"/>
      <c r="D809" s="315"/>
      <c r="E809" s="317"/>
      <c r="F809" s="318" t="str">
        <f t="shared" si="1"/>
        <v>TP808 -  -  - </v>
      </c>
      <c r="G809" s="319">
        <f>SUMIF('ADV - FB'!L:L,$A809,'ADV - FB'!E:E)</f>
        <v>0</v>
      </c>
      <c r="H809" s="320" t="str">
        <f>IFERROR(SUMIF('ADV - FB'!L:L,$A809,'ADV - FB'!H:H)/(SUMIF('ADV - FB'!L:L,$A809,'ADV - FB'!G:G)),"-")</f>
        <v>-</v>
      </c>
      <c r="I809" s="321" t="str">
        <f>IFERROR(SUMIF('ADV - FB'!L:L,$A809,'ADV - FB'!E:E)/(SUMIF('ADV - FB'!L:L,$A809,'ADV - FB'!F:F)),"-")</f>
        <v>-</v>
      </c>
      <c r="J809" s="315">
        <f>SUMIF('ADV - FB'!L:L,$A809,'ADV - FB'!I:I)+SUMIF('ADV - FB'!L:L,$A809,'ADV - FB'!J:J)+SUMIF('ADV - FB'!L:L,$A809,'ADV - FB'!K:K)</f>
        <v>0</v>
      </c>
      <c r="K809" s="321" t="str">
        <f t="shared" si="2"/>
        <v>-</v>
      </c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ht="15.75" customHeight="1">
      <c r="A810" s="313" t="s">
        <v>1079</v>
      </c>
      <c r="B810" s="314"/>
      <c r="C810" s="315"/>
      <c r="D810" s="315"/>
      <c r="E810" s="317"/>
      <c r="F810" s="318" t="str">
        <f t="shared" si="1"/>
        <v>TP809 -  -  - </v>
      </c>
      <c r="G810" s="319">
        <f>SUMIF('ADV - FB'!L:L,$A810,'ADV - FB'!E:E)</f>
        <v>0</v>
      </c>
      <c r="H810" s="320" t="str">
        <f>IFERROR(SUMIF('ADV - FB'!L:L,$A810,'ADV - FB'!H:H)/(SUMIF('ADV - FB'!L:L,$A810,'ADV - FB'!G:G)),"-")</f>
        <v>-</v>
      </c>
      <c r="I810" s="321" t="str">
        <f>IFERROR(SUMIF('ADV - FB'!L:L,$A810,'ADV - FB'!E:E)/(SUMIF('ADV - FB'!L:L,$A810,'ADV - FB'!F:F)),"-")</f>
        <v>-</v>
      </c>
      <c r="J810" s="315">
        <f>SUMIF('ADV - FB'!L:L,$A810,'ADV - FB'!I:I)+SUMIF('ADV - FB'!L:L,$A810,'ADV - FB'!J:J)+SUMIF('ADV - FB'!L:L,$A810,'ADV - FB'!K:K)</f>
        <v>0</v>
      </c>
      <c r="K810" s="321" t="str">
        <f t="shared" si="2"/>
        <v>-</v>
      </c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ht="15.75" customHeight="1">
      <c r="A811" s="313" t="s">
        <v>1080</v>
      </c>
      <c r="B811" s="314"/>
      <c r="C811" s="315"/>
      <c r="D811" s="315"/>
      <c r="E811" s="317"/>
      <c r="F811" s="318" t="str">
        <f t="shared" si="1"/>
        <v>TP810 -  -  - </v>
      </c>
      <c r="G811" s="319">
        <f>SUMIF('ADV - FB'!L:L,$A811,'ADV - FB'!E:E)</f>
        <v>0</v>
      </c>
      <c r="H811" s="320" t="str">
        <f>IFERROR(SUMIF('ADV - FB'!L:L,$A811,'ADV - FB'!H:H)/(SUMIF('ADV - FB'!L:L,$A811,'ADV - FB'!G:G)),"-")</f>
        <v>-</v>
      </c>
      <c r="I811" s="321" t="str">
        <f>IFERROR(SUMIF('ADV - FB'!L:L,$A811,'ADV - FB'!E:E)/(SUMIF('ADV - FB'!L:L,$A811,'ADV - FB'!F:F)),"-")</f>
        <v>-</v>
      </c>
      <c r="J811" s="315">
        <f>SUMIF('ADV - FB'!L:L,$A811,'ADV - FB'!I:I)+SUMIF('ADV - FB'!L:L,$A811,'ADV - FB'!J:J)+SUMIF('ADV - FB'!L:L,$A811,'ADV - FB'!K:K)</f>
        <v>0</v>
      </c>
      <c r="K811" s="321" t="str">
        <f t="shared" si="2"/>
        <v>-</v>
      </c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ht="15.75" customHeight="1">
      <c r="A812" s="313" t="s">
        <v>1081</v>
      </c>
      <c r="B812" s="314"/>
      <c r="C812" s="315"/>
      <c r="D812" s="315"/>
      <c r="E812" s="317"/>
      <c r="F812" s="318" t="str">
        <f t="shared" si="1"/>
        <v>TP811 -  -  - </v>
      </c>
      <c r="G812" s="319">
        <f>SUMIF('ADV - FB'!L:L,$A812,'ADV - FB'!E:E)</f>
        <v>0</v>
      </c>
      <c r="H812" s="320" t="str">
        <f>IFERROR(SUMIF('ADV - FB'!L:L,$A812,'ADV - FB'!H:H)/(SUMIF('ADV - FB'!L:L,$A812,'ADV - FB'!G:G)),"-")</f>
        <v>-</v>
      </c>
      <c r="I812" s="321" t="str">
        <f>IFERROR(SUMIF('ADV - FB'!L:L,$A812,'ADV - FB'!E:E)/(SUMIF('ADV - FB'!L:L,$A812,'ADV - FB'!F:F)),"-")</f>
        <v>-</v>
      </c>
      <c r="J812" s="315">
        <f>SUMIF('ADV - FB'!L:L,$A812,'ADV - FB'!I:I)+SUMIF('ADV - FB'!L:L,$A812,'ADV - FB'!J:J)+SUMIF('ADV - FB'!L:L,$A812,'ADV - FB'!K:K)</f>
        <v>0</v>
      </c>
      <c r="K812" s="321" t="str">
        <f t="shared" si="2"/>
        <v>-</v>
      </c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ht="15.75" customHeight="1">
      <c r="A813" s="313" t="s">
        <v>1082</v>
      </c>
      <c r="B813" s="314"/>
      <c r="C813" s="315"/>
      <c r="D813" s="315"/>
      <c r="E813" s="317"/>
      <c r="F813" s="318" t="str">
        <f t="shared" si="1"/>
        <v>TP812 -  -  - </v>
      </c>
      <c r="G813" s="319">
        <f>SUMIF('ADV - FB'!L:L,$A813,'ADV - FB'!E:E)</f>
        <v>0</v>
      </c>
      <c r="H813" s="320" t="str">
        <f>IFERROR(SUMIF('ADV - FB'!L:L,$A813,'ADV - FB'!H:H)/(SUMIF('ADV - FB'!L:L,$A813,'ADV - FB'!G:G)),"-")</f>
        <v>-</v>
      </c>
      <c r="I813" s="321" t="str">
        <f>IFERROR(SUMIF('ADV - FB'!L:L,$A813,'ADV - FB'!E:E)/(SUMIF('ADV - FB'!L:L,$A813,'ADV - FB'!F:F)),"-")</f>
        <v>-</v>
      </c>
      <c r="J813" s="315">
        <f>SUMIF('ADV - FB'!L:L,$A813,'ADV - FB'!I:I)+SUMIF('ADV - FB'!L:L,$A813,'ADV - FB'!J:J)+SUMIF('ADV - FB'!L:L,$A813,'ADV - FB'!K:K)</f>
        <v>0</v>
      </c>
      <c r="K813" s="321" t="str">
        <f t="shared" si="2"/>
        <v>-</v>
      </c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ht="15.75" customHeight="1">
      <c r="A814" s="313" t="s">
        <v>1083</v>
      </c>
      <c r="B814" s="314"/>
      <c r="C814" s="315"/>
      <c r="D814" s="315"/>
      <c r="E814" s="317"/>
      <c r="F814" s="318" t="str">
        <f t="shared" si="1"/>
        <v>TP813 -  -  - </v>
      </c>
      <c r="G814" s="319">
        <f>SUMIF('ADV - FB'!L:L,$A814,'ADV - FB'!E:E)</f>
        <v>0</v>
      </c>
      <c r="H814" s="320" t="str">
        <f>IFERROR(SUMIF('ADV - FB'!L:L,$A814,'ADV - FB'!H:H)/(SUMIF('ADV - FB'!L:L,$A814,'ADV - FB'!G:G)),"-")</f>
        <v>-</v>
      </c>
      <c r="I814" s="321" t="str">
        <f>IFERROR(SUMIF('ADV - FB'!L:L,$A814,'ADV - FB'!E:E)/(SUMIF('ADV - FB'!L:L,$A814,'ADV - FB'!F:F)),"-")</f>
        <v>-</v>
      </c>
      <c r="J814" s="315">
        <f>SUMIF('ADV - FB'!L:L,$A814,'ADV - FB'!I:I)+SUMIF('ADV - FB'!L:L,$A814,'ADV - FB'!J:J)+SUMIF('ADV - FB'!L:L,$A814,'ADV - FB'!K:K)</f>
        <v>0</v>
      </c>
      <c r="K814" s="321" t="str">
        <f t="shared" si="2"/>
        <v>-</v>
      </c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ht="15.75" customHeight="1">
      <c r="A815" s="313" t="s">
        <v>1084</v>
      </c>
      <c r="B815" s="314"/>
      <c r="C815" s="315"/>
      <c r="D815" s="315"/>
      <c r="E815" s="317"/>
      <c r="F815" s="318" t="str">
        <f t="shared" si="1"/>
        <v>TP814 -  -  - </v>
      </c>
      <c r="G815" s="319">
        <f>SUMIF('ADV - FB'!L:L,$A815,'ADV - FB'!E:E)</f>
        <v>0</v>
      </c>
      <c r="H815" s="320" t="str">
        <f>IFERROR(SUMIF('ADV - FB'!L:L,$A815,'ADV - FB'!H:H)/(SUMIF('ADV - FB'!L:L,$A815,'ADV - FB'!G:G)),"-")</f>
        <v>-</v>
      </c>
      <c r="I815" s="321" t="str">
        <f>IFERROR(SUMIF('ADV - FB'!L:L,$A815,'ADV - FB'!E:E)/(SUMIF('ADV - FB'!L:L,$A815,'ADV - FB'!F:F)),"-")</f>
        <v>-</v>
      </c>
      <c r="J815" s="315">
        <f>SUMIF('ADV - FB'!L:L,$A815,'ADV - FB'!I:I)+SUMIF('ADV - FB'!L:L,$A815,'ADV - FB'!J:J)+SUMIF('ADV - FB'!L:L,$A815,'ADV - FB'!K:K)</f>
        <v>0</v>
      </c>
      <c r="K815" s="321" t="str">
        <f t="shared" si="2"/>
        <v>-</v>
      </c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ht="15.75" customHeight="1">
      <c r="A816" s="313" t="s">
        <v>1085</v>
      </c>
      <c r="B816" s="314"/>
      <c r="C816" s="315"/>
      <c r="D816" s="315"/>
      <c r="E816" s="317"/>
      <c r="F816" s="318" t="str">
        <f t="shared" si="1"/>
        <v>TP815 -  -  - </v>
      </c>
      <c r="G816" s="319">
        <f>SUMIF('ADV - FB'!L:L,$A816,'ADV - FB'!E:E)</f>
        <v>0</v>
      </c>
      <c r="H816" s="320" t="str">
        <f>IFERROR(SUMIF('ADV - FB'!L:L,$A816,'ADV - FB'!H:H)/(SUMIF('ADV - FB'!L:L,$A816,'ADV - FB'!G:G)),"-")</f>
        <v>-</v>
      </c>
      <c r="I816" s="321" t="str">
        <f>IFERROR(SUMIF('ADV - FB'!L:L,$A816,'ADV - FB'!E:E)/(SUMIF('ADV - FB'!L:L,$A816,'ADV - FB'!F:F)),"-")</f>
        <v>-</v>
      </c>
      <c r="J816" s="315">
        <f>SUMIF('ADV - FB'!L:L,$A816,'ADV - FB'!I:I)+SUMIF('ADV - FB'!L:L,$A816,'ADV - FB'!J:J)+SUMIF('ADV - FB'!L:L,$A816,'ADV - FB'!K:K)</f>
        <v>0</v>
      </c>
      <c r="K816" s="321" t="str">
        <f t="shared" si="2"/>
        <v>-</v>
      </c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ht="15.75" customHeight="1">
      <c r="A817" s="313" t="s">
        <v>1086</v>
      </c>
      <c r="B817" s="314"/>
      <c r="C817" s="315"/>
      <c r="D817" s="315"/>
      <c r="E817" s="317"/>
      <c r="F817" s="318" t="str">
        <f t="shared" si="1"/>
        <v>TP816 -  -  - </v>
      </c>
      <c r="G817" s="319">
        <f>SUMIF('ADV - FB'!L:L,$A817,'ADV - FB'!E:E)</f>
        <v>0</v>
      </c>
      <c r="H817" s="320" t="str">
        <f>IFERROR(SUMIF('ADV - FB'!L:L,$A817,'ADV - FB'!H:H)/(SUMIF('ADV - FB'!L:L,$A817,'ADV - FB'!G:G)),"-")</f>
        <v>-</v>
      </c>
      <c r="I817" s="321" t="str">
        <f>IFERROR(SUMIF('ADV - FB'!L:L,$A817,'ADV - FB'!E:E)/(SUMIF('ADV - FB'!L:L,$A817,'ADV - FB'!F:F)),"-")</f>
        <v>-</v>
      </c>
      <c r="J817" s="315">
        <f>SUMIF('ADV - FB'!L:L,$A817,'ADV - FB'!I:I)+SUMIF('ADV - FB'!L:L,$A817,'ADV - FB'!J:J)+SUMIF('ADV - FB'!L:L,$A817,'ADV - FB'!K:K)</f>
        <v>0</v>
      </c>
      <c r="K817" s="321" t="str">
        <f t="shared" si="2"/>
        <v>-</v>
      </c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ht="15.75" customHeight="1">
      <c r="A818" s="313" t="s">
        <v>1087</v>
      </c>
      <c r="B818" s="314"/>
      <c r="C818" s="315"/>
      <c r="D818" s="315"/>
      <c r="E818" s="317"/>
      <c r="F818" s="318" t="str">
        <f t="shared" si="1"/>
        <v>TP817 -  -  - </v>
      </c>
      <c r="G818" s="319">
        <f>SUMIF('ADV - FB'!L:L,$A818,'ADV - FB'!E:E)</f>
        <v>0</v>
      </c>
      <c r="H818" s="320" t="str">
        <f>IFERROR(SUMIF('ADV - FB'!L:L,$A818,'ADV - FB'!H:H)/(SUMIF('ADV - FB'!L:L,$A818,'ADV - FB'!G:G)),"-")</f>
        <v>-</v>
      </c>
      <c r="I818" s="321" t="str">
        <f>IFERROR(SUMIF('ADV - FB'!L:L,$A818,'ADV - FB'!E:E)/(SUMIF('ADV - FB'!L:L,$A818,'ADV - FB'!F:F)),"-")</f>
        <v>-</v>
      </c>
      <c r="J818" s="315">
        <f>SUMIF('ADV - FB'!L:L,$A818,'ADV - FB'!I:I)+SUMIF('ADV - FB'!L:L,$A818,'ADV - FB'!J:J)+SUMIF('ADV - FB'!L:L,$A818,'ADV - FB'!K:K)</f>
        <v>0</v>
      </c>
      <c r="K818" s="321" t="str">
        <f t="shared" si="2"/>
        <v>-</v>
      </c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ht="15.75" customHeight="1">
      <c r="A819" s="313" t="s">
        <v>1088</v>
      </c>
      <c r="B819" s="314"/>
      <c r="C819" s="315"/>
      <c r="D819" s="315"/>
      <c r="E819" s="317"/>
      <c r="F819" s="318" t="str">
        <f t="shared" si="1"/>
        <v>TP818 -  -  - </v>
      </c>
      <c r="G819" s="319">
        <f>SUMIF('ADV - FB'!L:L,$A819,'ADV - FB'!E:E)</f>
        <v>0</v>
      </c>
      <c r="H819" s="320" t="str">
        <f>IFERROR(SUMIF('ADV - FB'!L:L,$A819,'ADV - FB'!H:H)/(SUMIF('ADV - FB'!L:L,$A819,'ADV - FB'!G:G)),"-")</f>
        <v>-</v>
      </c>
      <c r="I819" s="321" t="str">
        <f>IFERROR(SUMIF('ADV - FB'!L:L,$A819,'ADV - FB'!E:E)/(SUMIF('ADV - FB'!L:L,$A819,'ADV - FB'!F:F)),"-")</f>
        <v>-</v>
      </c>
      <c r="J819" s="315">
        <f>SUMIF('ADV - FB'!L:L,$A819,'ADV - FB'!I:I)+SUMIF('ADV - FB'!L:L,$A819,'ADV - FB'!J:J)+SUMIF('ADV - FB'!L:L,$A819,'ADV - FB'!K:K)</f>
        <v>0</v>
      </c>
      <c r="K819" s="321" t="str">
        <f t="shared" si="2"/>
        <v>-</v>
      </c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ht="15.75" customHeight="1">
      <c r="A820" s="313" t="s">
        <v>1089</v>
      </c>
      <c r="B820" s="314"/>
      <c r="C820" s="315"/>
      <c r="D820" s="315"/>
      <c r="E820" s="317"/>
      <c r="F820" s="318" t="str">
        <f t="shared" si="1"/>
        <v>TP819 -  -  - </v>
      </c>
      <c r="G820" s="319">
        <f>SUMIF('ADV - FB'!L:L,$A820,'ADV - FB'!E:E)</f>
        <v>0</v>
      </c>
      <c r="H820" s="320" t="str">
        <f>IFERROR(SUMIF('ADV - FB'!L:L,$A820,'ADV - FB'!H:H)/(SUMIF('ADV - FB'!L:L,$A820,'ADV - FB'!G:G)),"-")</f>
        <v>-</v>
      </c>
      <c r="I820" s="321" t="str">
        <f>IFERROR(SUMIF('ADV - FB'!L:L,$A820,'ADV - FB'!E:E)/(SUMIF('ADV - FB'!L:L,$A820,'ADV - FB'!F:F)),"-")</f>
        <v>-</v>
      </c>
      <c r="J820" s="315">
        <f>SUMIF('ADV - FB'!L:L,$A820,'ADV - FB'!I:I)+SUMIF('ADV - FB'!L:L,$A820,'ADV - FB'!J:J)+SUMIF('ADV - FB'!L:L,$A820,'ADV - FB'!K:K)</f>
        <v>0</v>
      </c>
      <c r="K820" s="321" t="str">
        <f t="shared" si="2"/>
        <v>-</v>
      </c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ht="15.75" customHeight="1">
      <c r="A821" s="313" t="s">
        <v>1090</v>
      </c>
      <c r="B821" s="314"/>
      <c r="C821" s="315"/>
      <c r="D821" s="315"/>
      <c r="E821" s="317"/>
      <c r="F821" s="318" t="str">
        <f t="shared" si="1"/>
        <v>TP820 -  -  - </v>
      </c>
      <c r="G821" s="319">
        <f>SUMIF('ADV - FB'!L:L,$A821,'ADV - FB'!E:E)</f>
        <v>0</v>
      </c>
      <c r="H821" s="320" t="str">
        <f>IFERROR(SUMIF('ADV - FB'!L:L,$A821,'ADV - FB'!H:H)/(SUMIF('ADV - FB'!L:L,$A821,'ADV - FB'!G:G)),"-")</f>
        <v>-</v>
      </c>
      <c r="I821" s="321" t="str">
        <f>IFERROR(SUMIF('ADV - FB'!L:L,$A821,'ADV - FB'!E:E)/(SUMIF('ADV - FB'!L:L,$A821,'ADV - FB'!F:F)),"-")</f>
        <v>-</v>
      </c>
      <c r="J821" s="315">
        <f>SUMIF('ADV - FB'!L:L,$A821,'ADV - FB'!I:I)+SUMIF('ADV - FB'!L:L,$A821,'ADV - FB'!J:J)+SUMIF('ADV - FB'!L:L,$A821,'ADV - FB'!K:K)</f>
        <v>0</v>
      </c>
      <c r="K821" s="321" t="str">
        <f t="shared" si="2"/>
        <v>-</v>
      </c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ht="15.75" customHeight="1">
      <c r="A822" s="313" t="s">
        <v>1091</v>
      </c>
      <c r="B822" s="314"/>
      <c r="C822" s="315"/>
      <c r="D822" s="315"/>
      <c r="E822" s="317"/>
      <c r="F822" s="318" t="str">
        <f t="shared" si="1"/>
        <v>TP821 -  -  - </v>
      </c>
      <c r="G822" s="319">
        <f>SUMIF('ADV - FB'!L:L,$A822,'ADV - FB'!E:E)</f>
        <v>0</v>
      </c>
      <c r="H822" s="320" t="str">
        <f>IFERROR(SUMIF('ADV - FB'!L:L,$A822,'ADV - FB'!H:H)/(SUMIF('ADV - FB'!L:L,$A822,'ADV - FB'!G:G)),"-")</f>
        <v>-</v>
      </c>
      <c r="I822" s="321" t="str">
        <f>IFERROR(SUMIF('ADV - FB'!L:L,$A822,'ADV - FB'!E:E)/(SUMIF('ADV - FB'!L:L,$A822,'ADV - FB'!F:F)),"-")</f>
        <v>-</v>
      </c>
      <c r="J822" s="315">
        <f>SUMIF('ADV - FB'!L:L,$A822,'ADV - FB'!I:I)+SUMIF('ADV - FB'!L:L,$A822,'ADV - FB'!J:J)+SUMIF('ADV - FB'!L:L,$A822,'ADV - FB'!K:K)</f>
        <v>0</v>
      </c>
      <c r="K822" s="321" t="str">
        <f t="shared" si="2"/>
        <v>-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ht="15.75" customHeight="1">
      <c r="A823" s="313" t="s">
        <v>1092</v>
      </c>
      <c r="B823" s="314"/>
      <c r="C823" s="315"/>
      <c r="D823" s="315"/>
      <c r="E823" s="317"/>
      <c r="F823" s="318" t="str">
        <f t="shared" si="1"/>
        <v>TP822 -  -  - </v>
      </c>
      <c r="G823" s="319">
        <f>SUMIF('ADV - FB'!L:L,$A823,'ADV - FB'!E:E)</f>
        <v>0</v>
      </c>
      <c r="H823" s="320" t="str">
        <f>IFERROR(SUMIF('ADV - FB'!L:L,$A823,'ADV - FB'!H:H)/(SUMIF('ADV - FB'!L:L,$A823,'ADV - FB'!G:G)),"-")</f>
        <v>-</v>
      </c>
      <c r="I823" s="321" t="str">
        <f>IFERROR(SUMIF('ADV - FB'!L:L,$A823,'ADV - FB'!E:E)/(SUMIF('ADV - FB'!L:L,$A823,'ADV - FB'!F:F)),"-")</f>
        <v>-</v>
      </c>
      <c r="J823" s="315">
        <f>SUMIF('ADV - FB'!L:L,$A823,'ADV - FB'!I:I)+SUMIF('ADV - FB'!L:L,$A823,'ADV - FB'!J:J)+SUMIF('ADV - FB'!L:L,$A823,'ADV - FB'!K:K)</f>
        <v>0</v>
      </c>
      <c r="K823" s="321" t="str">
        <f t="shared" si="2"/>
        <v>-</v>
      </c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ht="15.75" customHeight="1">
      <c r="A824" s="313" t="s">
        <v>1093</v>
      </c>
      <c r="B824" s="314"/>
      <c r="C824" s="315"/>
      <c r="D824" s="315"/>
      <c r="E824" s="317"/>
      <c r="F824" s="318" t="str">
        <f t="shared" si="1"/>
        <v>TP823 -  -  - </v>
      </c>
      <c r="G824" s="319">
        <f>SUMIF('ADV - FB'!L:L,$A824,'ADV - FB'!E:E)</f>
        <v>0</v>
      </c>
      <c r="H824" s="320" t="str">
        <f>IFERROR(SUMIF('ADV - FB'!L:L,$A824,'ADV - FB'!H:H)/(SUMIF('ADV - FB'!L:L,$A824,'ADV - FB'!G:G)),"-")</f>
        <v>-</v>
      </c>
      <c r="I824" s="321" t="str">
        <f>IFERROR(SUMIF('ADV - FB'!L:L,$A824,'ADV - FB'!E:E)/(SUMIF('ADV - FB'!L:L,$A824,'ADV - FB'!F:F)),"-")</f>
        <v>-</v>
      </c>
      <c r="J824" s="315">
        <f>SUMIF('ADV - FB'!L:L,$A824,'ADV - FB'!I:I)+SUMIF('ADV - FB'!L:L,$A824,'ADV - FB'!J:J)+SUMIF('ADV - FB'!L:L,$A824,'ADV - FB'!K:K)</f>
        <v>0</v>
      </c>
      <c r="K824" s="321" t="str">
        <f t="shared" si="2"/>
        <v>-</v>
      </c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ht="15.75" customHeight="1">
      <c r="A825" s="313" t="s">
        <v>1094</v>
      </c>
      <c r="B825" s="314"/>
      <c r="C825" s="315"/>
      <c r="D825" s="315"/>
      <c r="E825" s="317"/>
      <c r="F825" s="318" t="str">
        <f t="shared" si="1"/>
        <v>TP824 -  -  - </v>
      </c>
      <c r="G825" s="319">
        <f>SUMIF('ADV - FB'!L:L,$A825,'ADV - FB'!E:E)</f>
        <v>0</v>
      </c>
      <c r="H825" s="320" t="str">
        <f>IFERROR(SUMIF('ADV - FB'!L:L,$A825,'ADV - FB'!H:H)/(SUMIF('ADV - FB'!L:L,$A825,'ADV - FB'!G:G)),"-")</f>
        <v>-</v>
      </c>
      <c r="I825" s="321" t="str">
        <f>IFERROR(SUMIF('ADV - FB'!L:L,$A825,'ADV - FB'!E:E)/(SUMIF('ADV - FB'!L:L,$A825,'ADV - FB'!F:F)),"-")</f>
        <v>-</v>
      </c>
      <c r="J825" s="315">
        <f>SUMIF('ADV - FB'!L:L,$A825,'ADV - FB'!I:I)+SUMIF('ADV - FB'!L:L,$A825,'ADV - FB'!J:J)+SUMIF('ADV - FB'!L:L,$A825,'ADV - FB'!K:K)</f>
        <v>0</v>
      </c>
      <c r="K825" s="321" t="str">
        <f t="shared" si="2"/>
        <v>-</v>
      </c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ht="15.75" customHeight="1">
      <c r="A826" s="313" t="s">
        <v>1095</v>
      </c>
      <c r="B826" s="314"/>
      <c r="C826" s="315"/>
      <c r="D826" s="315"/>
      <c r="E826" s="317"/>
      <c r="F826" s="318" t="str">
        <f t="shared" si="1"/>
        <v>TP825 -  -  - </v>
      </c>
      <c r="G826" s="319">
        <f>SUMIF('ADV - FB'!L:L,$A826,'ADV - FB'!E:E)</f>
        <v>0</v>
      </c>
      <c r="H826" s="320" t="str">
        <f>IFERROR(SUMIF('ADV - FB'!L:L,$A826,'ADV - FB'!H:H)/(SUMIF('ADV - FB'!L:L,$A826,'ADV - FB'!G:G)),"-")</f>
        <v>-</v>
      </c>
      <c r="I826" s="321" t="str">
        <f>IFERROR(SUMIF('ADV - FB'!L:L,$A826,'ADV - FB'!E:E)/(SUMIF('ADV - FB'!L:L,$A826,'ADV - FB'!F:F)),"-")</f>
        <v>-</v>
      </c>
      <c r="J826" s="315">
        <f>SUMIF('ADV - FB'!L:L,$A826,'ADV - FB'!I:I)+SUMIF('ADV - FB'!L:L,$A826,'ADV - FB'!J:J)+SUMIF('ADV - FB'!L:L,$A826,'ADV - FB'!K:K)</f>
        <v>0</v>
      </c>
      <c r="K826" s="321" t="str">
        <f t="shared" si="2"/>
        <v>-</v>
      </c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ht="15.75" customHeight="1">
      <c r="A827" s="313" t="s">
        <v>1096</v>
      </c>
      <c r="B827" s="314"/>
      <c r="C827" s="315"/>
      <c r="D827" s="315"/>
      <c r="E827" s="317"/>
      <c r="F827" s="318" t="str">
        <f t="shared" si="1"/>
        <v>TP826 -  -  - </v>
      </c>
      <c r="G827" s="319">
        <f>SUMIF('ADV - FB'!L:L,$A827,'ADV - FB'!E:E)</f>
        <v>0</v>
      </c>
      <c r="H827" s="320" t="str">
        <f>IFERROR(SUMIF('ADV - FB'!L:L,$A827,'ADV - FB'!H:H)/(SUMIF('ADV - FB'!L:L,$A827,'ADV - FB'!G:G)),"-")</f>
        <v>-</v>
      </c>
      <c r="I827" s="321" t="str">
        <f>IFERROR(SUMIF('ADV - FB'!L:L,$A827,'ADV - FB'!E:E)/(SUMIF('ADV - FB'!L:L,$A827,'ADV - FB'!F:F)),"-")</f>
        <v>-</v>
      </c>
      <c r="J827" s="315">
        <f>SUMIF('ADV - FB'!L:L,$A827,'ADV - FB'!I:I)+SUMIF('ADV - FB'!L:L,$A827,'ADV - FB'!J:J)+SUMIF('ADV - FB'!L:L,$A827,'ADV - FB'!K:K)</f>
        <v>0</v>
      </c>
      <c r="K827" s="321" t="str">
        <f t="shared" si="2"/>
        <v>-</v>
      </c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ht="15.75" customHeight="1">
      <c r="A828" s="313" t="s">
        <v>1097</v>
      </c>
      <c r="B828" s="314"/>
      <c r="C828" s="315"/>
      <c r="D828" s="315"/>
      <c r="E828" s="317"/>
      <c r="F828" s="318" t="str">
        <f t="shared" si="1"/>
        <v>TP827 -  -  - </v>
      </c>
      <c r="G828" s="319">
        <f>SUMIF('ADV - FB'!L:L,$A828,'ADV - FB'!E:E)</f>
        <v>0</v>
      </c>
      <c r="H828" s="320" t="str">
        <f>IFERROR(SUMIF('ADV - FB'!L:L,$A828,'ADV - FB'!H:H)/(SUMIF('ADV - FB'!L:L,$A828,'ADV - FB'!G:G)),"-")</f>
        <v>-</v>
      </c>
      <c r="I828" s="321" t="str">
        <f>IFERROR(SUMIF('ADV - FB'!L:L,$A828,'ADV - FB'!E:E)/(SUMIF('ADV - FB'!L:L,$A828,'ADV - FB'!F:F)),"-")</f>
        <v>-</v>
      </c>
      <c r="J828" s="315">
        <f>SUMIF('ADV - FB'!L:L,$A828,'ADV - FB'!I:I)+SUMIF('ADV - FB'!L:L,$A828,'ADV - FB'!J:J)+SUMIF('ADV - FB'!L:L,$A828,'ADV - FB'!K:K)</f>
        <v>0</v>
      </c>
      <c r="K828" s="321" t="str">
        <f t="shared" si="2"/>
        <v>-</v>
      </c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ht="15.75" customHeight="1">
      <c r="A829" s="313" t="s">
        <v>1098</v>
      </c>
      <c r="B829" s="314"/>
      <c r="C829" s="315"/>
      <c r="D829" s="315"/>
      <c r="E829" s="317"/>
      <c r="F829" s="318" t="str">
        <f t="shared" si="1"/>
        <v>TP828 -  -  - </v>
      </c>
      <c r="G829" s="319">
        <f>SUMIF('ADV - FB'!L:L,$A829,'ADV - FB'!E:E)</f>
        <v>0</v>
      </c>
      <c r="H829" s="320" t="str">
        <f>IFERROR(SUMIF('ADV - FB'!L:L,$A829,'ADV - FB'!H:H)/(SUMIF('ADV - FB'!L:L,$A829,'ADV - FB'!G:G)),"-")</f>
        <v>-</v>
      </c>
      <c r="I829" s="321" t="str">
        <f>IFERROR(SUMIF('ADV - FB'!L:L,$A829,'ADV - FB'!E:E)/(SUMIF('ADV - FB'!L:L,$A829,'ADV - FB'!F:F)),"-")</f>
        <v>-</v>
      </c>
      <c r="J829" s="315">
        <f>SUMIF('ADV - FB'!L:L,$A829,'ADV - FB'!I:I)+SUMIF('ADV - FB'!L:L,$A829,'ADV - FB'!J:J)+SUMIF('ADV - FB'!L:L,$A829,'ADV - FB'!K:K)</f>
        <v>0</v>
      </c>
      <c r="K829" s="321" t="str">
        <f t="shared" si="2"/>
        <v>-</v>
      </c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ht="15.75" customHeight="1">
      <c r="A830" s="313" t="s">
        <v>1099</v>
      </c>
      <c r="B830" s="314"/>
      <c r="C830" s="315"/>
      <c r="D830" s="315"/>
      <c r="E830" s="317"/>
      <c r="F830" s="318" t="str">
        <f t="shared" si="1"/>
        <v>TP829 -  -  - </v>
      </c>
      <c r="G830" s="319">
        <f>SUMIF('ADV - FB'!L:L,$A830,'ADV - FB'!E:E)</f>
        <v>0</v>
      </c>
      <c r="H830" s="320" t="str">
        <f>IFERROR(SUMIF('ADV - FB'!L:L,$A830,'ADV - FB'!H:H)/(SUMIF('ADV - FB'!L:L,$A830,'ADV - FB'!G:G)),"-")</f>
        <v>-</v>
      </c>
      <c r="I830" s="321" t="str">
        <f>IFERROR(SUMIF('ADV - FB'!L:L,$A830,'ADV - FB'!E:E)/(SUMIF('ADV - FB'!L:L,$A830,'ADV - FB'!F:F)),"-")</f>
        <v>-</v>
      </c>
      <c r="J830" s="315">
        <f>SUMIF('ADV - FB'!L:L,$A830,'ADV - FB'!I:I)+SUMIF('ADV - FB'!L:L,$A830,'ADV - FB'!J:J)+SUMIF('ADV - FB'!L:L,$A830,'ADV - FB'!K:K)</f>
        <v>0</v>
      </c>
      <c r="K830" s="321" t="str">
        <f t="shared" si="2"/>
        <v>-</v>
      </c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ht="15.75" customHeight="1">
      <c r="A831" s="313" t="s">
        <v>1100</v>
      </c>
      <c r="B831" s="314"/>
      <c r="C831" s="315"/>
      <c r="D831" s="315"/>
      <c r="E831" s="317"/>
      <c r="F831" s="318" t="str">
        <f t="shared" si="1"/>
        <v>TP830 -  -  - </v>
      </c>
      <c r="G831" s="319">
        <f>SUMIF('ADV - FB'!L:L,$A831,'ADV - FB'!E:E)</f>
        <v>0</v>
      </c>
      <c r="H831" s="320" t="str">
        <f>IFERROR(SUMIF('ADV - FB'!L:L,$A831,'ADV - FB'!H:H)/(SUMIF('ADV - FB'!L:L,$A831,'ADV - FB'!G:G)),"-")</f>
        <v>-</v>
      </c>
      <c r="I831" s="321" t="str">
        <f>IFERROR(SUMIF('ADV - FB'!L:L,$A831,'ADV - FB'!E:E)/(SUMIF('ADV - FB'!L:L,$A831,'ADV - FB'!F:F)),"-")</f>
        <v>-</v>
      </c>
      <c r="J831" s="315">
        <f>SUMIF('ADV - FB'!L:L,$A831,'ADV - FB'!I:I)+SUMIF('ADV - FB'!L:L,$A831,'ADV - FB'!J:J)+SUMIF('ADV - FB'!L:L,$A831,'ADV - FB'!K:K)</f>
        <v>0</v>
      </c>
      <c r="K831" s="321" t="str">
        <f t="shared" si="2"/>
        <v>-</v>
      </c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ht="15.75" customHeight="1">
      <c r="A832" s="313" t="s">
        <v>1101</v>
      </c>
      <c r="B832" s="314"/>
      <c r="C832" s="315"/>
      <c r="D832" s="315"/>
      <c r="E832" s="317"/>
      <c r="F832" s="318" t="str">
        <f t="shared" si="1"/>
        <v>TP831 -  -  - </v>
      </c>
      <c r="G832" s="319">
        <f>SUMIF('ADV - FB'!L:L,$A832,'ADV - FB'!E:E)</f>
        <v>0</v>
      </c>
      <c r="H832" s="320" t="str">
        <f>IFERROR(SUMIF('ADV - FB'!L:L,$A832,'ADV - FB'!H:H)/(SUMIF('ADV - FB'!L:L,$A832,'ADV - FB'!G:G)),"-")</f>
        <v>-</v>
      </c>
      <c r="I832" s="321" t="str">
        <f>IFERROR(SUMIF('ADV - FB'!L:L,$A832,'ADV - FB'!E:E)/(SUMIF('ADV - FB'!L:L,$A832,'ADV - FB'!F:F)),"-")</f>
        <v>-</v>
      </c>
      <c r="J832" s="315">
        <f>SUMIF('ADV - FB'!L:L,$A832,'ADV - FB'!I:I)+SUMIF('ADV - FB'!L:L,$A832,'ADV - FB'!J:J)+SUMIF('ADV - FB'!L:L,$A832,'ADV - FB'!K:K)</f>
        <v>0</v>
      </c>
      <c r="K832" s="321" t="str">
        <f t="shared" si="2"/>
        <v>-</v>
      </c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ht="15.75" customHeight="1">
      <c r="A833" s="313" t="s">
        <v>1102</v>
      </c>
      <c r="B833" s="314"/>
      <c r="C833" s="315"/>
      <c r="D833" s="315"/>
      <c r="E833" s="317"/>
      <c r="F833" s="318" t="str">
        <f t="shared" si="1"/>
        <v>TP832 -  -  - </v>
      </c>
      <c r="G833" s="319">
        <f>SUMIF('ADV - FB'!L:L,$A833,'ADV - FB'!E:E)</f>
        <v>0</v>
      </c>
      <c r="H833" s="320" t="str">
        <f>IFERROR(SUMIF('ADV - FB'!L:L,$A833,'ADV - FB'!H:H)/(SUMIF('ADV - FB'!L:L,$A833,'ADV - FB'!G:G)),"-")</f>
        <v>-</v>
      </c>
      <c r="I833" s="321" t="str">
        <f>IFERROR(SUMIF('ADV - FB'!L:L,$A833,'ADV - FB'!E:E)/(SUMIF('ADV - FB'!L:L,$A833,'ADV - FB'!F:F)),"-")</f>
        <v>-</v>
      </c>
      <c r="J833" s="315">
        <f>SUMIF('ADV - FB'!L:L,$A833,'ADV - FB'!I:I)+SUMIF('ADV - FB'!L:L,$A833,'ADV - FB'!J:J)+SUMIF('ADV - FB'!L:L,$A833,'ADV - FB'!K:K)</f>
        <v>0</v>
      </c>
      <c r="K833" s="321" t="str">
        <f t="shared" si="2"/>
        <v>-</v>
      </c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ht="15.75" customHeight="1">
      <c r="A834" s="313" t="s">
        <v>1103</v>
      </c>
      <c r="B834" s="314"/>
      <c r="C834" s="315"/>
      <c r="D834" s="315"/>
      <c r="E834" s="317"/>
      <c r="F834" s="318" t="str">
        <f t="shared" si="1"/>
        <v>TP833 -  -  - </v>
      </c>
      <c r="G834" s="319">
        <f>SUMIF('ADV - FB'!L:L,$A834,'ADV - FB'!E:E)</f>
        <v>0</v>
      </c>
      <c r="H834" s="320" t="str">
        <f>IFERROR(SUMIF('ADV - FB'!L:L,$A834,'ADV - FB'!H:H)/(SUMIF('ADV - FB'!L:L,$A834,'ADV - FB'!G:G)),"-")</f>
        <v>-</v>
      </c>
      <c r="I834" s="321" t="str">
        <f>IFERROR(SUMIF('ADV - FB'!L:L,$A834,'ADV - FB'!E:E)/(SUMIF('ADV - FB'!L:L,$A834,'ADV - FB'!F:F)),"-")</f>
        <v>-</v>
      </c>
      <c r="J834" s="315">
        <f>SUMIF('ADV - FB'!L:L,$A834,'ADV - FB'!I:I)+SUMIF('ADV - FB'!L:L,$A834,'ADV - FB'!J:J)+SUMIF('ADV - FB'!L:L,$A834,'ADV - FB'!K:K)</f>
        <v>0</v>
      </c>
      <c r="K834" s="321" t="str">
        <f t="shared" si="2"/>
        <v>-</v>
      </c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ht="15.75" customHeight="1">
      <c r="A835" s="313" t="s">
        <v>1104</v>
      </c>
      <c r="B835" s="314"/>
      <c r="C835" s="315"/>
      <c r="D835" s="315"/>
      <c r="E835" s="317"/>
      <c r="F835" s="318" t="str">
        <f t="shared" si="1"/>
        <v>TP834 -  -  - </v>
      </c>
      <c r="G835" s="319">
        <f>SUMIF('ADV - FB'!L:L,$A835,'ADV - FB'!E:E)</f>
        <v>0</v>
      </c>
      <c r="H835" s="320" t="str">
        <f>IFERROR(SUMIF('ADV - FB'!L:L,$A835,'ADV - FB'!H:H)/(SUMIF('ADV - FB'!L:L,$A835,'ADV - FB'!G:G)),"-")</f>
        <v>-</v>
      </c>
      <c r="I835" s="321" t="str">
        <f>IFERROR(SUMIF('ADV - FB'!L:L,$A835,'ADV - FB'!E:E)/(SUMIF('ADV - FB'!L:L,$A835,'ADV - FB'!F:F)),"-")</f>
        <v>-</v>
      </c>
      <c r="J835" s="315">
        <f>SUMIF('ADV - FB'!L:L,$A835,'ADV - FB'!I:I)+SUMIF('ADV - FB'!L:L,$A835,'ADV - FB'!J:J)+SUMIF('ADV - FB'!L:L,$A835,'ADV - FB'!K:K)</f>
        <v>0</v>
      </c>
      <c r="K835" s="321" t="str">
        <f t="shared" si="2"/>
        <v>-</v>
      </c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ht="15.75" customHeight="1">
      <c r="A836" s="313" t="s">
        <v>1105</v>
      </c>
      <c r="B836" s="314"/>
      <c r="C836" s="315"/>
      <c r="D836" s="315"/>
      <c r="E836" s="317"/>
      <c r="F836" s="318" t="str">
        <f t="shared" si="1"/>
        <v>TP835 -  -  - </v>
      </c>
      <c r="G836" s="319">
        <f>SUMIF('ADV - FB'!L:L,$A836,'ADV - FB'!E:E)</f>
        <v>0</v>
      </c>
      <c r="H836" s="320" t="str">
        <f>IFERROR(SUMIF('ADV - FB'!L:L,$A836,'ADV - FB'!H:H)/(SUMIF('ADV - FB'!L:L,$A836,'ADV - FB'!G:G)),"-")</f>
        <v>-</v>
      </c>
      <c r="I836" s="321" t="str">
        <f>IFERROR(SUMIF('ADV - FB'!L:L,$A836,'ADV - FB'!E:E)/(SUMIF('ADV - FB'!L:L,$A836,'ADV - FB'!F:F)),"-")</f>
        <v>-</v>
      </c>
      <c r="J836" s="315">
        <f>SUMIF('ADV - FB'!L:L,$A836,'ADV - FB'!I:I)+SUMIF('ADV - FB'!L:L,$A836,'ADV - FB'!J:J)+SUMIF('ADV - FB'!L:L,$A836,'ADV - FB'!K:K)</f>
        <v>0</v>
      </c>
      <c r="K836" s="321" t="str">
        <f t="shared" si="2"/>
        <v>-</v>
      </c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ht="15.75" customHeight="1">
      <c r="A837" s="313" t="s">
        <v>1106</v>
      </c>
      <c r="B837" s="314"/>
      <c r="C837" s="315"/>
      <c r="D837" s="315"/>
      <c r="E837" s="317"/>
      <c r="F837" s="318" t="str">
        <f t="shared" si="1"/>
        <v>TP836 -  -  - </v>
      </c>
      <c r="G837" s="319">
        <f>SUMIF('ADV - FB'!L:L,$A837,'ADV - FB'!E:E)</f>
        <v>0</v>
      </c>
      <c r="H837" s="320" t="str">
        <f>IFERROR(SUMIF('ADV - FB'!L:L,$A837,'ADV - FB'!H:H)/(SUMIF('ADV - FB'!L:L,$A837,'ADV - FB'!G:G)),"-")</f>
        <v>-</v>
      </c>
      <c r="I837" s="321" t="str">
        <f>IFERROR(SUMIF('ADV - FB'!L:L,$A837,'ADV - FB'!E:E)/(SUMIF('ADV - FB'!L:L,$A837,'ADV - FB'!F:F)),"-")</f>
        <v>-</v>
      </c>
      <c r="J837" s="315">
        <f>SUMIF('ADV - FB'!L:L,$A837,'ADV - FB'!I:I)+SUMIF('ADV - FB'!L:L,$A837,'ADV - FB'!J:J)+SUMIF('ADV - FB'!L:L,$A837,'ADV - FB'!K:K)</f>
        <v>0</v>
      </c>
      <c r="K837" s="321" t="str">
        <f t="shared" si="2"/>
        <v>-</v>
      </c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ht="15.75" customHeight="1">
      <c r="A838" s="313" t="s">
        <v>1107</v>
      </c>
      <c r="B838" s="314"/>
      <c r="C838" s="315"/>
      <c r="D838" s="315"/>
      <c r="E838" s="317"/>
      <c r="F838" s="318" t="str">
        <f t="shared" si="1"/>
        <v>TP837 -  -  - </v>
      </c>
      <c r="G838" s="319">
        <f>SUMIF('ADV - FB'!L:L,$A838,'ADV - FB'!E:E)</f>
        <v>0</v>
      </c>
      <c r="H838" s="320" t="str">
        <f>IFERROR(SUMIF('ADV - FB'!L:L,$A838,'ADV - FB'!H:H)/(SUMIF('ADV - FB'!L:L,$A838,'ADV - FB'!G:G)),"-")</f>
        <v>-</v>
      </c>
      <c r="I838" s="321" t="str">
        <f>IFERROR(SUMIF('ADV - FB'!L:L,$A838,'ADV - FB'!E:E)/(SUMIF('ADV - FB'!L:L,$A838,'ADV - FB'!F:F)),"-")</f>
        <v>-</v>
      </c>
      <c r="J838" s="315">
        <f>SUMIF('ADV - FB'!L:L,$A838,'ADV - FB'!I:I)+SUMIF('ADV - FB'!L:L,$A838,'ADV - FB'!J:J)+SUMIF('ADV - FB'!L:L,$A838,'ADV - FB'!K:K)</f>
        <v>0</v>
      </c>
      <c r="K838" s="321" t="str">
        <f t="shared" si="2"/>
        <v>-</v>
      </c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ht="15.75" customHeight="1">
      <c r="A839" s="313" t="s">
        <v>1108</v>
      </c>
      <c r="B839" s="314"/>
      <c r="C839" s="315"/>
      <c r="D839" s="315"/>
      <c r="E839" s="317"/>
      <c r="F839" s="318" t="str">
        <f t="shared" si="1"/>
        <v>TP838 -  -  - </v>
      </c>
      <c r="G839" s="319">
        <f>SUMIF('ADV - FB'!L:L,$A839,'ADV - FB'!E:E)</f>
        <v>0</v>
      </c>
      <c r="H839" s="320" t="str">
        <f>IFERROR(SUMIF('ADV - FB'!L:L,$A839,'ADV - FB'!H:H)/(SUMIF('ADV - FB'!L:L,$A839,'ADV - FB'!G:G)),"-")</f>
        <v>-</v>
      </c>
      <c r="I839" s="321" t="str">
        <f>IFERROR(SUMIF('ADV - FB'!L:L,$A839,'ADV - FB'!E:E)/(SUMIF('ADV - FB'!L:L,$A839,'ADV - FB'!F:F)),"-")</f>
        <v>-</v>
      </c>
      <c r="J839" s="315">
        <f>SUMIF('ADV - FB'!L:L,$A839,'ADV - FB'!I:I)+SUMIF('ADV - FB'!L:L,$A839,'ADV - FB'!J:J)+SUMIF('ADV - FB'!L:L,$A839,'ADV - FB'!K:K)</f>
        <v>0</v>
      </c>
      <c r="K839" s="321" t="str">
        <f t="shared" si="2"/>
        <v>-</v>
      </c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ht="15.75" customHeight="1">
      <c r="A840" s="313" t="s">
        <v>1109</v>
      </c>
      <c r="B840" s="314"/>
      <c r="C840" s="315"/>
      <c r="D840" s="315"/>
      <c r="E840" s="317"/>
      <c r="F840" s="318" t="str">
        <f t="shared" si="1"/>
        <v>TP839 -  -  - </v>
      </c>
      <c r="G840" s="319">
        <f>SUMIF('ADV - FB'!L:L,$A840,'ADV - FB'!E:E)</f>
        <v>0</v>
      </c>
      <c r="H840" s="320" t="str">
        <f>IFERROR(SUMIF('ADV - FB'!L:L,$A840,'ADV - FB'!H:H)/(SUMIF('ADV - FB'!L:L,$A840,'ADV - FB'!G:G)),"-")</f>
        <v>-</v>
      </c>
      <c r="I840" s="321" t="str">
        <f>IFERROR(SUMIF('ADV - FB'!L:L,$A840,'ADV - FB'!E:E)/(SUMIF('ADV - FB'!L:L,$A840,'ADV - FB'!F:F)),"-")</f>
        <v>-</v>
      </c>
      <c r="J840" s="315">
        <f>SUMIF('ADV - FB'!L:L,$A840,'ADV - FB'!I:I)+SUMIF('ADV - FB'!L:L,$A840,'ADV - FB'!J:J)+SUMIF('ADV - FB'!L:L,$A840,'ADV - FB'!K:K)</f>
        <v>0</v>
      </c>
      <c r="K840" s="321" t="str">
        <f t="shared" si="2"/>
        <v>-</v>
      </c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ht="15.75" customHeight="1">
      <c r="A841" s="313" t="s">
        <v>1110</v>
      </c>
      <c r="B841" s="314"/>
      <c r="C841" s="315"/>
      <c r="D841" s="315"/>
      <c r="E841" s="317"/>
      <c r="F841" s="318" t="str">
        <f t="shared" si="1"/>
        <v>TP840 -  -  - </v>
      </c>
      <c r="G841" s="319">
        <f>SUMIF('ADV - FB'!L:L,$A841,'ADV - FB'!E:E)</f>
        <v>0</v>
      </c>
      <c r="H841" s="320" t="str">
        <f>IFERROR(SUMIF('ADV - FB'!L:L,$A841,'ADV - FB'!H:H)/(SUMIF('ADV - FB'!L:L,$A841,'ADV - FB'!G:G)),"-")</f>
        <v>-</v>
      </c>
      <c r="I841" s="321" t="str">
        <f>IFERROR(SUMIF('ADV - FB'!L:L,$A841,'ADV - FB'!E:E)/(SUMIF('ADV - FB'!L:L,$A841,'ADV - FB'!F:F)),"-")</f>
        <v>-</v>
      </c>
      <c r="J841" s="315">
        <f>SUMIF('ADV - FB'!L:L,$A841,'ADV - FB'!I:I)+SUMIF('ADV - FB'!L:L,$A841,'ADV - FB'!J:J)+SUMIF('ADV - FB'!L:L,$A841,'ADV - FB'!K:K)</f>
        <v>0</v>
      </c>
      <c r="K841" s="321" t="str">
        <f t="shared" si="2"/>
        <v>-</v>
      </c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ht="15.75" customHeight="1">
      <c r="A842" s="313" t="s">
        <v>1111</v>
      </c>
      <c r="B842" s="314"/>
      <c r="C842" s="315"/>
      <c r="D842" s="315"/>
      <c r="E842" s="317"/>
      <c r="F842" s="318" t="str">
        <f t="shared" si="1"/>
        <v>TP841 -  -  - </v>
      </c>
      <c r="G842" s="319">
        <f>SUMIF('ADV - FB'!L:L,$A842,'ADV - FB'!E:E)</f>
        <v>0</v>
      </c>
      <c r="H842" s="320" t="str">
        <f>IFERROR(SUMIF('ADV - FB'!L:L,$A842,'ADV - FB'!H:H)/(SUMIF('ADV - FB'!L:L,$A842,'ADV - FB'!G:G)),"-")</f>
        <v>-</v>
      </c>
      <c r="I842" s="321" t="str">
        <f>IFERROR(SUMIF('ADV - FB'!L:L,$A842,'ADV - FB'!E:E)/(SUMIF('ADV - FB'!L:L,$A842,'ADV - FB'!F:F)),"-")</f>
        <v>-</v>
      </c>
      <c r="J842" s="315">
        <f>SUMIF('ADV - FB'!L:L,$A842,'ADV - FB'!I:I)+SUMIF('ADV - FB'!L:L,$A842,'ADV - FB'!J:J)+SUMIF('ADV - FB'!L:L,$A842,'ADV - FB'!K:K)</f>
        <v>0</v>
      </c>
      <c r="K842" s="321" t="str">
        <f t="shared" si="2"/>
        <v>-</v>
      </c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ht="15.75" customHeight="1">
      <c r="A843" s="313" t="s">
        <v>1112</v>
      </c>
      <c r="B843" s="314"/>
      <c r="C843" s="315"/>
      <c r="D843" s="315"/>
      <c r="E843" s="317"/>
      <c r="F843" s="318" t="str">
        <f t="shared" si="1"/>
        <v>TP842 -  -  - </v>
      </c>
      <c r="G843" s="319">
        <f>SUMIF('ADV - FB'!L:L,$A843,'ADV - FB'!E:E)</f>
        <v>0</v>
      </c>
      <c r="H843" s="320" t="str">
        <f>IFERROR(SUMIF('ADV - FB'!L:L,$A843,'ADV - FB'!H:H)/(SUMIF('ADV - FB'!L:L,$A843,'ADV - FB'!G:G)),"-")</f>
        <v>-</v>
      </c>
      <c r="I843" s="321" t="str">
        <f>IFERROR(SUMIF('ADV - FB'!L:L,$A843,'ADV - FB'!E:E)/(SUMIF('ADV - FB'!L:L,$A843,'ADV - FB'!F:F)),"-")</f>
        <v>-</v>
      </c>
      <c r="J843" s="315">
        <f>SUMIF('ADV - FB'!L:L,$A843,'ADV - FB'!I:I)+SUMIF('ADV - FB'!L:L,$A843,'ADV - FB'!J:J)+SUMIF('ADV - FB'!L:L,$A843,'ADV - FB'!K:K)</f>
        <v>0</v>
      </c>
      <c r="K843" s="321" t="str">
        <f t="shared" si="2"/>
        <v>-</v>
      </c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ht="15.75" customHeight="1">
      <c r="A844" s="313" t="s">
        <v>1113</v>
      </c>
      <c r="B844" s="314"/>
      <c r="C844" s="315"/>
      <c r="D844" s="315"/>
      <c r="E844" s="317"/>
      <c r="F844" s="318" t="str">
        <f t="shared" si="1"/>
        <v>TP843 -  -  - </v>
      </c>
      <c r="G844" s="319">
        <f>SUMIF('ADV - FB'!L:L,$A844,'ADV - FB'!E:E)</f>
        <v>0</v>
      </c>
      <c r="H844" s="320" t="str">
        <f>IFERROR(SUMIF('ADV - FB'!L:L,$A844,'ADV - FB'!H:H)/(SUMIF('ADV - FB'!L:L,$A844,'ADV - FB'!G:G)),"-")</f>
        <v>-</v>
      </c>
      <c r="I844" s="321" t="str">
        <f>IFERROR(SUMIF('ADV - FB'!L:L,$A844,'ADV - FB'!E:E)/(SUMIF('ADV - FB'!L:L,$A844,'ADV - FB'!F:F)),"-")</f>
        <v>-</v>
      </c>
      <c r="J844" s="315">
        <f>SUMIF('ADV - FB'!L:L,$A844,'ADV - FB'!I:I)+SUMIF('ADV - FB'!L:L,$A844,'ADV - FB'!J:J)+SUMIF('ADV - FB'!L:L,$A844,'ADV - FB'!K:K)</f>
        <v>0</v>
      </c>
      <c r="K844" s="321" t="str">
        <f t="shared" si="2"/>
        <v>-</v>
      </c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ht="15.75" customHeight="1">
      <c r="A845" s="313" t="s">
        <v>1114</v>
      </c>
      <c r="B845" s="314"/>
      <c r="C845" s="315"/>
      <c r="D845" s="315"/>
      <c r="E845" s="317"/>
      <c r="F845" s="318" t="str">
        <f t="shared" si="1"/>
        <v>TP844 -  -  - </v>
      </c>
      <c r="G845" s="319">
        <f>SUMIF('ADV - FB'!L:L,$A845,'ADV - FB'!E:E)</f>
        <v>0</v>
      </c>
      <c r="H845" s="320" t="str">
        <f>IFERROR(SUMIF('ADV - FB'!L:L,$A845,'ADV - FB'!H:H)/(SUMIF('ADV - FB'!L:L,$A845,'ADV - FB'!G:G)),"-")</f>
        <v>-</v>
      </c>
      <c r="I845" s="321" t="str">
        <f>IFERROR(SUMIF('ADV - FB'!L:L,$A845,'ADV - FB'!E:E)/(SUMIF('ADV - FB'!L:L,$A845,'ADV - FB'!F:F)),"-")</f>
        <v>-</v>
      </c>
      <c r="J845" s="315">
        <f>SUMIF('ADV - FB'!L:L,$A845,'ADV - FB'!I:I)+SUMIF('ADV - FB'!L:L,$A845,'ADV - FB'!J:J)+SUMIF('ADV - FB'!L:L,$A845,'ADV - FB'!K:K)</f>
        <v>0</v>
      </c>
      <c r="K845" s="321" t="str">
        <f t="shared" si="2"/>
        <v>-</v>
      </c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ht="15.75" customHeight="1">
      <c r="A846" s="313" t="s">
        <v>1115</v>
      </c>
      <c r="B846" s="314"/>
      <c r="C846" s="315"/>
      <c r="D846" s="315"/>
      <c r="E846" s="317"/>
      <c r="F846" s="318" t="str">
        <f t="shared" si="1"/>
        <v>TP845 -  -  - </v>
      </c>
      <c r="G846" s="319">
        <f>SUMIF('ADV - FB'!L:L,$A846,'ADV - FB'!E:E)</f>
        <v>0</v>
      </c>
      <c r="H846" s="320" t="str">
        <f>IFERROR(SUMIF('ADV - FB'!L:L,$A846,'ADV - FB'!H:H)/(SUMIF('ADV - FB'!L:L,$A846,'ADV - FB'!G:G)),"-")</f>
        <v>-</v>
      </c>
      <c r="I846" s="321" t="str">
        <f>IFERROR(SUMIF('ADV - FB'!L:L,$A846,'ADV - FB'!E:E)/(SUMIF('ADV - FB'!L:L,$A846,'ADV - FB'!F:F)),"-")</f>
        <v>-</v>
      </c>
      <c r="J846" s="315">
        <f>SUMIF('ADV - FB'!L:L,$A846,'ADV - FB'!I:I)+SUMIF('ADV - FB'!L:L,$A846,'ADV - FB'!J:J)+SUMIF('ADV - FB'!L:L,$A846,'ADV - FB'!K:K)</f>
        <v>0</v>
      </c>
      <c r="K846" s="321" t="str">
        <f t="shared" si="2"/>
        <v>-</v>
      </c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ht="15.75" customHeight="1">
      <c r="A847" s="313" t="s">
        <v>1116</v>
      </c>
      <c r="B847" s="314"/>
      <c r="C847" s="315"/>
      <c r="D847" s="315"/>
      <c r="E847" s="317"/>
      <c r="F847" s="318" t="str">
        <f t="shared" si="1"/>
        <v>TP846 -  -  - </v>
      </c>
      <c r="G847" s="319">
        <f>SUMIF('ADV - FB'!L:L,$A847,'ADV - FB'!E:E)</f>
        <v>0</v>
      </c>
      <c r="H847" s="320" t="str">
        <f>IFERROR(SUMIF('ADV - FB'!L:L,$A847,'ADV - FB'!H:H)/(SUMIF('ADV - FB'!L:L,$A847,'ADV - FB'!G:G)),"-")</f>
        <v>-</v>
      </c>
      <c r="I847" s="321" t="str">
        <f>IFERROR(SUMIF('ADV - FB'!L:L,$A847,'ADV - FB'!E:E)/(SUMIF('ADV - FB'!L:L,$A847,'ADV - FB'!F:F)),"-")</f>
        <v>-</v>
      </c>
      <c r="J847" s="315">
        <f>SUMIF('ADV - FB'!L:L,$A847,'ADV - FB'!I:I)+SUMIF('ADV - FB'!L:L,$A847,'ADV - FB'!J:J)+SUMIF('ADV - FB'!L:L,$A847,'ADV - FB'!K:K)</f>
        <v>0</v>
      </c>
      <c r="K847" s="321" t="str">
        <f t="shared" si="2"/>
        <v>-</v>
      </c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ht="15.75" customHeight="1">
      <c r="A848" s="313" t="s">
        <v>1117</v>
      </c>
      <c r="B848" s="314"/>
      <c r="C848" s="315"/>
      <c r="D848" s="315"/>
      <c r="E848" s="317"/>
      <c r="F848" s="318" t="str">
        <f t="shared" si="1"/>
        <v>TP847 -  -  - </v>
      </c>
      <c r="G848" s="319">
        <f>SUMIF('ADV - FB'!L:L,$A848,'ADV - FB'!E:E)</f>
        <v>0</v>
      </c>
      <c r="H848" s="320" t="str">
        <f>IFERROR(SUMIF('ADV - FB'!L:L,$A848,'ADV - FB'!H:H)/(SUMIF('ADV - FB'!L:L,$A848,'ADV - FB'!G:G)),"-")</f>
        <v>-</v>
      </c>
      <c r="I848" s="321" t="str">
        <f>IFERROR(SUMIF('ADV - FB'!L:L,$A848,'ADV - FB'!E:E)/(SUMIF('ADV - FB'!L:L,$A848,'ADV - FB'!F:F)),"-")</f>
        <v>-</v>
      </c>
      <c r="J848" s="315">
        <f>SUMIF('ADV - FB'!L:L,$A848,'ADV - FB'!I:I)+SUMIF('ADV - FB'!L:L,$A848,'ADV - FB'!J:J)+SUMIF('ADV - FB'!L:L,$A848,'ADV - FB'!K:K)</f>
        <v>0</v>
      </c>
      <c r="K848" s="321" t="str">
        <f t="shared" si="2"/>
        <v>-</v>
      </c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ht="15.75" customHeight="1">
      <c r="A849" s="313" t="s">
        <v>1118</v>
      </c>
      <c r="B849" s="314"/>
      <c r="C849" s="315"/>
      <c r="D849" s="315"/>
      <c r="E849" s="317"/>
      <c r="F849" s="318" t="str">
        <f t="shared" si="1"/>
        <v>TP848 -  -  - </v>
      </c>
      <c r="G849" s="319">
        <f>SUMIF('ADV - FB'!L:L,$A849,'ADV - FB'!E:E)</f>
        <v>0</v>
      </c>
      <c r="H849" s="320" t="str">
        <f>IFERROR(SUMIF('ADV - FB'!L:L,$A849,'ADV - FB'!H:H)/(SUMIF('ADV - FB'!L:L,$A849,'ADV - FB'!G:G)),"-")</f>
        <v>-</v>
      </c>
      <c r="I849" s="321" t="str">
        <f>IFERROR(SUMIF('ADV - FB'!L:L,$A849,'ADV - FB'!E:E)/(SUMIF('ADV - FB'!L:L,$A849,'ADV - FB'!F:F)),"-")</f>
        <v>-</v>
      </c>
      <c r="J849" s="315">
        <f>SUMIF('ADV - FB'!L:L,$A849,'ADV - FB'!I:I)+SUMIF('ADV - FB'!L:L,$A849,'ADV - FB'!J:J)+SUMIF('ADV - FB'!L:L,$A849,'ADV - FB'!K:K)</f>
        <v>0</v>
      </c>
      <c r="K849" s="321" t="str">
        <f t="shared" si="2"/>
        <v>-</v>
      </c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ht="15.75" customHeight="1">
      <c r="A850" s="313" t="s">
        <v>1119</v>
      </c>
      <c r="B850" s="314"/>
      <c r="C850" s="315"/>
      <c r="D850" s="315"/>
      <c r="E850" s="317"/>
      <c r="F850" s="318" t="str">
        <f t="shared" si="1"/>
        <v>TP849 -  -  - </v>
      </c>
      <c r="G850" s="319">
        <f>SUMIF('ADV - FB'!L:L,$A850,'ADV - FB'!E:E)</f>
        <v>0</v>
      </c>
      <c r="H850" s="320" t="str">
        <f>IFERROR(SUMIF('ADV - FB'!L:L,$A850,'ADV - FB'!H:H)/(SUMIF('ADV - FB'!L:L,$A850,'ADV - FB'!G:G)),"-")</f>
        <v>-</v>
      </c>
      <c r="I850" s="321" t="str">
        <f>IFERROR(SUMIF('ADV - FB'!L:L,$A850,'ADV - FB'!E:E)/(SUMIF('ADV - FB'!L:L,$A850,'ADV - FB'!F:F)),"-")</f>
        <v>-</v>
      </c>
      <c r="J850" s="315">
        <f>SUMIF('ADV - FB'!L:L,$A850,'ADV - FB'!I:I)+SUMIF('ADV - FB'!L:L,$A850,'ADV - FB'!J:J)+SUMIF('ADV - FB'!L:L,$A850,'ADV - FB'!K:K)</f>
        <v>0</v>
      </c>
      <c r="K850" s="321" t="str">
        <f t="shared" si="2"/>
        <v>-</v>
      </c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ht="15.75" customHeight="1">
      <c r="A851" s="313" t="s">
        <v>1120</v>
      </c>
      <c r="B851" s="314"/>
      <c r="C851" s="315"/>
      <c r="D851" s="315"/>
      <c r="E851" s="317"/>
      <c r="F851" s="318" t="str">
        <f t="shared" si="1"/>
        <v>TP850 -  -  - </v>
      </c>
      <c r="G851" s="319">
        <f>SUMIF('ADV - FB'!L:L,$A851,'ADV - FB'!E:E)</f>
        <v>0</v>
      </c>
      <c r="H851" s="320" t="str">
        <f>IFERROR(SUMIF('ADV - FB'!L:L,$A851,'ADV - FB'!H:H)/(SUMIF('ADV - FB'!L:L,$A851,'ADV - FB'!G:G)),"-")</f>
        <v>-</v>
      </c>
      <c r="I851" s="321" t="str">
        <f>IFERROR(SUMIF('ADV - FB'!L:L,$A851,'ADV - FB'!E:E)/(SUMIF('ADV - FB'!L:L,$A851,'ADV - FB'!F:F)),"-")</f>
        <v>-</v>
      </c>
      <c r="J851" s="315">
        <f>SUMIF('ADV - FB'!L:L,$A851,'ADV - FB'!I:I)+SUMIF('ADV - FB'!L:L,$A851,'ADV - FB'!J:J)+SUMIF('ADV - FB'!L:L,$A851,'ADV - FB'!K:K)</f>
        <v>0</v>
      </c>
      <c r="K851" s="321" t="str">
        <f t="shared" si="2"/>
        <v>-</v>
      </c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ht="15.75" customHeight="1">
      <c r="A852" s="313" t="s">
        <v>1121</v>
      </c>
      <c r="B852" s="314"/>
      <c r="C852" s="315"/>
      <c r="D852" s="315"/>
      <c r="E852" s="317"/>
      <c r="F852" s="318" t="str">
        <f t="shared" si="1"/>
        <v>TP851 -  -  - </v>
      </c>
      <c r="G852" s="319">
        <f>SUMIF('ADV - FB'!L:L,$A852,'ADV - FB'!E:E)</f>
        <v>0</v>
      </c>
      <c r="H852" s="320" t="str">
        <f>IFERROR(SUMIF('ADV - FB'!L:L,$A852,'ADV - FB'!H:H)/(SUMIF('ADV - FB'!L:L,$A852,'ADV - FB'!G:G)),"-")</f>
        <v>-</v>
      </c>
      <c r="I852" s="321" t="str">
        <f>IFERROR(SUMIF('ADV - FB'!L:L,$A852,'ADV - FB'!E:E)/(SUMIF('ADV - FB'!L:L,$A852,'ADV - FB'!F:F)),"-")</f>
        <v>-</v>
      </c>
      <c r="J852" s="315">
        <f>SUMIF('ADV - FB'!L:L,$A852,'ADV - FB'!I:I)+SUMIF('ADV - FB'!L:L,$A852,'ADV - FB'!J:J)+SUMIF('ADV - FB'!L:L,$A852,'ADV - FB'!K:K)</f>
        <v>0</v>
      </c>
      <c r="K852" s="321" t="str">
        <f t="shared" si="2"/>
        <v>-</v>
      </c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ht="15.75" customHeight="1">
      <c r="A853" s="313" t="s">
        <v>1122</v>
      </c>
      <c r="B853" s="314"/>
      <c r="C853" s="315"/>
      <c r="D853" s="315"/>
      <c r="E853" s="317"/>
      <c r="F853" s="318" t="str">
        <f t="shared" si="1"/>
        <v>TP852 -  -  - </v>
      </c>
      <c r="G853" s="319">
        <f>SUMIF('ADV - FB'!L:L,$A853,'ADV - FB'!E:E)</f>
        <v>0</v>
      </c>
      <c r="H853" s="320" t="str">
        <f>IFERROR(SUMIF('ADV - FB'!L:L,$A853,'ADV - FB'!H:H)/(SUMIF('ADV - FB'!L:L,$A853,'ADV - FB'!G:G)),"-")</f>
        <v>-</v>
      </c>
      <c r="I853" s="321" t="str">
        <f>IFERROR(SUMIF('ADV - FB'!L:L,$A853,'ADV - FB'!E:E)/(SUMIF('ADV - FB'!L:L,$A853,'ADV - FB'!F:F)),"-")</f>
        <v>-</v>
      </c>
      <c r="J853" s="315">
        <f>SUMIF('ADV - FB'!L:L,$A853,'ADV - FB'!I:I)+SUMIF('ADV - FB'!L:L,$A853,'ADV - FB'!J:J)+SUMIF('ADV - FB'!L:L,$A853,'ADV - FB'!K:K)</f>
        <v>0</v>
      </c>
      <c r="K853" s="321" t="str">
        <f t="shared" si="2"/>
        <v>-</v>
      </c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ht="15.75" customHeight="1">
      <c r="A854" s="313" t="s">
        <v>1123</v>
      </c>
      <c r="B854" s="314"/>
      <c r="C854" s="315"/>
      <c r="D854" s="315"/>
      <c r="E854" s="317"/>
      <c r="F854" s="318" t="str">
        <f t="shared" si="1"/>
        <v>TP853 -  -  - </v>
      </c>
      <c r="G854" s="319">
        <f>SUMIF('ADV - FB'!L:L,$A854,'ADV - FB'!E:E)</f>
        <v>0</v>
      </c>
      <c r="H854" s="320" t="str">
        <f>IFERROR(SUMIF('ADV - FB'!L:L,$A854,'ADV - FB'!H:H)/(SUMIF('ADV - FB'!L:L,$A854,'ADV - FB'!G:G)),"-")</f>
        <v>-</v>
      </c>
      <c r="I854" s="321" t="str">
        <f>IFERROR(SUMIF('ADV - FB'!L:L,$A854,'ADV - FB'!E:E)/(SUMIF('ADV - FB'!L:L,$A854,'ADV - FB'!F:F)),"-")</f>
        <v>-</v>
      </c>
      <c r="J854" s="315">
        <f>SUMIF('ADV - FB'!L:L,$A854,'ADV - FB'!I:I)+SUMIF('ADV - FB'!L:L,$A854,'ADV - FB'!J:J)+SUMIF('ADV - FB'!L:L,$A854,'ADV - FB'!K:K)</f>
        <v>0</v>
      </c>
      <c r="K854" s="321" t="str">
        <f t="shared" si="2"/>
        <v>-</v>
      </c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ht="15.75" customHeight="1">
      <c r="A855" s="313" t="s">
        <v>1124</v>
      </c>
      <c r="B855" s="314"/>
      <c r="C855" s="315"/>
      <c r="D855" s="315"/>
      <c r="E855" s="317"/>
      <c r="F855" s="318" t="str">
        <f t="shared" si="1"/>
        <v>TP854 -  -  - </v>
      </c>
      <c r="G855" s="319">
        <f>SUMIF('ADV - FB'!L:L,$A855,'ADV - FB'!E:E)</f>
        <v>0</v>
      </c>
      <c r="H855" s="320" t="str">
        <f>IFERROR(SUMIF('ADV - FB'!L:L,$A855,'ADV - FB'!H:H)/(SUMIF('ADV - FB'!L:L,$A855,'ADV - FB'!G:G)),"-")</f>
        <v>-</v>
      </c>
      <c r="I855" s="321" t="str">
        <f>IFERROR(SUMIF('ADV - FB'!L:L,$A855,'ADV - FB'!E:E)/(SUMIF('ADV - FB'!L:L,$A855,'ADV - FB'!F:F)),"-")</f>
        <v>-</v>
      </c>
      <c r="J855" s="315">
        <f>SUMIF('ADV - FB'!L:L,$A855,'ADV - FB'!I:I)+SUMIF('ADV - FB'!L:L,$A855,'ADV - FB'!J:J)+SUMIF('ADV - FB'!L:L,$A855,'ADV - FB'!K:K)</f>
        <v>0</v>
      </c>
      <c r="K855" s="321" t="str">
        <f t="shared" si="2"/>
        <v>-</v>
      </c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ht="15.75" customHeight="1">
      <c r="A856" s="313" t="s">
        <v>1125</v>
      </c>
      <c r="B856" s="314"/>
      <c r="C856" s="315"/>
      <c r="D856" s="315"/>
      <c r="E856" s="317"/>
      <c r="F856" s="318" t="str">
        <f t="shared" si="1"/>
        <v>TP855 -  -  - </v>
      </c>
      <c r="G856" s="319">
        <f>SUMIF('ADV - FB'!L:L,$A856,'ADV - FB'!E:E)</f>
        <v>0</v>
      </c>
      <c r="H856" s="320" t="str">
        <f>IFERROR(SUMIF('ADV - FB'!L:L,$A856,'ADV - FB'!H:H)/(SUMIF('ADV - FB'!L:L,$A856,'ADV - FB'!G:G)),"-")</f>
        <v>-</v>
      </c>
      <c r="I856" s="321" t="str">
        <f>IFERROR(SUMIF('ADV - FB'!L:L,$A856,'ADV - FB'!E:E)/(SUMIF('ADV - FB'!L:L,$A856,'ADV - FB'!F:F)),"-")</f>
        <v>-</v>
      </c>
      <c r="J856" s="315">
        <f>SUMIF('ADV - FB'!L:L,$A856,'ADV - FB'!I:I)+SUMIF('ADV - FB'!L:L,$A856,'ADV - FB'!J:J)+SUMIF('ADV - FB'!L:L,$A856,'ADV - FB'!K:K)</f>
        <v>0</v>
      </c>
      <c r="K856" s="321" t="str">
        <f t="shared" si="2"/>
        <v>-</v>
      </c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ht="15.75" customHeight="1">
      <c r="A857" s="313" t="s">
        <v>1126</v>
      </c>
      <c r="B857" s="314"/>
      <c r="C857" s="315"/>
      <c r="D857" s="315"/>
      <c r="E857" s="317"/>
      <c r="F857" s="318" t="str">
        <f t="shared" si="1"/>
        <v>TP856 -  -  - </v>
      </c>
      <c r="G857" s="319">
        <f>SUMIF('ADV - FB'!L:L,$A857,'ADV - FB'!E:E)</f>
        <v>0</v>
      </c>
      <c r="H857" s="320" t="str">
        <f>IFERROR(SUMIF('ADV - FB'!L:L,$A857,'ADV - FB'!H:H)/(SUMIF('ADV - FB'!L:L,$A857,'ADV - FB'!G:G)),"-")</f>
        <v>-</v>
      </c>
      <c r="I857" s="321" t="str">
        <f>IFERROR(SUMIF('ADV - FB'!L:L,$A857,'ADV - FB'!E:E)/(SUMIF('ADV - FB'!L:L,$A857,'ADV - FB'!F:F)),"-")</f>
        <v>-</v>
      </c>
      <c r="J857" s="315">
        <f>SUMIF('ADV - FB'!L:L,$A857,'ADV - FB'!I:I)+SUMIF('ADV - FB'!L:L,$A857,'ADV - FB'!J:J)+SUMIF('ADV - FB'!L:L,$A857,'ADV - FB'!K:K)</f>
        <v>0</v>
      </c>
      <c r="K857" s="321" t="str">
        <f t="shared" si="2"/>
        <v>-</v>
      </c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ht="15.75" customHeight="1">
      <c r="A858" s="313" t="s">
        <v>1127</v>
      </c>
      <c r="B858" s="314"/>
      <c r="C858" s="315"/>
      <c r="D858" s="315"/>
      <c r="E858" s="317"/>
      <c r="F858" s="318" t="str">
        <f t="shared" si="1"/>
        <v>TP857 -  -  - </v>
      </c>
      <c r="G858" s="319">
        <f>SUMIF('ADV - FB'!L:L,$A858,'ADV - FB'!E:E)</f>
        <v>0</v>
      </c>
      <c r="H858" s="320" t="str">
        <f>IFERROR(SUMIF('ADV - FB'!L:L,$A858,'ADV - FB'!H:H)/(SUMIF('ADV - FB'!L:L,$A858,'ADV - FB'!G:G)),"-")</f>
        <v>-</v>
      </c>
      <c r="I858" s="321" t="str">
        <f>IFERROR(SUMIF('ADV - FB'!L:L,$A858,'ADV - FB'!E:E)/(SUMIF('ADV - FB'!L:L,$A858,'ADV - FB'!F:F)),"-")</f>
        <v>-</v>
      </c>
      <c r="J858" s="315">
        <f>SUMIF('ADV - FB'!L:L,$A858,'ADV - FB'!I:I)+SUMIF('ADV - FB'!L:L,$A858,'ADV - FB'!J:J)+SUMIF('ADV - FB'!L:L,$A858,'ADV - FB'!K:K)</f>
        <v>0</v>
      </c>
      <c r="K858" s="321" t="str">
        <f t="shared" si="2"/>
        <v>-</v>
      </c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ht="15.75" customHeight="1">
      <c r="A859" s="313" t="s">
        <v>1128</v>
      </c>
      <c r="B859" s="314"/>
      <c r="C859" s="315"/>
      <c r="D859" s="315"/>
      <c r="E859" s="317"/>
      <c r="F859" s="318" t="str">
        <f t="shared" si="1"/>
        <v>TP858 -  -  - </v>
      </c>
      <c r="G859" s="319">
        <f>SUMIF('ADV - FB'!L:L,$A859,'ADV - FB'!E:E)</f>
        <v>0</v>
      </c>
      <c r="H859" s="320" t="str">
        <f>IFERROR(SUMIF('ADV - FB'!L:L,$A859,'ADV - FB'!H:H)/(SUMIF('ADV - FB'!L:L,$A859,'ADV - FB'!G:G)),"-")</f>
        <v>-</v>
      </c>
      <c r="I859" s="321" t="str">
        <f>IFERROR(SUMIF('ADV - FB'!L:L,$A859,'ADV - FB'!E:E)/(SUMIF('ADV - FB'!L:L,$A859,'ADV - FB'!F:F)),"-")</f>
        <v>-</v>
      </c>
      <c r="J859" s="315">
        <f>SUMIF('ADV - FB'!L:L,$A859,'ADV - FB'!I:I)+SUMIF('ADV - FB'!L:L,$A859,'ADV - FB'!J:J)+SUMIF('ADV - FB'!L:L,$A859,'ADV - FB'!K:K)</f>
        <v>0</v>
      </c>
      <c r="K859" s="321" t="str">
        <f t="shared" si="2"/>
        <v>-</v>
      </c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ht="15.75" customHeight="1">
      <c r="A860" s="313" t="s">
        <v>1129</v>
      </c>
      <c r="B860" s="314"/>
      <c r="C860" s="315"/>
      <c r="D860" s="315"/>
      <c r="E860" s="317"/>
      <c r="F860" s="318" t="str">
        <f t="shared" si="1"/>
        <v>TP859 -  -  - </v>
      </c>
      <c r="G860" s="319">
        <f>SUMIF('ADV - FB'!L:L,$A860,'ADV - FB'!E:E)</f>
        <v>0</v>
      </c>
      <c r="H860" s="320" t="str">
        <f>IFERROR(SUMIF('ADV - FB'!L:L,$A860,'ADV - FB'!H:H)/(SUMIF('ADV - FB'!L:L,$A860,'ADV - FB'!G:G)),"-")</f>
        <v>-</v>
      </c>
      <c r="I860" s="321" t="str">
        <f>IFERROR(SUMIF('ADV - FB'!L:L,$A860,'ADV - FB'!E:E)/(SUMIF('ADV - FB'!L:L,$A860,'ADV - FB'!F:F)),"-")</f>
        <v>-</v>
      </c>
      <c r="J860" s="315">
        <f>SUMIF('ADV - FB'!L:L,$A860,'ADV - FB'!I:I)+SUMIF('ADV - FB'!L:L,$A860,'ADV - FB'!J:J)+SUMIF('ADV - FB'!L:L,$A860,'ADV - FB'!K:K)</f>
        <v>0</v>
      </c>
      <c r="K860" s="321" t="str">
        <f t="shared" si="2"/>
        <v>-</v>
      </c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ht="15.75" customHeight="1">
      <c r="A861" s="313" t="s">
        <v>1130</v>
      </c>
      <c r="B861" s="314"/>
      <c r="C861" s="315"/>
      <c r="D861" s="315"/>
      <c r="E861" s="317"/>
      <c r="F861" s="318" t="str">
        <f t="shared" si="1"/>
        <v>TP860 -  -  - </v>
      </c>
      <c r="G861" s="319">
        <f>SUMIF('ADV - FB'!L:L,$A861,'ADV - FB'!E:E)</f>
        <v>0</v>
      </c>
      <c r="H861" s="320" t="str">
        <f>IFERROR(SUMIF('ADV - FB'!L:L,$A861,'ADV - FB'!H:H)/(SUMIF('ADV - FB'!L:L,$A861,'ADV - FB'!G:G)),"-")</f>
        <v>-</v>
      </c>
      <c r="I861" s="321" t="str">
        <f>IFERROR(SUMIF('ADV - FB'!L:L,$A861,'ADV - FB'!E:E)/(SUMIF('ADV - FB'!L:L,$A861,'ADV - FB'!F:F)),"-")</f>
        <v>-</v>
      </c>
      <c r="J861" s="315">
        <f>SUMIF('ADV - FB'!L:L,$A861,'ADV - FB'!I:I)+SUMIF('ADV - FB'!L:L,$A861,'ADV - FB'!J:J)+SUMIF('ADV - FB'!L:L,$A861,'ADV - FB'!K:K)</f>
        <v>0</v>
      </c>
      <c r="K861" s="321" t="str">
        <f t="shared" si="2"/>
        <v>-</v>
      </c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ht="15.75" customHeight="1">
      <c r="A862" s="313" t="s">
        <v>1131</v>
      </c>
      <c r="B862" s="314"/>
      <c r="C862" s="315"/>
      <c r="D862" s="315"/>
      <c r="E862" s="317"/>
      <c r="F862" s="318" t="str">
        <f t="shared" si="1"/>
        <v>TP861 -  -  - </v>
      </c>
      <c r="G862" s="319">
        <f>SUMIF('ADV - FB'!L:L,$A862,'ADV - FB'!E:E)</f>
        <v>0</v>
      </c>
      <c r="H862" s="320" t="str">
        <f>IFERROR(SUMIF('ADV - FB'!L:L,$A862,'ADV - FB'!H:H)/(SUMIF('ADV - FB'!L:L,$A862,'ADV - FB'!G:G)),"-")</f>
        <v>-</v>
      </c>
      <c r="I862" s="321" t="str">
        <f>IFERROR(SUMIF('ADV - FB'!L:L,$A862,'ADV - FB'!E:E)/(SUMIF('ADV - FB'!L:L,$A862,'ADV - FB'!F:F)),"-")</f>
        <v>-</v>
      </c>
      <c r="J862" s="315">
        <f>SUMIF('ADV - FB'!L:L,$A862,'ADV - FB'!I:I)+SUMIF('ADV - FB'!L:L,$A862,'ADV - FB'!J:J)+SUMIF('ADV - FB'!L:L,$A862,'ADV - FB'!K:K)</f>
        <v>0</v>
      </c>
      <c r="K862" s="321" t="str">
        <f t="shared" si="2"/>
        <v>-</v>
      </c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ht="15.75" customHeight="1">
      <c r="A863" s="313" t="s">
        <v>1132</v>
      </c>
      <c r="B863" s="314"/>
      <c r="C863" s="315"/>
      <c r="D863" s="315"/>
      <c r="E863" s="317"/>
      <c r="F863" s="318" t="str">
        <f t="shared" si="1"/>
        <v>TP862 -  -  - </v>
      </c>
      <c r="G863" s="319">
        <f>SUMIF('ADV - FB'!L:L,$A863,'ADV - FB'!E:E)</f>
        <v>0</v>
      </c>
      <c r="H863" s="320" t="str">
        <f>IFERROR(SUMIF('ADV - FB'!L:L,$A863,'ADV - FB'!H:H)/(SUMIF('ADV - FB'!L:L,$A863,'ADV - FB'!G:G)),"-")</f>
        <v>-</v>
      </c>
      <c r="I863" s="321" t="str">
        <f>IFERROR(SUMIF('ADV - FB'!L:L,$A863,'ADV - FB'!E:E)/(SUMIF('ADV - FB'!L:L,$A863,'ADV - FB'!F:F)),"-")</f>
        <v>-</v>
      </c>
      <c r="J863" s="315">
        <f>SUMIF('ADV - FB'!L:L,$A863,'ADV - FB'!I:I)+SUMIF('ADV - FB'!L:L,$A863,'ADV - FB'!J:J)+SUMIF('ADV - FB'!L:L,$A863,'ADV - FB'!K:K)</f>
        <v>0</v>
      </c>
      <c r="K863" s="321" t="str">
        <f t="shared" si="2"/>
        <v>-</v>
      </c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ht="15.75" customHeight="1">
      <c r="A864" s="313" t="s">
        <v>1133</v>
      </c>
      <c r="B864" s="314"/>
      <c r="C864" s="315"/>
      <c r="D864" s="315"/>
      <c r="E864" s="317"/>
      <c r="F864" s="318" t="str">
        <f t="shared" si="1"/>
        <v>TP863 -  -  - </v>
      </c>
      <c r="G864" s="319">
        <f>SUMIF('ADV - FB'!L:L,$A864,'ADV - FB'!E:E)</f>
        <v>0</v>
      </c>
      <c r="H864" s="320" t="str">
        <f>IFERROR(SUMIF('ADV - FB'!L:L,$A864,'ADV - FB'!H:H)/(SUMIF('ADV - FB'!L:L,$A864,'ADV - FB'!G:G)),"-")</f>
        <v>-</v>
      </c>
      <c r="I864" s="321" t="str">
        <f>IFERROR(SUMIF('ADV - FB'!L:L,$A864,'ADV - FB'!E:E)/(SUMIF('ADV - FB'!L:L,$A864,'ADV - FB'!F:F)),"-")</f>
        <v>-</v>
      </c>
      <c r="J864" s="315">
        <f>SUMIF('ADV - FB'!L:L,$A864,'ADV - FB'!I:I)+SUMIF('ADV - FB'!L:L,$A864,'ADV - FB'!J:J)+SUMIF('ADV - FB'!L:L,$A864,'ADV - FB'!K:K)</f>
        <v>0</v>
      </c>
      <c r="K864" s="321" t="str">
        <f t="shared" si="2"/>
        <v>-</v>
      </c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ht="15.75" customHeight="1">
      <c r="A865" s="313" t="s">
        <v>1134</v>
      </c>
      <c r="B865" s="314"/>
      <c r="C865" s="315"/>
      <c r="D865" s="315"/>
      <c r="E865" s="317"/>
      <c r="F865" s="318" t="str">
        <f t="shared" si="1"/>
        <v>TP864 -  -  - </v>
      </c>
      <c r="G865" s="319">
        <f>SUMIF('ADV - FB'!L:L,$A865,'ADV - FB'!E:E)</f>
        <v>0</v>
      </c>
      <c r="H865" s="320" t="str">
        <f>IFERROR(SUMIF('ADV - FB'!L:L,$A865,'ADV - FB'!H:H)/(SUMIF('ADV - FB'!L:L,$A865,'ADV - FB'!G:G)),"-")</f>
        <v>-</v>
      </c>
      <c r="I865" s="321" t="str">
        <f>IFERROR(SUMIF('ADV - FB'!L:L,$A865,'ADV - FB'!E:E)/(SUMIF('ADV - FB'!L:L,$A865,'ADV - FB'!F:F)),"-")</f>
        <v>-</v>
      </c>
      <c r="J865" s="315">
        <f>SUMIF('ADV - FB'!L:L,$A865,'ADV - FB'!I:I)+SUMIF('ADV - FB'!L:L,$A865,'ADV - FB'!J:J)+SUMIF('ADV - FB'!L:L,$A865,'ADV - FB'!K:K)</f>
        <v>0</v>
      </c>
      <c r="K865" s="321" t="str">
        <f t="shared" si="2"/>
        <v>-</v>
      </c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ht="15.75" customHeight="1">
      <c r="A866" s="313" t="s">
        <v>1135</v>
      </c>
      <c r="B866" s="314"/>
      <c r="C866" s="315"/>
      <c r="D866" s="315"/>
      <c r="E866" s="317"/>
      <c r="F866" s="318" t="str">
        <f t="shared" si="1"/>
        <v>TP865 -  -  - </v>
      </c>
      <c r="G866" s="319">
        <f>SUMIF('ADV - FB'!L:L,$A866,'ADV - FB'!E:E)</f>
        <v>0</v>
      </c>
      <c r="H866" s="320" t="str">
        <f>IFERROR(SUMIF('ADV - FB'!L:L,$A866,'ADV - FB'!H:H)/(SUMIF('ADV - FB'!L:L,$A866,'ADV - FB'!G:G)),"-")</f>
        <v>-</v>
      </c>
      <c r="I866" s="321" t="str">
        <f>IFERROR(SUMIF('ADV - FB'!L:L,$A866,'ADV - FB'!E:E)/(SUMIF('ADV - FB'!L:L,$A866,'ADV - FB'!F:F)),"-")</f>
        <v>-</v>
      </c>
      <c r="J866" s="315">
        <f>SUMIF('ADV - FB'!L:L,$A866,'ADV - FB'!I:I)+SUMIF('ADV - FB'!L:L,$A866,'ADV - FB'!J:J)+SUMIF('ADV - FB'!L:L,$A866,'ADV - FB'!K:K)</f>
        <v>0</v>
      </c>
      <c r="K866" s="321" t="str">
        <f t="shared" si="2"/>
        <v>-</v>
      </c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ht="15.75" customHeight="1">
      <c r="A867" s="313" t="s">
        <v>1136</v>
      </c>
      <c r="B867" s="314"/>
      <c r="C867" s="315"/>
      <c r="D867" s="315"/>
      <c r="E867" s="317"/>
      <c r="F867" s="318" t="str">
        <f t="shared" si="1"/>
        <v>TP866 -  -  - </v>
      </c>
      <c r="G867" s="319">
        <f>SUMIF('ADV - FB'!L:L,$A867,'ADV - FB'!E:E)</f>
        <v>0</v>
      </c>
      <c r="H867" s="320" t="str">
        <f>IFERROR(SUMIF('ADV - FB'!L:L,$A867,'ADV - FB'!H:H)/(SUMIF('ADV - FB'!L:L,$A867,'ADV - FB'!G:G)),"-")</f>
        <v>-</v>
      </c>
      <c r="I867" s="321" t="str">
        <f>IFERROR(SUMIF('ADV - FB'!L:L,$A867,'ADV - FB'!E:E)/(SUMIF('ADV - FB'!L:L,$A867,'ADV - FB'!F:F)),"-")</f>
        <v>-</v>
      </c>
      <c r="J867" s="315">
        <f>SUMIF('ADV - FB'!L:L,$A867,'ADV - FB'!I:I)+SUMIF('ADV - FB'!L:L,$A867,'ADV - FB'!J:J)+SUMIF('ADV - FB'!L:L,$A867,'ADV - FB'!K:K)</f>
        <v>0</v>
      </c>
      <c r="K867" s="321" t="str">
        <f t="shared" si="2"/>
        <v>-</v>
      </c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ht="15.75" customHeight="1">
      <c r="A868" s="313" t="s">
        <v>1137</v>
      </c>
      <c r="B868" s="314"/>
      <c r="C868" s="315"/>
      <c r="D868" s="315"/>
      <c r="E868" s="317"/>
      <c r="F868" s="318" t="str">
        <f t="shared" si="1"/>
        <v>TP867 -  -  - </v>
      </c>
      <c r="G868" s="319">
        <f>SUMIF('ADV - FB'!L:L,$A868,'ADV - FB'!E:E)</f>
        <v>0</v>
      </c>
      <c r="H868" s="320" t="str">
        <f>IFERROR(SUMIF('ADV - FB'!L:L,$A868,'ADV - FB'!H:H)/(SUMIF('ADV - FB'!L:L,$A868,'ADV - FB'!G:G)),"-")</f>
        <v>-</v>
      </c>
      <c r="I868" s="321" t="str">
        <f>IFERROR(SUMIF('ADV - FB'!L:L,$A868,'ADV - FB'!E:E)/(SUMIF('ADV - FB'!L:L,$A868,'ADV - FB'!F:F)),"-")</f>
        <v>-</v>
      </c>
      <c r="J868" s="315">
        <f>SUMIF('ADV - FB'!L:L,$A868,'ADV - FB'!I:I)+SUMIF('ADV - FB'!L:L,$A868,'ADV - FB'!J:J)+SUMIF('ADV - FB'!L:L,$A868,'ADV - FB'!K:K)</f>
        <v>0</v>
      </c>
      <c r="K868" s="321" t="str">
        <f t="shared" si="2"/>
        <v>-</v>
      </c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ht="15.75" customHeight="1">
      <c r="A869" s="313" t="s">
        <v>1138</v>
      </c>
      <c r="B869" s="314"/>
      <c r="C869" s="315"/>
      <c r="D869" s="315"/>
      <c r="E869" s="317"/>
      <c r="F869" s="318" t="str">
        <f t="shared" si="1"/>
        <v>TP868 -  -  - </v>
      </c>
      <c r="G869" s="319">
        <f>SUMIF('ADV - FB'!L:L,$A869,'ADV - FB'!E:E)</f>
        <v>0</v>
      </c>
      <c r="H869" s="320" t="str">
        <f>IFERROR(SUMIF('ADV - FB'!L:L,$A869,'ADV - FB'!H:H)/(SUMIF('ADV - FB'!L:L,$A869,'ADV - FB'!G:G)),"-")</f>
        <v>-</v>
      </c>
      <c r="I869" s="321" t="str">
        <f>IFERROR(SUMIF('ADV - FB'!L:L,$A869,'ADV - FB'!E:E)/(SUMIF('ADV - FB'!L:L,$A869,'ADV - FB'!F:F)),"-")</f>
        <v>-</v>
      </c>
      <c r="J869" s="315">
        <f>SUMIF('ADV - FB'!L:L,$A869,'ADV - FB'!I:I)+SUMIF('ADV - FB'!L:L,$A869,'ADV - FB'!J:J)+SUMIF('ADV - FB'!L:L,$A869,'ADV - FB'!K:K)</f>
        <v>0</v>
      </c>
      <c r="K869" s="321" t="str">
        <f t="shared" si="2"/>
        <v>-</v>
      </c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ht="15.75" customHeight="1">
      <c r="A870" s="313" t="s">
        <v>1139</v>
      </c>
      <c r="B870" s="314"/>
      <c r="C870" s="315"/>
      <c r="D870" s="315"/>
      <c r="E870" s="317"/>
      <c r="F870" s="318" t="str">
        <f t="shared" si="1"/>
        <v>TP869 -  -  - </v>
      </c>
      <c r="G870" s="319">
        <f>SUMIF('ADV - FB'!L:L,$A870,'ADV - FB'!E:E)</f>
        <v>0</v>
      </c>
      <c r="H870" s="320" t="str">
        <f>IFERROR(SUMIF('ADV - FB'!L:L,$A870,'ADV - FB'!H:H)/(SUMIF('ADV - FB'!L:L,$A870,'ADV - FB'!G:G)),"-")</f>
        <v>-</v>
      </c>
      <c r="I870" s="321" t="str">
        <f>IFERROR(SUMIF('ADV - FB'!L:L,$A870,'ADV - FB'!E:E)/(SUMIF('ADV - FB'!L:L,$A870,'ADV - FB'!F:F)),"-")</f>
        <v>-</v>
      </c>
      <c r="J870" s="315">
        <f>SUMIF('ADV - FB'!L:L,$A870,'ADV - FB'!I:I)+SUMIF('ADV - FB'!L:L,$A870,'ADV - FB'!J:J)+SUMIF('ADV - FB'!L:L,$A870,'ADV - FB'!K:K)</f>
        <v>0</v>
      </c>
      <c r="K870" s="321" t="str">
        <f t="shared" si="2"/>
        <v>-</v>
      </c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ht="15.75" customHeight="1">
      <c r="A871" s="313" t="s">
        <v>1140</v>
      </c>
      <c r="B871" s="314"/>
      <c r="C871" s="315"/>
      <c r="D871" s="315"/>
      <c r="E871" s="317"/>
      <c r="F871" s="318" t="str">
        <f t="shared" si="1"/>
        <v>TP870 -  -  - </v>
      </c>
      <c r="G871" s="319">
        <f>SUMIF('ADV - FB'!L:L,$A871,'ADV - FB'!E:E)</f>
        <v>0</v>
      </c>
      <c r="H871" s="320" t="str">
        <f>IFERROR(SUMIF('ADV - FB'!L:L,$A871,'ADV - FB'!H:H)/(SUMIF('ADV - FB'!L:L,$A871,'ADV - FB'!G:G)),"-")</f>
        <v>-</v>
      </c>
      <c r="I871" s="321" t="str">
        <f>IFERROR(SUMIF('ADV - FB'!L:L,$A871,'ADV - FB'!E:E)/(SUMIF('ADV - FB'!L:L,$A871,'ADV - FB'!F:F)),"-")</f>
        <v>-</v>
      </c>
      <c r="J871" s="315">
        <f>SUMIF('ADV - FB'!L:L,$A871,'ADV - FB'!I:I)+SUMIF('ADV - FB'!L:L,$A871,'ADV - FB'!J:J)+SUMIF('ADV - FB'!L:L,$A871,'ADV - FB'!K:K)</f>
        <v>0</v>
      </c>
      <c r="K871" s="321" t="str">
        <f t="shared" si="2"/>
        <v>-</v>
      </c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ht="15.75" customHeight="1">
      <c r="A872" s="313" t="s">
        <v>1141</v>
      </c>
      <c r="B872" s="314"/>
      <c r="C872" s="315"/>
      <c r="D872" s="315"/>
      <c r="E872" s="317"/>
      <c r="F872" s="318" t="str">
        <f t="shared" si="1"/>
        <v>TP871 -  -  - </v>
      </c>
      <c r="G872" s="319">
        <f>SUMIF('ADV - FB'!L:L,$A872,'ADV - FB'!E:E)</f>
        <v>0</v>
      </c>
      <c r="H872" s="320" t="str">
        <f>IFERROR(SUMIF('ADV - FB'!L:L,$A872,'ADV - FB'!H:H)/(SUMIF('ADV - FB'!L:L,$A872,'ADV - FB'!G:G)),"-")</f>
        <v>-</v>
      </c>
      <c r="I872" s="321" t="str">
        <f>IFERROR(SUMIF('ADV - FB'!L:L,$A872,'ADV - FB'!E:E)/(SUMIF('ADV - FB'!L:L,$A872,'ADV - FB'!F:F)),"-")</f>
        <v>-</v>
      </c>
      <c r="J872" s="315">
        <f>SUMIF('ADV - FB'!L:L,$A872,'ADV - FB'!I:I)+SUMIF('ADV - FB'!L:L,$A872,'ADV - FB'!J:J)+SUMIF('ADV - FB'!L:L,$A872,'ADV - FB'!K:K)</f>
        <v>0</v>
      </c>
      <c r="K872" s="321" t="str">
        <f t="shared" si="2"/>
        <v>-</v>
      </c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ht="15.75" customHeight="1">
      <c r="A873" s="313" t="s">
        <v>1142</v>
      </c>
      <c r="B873" s="314"/>
      <c r="C873" s="315"/>
      <c r="D873" s="315"/>
      <c r="E873" s="317"/>
      <c r="F873" s="318" t="str">
        <f t="shared" si="1"/>
        <v>TP872 -  -  - </v>
      </c>
      <c r="G873" s="319">
        <f>SUMIF('ADV - FB'!L:L,$A873,'ADV - FB'!E:E)</f>
        <v>0</v>
      </c>
      <c r="H873" s="320" t="str">
        <f>IFERROR(SUMIF('ADV - FB'!L:L,$A873,'ADV - FB'!H:H)/(SUMIF('ADV - FB'!L:L,$A873,'ADV - FB'!G:G)),"-")</f>
        <v>-</v>
      </c>
      <c r="I873" s="321" t="str">
        <f>IFERROR(SUMIF('ADV - FB'!L:L,$A873,'ADV - FB'!E:E)/(SUMIF('ADV - FB'!L:L,$A873,'ADV - FB'!F:F)),"-")</f>
        <v>-</v>
      </c>
      <c r="J873" s="315">
        <f>SUMIF('ADV - FB'!L:L,$A873,'ADV - FB'!I:I)+SUMIF('ADV - FB'!L:L,$A873,'ADV - FB'!J:J)+SUMIF('ADV - FB'!L:L,$A873,'ADV - FB'!K:K)</f>
        <v>0</v>
      </c>
      <c r="K873" s="321" t="str">
        <f t="shared" si="2"/>
        <v>-</v>
      </c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ht="15.75" customHeight="1">
      <c r="A874" s="313" t="s">
        <v>1143</v>
      </c>
      <c r="B874" s="314"/>
      <c r="C874" s="315"/>
      <c r="D874" s="315"/>
      <c r="E874" s="317"/>
      <c r="F874" s="318" t="str">
        <f t="shared" si="1"/>
        <v>TP873 -  -  - </v>
      </c>
      <c r="G874" s="319">
        <f>SUMIF('ADV - FB'!L:L,$A874,'ADV - FB'!E:E)</f>
        <v>0</v>
      </c>
      <c r="H874" s="320" t="str">
        <f>IFERROR(SUMIF('ADV - FB'!L:L,$A874,'ADV - FB'!H:H)/(SUMIF('ADV - FB'!L:L,$A874,'ADV - FB'!G:G)),"-")</f>
        <v>-</v>
      </c>
      <c r="I874" s="321" t="str">
        <f>IFERROR(SUMIF('ADV - FB'!L:L,$A874,'ADV - FB'!E:E)/(SUMIF('ADV - FB'!L:L,$A874,'ADV - FB'!F:F)),"-")</f>
        <v>-</v>
      </c>
      <c r="J874" s="315">
        <f>SUMIF('ADV - FB'!L:L,$A874,'ADV - FB'!I:I)+SUMIF('ADV - FB'!L:L,$A874,'ADV - FB'!J:J)+SUMIF('ADV - FB'!L:L,$A874,'ADV - FB'!K:K)</f>
        <v>0</v>
      </c>
      <c r="K874" s="321" t="str">
        <f t="shared" si="2"/>
        <v>-</v>
      </c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ht="15.75" customHeight="1">
      <c r="A875" s="313" t="s">
        <v>1144</v>
      </c>
      <c r="B875" s="314"/>
      <c r="C875" s="315"/>
      <c r="D875" s="315"/>
      <c r="E875" s="317"/>
      <c r="F875" s="318" t="str">
        <f t="shared" si="1"/>
        <v>TP874 -  -  - </v>
      </c>
      <c r="G875" s="319">
        <f>SUMIF('ADV - FB'!L:L,$A875,'ADV - FB'!E:E)</f>
        <v>0</v>
      </c>
      <c r="H875" s="320" t="str">
        <f>IFERROR(SUMIF('ADV - FB'!L:L,$A875,'ADV - FB'!H:H)/(SUMIF('ADV - FB'!L:L,$A875,'ADV - FB'!G:G)),"-")</f>
        <v>-</v>
      </c>
      <c r="I875" s="321" t="str">
        <f>IFERROR(SUMIF('ADV - FB'!L:L,$A875,'ADV - FB'!E:E)/(SUMIF('ADV - FB'!L:L,$A875,'ADV - FB'!F:F)),"-")</f>
        <v>-</v>
      </c>
      <c r="J875" s="315">
        <f>SUMIF('ADV - FB'!L:L,$A875,'ADV - FB'!I:I)+SUMIF('ADV - FB'!L:L,$A875,'ADV - FB'!J:J)+SUMIF('ADV - FB'!L:L,$A875,'ADV - FB'!K:K)</f>
        <v>0</v>
      </c>
      <c r="K875" s="321" t="str">
        <f t="shared" si="2"/>
        <v>-</v>
      </c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ht="15.75" customHeight="1">
      <c r="A876" s="313" t="s">
        <v>1145</v>
      </c>
      <c r="B876" s="314"/>
      <c r="C876" s="315"/>
      <c r="D876" s="315"/>
      <c r="E876" s="317"/>
      <c r="F876" s="318" t="str">
        <f t="shared" si="1"/>
        <v>TP875 -  -  - </v>
      </c>
      <c r="G876" s="319">
        <f>SUMIF('ADV - FB'!L:L,$A876,'ADV - FB'!E:E)</f>
        <v>0</v>
      </c>
      <c r="H876" s="320" t="str">
        <f>IFERROR(SUMIF('ADV - FB'!L:L,$A876,'ADV - FB'!H:H)/(SUMIF('ADV - FB'!L:L,$A876,'ADV - FB'!G:G)),"-")</f>
        <v>-</v>
      </c>
      <c r="I876" s="321" t="str">
        <f>IFERROR(SUMIF('ADV - FB'!L:L,$A876,'ADV - FB'!E:E)/(SUMIF('ADV - FB'!L:L,$A876,'ADV - FB'!F:F)),"-")</f>
        <v>-</v>
      </c>
      <c r="J876" s="315">
        <f>SUMIF('ADV - FB'!L:L,$A876,'ADV - FB'!I:I)+SUMIF('ADV - FB'!L:L,$A876,'ADV - FB'!J:J)+SUMIF('ADV - FB'!L:L,$A876,'ADV - FB'!K:K)</f>
        <v>0</v>
      </c>
      <c r="K876" s="321" t="str">
        <f t="shared" si="2"/>
        <v>-</v>
      </c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ht="15.75" customHeight="1">
      <c r="A877" s="313" t="s">
        <v>1146</v>
      </c>
      <c r="B877" s="314"/>
      <c r="C877" s="315"/>
      <c r="D877" s="315"/>
      <c r="E877" s="317"/>
      <c r="F877" s="318" t="str">
        <f t="shared" si="1"/>
        <v>TP876 -  -  - </v>
      </c>
      <c r="G877" s="319">
        <f>SUMIF('ADV - FB'!L:L,$A877,'ADV - FB'!E:E)</f>
        <v>0</v>
      </c>
      <c r="H877" s="320" t="str">
        <f>IFERROR(SUMIF('ADV - FB'!L:L,$A877,'ADV - FB'!H:H)/(SUMIF('ADV - FB'!L:L,$A877,'ADV - FB'!G:G)),"-")</f>
        <v>-</v>
      </c>
      <c r="I877" s="321" t="str">
        <f>IFERROR(SUMIF('ADV - FB'!L:L,$A877,'ADV - FB'!E:E)/(SUMIF('ADV - FB'!L:L,$A877,'ADV - FB'!F:F)),"-")</f>
        <v>-</v>
      </c>
      <c r="J877" s="315">
        <f>SUMIF('ADV - FB'!L:L,$A877,'ADV - FB'!I:I)+SUMIF('ADV - FB'!L:L,$A877,'ADV - FB'!J:J)+SUMIF('ADV - FB'!L:L,$A877,'ADV - FB'!K:K)</f>
        <v>0</v>
      </c>
      <c r="K877" s="321" t="str">
        <f t="shared" si="2"/>
        <v>-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ht="15.75" customHeight="1">
      <c r="A878" s="313" t="s">
        <v>1147</v>
      </c>
      <c r="B878" s="314"/>
      <c r="C878" s="315"/>
      <c r="D878" s="315"/>
      <c r="E878" s="317"/>
      <c r="F878" s="318" t="str">
        <f t="shared" si="1"/>
        <v>TP877 -  -  - </v>
      </c>
      <c r="G878" s="319">
        <f>SUMIF('ADV - FB'!L:L,$A878,'ADV - FB'!E:E)</f>
        <v>0</v>
      </c>
      <c r="H878" s="320" t="str">
        <f>IFERROR(SUMIF('ADV - FB'!L:L,$A878,'ADV - FB'!H:H)/(SUMIF('ADV - FB'!L:L,$A878,'ADV - FB'!G:G)),"-")</f>
        <v>-</v>
      </c>
      <c r="I878" s="321" t="str">
        <f>IFERROR(SUMIF('ADV - FB'!L:L,$A878,'ADV - FB'!E:E)/(SUMIF('ADV - FB'!L:L,$A878,'ADV - FB'!F:F)),"-")</f>
        <v>-</v>
      </c>
      <c r="J878" s="315">
        <f>SUMIF('ADV - FB'!L:L,$A878,'ADV - FB'!I:I)+SUMIF('ADV - FB'!L:L,$A878,'ADV - FB'!J:J)+SUMIF('ADV - FB'!L:L,$A878,'ADV - FB'!K:K)</f>
        <v>0</v>
      </c>
      <c r="K878" s="321" t="str">
        <f t="shared" si="2"/>
        <v>-</v>
      </c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ht="15.75" customHeight="1">
      <c r="A879" s="313" t="s">
        <v>1148</v>
      </c>
      <c r="B879" s="314"/>
      <c r="C879" s="315"/>
      <c r="D879" s="315"/>
      <c r="E879" s="317"/>
      <c r="F879" s="318" t="str">
        <f t="shared" si="1"/>
        <v>TP878 -  -  - </v>
      </c>
      <c r="G879" s="319">
        <f>SUMIF('ADV - FB'!L:L,$A879,'ADV - FB'!E:E)</f>
        <v>0</v>
      </c>
      <c r="H879" s="320" t="str">
        <f>IFERROR(SUMIF('ADV - FB'!L:L,$A879,'ADV - FB'!H:H)/(SUMIF('ADV - FB'!L:L,$A879,'ADV - FB'!G:G)),"-")</f>
        <v>-</v>
      </c>
      <c r="I879" s="321" t="str">
        <f>IFERROR(SUMIF('ADV - FB'!L:L,$A879,'ADV - FB'!E:E)/(SUMIF('ADV - FB'!L:L,$A879,'ADV - FB'!F:F)),"-")</f>
        <v>-</v>
      </c>
      <c r="J879" s="315">
        <f>SUMIF('ADV - FB'!L:L,$A879,'ADV - FB'!I:I)+SUMIF('ADV - FB'!L:L,$A879,'ADV - FB'!J:J)+SUMIF('ADV - FB'!L:L,$A879,'ADV - FB'!K:K)</f>
        <v>0</v>
      </c>
      <c r="K879" s="321" t="str">
        <f t="shared" si="2"/>
        <v>-</v>
      </c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ht="15.75" customHeight="1">
      <c r="A880" s="313" t="s">
        <v>1149</v>
      </c>
      <c r="B880" s="314"/>
      <c r="C880" s="315"/>
      <c r="D880" s="315"/>
      <c r="E880" s="317"/>
      <c r="F880" s="318" t="str">
        <f t="shared" si="1"/>
        <v>TP879 -  -  - </v>
      </c>
      <c r="G880" s="319">
        <f>SUMIF('ADV - FB'!L:L,$A880,'ADV - FB'!E:E)</f>
        <v>0</v>
      </c>
      <c r="H880" s="320" t="str">
        <f>IFERROR(SUMIF('ADV - FB'!L:L,$A880,'ADV - FB'!H:H)/(SUMIF('ADV - FB'!L:L,$A880,'ADV - FB'!G:G)),"-")</f>
        <v>-</v>
      </c>
      <c r="I880" s="321" t="str">
        <f>IFERROR(SUMIF('ADV - FB'!L:L,$A880,'ADV - FB'!E:E)/(SUMIF('ADV - FB'!L:L,$A880,'ADV - FB'!F:F)),"-")</f>
        <v>-</v>
      </c>
      <c r="J880" s="315">
        <f>SUMIF('ADV - FB'!L:L,$A880,'ADV - FB'!I:I)+SUMIF('ADV - FB'!L:L,$A880,'ADV - FB'!J:J)+SUMIF('ADV - FB'!L:L,$A880,'ADV - FB'!K:K)</f>
        <v>0</v>
      </c>
      <c r="K880" s="321" t="str">
        <f t="shared" si="2"/>
        <v>-</v>
      </c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ht="15.75" customHeight="1">
      <c r="A881" s="313" t="s">
        <v>1150</v>
      </c>
      <c r="B881" s="314"/>
      <c r="C881" s="315"/>
      <c r="D881" s="315"/>
      <c r="E881" s="317"/>
      <c r="F881" s="318" t="str">
        <f t="shared" si="1"/>
        <v>TP880 -  -  - </v>
      </c>
      <c r="G881" s="319">
        <f>SUMIF('ADV - FB'!L:L,$A881,'ADV - FB'!E:E)</f>
        <v>0</v>
      </c>
      <c r="H881" s="320" t="str">
        <f>IFERROR(SUMIF('ADV - FB'!L:L,$A881,'ADV - FB'!H:H)/(SUMIF('ADV - FB'!L:L,$A881,'ADV - FB'!G:G)),"-")</f>
        <v>-</v>
      </c>
      <c r="I881" s="321" t="str">
        <f>IFERROR(SUMIF('ADV - FB'!L:L,$A881,'ADV - FB'!E:E)/(SUMIF('ADV - FB'!L:L,$A881,'ADV - FB'!F:F)),"-")</f>
        <v>-</v>
      </c>
      <c r="J881" s="315">
        <f>SUMIF('ADV - FB'!L:L,$A881,'ADV - FB'!I:I)+SUMIF('ADV - FB'!L:L,$A881,'ADV - FB'!J:J)+SUMIF('ADV - FB'!L:L,$A881,'ADV - FB'!K:K)</f>
        <v>0</v>
      </c>
      <c r="K881" s="321" t="str">
        <f t="shared" si="2"/>
        <v>-</v>
      </c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ht="15.75" customHeight="1">
      <c r="A882" s="313" t="s">
        <v>1151</v>
      </c>
      <c r="B882" s="314"/>
      <c r="C882" s="315"/>
      <c r="D882" s="315"/>
      <c r="E882" s="317"/>
      <c r="F882" s="318" t="str">
        <f t="shared" si="1"/>
        <v>TP881 -  -  - </v>
      </c>
      <c r="G882" s="319">
        <f>SUMIF('ADV - FB'!L:L,$A882,'ADV - FB'!E:E)</f>
        <v>0</v>
      </c>
      <c r="H882" s="320" t="str">
        <f>IFERROR(SUMIF('ADV - FB'!L:L,$A882,'ADV - FB'!H:H)/(SUMIF('ADV - FB'!L:L,$A882,'ADV - FB'!G:G)),"-")</f>
        <v>-</v>
      </c>
      <c r="I882" s="321" t="str">
        <f>IFERROR(SUMIF('ADV - FB'!L:L,$A882,'ADV - FB'!E:E)/(SUMIF('ADV - FB'!L:L,$A882,'ADV - FB'!F:F)),"-")</f>
        <v>-</v>
      </c>
      <c r="J882" s="315">
        <f>SUMIF('ADV - FB'!L:L,$A882,'ADV - FB'!I:I)+SUMIF('ADV - FB'!L:L,$A882,'ADV - FB'!J:J)+SUMIF('ADV - FB'!L:L,$A882,'ADV - FB'!K:K)</f>
        <v>0</v>
      </c>
      <c r="K882" s="321" t="str">
        <f t="shared" si="2"/>
        <v>-</v>
      </c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ht="15.75" customHeight="1">
      <c r="A883" s="313" t="s">
        <v>1152</v>
      </c>
      <c r="B883" s="314"/>
      <c r="C883" s="315"/>
      <c r="D883" s="315"/>
      <c r="E883" s="317"/>
      <c r="F883" s="318" t="str">
        <f t="shared" si="1"/>
        <v>TP882 -  -  - </v>
      </c>
      <c r="G883" s="319">
        <f>SUMIF('ADV - FB'!L:L,$A883,'ADV - FB'!E:E)</f>
        <v>0</v>
      </c>
      <c r="H883" s="320" t="str">
        <f>IFERROR(SUMIF('ADV - FB'!L:L,$A883,'ADV - FB'!H:H)/(SUMIF('ADV - FB'!L:L,$A883,'ADV - FB'!G:G)),"-")</f>
        <v>-</v>
      </c>
      <c r="I883" s="321" t="str">
        <f>IFERROR(SUMIF('ADV - FB'!L:L,$A883,'ADV - FB'!E:E)/(SUMIF('ADV - FB'!L:L,$A883,'ADV - FB'!F:F)),"-")</f>
        <v>-</v>
      </c>
      <c r="J883" s="315">
        <f>SUMIF('ADV - FB'!L:L,$A883,'ADV - FB'!I:I)+SUMIF('ADV - FB'!L:L,$A883,'ADV - FB'!J:J)+SUMIF('ADV - FB'!L:L,$A883,'ADV - FB'!K:K)</f>
        <v>0</v>
      </c>
      <c r="K883" s="321" t="str">
        <f t="shared" si="2"/>
        <v>-</v>
      </c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ht="15.75" customHeight="1">
      <c r="A884" s="313" t="s">
        <v>1153</v>
      </c>
      <c r="B884" s="314"/>
      <c r="C884" s="315"/>
      <c r="D884" s="315"/>
      <c r="E884" s="317"/>
      <c r="F884" s="318" t="str">
        <f t="shared" si="1"/>
        <v>TP883 -  -  - </v>
      </c>
      <c r="G884" s="319">
        <f>SUMIF('ADV - FB'!L:L,$A884,'ADV - FB'!E:E)</f>
        <v>0</v>
      </c>
      <c r="H884" s="320" t="str">
        <f>IFERROR(SUMIF('ADV - FB'!L:L,$A884,'ADV - FB'!H:H)/(SUMIF('ADV - FB'!L:L,$A884,'ADV - FB'!G:G)),"-")</f>
        <v>-</v>
      </c>
      <c r="I884" s="321" t="str">
        <f>IFERROR(SUMIF('ADV - FB'!L:L,$A884,'ADV - FB'!E:E)/(SUMIF('ADV - FB'!L:L,$A884,'ADV - FB'!F:F)),"-")</f>
        <v>-</v>
      </c>
      <c r="J884" s="315">
        <f>SUMIF('ADV - FB'!L:L,$A884,'ADV - FB'!I:I)+SUMIF('ADV - FB'!L:L,$A884,'ADV - FB'!J:J)+SUMIF('ADV - FB'!L:L,$A884,'ADV - FB'!K:K)</f>
        <v>0</v>
      </c>
      <c r="K884" s="321" t="str">
        <f t="shared" si="2"/>
        <v>-</v>
      </c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ht="15.75" customHeight="1">
      <c r="A885" s="313" t="s">
        <v>1154</v>
      </c>
      <c r="B885" s="314"/>
      <c r="C885" s="315"/>
      <c r="D885" s="315"/>
      <c r="E885" s="317"/>
      <c r="F885" s="318" t="str">
        <f t="shared" si="1"/>
        <v>TP884 -  -  - </v>
      </c>
      <c r="G885" s="319">
        <f>SUMIF('ADV - FB'!L:L,$A885,'ADV - FB'!E:E)</f>
        <v>0</v>
      </c>
      <c r="H885" s="320" t="str">
        <f>IFERROR(SUMIF('ADV - FB'!L:L,$A885,'ADV - FB'!H:H)/(SUMIF('ADV - FB'!L:L,$A885,'ADV - FB'!G:G)),"-")</f>
        <v>-</v>
      </c>
      <c r="I885" s="321" t="str">
        <f>IFERROR(SUMIF('ADV - FB'!L:L,$A885,'ADV - FB'!E:E)/(SUMIF('ADV - FB'!L:L,$A885,'ADV - FB'!F:F)),"-")</f>
        <v>-</v>
      </c>
      <c r="J885" s="315">
        <f>SUMIF('ADV - FB'!L:L,$A885,'ADV - FB'!I:I)+SUMIF('ADV - FB'!L:L,$A885,'ADV - FB'!J:J)+SUMIF('ADV - FB'!L:L,$A885,'ADV - FB'!K:K)</f>
        <v>0</v>
      </c>
      <c r="K885" s="321" t="str">
        <f t="shared" si="2"/>
        <v>-</v>
      </c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ht="15.75" customHeight="1">
      <c r="A886" s="313" t="s">
        <v>1155</v>
      </c>
      <c r="B886" s="314"/>
      <c r="C886" s="315"/>
      <c r="D886" s="315"/>
      <c r="E886" s="317"/>
      <c r="F886" s="318" t="str">
        <f t="shared" si="1"/>
        <v>TP885 -  -  - </v>
      </c>
      <c r="G886" s="319">
        <f>SUMIF('ADV - FB'!L:L,$A886,'ADV - FB'!E:E)</f>
        <v>0</v>
      </c>
      <c r="H886" s="320" t="str">
        <f>IFERROR(SUMIF('ADV - FB'!L:L,$A886,'ADV - FB'!H:H)/(SUMIF('ADV - FB'!L:L,$A886,'ADV - FB'!G:G)),"-")</f>
        <v>-</v>
      </c>
      <c r="I886" s="321" t="str">
        <f>IFERROR(SUMIF('ADV - FB'!L:L,$A886,'ADV - FB'!E:E)/(SUMIF('ADV - FB'!L:L,$A886,'ADV - FB'!F:F)),"-")</f>
        <v>-</v>
      </c>
      <c r="J886" s="315">
        <f>SUMIF('ADV - FB'!L:L,$A886,'ADV - FB'!I:I)+SUMIF('ADV - FB'!L:L,$A886,'ADV - FB'!J:J)+SUMIF('ADV - FB'!L:L,$A886,'ADV - FB'!K:K)</f>
        <v>0</v>
      </c>
      <c r="K886" s="321" t="str">
        <f t="shared" si="2"/>
        <v>-</v>
      </c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ht="15.75" customHeight="1">
      <c r="A887" s="313" t="s">
        <v>1156</v>
      </c>
      <c r="B887" s="314"/>
      <c r="C887" s="315"/>
      <c r="D887" s="315"/>
      <c r="E887" s="317"/>
      <c r="F887" s="318" t="str">
        <f t="shared" si="1"/>
        <v>TP886 -  -  - </v>
      </c>
      <c r="G887" s="319">
        <f>SUMIF('ADV - FB'!L:L,$A887,'ADV - FB'!E:E)</f>
        <v>0</v>
      </c>
      <c r="H887" s="320" t="str">
        <f>IFERROR(SUMIF('ADV - FB'!L:L,$A887,'ADV - FB'!H:H)/(SUMIF('ADV - FB'!L:L,$A887,'ADV - FB'!G:G)),"-")</f>
        <v>-</v>
      </c>
      <c r="I887" s="321" t="str">
        <f>IFERROR(SUMIF('ADV - FB'!L:L,$A887,'ADV - FB'!E:E)/(SUMIF('ADV - FB'!L:L,$A887,'ADV - FB'!F:F)),"-")</f>
        <v>-</v>
      </c>
      <c r="J887" s="315">
        <f>SUMIF('ADV - FB'!L:L,$A887,'ADV - FB'!I:I)+SUMIF('ADV - FB'!L:L,$A887,'ADV - FB'!J:J)+SUMIF('ADV - FB'!L:L,$A887,'ADV - FB'!K:K)</f>
        <v>0</v>
      </c>
      <c r="K887" s="321" t="str">
        <f t="shared" si="2"/>
        <v>-</v>
      </c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ht="15.75" customHeight="1">
      <c r="A888" s="313" t="s">
        <v>1157</v>
      </c>
      <c r="B888" s="314"/>
      <c r="C888" s="315"/>
      <c r="D888" s="315"/>
      <c r="E888" s="317"/>
      <c r="F888" s="318" t="str">
        <f t="shared" si="1"/>
        <v>TP887 -  -  - </v>
      </c>
      <c r="G888" s="319">
        <f>SUMIF('ADV - FB'!L:L,$A888,'ADV - FB'!E:E)</f>
        <v>0</v>
      </c>
      <c r="H888" s="320" t="str">
        <f>IFERROR(SUMIF('ADV - FB'!L:L,$A888,'ADV - FB'!H:H)/(SUMIF('ADV - FB'!L:L,$A888,'ADV - FB'!G:G)),"-")</f>
        <v>-</v>
      </c>
      <c r="I888" s="321" t="str">
        <f>IFERROR(SUMIF('ADV - FB'!L:L,$A888,'ADV - FB'!E:E)/(SUMIF('ADV - FB'!L:L,$A888,'ADV - FB'!F:F)),"-")</f>
        <v>-</v>
      </c>
      <c r="J888" s="315">
        <f>SUMIF('ADV - FB'!L:L,$A888,'ADV - FB'!I:I)+SUMIF('ADV - FB'!L:L,$A888,'ADV - FB'!J:J)+SUMIF('ADV - FB'!L:L,$A888,'ADV - FB'!K:K)</f>
        <v>0</v>
      </c>
      <c r="K888" s="321" t="str">
        <f t="shared" si="2"/>
        <v>-</v>
      </c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ht="15.75" customHeight="1">
      <c r="A889" s="313" t="s">
        <v>1158</v>
      </c>
      <c r="B889" s="314"/>
      <c r="C889" s="315"/>
      <c r="D889" s="315"/>
      <c r="E889" s="317"/>
      <c r="F889" s="318" t="str">
        <f t="shared" si="1"/>
        <v>TP888 -  -  - </v>
      </c>
      <c r="G889" s="319">
        <f>SUMIF('ADV - FB'!L:L,$A889,'ADV - FB'!E:E)</f>
        <v>0</v>
      </c>
      <c r="H889" s="320" t="str">
        <f>IFERROR(SUMIF('ADV - FB'!L:L,$A889,'ADV - FB'!H:H)/(SUMIF('ADV - FB'!L:L,$A889,'ADV - FB'!G:G)),"-")</f>
        <v>-</v>
      </c>
      <c r="I889" s="321" t="str">
        <f>IFERROR(SUMIF('ADV - FB'!L:L,$A889,'ADV - FB'!E:E)/(SUMIF('ADV - FB'!L:L,$A889,'ADV - FB'!F:F)),"-")</f>
        <v>-</v>
      </c>
      <c r="J889" s="315">
        <f>SUMIF('ADV - FB'!L:L,$A889,'ADV - FB'!I:I)+SUMIF('ADV - FB'!L:L,$A889,'ADV - FB'!J:J)+SUMIF('ADV - FB'!L:L,$A889,'ADV - FB'!K:K)</f>
        <v>0</v>
      </c>
      <c r="K889" s="321" t="str">
        <f t="shared" si="2"/>
        <v>-</v>
      </c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ht="15.75" customHeight="1">
      <c r="A890" s="313" t="s">
        <v>1159</v>
      </c>
      <c r="B890" s="314"/>
      <c r="C890" s="315"/>
      <c r="D890" s="315"/>
      <c r="E890" s="317"/>
      <c r="F890" s="318" t="str">
        <f t="shared" si="1"/>
        <v>TP889 -  -  - </v>
      </c>
      <c r="G890" s="319">
        <f>SUMIF('ADV - FB'!L:L,$A890,'ADV - FB'!E:E)</f>
        <v>0</v>
      </c>
      <c r="H890" s="320" t="str">
        <f>IFERROR(SUMIF('ADV - FB'!L:L,$A890,'ADV - FB'!H:H)/(SUMIF('ADV - FB'!L:L,$A890,'ADV - FB'!G:G)),"-")</f>
        <v>-</v>
      </c>
      <c r="I890" s="321" t="str">
        <f>IFERROR(SUMIF('ADV - FB'!L:L,$A890,'ADV - FB'!E:E)/(SUMIF('ADV - FB'!L:L,$A890,'ADV - FB'!F:F)),"-")</f>
        <v>-</v>
      </c>
      <c r="J890" s="315">
        <f>SUMIF('ADV - FB'!L:L,$A890,'ADV - FB'!I:I)+SUMIF('ADV - FB'!L:L,$A890,'ADV - FB'!J:J)+SUMIF('ADV - FB'!L:L,$A890,'ADV - FB'!K:K)</f>
        <v>0</v>
      </c>
      <c r="K890" s="321" t="str">
        <f t="shared" si="2"/>
        <v>-</v>
      </c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ht="15.75" customHeight="1">
      <c r="A891" s="313" t="s">
        <v>1160</v>
      </c>
      <c r="B891" s="314"/>
      <c r="C891" s="315"/>
      <c r="D891" s="315"/>
      <c r="E891" s="317"/>
      <c r="F891" s="318" t="str">
        <f t="shared" si="1"/>
        <v>TP890 -  -  - </v>
      </c>
      <c r="G891" s="319">
        <f>SUMIF('ADV - FB'!L:L,$A891,'ADV - FB'!E:E)</f>
        <v>0</v>
      </c>
      <c r="H891" s="320" t="str">
        <f>IFERROR(SUMIF('ADV - FB'!L:L,$A891,'ADV - FB'!H:H)/(SUMIF('ADV - FB'!L:L,$A891,'ADV - FB'!G:G)),"-")</f>
        <v>-</v>
      </c>
      <c r="I891" s="321" t="str">
        <f>IFERROR(SUMIF('ADV - FB'!L:L,$A891,'ADV - FB'!E:E)/(SUMIF('ADV - FB'!L:L,$A891,'ADV - FB'!F:F)),"-")</f>
        <v>-</v>
      </c>
      <c r="J891" s="315">
        <f>SUMIF('ADV - FB'!L:L,$A891,'ADV - FB'!I:I)+SUMIF('ADV - FB'!L:L,$A891,'ADV - FB'!J:J)+SUMIF('ADV - FB'!L:L,$A891,'ADV - FB'!K:K)</f>
        <v>0</v>
      </c>
      <c r="K891" s="321" t="str">
        <f t="shared" si="2"/>
        <v>-</v>
      </c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ht="15.75" customHeight="1">
      <c r="A892" s="313" t="s">
        <v>1161</v>
      </c>
      <c r="B892" s="314"/>
      <c r="C892" s="315"/>
      <c r="D892" s="315"/>
      <c r="E892" s="317"/>
      <c r="F892" s="318" t="str">
        <f t="shared" si="1"/>
        <v>TP891 -  -  - </v>
      </c>
      <c r="G892" s="319">
        <f>SUMIF('ADV - FB'!L:L,$A892,'ADV - FB'!E:E)</f>
        <v>0</v>
      </c>
      <c r="H892" s="320" t="str">
        <f>IFERROR(SUMIF('ADV - FB'!L:L,$A892,'ADV - FB'!H:H)/(SUMIF('ADV - FB'!L:L,$A892,'ADV - FB'!G:G)),"-")</f>
        <v>-</v>
      </c>
      <c r="I892" s="321" t="str">
        <f>IFERROR(SUMIF('ADV - FB'!L:L,$A892,'ADV - FB'!E:E)/(SUMIF('ADV - FB'!L:L,$A892,'ADV - FB'!F:F)),"-")</f>
        <v>-</v>
      </c>
      <c r="J892" s="315">
        <f>SUMIF('ADV - FB'!L:L,$A892,'ADV - FB'!I:I)+SUMIF('ADV - FB'!L:L,$A892,'ADV - FB'!J:J)+SUMIF('ADV - FB'!L:L,$A892,'ADV - FB'!K:K)</f>
        <v>0</v>
      </c>
      <c r="K892" s="321" t="str">
        <f t="shared" si="2"/>
        <v>-</v>
      </c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ht="15.75" customHeight="1">
      <c r="A893" s="313" t="s">
        <v>1162</v>
      </c>
      <c r="B893" s="314"/>
      <c r="C893" s="315"/>
      <c r="D893" s="315"/>
      <c r="E893" s="317"/>
      <c r="F893" s="318" t="str">
        <f t="shared" si="1"/>
        <v>TP892 -  -  - </v>
      </c>
      <c r="G893" s="319">
        <f>SUMIF('ADV - FB'!L:L,$A893,'ADV - FB'!E:E)</f>
        <v>0</v>
      </c>
      <c r="H893" s="320" t="str">
        <f>IFERROR(SUMIF('ADV - FB'!L:L,$A893,'ADV - FB'!H:H)/(SUMIF('ADV - FB'!L:L,$A893,'ADV - FB'!G:G)),"-")</f>
        <v>-</v>
      </c>
      <c r="I893" s="321" t="str">
        <f>IFERROR(SUMIF('ADV - FB'!L:L,$A893,'ADV - FB'!E:E)/(SUMIF('ADV - FB'!L:L,$A893,'ADV - FB'!F:F)),"-")</f>
        <v>-</v>
      </c>
      <c r="J893" s="315">
        <f>SUMIF('ADV - FB'!L:L,$A893,'ADV - FB'!I:I)+SUMIF('ADV - FB'!L:L,$A893,'ADV - FB'!J:J)+SUMIF('ADV - FB'!L:L,$A893,'ADV - FB'!K:K)</f>
        <v>0</v>
      </c>
      <c r="K893" s="321" t="str">
        <f t="shared" si="2"/>
        <v>-</v>
      </c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ht="15.75" customHeight="1">
      <c r="A894" s="313" t="s">
        <v>1163</v>
      </c>
      <c r="B894" s="314"/>
      <c r="C894" s="315"/>
      <c r="D894" s="315"/>
      <c r="E894" s="317"/>
      <c r="F894" s="318" t="str">
        <f t="shared" si="1"/>
        <v>TP893 -  -  - </v>
      </c>
      <c r="G894" s="319">
        <f>SUMIF('ADV - FB'!L:L,$A894,'ADV - FB'!E:E)</f>
        <v>0</v>
      </c>
      <c r="H894" s="320" t="str">
        <f>IFERROR(SUMIF('ADV - FB'!L:L,$A894,'ADV - FB'!H:H)/(SUMIF('ADV - FB'!L:L,$A894,'ADV - FB'!G:G)),"-")</f>
        <v>-</v>
      </c>
      <c r="I894" s="321" t="str">
        <f>IFERROR(SUMIF('ADV - FB'!L:L,$A894,'ADV - FB'!E:E)/(SUMIF('ADV - FB'!L:L,$A894,'ADV - FB'!F:F)),"-")</f>
        <v>-</v>
      </c>
      <c r="J894" s="315">
        <f>SUMIF('ADV - FB'!L:L,$A894,'ADV - FB'!I:I)+SUMIF('ADV - FB'!L:L,$A894,'ADV - FB'!J:J)+SUMIF('ADV - FB'!L:L,$A894,'ADV - FB'!K:K)</f>
        <v>0</v>
      </c>
      <c r="K894" s="321" t="str">
        <f t="shared" si="2"/>
        <v>-</v>
      </c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ht="15.75" customHeight="1">
      <c r="A895" s="313" t="s">
        <v>1164</v>
      </c>
      <c r="B895" s="314"/>
      <c r="C895" s="315"/>
      <c r="D895" s="315"/>
      <c r="E895" s="317"/>
      <c r="F895" s="318" t="str">
        <f t="shared" si="1"/>
        <v>TP894 -  -  - </v>
      </c>
      <c r="G895" s="319">
        <f>SUMIF('ADV - FB'!L:L,$A895,'ADV - FB'!E:E)</f>
        <v>0</v>
      </c>
      <c r="H895" s="320" t="str">
        <f>IFERROR(SUMIF('ADV - FB'!L:L,$A895,'ADV - FB'!H:H)/(SUMIF('ADV - FB'!L:L,$A895,'ADV - FB'!G:G)),"-")</f>
        <v>-</v>
      </c>
      <c r="I895" s="321" t="str">
        <f>IFERROR(SUMIF('ADV - FB'!L:L,$A895,'ADV - FB'!E:E)/(SUMIF('ADV - FB'!L:L,$A895,'ADV - FB'!F:F)),"-")</f>
        <v>-</v>
      </c>
      <c r="J895" s="315">
        <f>SUMIF('ADV - FB'!L:L,$A895,'ADV - FB'!I:I)+SUMIF('ADV - FB'!L:L,$A895,'ADV - FB'!J:J)+SUMIF('ADV - FB'!L:L,$A895,'ADV - FB'!K:K)</f>
        <v>0</v>
      </c>
      <c r="K895" s="321" t="str">
        <f t="shared" si="2"/>
        <v>-</v>
      </c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ht="15.75" customHeight="1">
      <c r="A896" s="313" t="s">
        <v>1165</v>
      </c>
      <c r="B896" s="314"/>
      <c r="C896" s="315"/>
      <c r="D896" s="315"/>
      <c r="E896" s="317"/>
      <c r="F896" s="318" t="str">
        <f t="shared" si="1"/>
        <v>TP895 -  -  - </v>
      </c>
      <c r="G896" s="319">
        <f>SUMIF('ADV - FB'!L:L,$A896,'ADV - FB'!E:E)</f>
        <v>0</v>
      </c>
      <c r="H896" s="320" t="str">
        <f>IFERROR(SUMIF('ADV - FB'!L:L,$A896,'ADV - FB'!H:H)/(SUMIF('ADV - FB'!L:L,$A896,'ADV - FB'!G:G)),"-")</f>
        <v>-</v>
      </c>
      <c r="I896" s="321" t="str">
        <f>IFERROR(SUMIF('ADV - FB'!L:L,$A896,'ADV - FB'!E:E)/(SUMIF('ADV - FB'!L:L,$A896,'ADV - FB'!F:F)),"-")</f>
        <v>-</v>
      </c>
      <c r="J896" s="315">
        <f>SUMIF('ADV - FB'!L:L,$A896,'ADV - FB'!I:I)+SUMIF('ADV - FB'!L:L,$A896,'ADV - FB'!J:J)+SUMIF('ADV - FB'!L:L,$A896,'ADV - FB'!K:K)</f>
        <v>0</v>
      </c>
      <c r="K896" s="321" t="str">
        <f t="shared" si="2"/>
        <v>-</v>
      </c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ht="15.75" customHeight="1">
      <c r="A897" s="313" t="s">
        <v>1166</v>
      </c>
      <c r="B897" s="314"/>
      <c r="C897" s="315"/>
      <c r="D897" s="315"/>
      <c r="E897" s="317"/>
      <c r="F897" s="318" t="str">
        <f t="shared" si="1"/>
        <v>TP896 -  -  - </v>
      </c>
      <c r="G897" s="319">
        <f>SUMIF('ADV - FB'!L:L,$A897,'ADV - FB'!E:E)</f>
        <v>0</v>
      </c>
      <c r="H897" s="320" t="str">
        <f>IFERROR(SUMIF('ADV - FB'!L:L,$A897,'ADV - FB'!H:H)/(SUMIF('ADV - FB'!L:L,$A897,'ADV - FB'!G:G)),"-")</f>
        <v>-</v>
      </c>
      <c r="I897" s="321" t="str">
        <f>IFERROR(SUMIF('ADV - FB'!L:L,$A897,'ADV - FB'!E:E)/(SUMIF('ADV - FB'!L:L,$A897,'ADV - FB'!F:F)),"-")</f>
        <v>-</v>
      </c>
      <c r="J897" s="315">
        <f>SUMIF('ADV - FB'!L:L,$A897,'ADV - FB'!I:I)+SUMIF('ADV - FB'!L:L,$A897,'ADV - FB'!J:J)+SUMIF('ADV - FB'!L:L,$A897,'ADV - FB'!K:K)</f>
        <v>0</v>
      </c>
      <c r="K897" s="321" t="str">
        <f t="shared" si="2"/>
        <v>-</v>
      </c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ht="15.75" customHeight="1">
      <c r="A898" s="313" t="s">
        <v>1167</v>
      </c>
      <c r="B898" s="314"/>
      <c r="C898" s="315"/>
      <c r="D898" s="315"/>
      <c r="E898" s="317"/>
      <c r="F898" s="318" t="str">
        <f t="shared" si="1"/>
        <v>TP897 -  -  - </v>
      </c>
      <c r="G898" s="319">
        <f>SUMIF('ADV - FB'!L:L,$A898,'ADV - FB'!E:E)</f>
        <v>0</v>
      </c>
      <c r="H898" s="320" t="str">
        <f>IFERROR(SUMIF('ADV - FB'!L:L,$A898,'ADV - FB'!H:H)/(SUMIF('ADV - FB'!L:L,$A898,'ADV - FB'!G:G)),"-")</f>
        <v>-</v>
      </c>
      <c r="I898" s="321" t="str">
        <f>IFERROR(SUMIF('ADV - FB'!L:L,$A898,'ADV - FB'!E:E)/(SUMIF('ADV - FB'!L:L,$A898,'ADV - FB'!F:F)),"-")</f>
        <v>-</v>
      </c>
      <c r="J898" s="315">
        <f>SUMIF('ADV - FB'!L:L,$A898,'ADV - FB'!I:I)+SUMIF('ADV - FB'!L:L,$A898,'ADV - FB'!J:J)+SUMIF('ADV - FB'!L:L,$A898,'ADV - FB'!K:K)</f>
        <v>0</v>
      </c>
      <c r="K898" s="321" t="str">
        <f t="shared" si="2"/>
        <v>-</v>
      </c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ht="15.75" customHeight="1">
      <c r="A899" s="313" t="s">
        <v>1168</v>
      </c>
      <c r="B899" s="314"/>
      <c r="C899" s="315"/>
      <c r="D899" s="315"/>
      <c r="E899" s="317"/>
      <c r="F899" s="318" t="str">
        <f t="shared" si="1"/>
        <v>TP898 -  -  - </v>
      </c>
      <c r="G899" s="319">
        <f>SUMIF('ADV - FB'!L:L,$A899,'ADV - FB'!E:E)</f>
        <v>0</v>
      </c>
      <c r="H899" s="320" t="str">
        <f>IFERROR(SUMIF('ADV - FB'!L:L,$A899,'ADV - FB'!H:H)/(SUMIF('ADV - FB'!L:L,$A899,'ADV - FB'!G:G)),"-")</f>
        <v>-</v>
      </c>
      <c r="I899" s="321" t="str">
        <f>IFERROR(SUMIF('ADV - FB'!L:L,$A899,'ADV - FB'!E:E)/(SUMIF('ADV - FB'!L:L,$A899,'ADV - FB'!F:F)),"-")</f>
        <v>-</v>
      </c>
      <c r="J899" s="315">
        <f>SUMIF('ADV - FB'!L:L,$A899,'ADV - FB'!I:I)+SUMIF('ADV - FB'!L:L,$A899,'ADV - FB'!J:J)+SUMIF('ADV - FB'!L:L,$A899,'ADV - FB'!K:K)</f>
        <v>0</v>
      </c>
      <c r="K899" s="321" t="str">
        <f t="shared" si="2"/>
        <v>-</v>
      </c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ht="15.75" customHeight="1">
      <c r="A900" s="313" t="s">
        <v>1169</v>
      </c>
      <c r="B900" s="314"/>
      <c r="C900" s="315"/>
      <c r="D900" s="315"/>
      <c r="E900" s="317"/>
      <c r="F900" s="318" t="str">
        <f t="shared" si="1"/>
        <v>TP899 -  -  - </v>
      </c>
      <c r="G900" s="319">
        <f>SUMIF('ADV - FB'!L:L,$A900,'ADV - FB'!E:E)</f>
        <v>0</v>
      </c>
      <c r="H900" s="320" t="str">
        <f>IFERROR(SUMIF('ADV - FB'!L:L,$A900,'ADV - FB'!H:H)/(SUMIF('ADV - FB'!L:L,$A900,'ADV - FB'!G:G)),"-")</f>
        <v>-</v>
      </c>
      <c r="I900" s="321" t="str">
        <f>IFERROR(SUMIF('ADV - FB'!L:L,$A900,'ADV - FB'!E:E)/(SUMIF('ADV - FB'!L:L,$A900,'ADV - FB'!F:F)),"-")</f>
        <v>-</v>
      </c>
      <c r="J900" s="315">
        <f>SUMIF('ADV - FB'!L:L,$A900,'ADV - FB'!I:I)+SUMIF('ADV - FB'!L:L,$A900,'ADV - FB'!J:J)+SUMIF('ADV - FB'!L:L,$A900,'ADV - FB'!K:K)</f>
        <v>0</v>
      </c>
      <c r="K900" s="321" t="str">
        <f t="shared" si="2"/>
        <v>-</v>
      </c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ht="15.75" customHeight="1">
      <c r="A901" s="313" t="s">
        <v>1170</v>
      </c>
      <c r="B901" s="314"/>
      <c r="C901" s="315"/>
      <c r="D901" s="315"/>
      <c r="E901" s="317"/>
      <c r="F901" s="318" t="str">
        <f t="shared" si="1"/>
        <v>TP900 -  -  - </v>
      </c>
      <c r="G901" s="319">
        <f>SUMIF('ADV - FB'!L:L,$A901,'ADV - FB'!E:E)</f>
        <v>0</v>
      </c>
      <c r="H901" s="320" t="str">
        <f>IFERROR(SUMIF('ADV - FB'!L:L,$A901,'ADV - FB'!H:H)/(SUMIF('ADV - FB'!L:L,$A901,'ADV - FB'!G:G)),"-")</f>
        <v>-</v>
      </c>
      <c r="I901" s="321" t="str">
        <f>IFERROR(SUMIF('ADV - FB'!L:L,$A901,'ADV - FB'!E:E)/(SUMIF('ADV - FB'!L:L,$A901,'ADV - FB'!F:F)),"-")</f>
        <v>-</v>
      </c>
      <c r="J901" s="315">
        <f>SUMIF('ADV - FB'!L:L,$A901,'ADV - FB'!I:I)+SUMIF('ADV - FB'!L:L,$A901,'ADV - FB'!J:J)+SUMIF('ADV - FB'!L:L,$A901,'ADV - FB'!K:K)</f>
        <v>0</v>
      </c>
      <c r="K901" s="321" t="str">
        <f t="shared" si="2"/>
        <v>-</v>
      </c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ht="15.75" customHeight="1">
      <c r="A902" s="313" t="s">
        <v>1171</v>
      </c>
      <c r="B902" s="314"/>
      <c r="C902" s="315"/>
      <c r="D902" s="315"/>
      <c r="E902" s="317"/>
      <c r="F902" s="318" t="str">
        <f t="shared" si="1"/>
        <v>TP901 -  -  - </v>
      </c>
      <c r="G902" s="319">
        <f>SUMIF('ADV - FB'!L:L,$A902,'ADV - FB'!E:E)</f>
        <v>0</v>
      </c>
      <c r="H902" s="320" t="str">
        <f>IFERROR(SUMIF('ADV - FB'!L:L,$A902,'ADV - FB'!H:H)/(SUMIF('ADV - FB'!L:L,$A902,'ADV - FB'!G:G)),"-")</f>
        <v>-</v>
      </c>
      <c r="I902" s="321" t="str">
        <f>IFERROR(SUMIF('ADV - FB'!L:L,$A902,'ADV - FB'!E:E)/(SUMIF('ADV - FB'!L:L,$A902,'ADV - FB'!F:F)),"-")</f>
        <v>-</v>
      </c>
      <c r="J902" s="315">
        <f>SUMIF('ADV - FB'!L:L,$A902,'ADV - FB'!I:I)+SUMIF('ADV - FB'!L:L,$A902,'ADV - FB'!J:J)+SUMIF('ADV - FB'!L:L,$A902,'ADV - FB'!K:K)</f>
        <v>0</v>
      </c>
      <c r="K902" s="321" t="str">
        <f t="shared" si="2"/>
        <v>-</v>
      </c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ht="15.75" customHeight="1">
      <c r="A903" s="313" t="s">
        <v>1172</v>
      </c>
      <c r="B903" s="314"/>
      <c r="C903" s="315"/>
      <c r="D903" s="315"/>
      <c r="E903" s="317"/>
      <c r="F903" s="318" t="str">
        <f t="shared" si="1"/>
        <v>TP902 -  -  - </v>
      </c>
      <c r="G903" s="319">
        <f>SUMIF('ADV - FB'!L:L,$A903,'ADV - FB'!E:E)</f>
        <v>0</v>
      </c>
      <c r="H903" s="320" t="str">
        <f>IFERROR(SUMIF('ADV - FB'!L:L,$A903,'ADV - FB'!H:H)/(SUMIF('ADV - FB'!L:L,$A903,'ADV - FB'!G:G)),"-")</f>
        <v>-</v>
      </c>
      <c r="I903" s="321" t="str">
        <f>IFERROR(SUMIF('ADV - FB'!L:L,$A903,'ADV - FB'!E:E)/(SUMIF('ADV - FB'!L:L,$A903,'ADV - FB'!F:F)),"-")</f>
        <v>-</v>
      </c>
      <c r="J903" s="315">
        <f>SUMIF('ADV - FB'!L:L,$A903,'ADV - FB'!I:I)+SUMIF('ADV - FB'!L:L,$A903,'ADV - FB'!J:J)+SUMIF('ADV - FB'!L:L,$A903,'ADV - FB'!K:K)</f>
        <v>0</v>
      </c>
      <c r="K903" s="321" t="str">
        <f t="shared" si="2"/>
        <v>-</v>
      </c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ht="15.75" customHeight="1">
      <c r="A904" s="313" t="s">
        <v>1173</v>
      </c>
      <c r="B904" s="314"/>
      <c r="C904" s="315"/>
      <c r="D904" s="315"/>
      <c r="E904" s="317"/>
      <c r="F904" s="318" t="str">
        <f t="shared" si="1"/>
        <v>TP903 -  -  - </v>
      </c>
      <c r="G904" s="319">
        <f>SUMIF('ADV - FB'!L:L,$A904,'ADV - FB'!E:E)</f>
        <v>0</v>
      </c>
      <c r="H904" s="320" t="str">
        <f>IFERROR(SUMIF('ADV - FB'!L:L,$A904,'ADV - FB'!H:H)/(SUMIF('ADV - FB'!L:L,$A904,'ADV - FB'!G:G)),"-")</f>
        <v>-</v>
      </c>
      <c r="I904" s="321" t="str">
        <f>IFERROR(SUMIF('ADV - FB'!L:L,$A904,'ADV - FB'!E:E)/(SUMIF('ADV - FB'!L:L,$A904,'ADV - FB'!F:F)),"-")</f>
        <v>-</v>
      </c>
      <c r="J904" s="315">
        <f>SUMIF('ADV - FB'!L:L,$A904,'ADV - FB'!I:I)+SUMIF('ADV - FB'!L:L,$A904,'ADV - FB'!J:J)+SUMIF('ADV - FB'!L:L,$A904,'ADV - FB'!K:K)</f>
        <v>0</v>
      </c>
      <c r="K904" s="321" t="str">
        <f t="shared" si="2"/>
        <v>-</v>
      </c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ht="15.75" customHeight="1">
      <c r="A905" s="313" t="s">
        <v>1174</v>
      </c>
      <c r="B905" s="314"/>
      <c r="C905" s="315"/>
      <c r="D905" s="315"/>
      <c r="E905" s="317"/>
      <c r="F905" s="318" t="str">
        <f t="shared" si="1"/>
        <v>TP904 -  -  - </v>
      </c>
      <c r="G905" s="319">
        <f>SUMIF('ADV - FB'!L:L,$A905,'ADV - FB'!E:E)</f>
        <v>0</v>
      </c>
      <c r="H905" s="320" t="str">
        <f>IFERROR(SUMIF('ADV - FB'!L:L,$A905,'ADV - FB'!H:H)/(SUMIF('ADV - FB'!L:L,$A905,'ADV - FB'!G:G)),"-")</f>
        <v>-</v>
      </c>
      <c r="I905" s="321" t="str">
        <f>IFERROR(SUMIF('ADV - FB'!L:L,$A905,'ADV - FB'!E:E)/(SUMIF('ADV - FB'!L:L,$A905,'ADV - FB'!F:F)),"-")</f>
        <v>-</v>
      </c>
      <c r="J905" s="315">
        <f>SUMIF('ADV - FB'!L:L,$A905,'ADV - FB'!I:I)+SUMIF('ADV - FB'!L:L,$A905,'ADV - FB'!J:J)+SUMIF('ADV - FB'!L:L,$A905,'ADV - FB'!K:K)</f>
        <v>0</v>
      </c>
      <c r="K905" s="321" t="str">
        <f t="shared" si="2"/>
        <v>-</v>
      </c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ht="15.75" customHeight="1">
      <c r="A906" s="313" t="s">
        <v>1175</v>
      </c>
      <c r="B906" s="314"/>
      <c r="C906" s="315"/>
      <c r="D906" s="315"/>
      <c r="E906" s="317"/>
      <c r="F906" s="318" t="str">
        <f t="shared" si="1"/>
        <v>TP905 -  -  - </v>
      </c>
      <c r="G906" s="319">
        <f>SUMIF('ADV - FB'!L:L,$A906,'ADV - FB'!E:E)</f>
        <v>0</v>
      </c>
      <c r="H906" s="320" t="str">
        <f>IFERROR(SUMIF('ADV - FB'!L:L,$A906,'ADV - FB'!H:H)/(SUMIF('ADV - FB'!L:L,$A906,'ADV - FB'!G:G)),"-")</f>
        <v>-</v>
      </c>
      <c r="I906" s="321" t="str">
        <f>IFERROR(SUMIF('ADV - FB'!L:L,$A906,'ADV - FB'!E:E)/(SUMIF('ADV - FB'!L:L,$A906,'ADV - FB'!F:F)),"-")</f>
        <v>-</v>
      </c>
      <c r="J906" s="315">
        <f>SUMIF('ADV - FB'!L:L,$A906,'ADV - FB'!I:I)+SUMIF('ADV - FB'!L:L,$A906,'ADV - FB'!J:J)+SUMIF('ADV - FB'!L:L,$A906,'ADV - FB'!K:K)</f>
        <v>0</v>
      </c>
      <c r="K906" s="321" t="str">
        <f t="shared" si="2"/>
        <v>-</v>
      </c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ht="15.75" customHeight="1">
      <c r="A907" s="313" t="s">
        <v>1176</v>
      </c>
      <c r="B907" s="314"/>
      <c r="C907" s="315"/>
      <c r="D907" s="315"/>
      <c r="E907" s="317"/>
      <c r="F907" s="318" t="str">
        <f t="shared" si="1"/>
        <v>TP906 -  -  - </v>
      </c>
      <c r="G907" s="319">
        <f>SUMIF('ADV - FB'!L:L,$A907,'ADV - FB'!E:E)</f>
        <v>0</v>
      </c>
      <c r="H907" s="320" t="str">
        <f>IFERROR(SUMIF('ADV - FB'!L:L,$A907,'ADV - FB'!H:H)/(SUMIF('ADV - FB'!L:L,$A907,'ADV - FB'!G:G)),"-")</f>
        <v>-</v>
      </c>
      <c r="I907" s="321" t="str">
        <f>IFERROR(SUMIF('ADV - FB'!L:L,$A907,'ADV - FB'!E:E)/(SUMIF('ADV - FB'!L:L,$A907,'ADV - FB'!F:F)),"-")</f>
        <v>-</v>
      </c>
      <c r="J907" s="315">
        <f>SUMIF('ADV - FB'!L:L,$A907,'ADV - FB'!I:I)+SUMIF('ADV - FB'!L:L,$A907,'ADV - FB'!J:J)+SUMIF('ADV - FB'!L:L,$A907,'ADV - FB'!K:K)</f>
        <v>0</v>
      </c>
      <c r="K907" s="321" t="str">
        <f t="shared" si="2"/>
        <v>-</v>
      </c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ht="15.75" customHeight="1">
      <c r="A908" s="313" t="s">
        <v>1177</v>
      </c>
      <c r="B908" s="314"/>
      <c r="C908" s="315"/>
      <c r="D908" s="315"/>
      <c r="E908" s="317"/>
      <c r="F908" s="318" t="str">
        <f t="shared" si="1"/>
        <v>TP907 -  -  - </v>
      </c>
      <c r="G908" s="319">
        <f>SUMIF('ADV - FB'!L:L,$A908,'ADV - FB'!E:E)</f>
        <v>0</v>
      </c>
      <c r="H908" s="320" t="str">
        <f>IFERROR(SUMIF('ADV - FB'!L:L,$A908,'ADV - FB'!H:H)/(SUMIF('ADV - FB'!L:L,$A908,'ADV - FB'!G:G)),"-")</f>
        <v>-</v>
      </c>
      <c r="I908" s="321" t="str">
        <f>IFERROR(SUMIF('ADV - FB'!L:L,$A908,'ADV - FB'!E:E)/(SUMIF('ADV - FB'!L:L,$A908,'ADV - FB'!F:F)),"-")</f>
        <v>-</v>
      </c>
      <c r="J908" s="315">
        <f>SUMIF('ADV - FB'!L:L,$A908,'ADV - FB'!I:I)+SUMIF('ADV - FB'!L:L,$A908,'ADV - FB'!J:J)+SUMIF('ADV - FB'!L:L,$A908,'ADV - FB'!K:K)</f>
        <v>0</v>
      </c>
      <c r="K908" s="321" t="str">
        <f t="shared" si="2"/>
        <v>-</v>
      </c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ht="15.75" customHeight="1">
      <c r="A909" s="313" t="s">
        <v>1178</v>
      </c>
      <c r="B909" s="314"/>
      <c r="C909" s="315"/>
      <c r="D909" s="315"/>
      <c r="E909" s="317"/>
      <c r="F909" s="318" t="str">
        <f t="shared" si="1"/>
        <v>TP908 -  -  - </v>
      </c>
      <c r="G909" s="319">
        <f>SUMIF('ADV - FB'!L:L,$A909,'ADV - FB'!E:E)</f>
        <v>0</v>
      </c>
      <c r="H909" s="320" t="str">
        <f>IFERROR(SUMIF('ADV - FB'!L:L,$A909,'ADV - FB'!H:H)/(SUMIF('ADV - FB'!L:L,$A909,'ADV - FB'!G:G)),"-")</f>
        <v>-</v>
      </c>
      <c r="I909" s="321" t="str">
        <f>IFERROR(SUMIF('ADV - FB'!L:L,$A909,'ADV - FB'!E:E)/(SUMIF('ADV - FB'!L:L,$A909,'ADV - FB'!F:F)),"-")</f>
        <v>-</v>
      </c>
      <c r="J909" s="315">
        <f>SUMIF('ADV - FB'!L:L,$A909,'ADV - FB'!I:I)+SUMIF('ADV - FB'!L:L,$A909,'ADV - FB'!J:J)+SUMIF('ADV - FB'!L:L,$A909,'ADV - FB'!K:K)</f>
        <v>0</v>
      </c>
      <c r="K909" s="321" t="str">
        <f t="shared" si="2"/>
        <v>-</v>
      </c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ht="15.75" customHeight="1">
      <c r="A910" s="313" t="s">
        <v>1179</v>
      </c>
      <c r="B910" s="314"/>
      <c r="C910" s="315"/>
      <c r="D910" s="315"/>
      <c r="E910" s="317"/>
      <c r="F910" s="318" t="str">
        <f t="shared" si="1"/>
        <v>TP909 -  -  - </v>
      </c>
      <c r="G910" s="319">
        <f>SUMIF('ADV - FB'!L:L,$A910,'ADV - FB'!E:E)</f>
        <v>0</v>
      </c>
      <c r="H910" s="320" t="str">
        <f>IFERROR(SUMIF('ADV - FB'!L:L,$A910,'ADV - FB'!H:H)/(SUMIF('ADV - FB'!L:L,$A910,'ADV - FB'!G:G)),"-")</f>
        <v>-</v>
      </c>
      <c r="I910" s="321" t="str">
        <f>IFERROR(SUMIF('ADV - FB'!L:L,$A910,'ADV - FB'!E:E)/(SUMIF('ADV - FB'!L:L,$A910,'ADV - FB'!F:F)),"-")</f>
        <v>-</v>
      </c>
      <c r="J910" s="315">
        <f>SUMIF('ADV - FB'!L:L,$A910,'ADV - FB'!I:I)+SUMIF('ADV - FB'!L:L,$A910,'ADV - FB'!J:J)+SUMIF('ADV - FB'!L:L,$A910,'ADV - FB'!K:K)</f>
        <v>0</v>
      </c>
      <c r="K910" s="321" t="str">
        <f t="shared" si="2"/>
        <v>-</v>
      </c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ht="15.75" customHeight="1">
      <c r="A911" s="313" t="s">
        <v>1180</v>
      </c>
      <c r="B911" s="314"/>
      <c r="C911" s="315"/>
      <c r="D911" s="315"/>
      <c r="E911" s="317"/>
      <c r="F911" s="318" t="str">
        <f t="shared" si="1"/>
        <v>TP910 -  -  - </v>
      </c>
      <c r="G911" s="319">
        <f>SUMIF('ADV - FB'!L:L,$A911,'ADV - FB'!E:E)</f>
        <v>0</v>
      </c>
      <c r="H911" s="320" t="str">
        <f>IFERROR(SUMIF('ADV - FB'!L:L,$A911,'ADV - FB'!H:H)/(SUMIF('ADV - FB'!L:L,$A911,'ADV - FB'!G:G)),"-")</f>
        <v>-</v>
      </c>
      <c r="I911" s="321" t="str">
        <f>IFERROR(SUMIF('ADV - FB'!L:L,$A911,'ADV - FB'!E:E)/(SUMIF('ADV - FB'!L:L,$A911,'ADV - FB'!F:F)),"-")</f>
        <v>-</v>
      </c>
      <c r="J911" s="315">
        <f>SUMIF('ADV - FB'!L:L,$A911,'ADV - FB'!I:I)+SUMIF('ADV - FB'!L:L,$A911,'ADV - FB'!J:J)+SUMIF('ADV - FB'!L:L,$A911,'ADV - FB'!K:K)</f>
        <v>0</v>
      </c>
      <c r="K911" s="321" t="str">
        <f t="shared" si="2"/>
        <v>-</v>
      </c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ht="15.75" customHeight="1">
      <c r="A912" s="313" t="s">
        <v>1181</v>
      </c>
      <c r="B912" s="314"/>
      <c r="C912" s="315"/>
      <c r="D912" s="315"/>
      <c r="E912" s="317"/>
      <c r="F912" s="318" t="str">
        <f t="shared" si="1"/>
        <v>TP911 -  -  - </v>
      </c>
      <c r="G912" s="319">
        <f>SUMIF('ADV - FB'!L:L,$A912,'ADV - FB'!E:E)</f>
        <v>0</v>
      </c>
      <c r="H912" s="320" t="str">
        <f>IFERROR(SUMIF('ADV - FB'!L:L,$A912,'ADV - FB'!H:H)/(SUMIF('ADV - FB'!L:L,$A912,'ADV - FB'!G:G)),"-")</f>
        <v>-</v>
      </c>
      <c r="I912" s="321" t="str">
        <f>IFERROR(SUMIF('ADV - FB'!L:L,$A912,'ADV - FB'!E:E)/(SUMIF('ADV - FB'!L:L,$A912,'ADV - FB'!F:F)),"-")</f>
        <v>-</v>
      </c>
      <c r="J912" s="315">
        <f>SUMIF('ADV - FB'!L:L,$A912,'ADV - FB'!I:I)+SUMIF('ADV - FB'!L:L,$A912,'ADV - FB'!J:J)+SUMIF('ADV - FB'!L:L,$A912,'ADV - FB'!K:K)</f>
        <v>0</v>
      </c>
      <c r="K912" s="321" t="str">
        <f t="shared" si="2"/>
        <v>-</v>
      </c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ht="15.75" customHeight="1">
      <c r="A913" s="313" t="s">
        <v>1182</v>
      </c>
      <c r="B913" s="314"/>
      <c r="C913" s="315"/>
      <c r="D913" s="315"/>
      <c r="E913" s="317"/>
      <c r="F913" s="318" t="str">
        <f t="shared" si="1"/>
        <v>TP912 -  -  - </v>
      </c>
      <c r="G913" s="319">
        <f>SUMIF('ADV - FB'!L:L,$A913,'ADV - FB'!E:E)</f>
        <v>0</v>
      </c>
      <c r="H913" s="320" t="str">
        <f>IFERROR(SUMIF('ADV - FB'!L:L,$A913,'ADV - FB'!H:H)/(SUMIF('ADV - FB'!L:L,$A913,'ADV - FB'!G:G)),"-")</f>
        <v>-</v>
      </c>
      <c r="I913" s="321" t="str">
        <f>IFERROR(SUMIF('ADV - FB'!L:L,$A913,'ADV - FB'!E:E)/(SUMIF('ADV - FB'!L:L,$A913,'ADV - FB'!F:F)),"-")</f>
        <v>-</v>
      </c>
      <c r="J913" s="315">
        <f>SUMIF('ADV - FB'!L:L,$A913,'ADV - FB'!I:I)+SUMIF('ADV - FB'!L:L,$A913,'ADV - FB'!J:J)+SUMIF('ADV - FB'!L:L,$A913,'ADV - FB'!K:K)</f>
        <v>0</v>
      </c>
      <c r="K913" s="321" t="str">
        <f t="shared" si="2"/>
        <v>-</v>
      </c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ht="15.75" customHeight="1">
      <c r="A914" s="313" t="s">
        <v>1183</v>
      </c>
      <c r="B914" s="314"/>
      <c r="C914" s="315"/>
      <c r="D914" s="315"/>
      <c r="E914" s="317"/>
      <c r="F914" s="318" t="str">
        <f t="shared" si="1"/>
        <v>TP913 -  -  - </v>
      </c>
      <c r="G914" s="319">
        <f>SUMIF('ADV - FB'!L:L,$A914,'ADV - FB'!E:E)</f>
        <v>0</v>
      </c>
      <c r="H914" s="320" t="str">
        <f>IFERROR(SUMIF('ADV - FB'!L:L,$A914,'ADV - FB'!H:H)/(SUMIF('ADV - FB'!L:L,$A914,'ADV - FB'!G:G)),"-")</f>
        <v>-</v>
      </c>
      <c r="I914" s="321" t="str">
        <f>IFERROR(SUMIF('ADV - FB'!L:L,$A914,'ADV - FB'!E:E)/(SUMIF('ADV - FB'!L:L,$A914,'ADV - FB'!F:F)),"-")</f>
        <v>-</v>
      </c>
      <c r="J914" s="315">
        <f>SUMIF('ADV - FB'!L:L,$A914,'ADV - FB'!I:I)+SUMIF('ADV - FB'!L:L,$A914,'ADV - FB'!J:J)+SUMIF('ADV - FB'!L:L,$A914,'ADV - FB'!K:K)</f>
        <v>0</v>
      </c>
      <c r="K914" s="321" t="str">
        <f t="shared" si="2"/>
        <v>-</v>
      </c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ht="15.75" customHeight="1">
      <c r="A915" s="313" t="s">
        <v>1184</v>
      </c>
      <c r="B915" s="314"/>
      <c r="C915" s="315"/>
      <c r="D915" s="315"/>
      <c r="E915" s="317"/>
      <c r="F915" s="318" t="str">
        <f t="shared" si="1"/>
        <v>TP914 -  -  - </v>
      </c>
      <c r="G915" s="319">
        <f>SUMIF('ADV - FB'!L:L,$A915,'ADV - FB'!E:E)</f>
        <v>0</v>
      </c>
      <c r="H915" s="320" t="str">
        <f>IFERROR(SUMIF('ADV - FB'!L:L,$A915,'ADV - FB'!H:H)/(SUMIF('ADV - FB'!L:L,$A915,'ADV - FB'!G:G)),"-")</f>
        <v>-</v>
      </c>
      <c r="I915" s="321" t="str">
        <f>IFERROR(SUMIF('ADV - FB'!L:L,$A915,'ADV - FB'!E:E)/(SUMIF('ADV - FB'!L:L,$A915,'ADV - FB'!F:F)),"-")</f>
        <v>-</v>
      </c>
      <c r="J915" s="315">
        <f>SUMIF('ADV - FB'!L:L,$A915,'ADV - FB'!I:I)+SUMIF('ADV - FB'!L:L,$A915,'ADV - FB'!J:J)+SUMIF('ADV - FB'!L:L,$A915,'ADV - FB'!K:K)</f>
        <v>0</v>
      </c>
      <c r="K915" s="321" t="str">
        <f t="shared" si="2"/>
        <v>-</v>
      </c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ht="15.75" customHeight="1">
      <c r="A916" s="313" t="s">
        <v>1185</v>
      </c>
      <c r="B916" s="314"/>
      <c r="C916" s="315"/>
      <c r="D916" s="315"/>
      <c r="E916" s="317"/>
      <c r="F916" s="318" t="str">
        <f t="shared" si="1"/>
        <v>TP915 -  -  - </v>
      </c>
      <c r="G916" s="319">
        <f>SUMIF('ADV - FB'!L:L,$A916,'ADV - FB'!E:E)</f>
        <v>0</v>
      </c>
      <c r="H916" s="320" t="str">
        <f>IFERROR(SUMIF('ADV - FB'!L:L,$A916,'ADV - FB'!H:H)/(SUMIF('ADV - FB'!L:L,$A916,'ADV - FB'!G:G)),"-")</f>
        <v>-</v>
      </c>
      <c r="I916" s="321" t="str">
        <f>IFERROR(SUMIF('ADV - FB'!L:L,$A916,'ADV - FB'!E:E)/(SUMIF('ADV - FB'!L:L,$A916,'ADV - FB'!F:F)),"-")</f>
        <v>-</v>
      </c>
      <c r="J916" s="315">
        <f>SUMIF('ADV - FB'!L:L,$A916,'ADV - FB'!I:I)+SUMIF('ADV - FB'!L:L,$A916,'ADV - FB'!J:J)+SUMIF('ADV - FB'!L:L,$A916,'ADV - FB'!K:K)</f>
        <v>0</v>
      </c>
      <c r="K916" s="321" t="str">
        <f t="shared" si="2"/>
        <v>-</v>
      </c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ht="15.75" customHeight="1">
      <c r="A917" s="313" t="s">
        <v>1186</v>
      </c>
      <c r="B917" s="314"/>
      <c r="C917" s="315"/>
      <c r="D917" s="315"/>
      <c r="E917" s="317"/>
      <c r="F917" s="318" t="str">
        <f t="shared" si="1"/>
        <v>TP916 -  -  - </v>
      </c>
      <c r="G917" s="319">
        <f>SUMIF('ADV - FB'!L:L,$A917,'ADV - FB'!E:E)</f>
        <v>0</v>
      </c>
      <c r="H917" s="320" t="str">
        <f>IFERROR(SUMIF('ADV - FB'!L:L,$A917,'ADV - FB'!H:H)/(SUMIF('ADV - FB'!L:L,$A917,'ADV - FB'!G:G)),"-")</f>
        <v>-</v>
      </c>
      <c r="I917" s="321" t="str">
        <f>IFERROR(SUMIF('ADV - FB'!L:L,$A917,'ADV - FB'!E:E)/(SUMIF('ADV - FB'!L:L,$A917,'ADV - FB'!F:F)),"-")</f>
        <v>-</v>
      </c>
      <c r="J917" s="315">
        <f>SUMIF('ADV - FB'!L:L,$A917,'ADV - FB'!I:I)+SUMIF('ADV - FB'!L:L,$A917,'ADV - FB'!J:J)+SUMIF('ADV - FB'!L:L,$A917,'ADV - FB'!K:K)</f>
        <v>0</v>
      </c>
      <c r="K917" s="321" t="str">
        <f t="shared" si="2"/>
        <v>-</v>
      </c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ht="15.75" customHeight="1">
      <c r="A918" s="313" t="s">
        <v>1187</v>
      </c>
      <c r="B918" s="314"/>
      <c r="C918" s="315"/>
      <c r="D918" s="315"/>
      <c r="E918" s="317"/>
      <c r="F918" s="318" t="str">
        <f t="shared" si="1"/>
        <v>TP917 -  -  - </v>
      </c>
      <c r="G918" s="319">
        <f>SUMIF('ADV - FB'!L:L,$A918,'ADV - FB'!E:E)</f>
        <v>0</v>
      </c>
      <c r="H918" s="320" t="str">
        <f>IFERROR(SUMIF('ADV - FB'!L:L,$A918,'ADV - FB'!H:H)/(SUMIF('ADV - FB'!L:L,$A918,'ADV - FB'!G:G)),"-")</f>
        <v>-</v>
      </c>
      <c r="I918" s="321" t="str">
        <f>IFERROR(SUMIF('ADV - FB'!L:L,$A918,'ADV - FB'!E:E)/(SUMIF('ADV - FB'!L:L,$A918,'ADV - FB'!F:F)),"-")</f>
        <v>-</v>
      </c>
      <c r="J918" s="315">
        <f>SUMIF('ADV - FB'!L:L,$A918,'ADV - FB'!I:I)+SUMIF('ADV - FB'!L:L,$A918,'ADV - FB'!J:J)+SUMIF('ADV - FB'!L:L,$A918,'ADV - FB'!K:K)</f>
        <v>0</v>
      </c>
      <c r="K918" s="321" t="str">
        <f t="shared" si="2"/>
        <v>-</v>
      </c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ht="15.75" customHeight="1">
      <c r="A919" s="313" t="s">
        <v>1188</v>
      </c>
      <c r="B919" s="314"/>
      <c r="C919" s="315"/>
      <c r="D919" s="315"/>
      <c r="E919" s="317"/>
      <c r="F919" s="318" t="str">
        <f t="shared" si="1"/>
        <v>TP918 -  -  - </v>
      </c>
      <c r="G919" s="319">
        <f>SUMIF('ADV - FB'!L:L,$A919,'ADV - FB'!E:E)</f>
        <v>0</v>
      </c>
      <c r="H919" s="320" t="str">
        <f>IFERROR(SUMIF('ADV - FB'!L:L,$A919,'ADV - FB'!H:H)/(SUMIF('ADV - FB'!L:L,$A919,'ADV - FB'!G:G)),"-")</f>
        <v>-</v>
      </c>
      <c r="I919" s="321" t="str">
        <f>IFERROR(SUMIF('ADV - FB'!L:L,$A919,'ADV - FB'!E:E)/(SUMIF('ADV - FB'!L:L,$A919,'ADV - FB'!F:F)),"-")</f>
        <v>-</v>
      </c>
      <c r="J919" s="315">
        <f>SUMIF('ADV - FB'!L:L,$A919,'ADV - FB'!I:I)+SUMIF('ADV - FB'!L:L,$A919,'ADV - FB'!J:J)+SUMIF('ADV - FB'!L:L,$A919,'ADV - FB'!K:K)</f>
        <v>0</v>
      </c>
      <c r="K919" s="321" t="str">
        <f t="shared" si="2"/>
        <v>-</v>
      </c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ht="15.75" customHeight="1">
      <c r="A920" s="313" t="s">
        <v>1189</v>
      </c>
      <c r="B920" s="314"/>
      <c r="C920" s="315"/>
      <c r="D920" s="315"/>
      <c r="E920" s="317"/>
      <c r="F920" s="318" t="str">
        <f t="shared" si="1"/>
        <v>TP919 -  -  - </v>
      </c>
      <c r="G920" s="319">
        <f>SUMIF('ADV - FB'!L:L,$A920,'ADV - FB'!E:E)</f>
        <v>0</v>
      </c>
      <c r="H920" s="320" t="str">
        <f>IFERROR(SUMIF('ADV - FB'!L:L,$A920,'ADV - FB'!H:H)/(SUMIF('ADV - FB'!L:L,$A920,'ADV - FB'!G:G)),"-")</f>
        <v>-</v>
      </c>
      <c r="I920" s="321" t="str">
        <f>IFERROR(SUMIF('ADV - FB'!L:L,$A920,'ADV - FB'!E:E)/(SUMIF('ADV - FB'!L:L,$A920,'ADV - FB'!F:F)),"-")</f>
        <v>-</v>
      </c>
      <c r="J920" s="315">
        <f>SUMIF('ADV - FB'!L:L,$A920,'ADV - FB'!I:I)+SUMIF('ADV - FB'!L:L,$A920,'ADV - FB'!J:J)+SUMIF('ADV - FB'!L:L,$A920,'ADV - FB'!K:K)</f>
        <v>0</v>
      </c>
      <c r="K920" s="321" t="str">
        <f t="shared" si="2"/>
        <v>-</v>
      </c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ht="15.75" customHeight="1">
      <c r="A921" s="313" t="s">
        <v>1190</v>
      </c>
      <c r="B921" s="314"/>
      <c r="C921" s="315"/>
      <c r="D921" s="315"/>
      <c r="E921" s="317"/>
      <c r="F921" s="318" t="str">
        <f t="shared" si="1"/>
        <v>TP920 -  -  - </v>
      </c>
      <c r="G921" s="319">
        <f>SUMIF('ADV - FB'!L:L,$A921,'ADV - FB'!E:E)</f>
        <v>0</v>
      </c>
      <c r="H921" s="320" t="str">
        <f>IFERROR(SUMIF('ADV - FB'!L:L,$A921,'ADV - FB'!H:H)/(SUMIF('ADV - FB'!L:L,$A921,'ADV - FB'!G:G)),"-")</f>
        <v>-</v>
      </c>
      <c r="I921" s="321" t="str">
        <f>IFERROR(SUMIF('ADV - FB'!L:L,$A921,'ADV - FB'!E:E)/(SUMIF('ADV - FB'!L:L,$A921,'ADV - FB'!F:F)),"-")</f>
        <v>-</v>
      </c>
      <c r="J921" s="315">
        <f>SUMIF('ADV - FB'!L:L,$A921,'ADV - FB'!I:I)+SUMIF('ADV - FB'!L:L,$A921,'ADV - FB'!J:J)+SUMIF('ADV - FB'!L:L,$A921,'ADV - FB'!K:K)</f>
        <v>0</v>
      </c>
      <c r="K921" s="321" t="str">
        <f t="shared" si="2"/>
        <v>-</v>
      </c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ht="15.75" customHeight="1">
      <c r="A922" s="313" t="s">
        <v>1191</v>
      </c>
      <c r="B922" s="314"/>
      <c r="C922" s="315"/>
      <c r="D922" s="315"/>
      <c r="E922" s="317"/>
      <c r="F922" s="318" t="str">
        <f t="shared" si="1"/>
        <v>TP921 -  -  - </v>
      </c>
      <c r="G922" s="319">
        <f>SUMIF('ADV - FB'!L:L,$A922,'ADV - FB'!E:E)</f>
        <v>0</v>
      </c>
      <c r="H922" s="320" t="str">
        <f>IFERROR(SUMIF('ADV - FB'!L:L,$A922,'ADV - FB'!H:H)/(SUMIF('ADV - FB'!L:L,$A922,'ADV - FB'!G:G)),"-")</f>
        <v>-</v>
      </c>
      <c r="I922" s="321" t="str">
        <f>IFERROR(SUMIF('ADV - FB'!L:L,$A922,'ADV - FB'!E:E)/(SUMIF('ADV - FB'!L:L,$A922,'ADV - FB'!F:F)),"-")</f>
        <v>-</v>
      </c>
      <c r="J922" s="315">
        <f>SUMIF('ADV - FB'!L:L,$A922,'ADV - FB'!I:I)+SUMIF('ADV - FB'!L:L,$A922,'ADV - FB'!J:J)+SUMIF('ADV - FB'!L:L,$A922,'ADV - FB'!K:K)</f>
        <v>0</v>
      </c>
      <c r="K922" s="321" t="str">
        <f t="shared" si="2"/>
        <v>-</v>
      </c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ht="15.75" customHeight="1">
      <c r="A923" s="313" t="s">
        <v>1192</v>
      </c>
      <c r="B923" s="314"/>
      <c r="C923" s="315"/>
      <c r="D923" s="315"/>
      <c r="E923" s="317"/>
      <c r="F923" s="318" t="str">
        <f t="shared" si="1"/>
        <v>TP922 -  -  - </v>
      </c>
      <c r="G923" s="319">
        <f>SUMIF('ADV - FB'!L:L,$A923,'ADV - FB'!E:E)</f>
        <v>0</v>
      </c>
      <c r="H923" s="320" t="str">
        <f>IFERROR(SUMIF('ADV - FB'!L:L,$A923,'ADV - FB'!H:H)/(SUMIF('ADV - FB'!L:L,$A923,'ADV - FB'!G:G)),"-")</f>
        <v>-</v>
      </c>
      <c r="I923" s="321" t="str">
        <f>IFERROR(SUMIF('ADV - FB'!L:L,$A923,'ADV - FB'!E:E)/(SUMIF('ADV - FB'!L:L,$A923,'ADV - FB'!F:F)),"-")</f>
        <v>-</v>
      </c>
      <c r="J923" s="315">
        <f>SUMIF('ADV - FB'!L:L,$A923,'ADV - FB'!I:I)+SUMIF('ADV - FB'!L:L,$A923,'ADV - FB'!J:J)+SUMIF('ADV - FB'!L:L,$A923,'ADV - FB'!K:K)</f>
        <v>0</v>
      </c>
      <c r="K923" s="321" t="str">
        <f t="shared" si="2"/>
        <v>-</v>
      </c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ht="15.75" customHeight="1">
      <c r="A924" s="313" t="s">
        <v>1193</v>
      </c>
      <c r="B924" s="314"/>
      <c r="C924" s="315"/>
      <c r="D924" s="315"/>
      <c r="E924" s="317"/>
      <c r="F924" s="318" t="str">
        <f t="shared" si="1"/>
        <v>TP923 -  -  - </v>
      </c>
      <c r="G924" s="319">
        <f>SUMIF('ADV - FB'!L:L,$A924,'ADV - FB'!E:E)</f>
        <v>0</v>
      </c>
      <c r="H924" s="320" t="str">
        <f>IFERROR(SUMIF('ADV - FB'!L:L,$A924,'ADV - FB'!H:H)/(SUMIF('ADV - FB'!L:L,$A924,'ADV - FB'!G:G)),"-")</f>
        <v>-</v>
      </c>
      <c r="I924" s="321" t="str">
        <f>IFERROR(SUMIF('ADV - FB'!L:L,$A924,'ADV - FB'!E:E)/(SUMIF('ADV - FB'!L:L,$A924,'ADV - FB'!F:F)),"-")</f>
        <v>-</v>
      </c>
      <c r="J924" s="315">
        <f>SUMIF('ADV - FB'!L:L,$A924,'ADV - FB'!I:I)+SUMIF('ADV - FB'!L:L,$A924,'ADV - FB'!J:J)+SUMIF('ADV - FB'!L:L,$A924,'ADV - FB'!K:K)</f>
        <v>0</v>
      </c>
      <c r="K924" s="321" t="str">
        <f t="shared" si="2"/>
        <v>-</v>
      </c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ht="15.75" customHeight="1">
      <c r="A925" s="313" t="s">
        <v>1194</v>
      </c>
      <c r="B925" s="314"/>
      <c r="C925" s="315"/>
      <c r="D925" s="315"/>
      <c r="E925" s="317"/>
      <c r="F925" s="318" t="str">
        <f t="shared" si="1"/>
        <v>TP924 -  -  - </v>
      </c>
      <c r="G925" s="319">
        <f>SUMIF('ADV - FB'!L:L,$A925,'ADV - FB'!E:E)</f>
        <v>0</v>
      </c>
      <c r="H925" s="320" t="str">
        <f>IFERROR(SUMIF('ADV - FB'!L:L,$A925,'ADV - FB'!H:H)/(SUMIF('ADV - FB'!L:L,$A925,'ADV - FB'!G:G)),"-")</f>
        <v>-</v>
      </c>
      <c r="I925" s="321" t="str">
        <f>IFERROR(SUMIF('ADV - FB'!L:L,$A925,'ADV - FB'!E:E)/(SUMIF('ADV - FB'!L:L,$A925,'ADV - FB'!F:F)),"-")</f>
        <v>-</v>
      </c>
      <c r="J925" s="315">
        <f>SUMIF('ADV - FB'!L:L,$A925,'ADV - FB'!I:I)+SUMIF('ADV - FB'!L:L,$A925,'ADV - FB'!J:J)+SUMIF('ADV - FB'!L:L,$A925,'ADV - FB'!K:K)</f>
        <v>0</v>
      </c>
      <c r="K925" s="321" t="str">
        <f t="shared" si="2"/>
        <v>-</v>
      </c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ht="15.75" customHeight="1">
      <c r="A926" s="313" t="s">
        <v>1195</v>
      </c>
      <c r="B926" s="314"/>
      <c r="C926" s="315"/>
      <c r="D926" s="315"/>
      <c r="E926" s="317"/>
      <c r="F926" s="318" t="str">
        <f t="shared" si="1"/>
        <v>TP925 -  -  - </v>
      </c>
      <c r="G926" s="319">
        <f>SUMIF('ADV - FB'!L:L,$A926,'ADV - FB'!E:E)</f>
        <v>0</v>
      </c>
      <c r="H926" s="320" t="str">
        <f>IFERROR(SUMIF('ADV - FB'!L:L,$A926,'ADV - FB'!H:H)/(SUMIF('ADV - FB'!L:L,$A926,'ADV - FB'!G:G)),"-")</f>
        <v>-</v>
      </c>
      <c r="I926" s="321" t="str">
        <f>IFERROR(SUMIF('ADV - FB'!L:L,$A926,'ADV - FB'!E:E)/(SUMIF('ADV - FB'!L:L,$A926,'ADV - FB'!F:F)),"-")</f>
        <v>-</v>
      </c>
      <c r="J926" s="315">
        <f>SUMIF('ADV - FB'!L:L,$A926,'ADV - FB'!I:I)+SUMIF('ADV - FB'!L:L,$A926,'ADV - FB'!J:J)+SUMIF('ADV - FB'!L:L,$A926,'ADV - FB'!K:K)</f>
        <v>0</v>
      </c>
      <c r="K926" s="321" t="str">
        <f t="shared" si="2"/>
        <v>-</v>
      </c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ht="15.75" customHeight="1">
      <c r="A927" s="313" t="s">
        <v>1196</v>
      </c>
      <c r="B927" s="314"/>
      <c r="C927" s="315"/>
      <c r="D927" s="315"/>
      <c r="E927" s="317"/>
      <c r="F927" s="318" t="str">
        <f t="shared" si="1"/>
        <v>TP926 -  -  - </v>
      </c>
      <c r="G927" s="319">
        <f>SUMIF('ADV - FB'!L:L,$A927,'ADV - FB'!E:E)</f>
        <v>0</v>
      </c>
      <c r="H927" s="320" t="str">
        <f>IFERROR(SUMIF('ADV - FB'!L:L,$A927,'ADV - FB'!H:H)/(SUMIF('ADV - FB'!L:L,$A927,'ADV - FB'!G:G)),"-")</f>
        <v>-</v>
      </c>
      <c r="I927" s="321" t="str">
        <f>IFERROR(SUMIF('ADV - FB'!L:L,$A927,'ADV - FB'!E:E)/(SUMIF('ADV - FB'!L:L,$A927,'ADV - FB'!F:F)),"-")</f>
        <v>-</v>
      </c>
      <c r="J927" s="315">
        <f>SUMIF('ADV - FB'!L:L,$A927,'ADV - FB'!I:I)+SUMIF('ADV - FB'!L:L,$A927,'ADV - FB'!J:J)+SUMIF('ADV - FB'!L:L,$A927,'ADV - FB'!K:K)</f>
        <v>0</v>
      </c>
      <c r="K927" s="321" t="str">
        <f t="shared" si="2"/>
        <v>-</v>
      </c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ht="15.75" customHeight="1">
      <c r="A928" s="313" t="s">
        <v>1197</v>
      </c>
      <c r="B928" s="314"/>
      <c r="C928" s="315"/>
      <c r="D928" s="315"/>
      <c r="E928" s="317"/>
      <c r="F928" s="318" t="str">
        <f t="shared" si="1"/>
        <v>TP927 -  -  - </v>
      </c>
      <c r="G928" s="319">
        <f>SUMIF('ADV - FB'!L:L,$A928,'ADV - FB'!E:E)</f>
        <v>0</v>
      </c>
      <c r="H928" s="320" t="str">
        <f>IFERROR(SUMIF('ADV - FB'!L:L,$A928,'ADV - FB'!H:H)/(SUMIF('ADV - FB'!L:L,$A928,'ADV - FB'!G:G)),"-")</f>
        <v>-</v>
      </c>
      <c r="I928" s="321" t="str">
        <f>IFERROR(SUMIF('ADV - FB'!L:L,$A928,'ADV - FB'!E:E)/(SUMIF('ADV - FB'!L:L,$A928,'ADV - FB'!F:F)),"-")</f>
        <v>-</v>
      </c>
      <c r="J928" s="315">
        <f>SUMIF('ADV - FB'!L:L,$A928,'ADV - FB'!I:I)+SUMIF('ADV - FB'!L:L,$A928,'ADV - FB'!J:J)+SUMIF('ADV - FB'!L:L,$A928,'ADV - FB'!K:K)</f>
        <v>0</v>
      </c>
      <c r="K928" s="321" t="str">
        <f t="shared" si="2"/>
        <v>-</v>
      </c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ht="15.75" customHeight="1">
      <c r="A929" s="313" t="s">
        <v>1198</v>
      </c>
      <c r="B929" s="314"/>
      <c r="C929" s="315"/>
      <c r="D929" s="315"/>
      <c r="E929" s="317"/>
      <c r="F929" s="318" t="str">
        <f t="shared" si="1"/>
        <v>TP928 -  -  - </v>
      </c>
      <c r="G929" s="319">
        <f>SUMIF('ADV - FB'!L:L,$A929,'ADV - FB'!E:E)</f>
        <v>0</v>
      </c>
      <c r="H929" s="320" t="str">
        <f>IFERROR(SUMIF('ADV - FB'!L:L,$A929,'ADV - FB'!H:H)/(SUMIF('ADV - FB'!L:L,$A929,'ADV - FB'!G:G)),"-")</f>
        <v>-</v>
      </c>
      <c r="I929" s="321" t="str">
        <f>IFERROR(SUMIF('ADV - FB'!L:L,$A929,'ADV - FB'!E:E)/(SUMIF('ADV - FB'!L:L,$A929,'ADV - FB'!F:F)),"-")</f>
        <v>-</v>
      </c>
      <c r="J929" s="315">
        <f>SUMIF('ADV - FB'!L:L,$A929,'ADV - FB'!I:I)+SUMIF('ADV - FB'!L:L,$A929,'ADV - FB'!J:J)+SUMIF('ADV - FB'!L:L,$A929,'ADV - FB'!K:K)</f>
        <v>0</v>
      </c>
      <c r="K929" s="321" t="str">
        <f t="shared" si="2"/>
        <v>-</v>
      </c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ht="15.75" customHeight="1">
      <c r="A930" s="313" t="s">
        <v>1199</v>
      </c>
      <c r="B930" s="314"/>
      <c r="C930" s="315"/>
      <c r="D930" s="315"/>
      <c r="E930" s="317"/>
      <c r="F930" s="318" t="str">
        <f t="shared" si="1"/>
        <v>TP929 -  -  - </v>
      </c>
      <c r="G930" s="319">
        <f>SUMIF('ADV - FB'!L:L,$A930,'ADV - FB'!E:E)</f>
        <v>0</v>
      </c>
      <c r="H930" s="320" t="str">
        <f>IFERROR(SUMIF('ADV - FB'!L:L,$A930,'ADV - FB'!H:H)/(SUMIF('ADV - FB'!L:L,$A930,'ADV - FB'!G:G)),"-")</f>
        <v>-</v>
      </c>
      <c r="I930" s="321" t="str">
        <f>IFERROR(SUMIF('ADV - FB'!L:L,$A930,'ADV - FB'!E:E)/(SUMIF('ADV - FB'!L:L,$A930,'ADV - FB'!F:F)),"-")</f>
        <v>-</v>
      </c>
      <c r="J930" s="315">
        <f>SUMIF('ADV - FB'!L:L,$A930,'ADV - FB'!I:I)+SUMIF('ADV - FB'!L:L,$A930,'ADV - FB'!J:J)+SUMIF('ADV - FB'!L:L,$A930,'ADV - FB'!K:K)</f>
        <v>0</v>
      </c>
      <c r="K930" s="321" t="str">
        <f t="shared" si="2"/>
        <v>-</v>
      </c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ht="15.75" customHeight="1">
      <c r="A931" s="313" t="s">
        <v>1200</v>
      </c>
      <c r="B931" s="314"/>
      <c r="C931" s="315"/>
      <c r="D931" s="315"/>
      <c r="E931" s="317"/>
      <c r="F931" s="318" t="str">
        <f t="shared" si="1"/>
        <v>TP930 -  -  - </v>
      </c>
      <c r="G931" s="319">
        <f>SUMIF('ADV - FB'!L:L,$A931,'ADV - FB'!E:E)</f>
        <v>0</v>
      </c>
      <c r="H931" s="320" t="str">
        <f>IFERROR(SUMIF('ADV - FB'!L:L,$A931,'ADV - FB'!H:H)/(SUMIF('ADV - FB'!L:L,$A931,'ADV - FB'!G:G)),"-")</f>
        <v>-</v>
      </c>
      <c r="I931" s="321" t="str">
        <f>IFERROR(SUMIF('ADV - FB'!L:L,$A931,'ADV - FB'!E:E)/(SUMIF('ADV - FB'!L:L,$A931,'ADV - FB'!F:F)),"-")</f>
        <v>-</v>
      </c>
      <c r="J931" s="315">
        <f>SUMIF('ADV - FB'!L:L,$A931,'ADV - FB'!I:I)+SUMIF('ADV - FB'!L:L,$A931,'ADV - FB'!J:J)+SUMIF('ADV - FB'!L:L,$A931,'ADV - FB'!K:K)</f>
        <v>0</v>
      </c>
      <c r="K931" s="321" t="str">
        <f t="shared" si="2"/>
        <v>-</v>
      </c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ht="15.75" customHeight="1">
      <c r="A932" s="313" t="s">
        <v>1201</v>
      </c>
      <c r="B932" s="314"/>
      <c r="C932" s="315"/>
      <c r="D932" s="315"/>
      <c r="E932" s="317"/>
      <c r="F932" s="318" t="str">
        <f t="shared" si="1"/>
        <v>TP931 -  -  - </v>
      </c>
      <c r="G932" s="319">
        <f>SUMIF('ADV - FB'!L:L,$A932,'ADV - FB'!E:E)</f>
        <v>0</v>
      </c>
      <c r="H932" s="320" t="str">
        <f>IFERROR(SUMIF('ADV - FB'!L:L,$A932,'ADV - FB'!H:H)/(SUMIF('ADV - FB'!L:L,$A932,'ADV - FB'!G:G)),"-")</f>
        <v>-</v>
      </c>
      <c r="I932" s="321" t="str">
        <f>IFERROR(SUMIF('ADV - FB'!L:L,$A932,'ADV - FB'!E:E)/(SUMIF('ADV - FB'!L:L,$A932,'ADV - FB'!F:F)),"-")</f>
        <v>-</v>
      </c>
      <c r="J932" s="315">
        <f>SUMIF('ADV - FB'!L:L,$A932,'ADV - FB'!I:I)+SUMIF('ADV - FB'!L:L,$A932,'ADV - FB'!J:J)+SUMIF('ADV - FB'!L:L,$A932,'ADV - FB'!K:K)</f>
        <v>0</v>
      </c>
      <c r="K932" s="321" t="str">
        <f t="shared" si="2"/>
        <v>-</v>
      </c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ht="15.75" customHeight="1">
      <c r="A933" s="313" t="s">
        <v>1202</v>
      </c>
      <c r="B933" s="314"/>
      <c r="C933" s="315"/>
      <c r="D933" s="315"/>
      <c r="E933" s="317"/>
      <c r="F933" s="318" t="str">
        <f t="shared" si="1"/>
        <v>TP932 -  -  - </v>
      </c>
      <c r="G933" s="319">
        <f>SUMIF('ADV - FB'!L:L,$A933,'ADV - FB'!E:E)</f>
        <v>0</v>
      </c>
      <c r="H933" s="320" t="str">
        <f>IFERROR(SUMIF('ADV - FB'!L:L,$A933,'ADV - FB'!H:H)/(SUMIF('ADV - FB'!L:L,$A933,'ADV - FB'!G:G)),"-")</f>
        <v>-</v>
      </c>
      <c r="I933" s="321" t="str">
        <f>IFERROR(SUMIF('ADV - FB'!L:L,$A933,'ADV - FB'!E:E)/(SUMIF('ADV - FB'!L:L,$A933,'ADV - FB'!F:F)),"-")</f>
        <v>-</v>
      </c>
      <c r="J933" s="315">
        <f>SUMIF('ADV - FB'!L:L,$A933,'ADV - FB'!I:I)+SUMIF('ADV - FB'!L:L,$A933,'ADV - FB'!J:J)+SUMIF('ADV - FB'!L:L,$A933,'ADV - FB'!K:K)</f>
        <v>0</v>
      </c>
      <c r="K933" s="321" t="str">
        <f t="shared" si="2"/>
        <v>-</v>
      </c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ht="15.75" customHeight="1">
      <c r="A934" s="313" t="s">
        <v>1203</v>
      </c>
      <c r="B934" s="314"/>
      <c r="C934" s="315"/>
      <c r="D934" s="315"/>
      <c r="E934" s="317"/>
      <c r="F934" s="318" t="str">
        <f t="shared" si="1"/>
        <v>TP933 -  -  - </v>
      </c>
      <c r="G934" s="319">
        <f>SUMIF('ADV - FB'!L:L,$A934,'ADV - FB'!E:E)</f>
        <v>0</v>
      </c>
      <c r="H934" s="320" t="str">
        <f>IFERROR(SUMIF('ADV - FB'!L:L,$A934,'ADV - FB'!H:H)/(SUMIF('ADV - FB'!L:L,$A934,'ADV - FB'!G:G)),"-")</f>
        <v>-</v>
      </c>
      <c r="I934" s="321" t="str">
        <f>IFERROR(SUMIF('ADV - FB'!L:L,$A934,'ADV - FB'!E:E)/(SUMIF('ADV - FB'!L:L,$A934,'ADV - FB'!F:F)),"-")</f>
        <v>-</v>
      </c>
      <c r="J934" s="315">
        <f>SUMIF('ADV - FB'!L:L,$A934,'ADV - FB'!I:I)+SUMIF('ADV - FB'!L:L,$A934,'ADV - FB'!J:J)+SUMIF('ADV - FB'!L:L,$A934,'ADV - FB'!K:K)</f>
        <v>0</v>
      </c>
      <c r="K934" s="321" t="str">
        <f t="shared" si="2"/>
        <v>-</v>
      </c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ht="15.75" customHeight="1">
      <c r="A935" s="313" t="s">
        <v>1204</v>
      </c>
      <c r="B935" s="314"/>
      <c r="C935" s="315"/>
      <c r="D935" s="315"/>
      <c r="E935" s="317"/>
      <c r="F935" s="318" t="str">
        <f t="shared" si="1"/>
        <v>TP934 -  -  - </v>
      </c>
      <c r="G935" s="319">
        <f>SUMIF('ADV - FB'!L:L,$A935,'ADV - FB'!E:E)</f>
        <v>0</v>
      </c>
      <c r="H935" s="320" t="str">
        <f>IFERROR(SUMIF('ADV - FB'!L:L,$A935,'ADV - FB'!H:H)/(SUMIF('ADV - FB'!L:L,$A935,'ADV - FB'!G:G)),"-")</f>
        <v>-</v>
      </c>
      <c r="I935" s="321" t="str">
        <f>IFERROR(SUMIF('ADV - FB'!L:L,$A935,'ADV - FB'!E:E)/(SUMIF('ADV - FB'!L:L,$A935,'ADV - FB'!F:F)),"-")</f>
        <v>-</v>
      </c>
      <c r="J935" s="315">
        <f>SUMIF('ADV - FB'!L:L,$A935,'ADV - FB'!I:I)+SUMIF('ADV - FB'!L:L,$A935,'ADV - FB'!J:J)+SUMIF('ADV - FB'!L:L,$A935,'ADV - FB'!K:K)</f>
        <v>0</v>
      </c>
      <c r="K935" s="321" t="str">
        <f t="shared" si="2"/>
        <v>-</v>
      </c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ht="15.75" customHeight="1">
      <c r="A936" s="313" t="s">
        <v>1205</v>
      </c>
      <c r="B936" s="314"/>
      <c r="C936" s="315"/>
      <c r="D936" s="315"/>
      <c r="E936" s="317"/>
      <c r="F936" s="318" t="str">
        <f t="shared" si="1"/>
        <v>TP935 -  -  - </v>
      </c>
      <c r="G936" s="319">
        <f>SUMIF('ADV - FB'!L:L,$A936,'ADV - FB'!E:E)</f>
        <v>0</v>
      </c>
      <c r="H936" s="320" t="str">
        <f>IFERROR(SUMIF('ADV - FB'!L:L,$A936,'ADV - FB'!H:H)/(SUMIF('ADV - FB'!L:L,$A936,'ADV - FB'!G:G)),"-")</f>
        <v>-</v>
      </c>
      <c r="I936" s="321" t="str">
        <f>IFERROR(SUMIF('ADV - FB'!L:L,$A936,'ADV - FB'!E:E)/(SUMIF('ADV - FB'!L:L,$A936,'ADV - FB'!F:F)),"-")</f>
        <v>-</v>
      </c>
      <c r="J936" s="315">
        <f>SUMIF('ADV - FB'!L:L,$A936,'ADV - FB'!I:I)+SUMIF('ADV - FB'!L:L,$A936,'ADV - FB'!J:J)+SUMIF('ADV - FB'!L:L,$A936,'ADV - FB'!K:K)</f>
        <v>0</v>
      </c>
      <c r="K936" s="321" t="str">
        <f t="shared" si="2"/>
        <v>-</v>
      </c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ht="15.75" customHeight="1">
      <c r="A937" s="313" t="s">
        <v>1206</v>
      </c>
      <c r="B937" s="314"/>
      <c r="C937" s="315"/>
      <c r="D937" s="315"/>
      <c r="E937" s="317"/>
      <c r="F937" s="318" t="str">
        <f t="shared" si="1"/>
        <v>TP936 -  -  - </v>
      </c>
      <c r="G937" s="319">
        <f>SUMIF('ADV - FB'!L:L,$A937,'ADV - FB'!E:E)</f>
        <v>0</v>
      </c>
      <c r="H937" s="320" t="str">
        <f>IFERROR(SUMIF('ADV - FB'!L:L,$A937,'ADV - FB'!H:H)/(SUMIF('ADV - FB'!L:L,$A937,'ADV - FB'!G:G)),"-")</f>
        <v>-</v>
      </c>
      <c r="I937" s="321" t="str">
        <f>IFERROR(SUMIF('ADV - FB'!L:L,$A937,'ADV - FB'!E:E)/(SUMIF('ADV - FB'!L:L,$A937,'ADV - FB'!F:F)),"-")</f>
        <v>-</v>
      </c>
      <c r="J937" s="315">
        <f>SUMIF('ADV - FB'!L:L,$A937,'ADV - FB'!I:I)+SUMIF('ADV - FB'!L:L,$A937,'ADV - FB'!J:J)+SUMIF('ADV - FB'!L:L,$A937,'ADV - FB'!K:K)</f>
        <v>0</v>
      </c>
      <c r="K937" s="321" t="str">
        <f t="shared" si="2"/>
        <v>-</v>
      </c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ht="15.75" customHeight="1">
      <c r="A938" s="313" t="s">
        <v>1207</v>
      </c>
      <c r="B938" s="314"/>
      <c r="C938" s="315"/>
      <c r="D938" s="315"/>
      <c r="E938" s="317"/>
      <c r="F938" s="318" t="str">
        <f t="shared" si="1"/>
        <v>TP937 -  -  - </v>
      </c>
      <c r="G938" s="319">
        <f>SUMIF('ADV - FB'!L:L,$A938,'ADV - FB'!E:E)</f>
        <v>0</v>
      </c>
      <c r="H938" s="320" t="str">
        <f>IFERROR(SUMIF('ADV - FB'!L:L,$A938,'ADV - FB'!H:H)/(SUMIF('ADV - FB'!L:L,$A938,'ADV - FB'!G:G)),"-")</f>
        <v>-</v>
      </c>
      <c r="I938" s="321" t="str">
        <f>IFERROR(SUMIF('ADV - FB'!L:L,$A938,'ADV - FB'!E:E)/(SUMIF('ADV - FB'!L:L,$A938,'ADV - FB'!F:F)),"-")</f>
        <v>-</v>
      </c>
      <c r="J938" s="315">
        <f>SUMIF('ADV - FB'!L:L,$A938,'ADV - FB'!I:I)+SUMIF('ADV - FB'!L:L,$A938,'ADV - FB'!J:J)+SUMIF('ADV - FB'!L:L,$A938,'ADV - FB'!K:K)</f>
        <v>0</v>
      </c>
      <c r="K938" s="321" t="str">
        <f t="shared" si="2"/>
        <v>-</v>
      </c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ht="15.75" customHeight="1">
      <c r="A939" s="313" t="s">
        <v>1208</v>
      </c>
      <c r="B939" s="314"/>
      <c r="C939" s="315"/>
      <c r="D939" s="315"/>
      <c r="E939" s="317"/>
      <c r="F939" s="318" t="str">
        <f t="shared" si="1"/>
        <v>TP938 -  -  - </v>
      </c>
      <c r="G939" s="319">
        <f>SUMIF('ADV - FB'!L:L,$A939,'ADV - FB'!E:E)</f>
        <v>0</v>
      </c>
      <c r="H939" s="320" t="str">
        <f>IFERROR(SUMIF('ADV - FB'!L:L,$A939,'ADV - FB'!H:H)/(SUMIF('ADV - FB'!L:L,$A939,'ADV - FB'!G:G)),"-")</f>
        <v>-</v>
      </c>
      <c r="I939" s="321" t="str">
        <f>IFERROR(SUMIF('ADV - FB'!L:L,$A939,'ADV - FB'!E:E)/(SUMIF('ADV - FB'!L:L,$A939,'ADV - FB'!F:F)),"-")</f>
        <v>-</v>
      </c>
      <c r="J939" s="315">
        <f>SUMIF('ADV - FB'!L:L,$A939,'ADV - FB'!I:I)+SUMIF('ADV - FB'!L:L,$A939,'ADV - FB'!J:J)+SUMIF('ADV - FB'!L:L,$A939,'ADV - FB'!K:K)</f>
        <v>0</v>
      </c>
      <c r="K939" s="321" t="str">
        <f t="shared" si="2"/>
        <v>-</v>
      </c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ht="15.75" customHeight="1">
      <c r="A940" s="313" t="s">
        <v>1209</v>
      </c>
      <c r="B940" s="314"/>
      <c r="C940" s="315"/>
      <c r="D940" s="315"/>
      <c r="E940" s="317"/>
      <c r="F940" s="318" t="str">
        <f t="shared" si="1"/>
        <v>TP939 -  -  - </v>
      </c>
      <c r="G940" s="319">
        <f>SUMIF('ADV - FB'!L:L,$A940,'ADV - FB'!E:E)</f>
        <v>0</v>
      </c>
      <c r="H940" s="320" t="str">
        <f>IFERROR(SUMIF('ADV - FB'!L:L,$A940,'ADV - FB'!H:H)/(SUMIF('ADV - FB'!L:L,$A940,'ADV - FB'!G:G)),"-")</f>
        <v>-</v>
      </c>
      <c r="I940" s="321" t="str">
        <f>IFERROR(SUMIF('ADV - FB'!L:L,$A940,'ADV - FB'!E:E)/(SUMIF('ADV - FB'!L:L,$A940,'ADV - FB'!F:F)),"-")</f>
        <v>-</v>
      </c>
      <c r="J940" s="315">
        <f>SUMIF('ADV - FB'!L:L,$A940,'ADV - FB'!I:I)+SUMIF('ADV - FB'!L:L,$A940,'ADV - FB'!J:J)+SUMIF('ADV - FB'!L:L,$A940,'ADV - FB'!K:K)</f>
        <v>0</v>
      </c>
      <c r="K940" s="321" t="str">
        <f t="shared" si="2"/>
        <v>-</v>
      </c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ht="15.75" customHeight="1">
      <c r="A941" s="313" t="s">
        <v>1210</v>
      </c>
      <c r="B941" s="314"/>
      <c r="C941" s="315"/>
      <c r="D941" s="315"/>
      <c r="E941" s="317"/>
      <c r="F941" s="318" t="str">
        <f t="shared" si="1"/>
        <v>TP940 -  -  - </v>
      </c>
      <c r="G941" s="319">
        <f>SUMIF('ADV - FB'!L:L,$A941,'ADV - FB'!E:E)</f>
        <v>0</v>
      </c>
      <c r="H941" s="320" t="str">
        <f>IFERROR(SUMIF('ADV - FB'!L:L,$A941,'ADV - FB'!H:H)/(SUMIF('ADV - FB'!L:L,$A941,'ADV - FB'!G:G)),"-")</f>
        <v>-</v>
      </c>
      <c r="I941" s="321" t="str">
        <f>IFERROR(SUMIF('ADV - FB'!L:L,$A941,'ADV - FB'!E:E)/(SUMIF('ADV - FB'!L:L,$A941,'ADV - FB'!F:F)),"-")</f>
        <v>-</v>
      </c>
      <c r="J941" s="315">
        <f>SUMIF('ADV - FB'!L:L,$A941,'ADV - FB'!I:I)+SUMIF('ADV - FB'!L:L,$A941,'ADV - FB'!J:J)+SUMIF('ADV - FB'!L:L,$A941,'ADV - FB'!K:K)</f>
        <v>0</v>
      </c>
      <c r="K941" s="321" t="str">
        <f t="shared" si="2"/>
        <v>-</v>
      </c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ht="15.75" customHeight="1">
      <c r="A942" s="313" t="s">
        <v>1211</v>
      </c>
      <c r="B942" s="314"/>
      <c r="C942" s="315"/>
      <c r="D942" s="315"/>
      <c r="E942" s="317"/>
      <c r="F942" s="318" t="str">
        <f t="shared" si="1"/>
        <v>TP941 -  -  - </v>
      </c>
      <c r="G942" s="319">
        <f>SUMIF('ADV - FB'!L:L,$A942,'ADV - FB'!E:E)</f>
        <v>0</v>
      </c>
      <c r="H942" s="320" t="str">
        <f>IFERROR(SUMIF('ADV - FB'!L:L,$A942,'ADV - FB'!H:H)/(SUMIF('ADV - FB'!L:L,$A942,'ADV - FB'!G:G)),"-")</f>
        <v>-</v>
      </c>
      <c r="I942" s="321" t="str">
        <f>IFERROR(SUMIF('ADV - FB'!L:L,$A942,'ADV - FB'!E:E)/(SUMIF('ADV - FB'!L:L,$A942,'ADV - FB'!F:F)),"-")</f>
        <v>-</v>
      </c>
      <c r="J942" s="315">
        <f>SUMIF('ADV - FB'!L:L,$A942,'ADV - FB'!I:I)+SUMIF('ADV - FB'!L:L,$A942,'ADV - FB'!J:J)+SUMIF('ADV - FB'!L:L,$A942,'ADV - FB'!K:K)</f>
        <v>0</v>
      </c>
      <c r="K942" s="321" t="str">
        <f t="shared" si="2"/>
        <v>-</v>
      </c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ht="15.75" customHeight="1">
      <c r="A943" s="313" t="s">
        <v>1212</v>
      </c>
      <c r="B943" s="314"/>
      <c r="C943" s="315"/>
      <c r="D943" s="315"/>
      <c r="E943" s="317"/>
      <c r="F943" s="318" t="str">
        <f t="shared" si="1"/>
        <v>TP942 -  -  - </v>
      </c>
      <c r="G943" s="319">
        <f>SUMIF('ADV - FB'!L:L,$A943,'ADV - FB'!E:E)</f>
        <v>0</v>
      </c>
      <c r="H943" s="320" t="str">
        <f>IFERROR(SUMIF('ADV - FB'!L:L,$A943,'ADV - FB'!H:H)/(SUMIF('ADV - FB'!L:L,$A943,'ADV - FB'!G:G)),"-")</f>
        <v>-</v>
      </c>
      <c r="I943" s="321" t="str">
        <f>IFERROR(SUMIF('ADV - FB'!L:L,$A943,'ADV - FB'!E:E)/(SUMIF('ADV - FB'!L:L,$A943,'ADV - FB'!F:F)),"-")</f>
        <v>-</v>
      </c>
      <c r="J943" s="315">
        <f>SUMIF('ADV - FB'!L:L,$A943,'ADV - FB'!I:I)+SUMIF('ADV - FB'!L:L,$A943,'ADV - FB'!J:J)+SUMIF('ADV - FB'!L:L,$A943,'ADV - FB'!K:K)</f>
        <v>0</v>
      </c>
      <c r="K943" s="321" t="str">
        <f t="shared" si="2"/>
        <v>-</v>
      </c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ht="15.75" customHeight="1">
      <c r="A944" s="313" t="s">
        <v>1213</v>
      </c>
      <c r="B944" s="314"/>
      <c r="C944" s="315"/>
      <c r="D944" s="315"/>
      <c r="E944" s="317"/>
      <c r="F944" s="318" t="str">
        <f t="shared" si="1"/>
        <v>TP943 -  -  - </v>
      </c>
      <c r="G944" s="319">
        <f>SUMIF('ADV - FB'!L:L,$A944,'ADV - FB'!E:E)</f>
        <v>0</v>
      </c>
      <c r="H944" s="320" t="str">
        <f>IFERROR(SUMIF('ADV - FB'!L:L,$A944,'ADV - FB'!H:H)/(SUMIF('ADV - FB'!L:L,$A944,'ADV - FB'!G:G)),"-")</f>
        <v>-</v>
      </c>
      <c r="I944" s="321" t="str">
        <f>IFERROR(SUMIF('ADV - FB'!L:L,$A944,'ADV - FB'!E:E)/(SUMIF('ADV - FB'!L:L,$A944,'ADV - FB'!F:F)),"-")</f>
        <v>-</v>
      </c>
      <c r="J944" s="315">
        <f>SUMIF('ADV - FB'!L:L,$A944,'ADV - FB'!I:I)+SUMIF('ADV - FB'!L:L,$A944,'ADV - FB'!J:J)+SUMIF('ADV - FB'!L:L,$A944,'ADV - FB'!K:K)</f>
        <v>0</v>
      </c>
      <c r="K944" s="321" t="str">
        <f t="shared" si="2"/>
        <v>-</v>
      </c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ht="15.75" customHeight="1">
      <c r="A945" s="313" t="s">
        <v>1214</v>
      </c>
      <c r="B945" s="314"/>
      <c r="C945" s="315"/>
      <c r="D945" s="315"/>
      <c r="E945" s="317"/>
      <c r="F945" s="318" t="str">
        <f t="shared" si="1"/>
        <v>TP944 -  -  - </v>
      </c>
      <c r="G945" s="319">
        <f>SUMIF('ADV - FB'!L:L,$A945,'ADV - FB'!E:E)</f>
        <v>0</v>
      </c>
      <c r="H945" s="320" t="str">
        <f>IFERROR(SUMIF('ADV - FB'!L:L,$A945,'ADV - FB'!H:H)/(SUMIF('ADV - FB'!L:L,$A945,'ADV - FB'!G:G)),"-")</f>
        <v>-</v>
      </c>
      <c r="I945" s="321" t="str">
        <f>IFERROR(SUMIF('ADV - FB'!L:L,$A945,'ADV - FB'!E:E)/(SUMIF('ADV - FB'!L:L,$A945,'ADV - FB'!F:F)),"-")</f>
        <v>-</v>
      </c>
      <c r="J945" s="315">
        <f>SUMIF('ADV - FB'!L:L,$A945,'ADV - FB'!I:I)+SUMIF('ADV - FB'!L:L,$A945,'ADV - FB'!J:J)+SUMIF('ADV - FB'!L:L,$A945,'ADV - FB'!K:K)</f>
        <v>0</v>
      </c>
      <c r="K945" s="321" t="str">
        <f t="shared" si="2"/>
        <v>-</v>
      </c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ht="15.75" customHeight="1">
      <c r="A946" s="313" t="s">
        <v>1215</v>
      </c>
      <c r="B946" s="314"/>
      <c r="C946" s="315"/>
      <c r="D946" s="315"/>
      <c r="E946" s="317"/>
      <c r="F946" s="318" t="str">
        <f t="shared" si="1"/>
        <v>TP945 -  -  - </v>
      </c>
      <c r="G946" s="319">
        <f>SUMIF('ADV - FB'!L:L,$A946,'ADV - FB'!E:E)</f>
        <v>0</v>
      </c>
      <c r="H946" s="320" t="str">
        <f>IFERROR(SUMIF('ADV - FB'!L:L,$A946,'ADV - FB'!H:H)/(SUMIF('ADV - FB'!L:L,$A946,'ADV - FB'!G:G)),"-")</f>
        <v>-</v>
      </c>
      <c r="I946" s="321" t="str">
        <f>IFERROR(SUMIF('ADV - FB'!L:L,$A946,'ADV - FB'!E:E)/(SUMIF('ADV - FB'!L:L,$A946,'ADV - FB'!F:F)),"-")</f>
        <v>-</v>
      </c>
      <c r="J946" s="315">
        <f>SUMIF('ADV - FB'!L:L,$A946,'ADV - FB'!I:I)+SUMIF('ADV - FB'!L:L,$A946,'ADV - FB'!J:J)+SUMIF('ADV - FB'!L:L,$A946,'ADV - FB'!K:K)</f>
        <v>0</v>
      </c>
      <c r="K946" s="321" t="str">
        <f t="shared" si="2"/>
        <v>-</v>
      </c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ht="15.75" customHeight="1">
      <c r="A947" s="313" t="s">
        <v>1216</v>
      </c>
      <c r="B947" s="314"/>
      <c r="C947" s="315"/>
      <c r="D947" s="315"/>
      <c r="E947" s="317"/>
      <c r="F947" s="318" t="str">
        <f t="shared" si="1"/>
        <v>TP946 -  -  - </v>
      </c>
      <c r="G947" s="319">
        <f>SUMIF('ADV - FB'!L:L,$A947,'ADV - FB'!E:E)</f>
        <v>0</v>
      </c>
      <c r="H947" s="320" t="str">
        <f>IFERROR(SUMIF('ADV - FB'!L:L,$A947,'ADV - FB'!H:H)/(SUMIF('ADV - FB'!L:L,$A947,'ADV - FB'!G:G)),"-")</f>
        <v>-</v>
      </c>
      <c r="I947" s="321" t="str">
        <f>IFERROR(SUMIF('ADV - FB'!L:L,$A947,'ADV - FB'!E:E)/(SUMIF('ADV - FB'!L:L,$A947,'ADV - FB'!F:F)),"-")</f>
        <v>-</v>
      </c>
      <c r="J947" s="315">
        <f>SUMIF('ADV - FB'!L:L,$A947,'ADV - FB'!I:I)+SUMIF('ADV - FB'!L:L,$A947,'ADV - FB'!J:J)+SUMIF('ADV - FB'!L:L,$A947,'ADV - FB'!K:K)</f>
        <v>0</v>
      </c>
      <c r="K947" s="321" t="str">
        <f t="shared" si="2"/>
        <v>-</v>
      </c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ht="15.75" customHeight="1">
      <c r="A948" s="313" t="s">
        <v>1217</v>
      </c>
      <c r="B948" s="314"/>
      <c r="C948" s="315"/>
      <c r="D948" s="315"/>
      <c r="E948" s="317"/>
      <c r="F948" s="318" t="str">
        <f t="shared" si="1"/>
        <v>TP947 -  -  - </v>
      </c>
      <c r="G948" s="319">
        <f>SUMIF('ADV - FB'!L:L,$A948,'ADV - FB'!E:E)</f>
        <v>0</v>
      </c>
      <c r="H948" s="320" t="str">
        <f>IFERROR(SUMIF('ADV - FB'!L:L,$A948,'ADV - FB'!H:H)/(SUMIF('ADV - FB'!L:L,$A948,'ADV - FB'!G:G)),"-")</f>
        <v>-</v>
      </c>
      <c r="I948" s="321" t="str">
        <f>IFERROR(SUMIF('ADV - FB'!L:L,$A948,'ADV - FB'!E:E)/(SUMIF('ADV - FB'!L:L,$A948,'ADV - FB'!F:F)),"-")</f>
        <v>-</v>
      </c>
      <c r="J948" s="315">
        <f>SUMIF('ADV - FB'!L:L,$A948,'ADV - FB'!I:I)+SUMIF('ADV - FB'!L:L,$A948,'ADV - FB'!J:J)+SUMIF('ADV - FB'!L:L,$A948,'ADV - FB'!K:K)</f>
        <v>0</v>
      </c>
      <c r="K948" s="321" t="str">
        <f t="shared" si="2"/>
        <v>-</v>
      </c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ht="15.75" customHeight="1">
      <c r="A949" s="313" t="s">
        <v>1218</v>
      </c>
      <c r="B949" s="314"/>
      <c r="C949" s="315"/>
      <c r="D949" s="315"/>
      <c r="E949" s="317"/>
      <c r="F949" s="318" t="str">
        <f t="shared" si="1"/>
        <v>TP948 -  -  - </v>
      </c>
      <c r="G949" s="319">
        <f>SUMIF('ADV - FB'!L:L,$A949,'ADV - FB'!E:E)</f>
        <v>0</v>
      </c>
      <c r="H949" s="320" t="str">
        <f>IFERROR(SUMIF('ADV - FB'!L:L,$A949,'ADV - FB'!H:H)/(SUMIF('ADV - FB'!L:L,$A949,'ADV - FB'!G:G)),"-")</f>
        <v>-</v>
      </c>
      <c r="I949" s="321" t="str">
        <f>IFERROR(SUMIF('ADV - FB'!L:L,$A949,'ADV - FB'!E:E)/(SUMIF('ADV - FB'!L:L,$A949,'ADV - FB'!F:F)),"-")</f>
        <v>-</v>
      </c>
      <c r="J949" s="315">
        <f>SUMIF('ADV - FB'!L:L,$A949,'ADV - FB'!I:I)+SUMIF('ADV - FB'!L:L,$A949,'ADV - FB'!J:J)+SUMIF('ADV - FB'!L:L,$A949,'ADV - FB'!K:K)</f>
        <v>0</v>
      </c>
      <c r="K949" s="321" t="str">
        <f t="shared" si="2"/>
        <v>-</v>
      </c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ht="15.75" customHeight="1">
      <c r="A950" s="313" t="s">
        <v>1219</v>
      </c>
      <c r="B950" s="314"/>
      <c r="C950" s="315"/>
      <c r="D950" s="315"/>
      <c r="E950" s="317"/>
      <c r="F950" s="318" t="str">
        <f t="shared" si="1"/>
        <v>TP949 -  -  - </v>
      </c>
      <c r="G950" s="319">
        <f>SUMIF('ADV - FB'!L:L,$A950,'ADV - FB'!E:E)</f>
        <v>0</v>
      </c>
      <c r="H950" s="320" t="str">
        <f>IFERROR(SUMIF('ADV - FB'!L:L,$A950,'ADV - FB'!H:H)/(SUMIF('ADV - FB'!L:L,$A950,'ADV - FB'!G:G)),"-")</f>
        <v>-</v>
      </c>
      <c r="I950" s="321" t="str">
        <f>IFERROR(SUMIF('ADV - FB'!L:L,$A950,'ADV - FB'!E:E)/(SUMIF('ADV - FB'!L:L,$A950,'ADV - FB'!F:F)),"-")</f>
        <v>-</v>
      </c>
      <c r="J950" s="315">
        <f>SUMIF('ADV - FB'!L:L,$A950,'ADV - FB'!I:I)+SUMIF('ADV - FB'!L:L,$A950,'ADV - FB'!J:J)+SUMIF('ADV - FB'!L:L,$A950,'ADV - FB'!K:K)</f>
        <v>0</v>
      </c>
      <c r="K950" s="321" t="str">
        <f t="shared" si="2"/>
        <v>-</v>
      </c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ht="15.75" customHeight="1">
      <c r="A951" s="313" t="s">
        <v>1220</v>
      </c>
      <c r="B951" s="314"/>
      <c r="C951" s="315"/>
      <c r="D951" s="315"/>
      <c r="E951" s="317"/>
      <c r="F951" s="318" t="str">
        <f t="shared" si="1"/>
        <v>TP950 -  -  - </v>
      </c>
      <c r="G951" s="319">
        <f>SUMIF('ADV - FB'!L:L,$A951,'ADV - FB'!E:E)</f>
        <v>0</v>
      </c>
      <c r="H951" s="320" t="str">
        <f>IFERROR(SUMIF('ADV - FB'!L:L,$A951,'ADV - FB'!H:H)/(SUMIF('ADV - FB'!L:L,$A951,'ADV - FB'!G:G)),"-")</f>
        <v>-</v>
      </c>
      <c r="I951" s="321" t="str">
        <f>IFERROR(SUMIF('ADV - FB'!L:L,$A951,'ADV - FB'!E:E)/(SUMIF('ADV - FB'!L:L,$A951,'ADV - FB'!F:F)),"-")</f>
        <v>-</v>
      </c>
      <c r="J951" s="315">
        <f>SUMIF('ADV - FB'!L:L,$A951,'ADV - FB'!I:I)+SUMIF('ADV - FB'!L:L,$A951,'ADV - FB'!J:J)+SUMIF('ADV - FB'!L:L,$A951,'ADV - FB'!K:K)</f>
        <v>0</v>
      </c>
      <c r="K951" s="321" t="str">
        <f t="shared" si="2"/>
        <v>-</v>
      </c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ht="15.75" customHeight="1">
      <c r="A952" s="313" t="s">
        <v>1221</v>
      </c>
      <c r="B952" s="314"/>
      <c r="C952" s="315"/>
      <c r="D952" s="315"/>
      <c r="E952" s="317"/>
      <c r="F952" s="318" t="str">
        <f t="shared" si="1"/>
        <v>TP951 -  -  - </v>
      </c>
      <c r="G952" s="319">
        <f>SUMIF('ADV - FB'!L:L,$A952,'ADV - FB'!E:E)</f>
        <v>0</v>
      </c>
      <c r="H952" s="320" t="str">
        <f>IFERROR(SUMIF('ADV - FB'!L:L,$A952,'ADV - FB'!H:H)/(SUMIF('ADV - FB'!L:L,$A952,'ADV - FB'!G:G)),"-")</f>
        <v>-</v>
      </c>
      <c r="I952" s="321" t="str">
        <f>IFERROR(SUMIF('ADV - FB'!L:L,$A952,'ADV - FB'!E:E)/(SUMIF('ADV - FB'!L:L,$A952,'ADV - FB'!F:F)),"-")</f>
        <v>-</v>
      </c>
      <c r="J952" s="315">
        <f>SUMIF('ADV - FB'!L:L,$A952,'ADV - FB'!I:I)+SUMIF('ADV - FB'!L:L,$A952,'ADV - FB'!J:J)+SUMIF('ADV - FB'!L:L,$A952,'ADV - FB'!K:K)</f>
        <v>0</v>
      </c>
      <c r="K952" s="321" t="str">
        <f t="shared" si="2"/>
        <v>-</v>
      </c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ht="15.75" customHeight="1">
      <c r="A953" s="313" t="s">
        <v>1222</v>
      </c>
      <c r="B953" s="314"/>
      <c r="C953" s="315"/>
      <c r="D953" s="315"/>
      <c r="E953" s="317"/>
      <c r="F953" s="318" t="str">
        <f t="shared" si="1"/>
        <v>TP952 -  -  - </v>
      </c>
      <c r="G953" s="319">
        <f>SUMIF('ADV - FB'!L:L,$A953,'ADV - FB'!E:E)</f>
        <v>0</v>
      </c>
      <c r="H953" s="320" t="str">
        <f>IFERROR(SUMIF('ADV - FB'!L:L,$A953,'ADV - FB'!H:H)/(SUMIF('ADV - FB'!L:L,$A953,'ADV - FB'!G:G)),"-")</f>
        <v>-</v>
      </c>
      <c r="I953" s="321" t="str">
        <f>IFERROR(SUMIF('ADV - FB'!L:L,$A953,'ADV - FB'!E:E)/(SUMIF('ADV - FB'!L:L,$A953,'ADV - FB'!F:F)),"-")</f>
        <v>-</v>
      </c>
      <c r="J953" s="315">
        <f>SUMIF('ADV - FB'!L:L,$A953,'ADV - FB'!I:I)+SUMIF('ADV - FB'!L:L,$A953,'ADV - FB'!J:J)+SUMIF('ADV - FB'!L:L,$A953,'ADV - FB'!K:K)</f>
        <v>0</v>
      </c>
      <c r="K953" s="321" t="str">
        <f t="shared" si="2"/>
        <v>-</v>
      </c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ht="15.75" customHeight="1">
      <c r="A954" s="313" t="s">
        <v>1223</v>
      </c>
      <c r="B954" s="314"/>
      <c r="C954" s="315"/>
      <c r="D954" s="315"/>
      <c r="E954" s="317"/>
      <c r="F954" s="318" t="str">
        <f t="shared" si="1"/>
        <v>TP953 -  -  - </v>
      </c>
      <c r="G954" s="319">
        <f>SUMIF('ADV - FB'!L:L,$A954,'ADV - FB'!E:E)</f>
        <v>0</v>
      </c>
      <c r="H954" s="320" t="str">
        <f>IFERROR(SUMIF('ADV - FB'!L:L,$A954,'ADV - FB'!H:H)/(SUMIF('ADV - FB'!L:L,$A954,'ADV - FB'!G:G)),"-")</f>
        <v>-</v>
      </c>
      <c r="I954" s="321" t="str">
        <f>IFERROR(SUMIF('ADV - FB'!L:L,$A954,'ADV - FB'!E:E)/(SUMIF('ADV - FB'!L:L,$A954,'ADV - FB'!F:F)),"-")</f>
        <v>-</v>
      </c>
      <c r="J954" s="315">
        <f>SUMIF('ADV - FB'!L:L,$A954,'ADV - FB'!I:I)+SUMIF('ADV - FB'!L:L,$A954,'ADV - FB'!J:J)+SUMIF('ADV - FB'!L:L,$A954,'ADV - FB'!K:K)</f>
        <v>0</v>
      </c>
      <c r="K954" s="321" t="str">
        <f t="shared" si="2"/>
        <v>-</v>
      </c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ht="15.75" customHeight="1">
      <c r="A955" s="313" t="s">
        <v>1224</v>
      </c>
      <c r="B955" s="314"/>
      <c r="C955" s="315"/>
      <c r="D955" s="315"/>
      <c r="E955" s="317"/>
      <c r="F955" s="318" t="str">
        <f t="shared" si="1"/>
        <v>TP954 -  -  - </v>
      </c>
      <c r="G955" s="319">
        <f>SUMIF('ADV - FB'!L:L,$A955,'ADV - FB'!E:E)</f>
        <v>0</v>
      </c>
      <c r="H955" s="320" t="str">
        <f>IFERROR(SUMIF('ADV - FB'!L:L,$A955,'ADV - FB'!H:H)/(SUMIF('ADV - FB'!L:L,$A955,'ADV - FB'!G:G)),"-")</f>
        <v>-</v>
      </c>
      <c r="I955" s="321" t="str">
        <f>IFERROR(SUMIF('ADV - FB'!L:L,$A955,'ADV - FB'!E:E)/(SUMIF('ADV - FB'!L:L,$A955,'ADV - FB'!F:F)),"-")</f>
        <v>-</v>
      </c>
      <c r="J955" s="315">
        <f>SUMIF('ADV - FB'!L:L,$A955,'ADV - FB'!I:I)+SUMIF('ADV - FB'!L:L,$A955,'ADV - FB'!J:J)+SUMIF('ADV - FB'!L:L,$A955,'ADV - FB'!K:K)</f>
        <v>0</v>
      </c>
      <c r="K955" s="321" t="str">
        <f t="shared" si="2"/>
        <v>-</v>
      </c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ht="15.75" customHeight="1">
      <c r="A956" s="313" t="s">
        <v>1225</v>
      </c>
      <c r="B956" s="314"/>
      <c r="C956" s="315"/>
      <c r="D956" s="315"/>
      <c r="E956" s="317"/>
      <c r="F956" s="318" t="str">
        <f t="shared" si="1"/>
        <v>TP955 -  -  - </v>
      </c>
      <c r="G956" s="319">
        <f>SUMIF('ADV - FB'!L:L,$A956,'ADV - FB'!E:E)</f>
        <v>0</v>
      </c>
      <c r="H956" s="320" t="str">
        <f>IFERROR(SUMIF('ADV - FB'!L:L,$A956,'ADV - FB'!H:H)/(SUMIF('ADV - FB'!L:L,$A956,'ADV - FB'!G:G)),"-")</f>
        <v>-</v>
      </c>
      <c r="I956" s="321" t="str">
        <f>IFERROR(SUMIF('ADV - FB'!L:L,$A956,'ADV - FB'!E:E)/(SUMIF('ADV - FB'!L:L,$A956,'ADV - FB'!F:F)),"-")</f>
        <v>-</v>
      </c>
      <c r="J956" s="315">
        <f>SUMIF('ADV - FB'!L:L,$A956,'ADV - FB'!I:I)+SUMIF('ADV - FB'!L:L,$A956,'ADV - FB'!J:J)+SUMIF('ADV - FB'!L:L,$A956,'ADV - FB'!K:K)</f>
        <v>0</v>
      </c>
      <c r="K956" s="321" t="str">
        <f t="shared" si="2"/>
        <v>-</v>
      </c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ht="15.75" customHeight="1">
      <c r="A957" s="313" t="s">
        <v>1226</v>
      </c>
      <c r="B957" s="314"/>
      <c r="C957" s="315"/>
      <c r="D957" s="315"/>
      <c r="E957" s="317"/>
      <c r="F957" s="318" t="str">
        <f t="shared" si="1"/>
        <v>TP956 -  -  - </v>
      </c>
      <c r="G957" s="319">
        <f>SUMIF('ADV - FB'!L:L,$A957,'ADV - FB'!E:E)</f>
        <v>0</v>
      </c>
      <c r="H957" s="320" t="str">
        <f>IFERROR(SUMIF('ADV - FB'!L:L,$A957,'ADV - FB'!H:H)/(SUMIF('ADV - FB'!L:L,$A957,'ADV - FB'!G:G)),"-")</f>
        <v>-</v>
      </c>
      <c r="I957" s="321" t="str">
        <f>IFERROR(SUMIF('ADV - FB'!L:L,$A957,'ADV - FB'!E:E)/(SUMIF('ADV - FB'!L:L,$A957,'ADV - FB'!F:F)),"-")</f>
        <v>-</v>
      </c>
      <c r="J957" s="315">
        <f>SUMIF('ADV - FB'!L:L,$A957,'ADV - FB'!I:I)+SUMIF('ADV - FB'!L:L,$A957,'ADV - FB'!J:J)+SUMIF('ADV - FB'!L:L,$A957,'ADV - FB'!K:K)</f>
        <v>0</v>
      </c>
      <c r="K957" s="321" t="str">
        <f t="shared" si="2"/>
        <v>-</v>
      </c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ht="15.75" customHeight="1">
      <c r="A958" s="313" t="s">
        <v>1227</v>
      </c>
      <c r="B958" s="314"/>
      <c r="C958" s="315"/>
      <c r="D958" s="315"/>
      <c r="E958" s="317"/>
      <c r="F958" s="318" t="str">
        <f t="shared" si="1"/>
        <v>TP957 -  -  - </v>
      </c>
      <c r="G958" s="319">
        <f>SUMIF('ADV - FB'!L:L,$A958,'ADV - FB'!E:E)</f>
        <v>0</v>
      </c>
      <c r="H958" s="320" t="str">
        <f>IFERROR(SUMIF('ADV - FB'!L:L,$A958,'ADV - FB'!H:H)/(SUMIF('ADV - FB'!L:L,$A958,'ADV - FB'!G:G)),"-")</f>
        <v>-</v>
      </c>
      <c r="I958" s="321" t="str">
        <f>IFERROR(SUMIF('ADV - FB'!L:L,$A958,'ADV - FB'!E:E)/(SUMIF('ADV - FB'!L:L,$A958,'ADV - FB'!F:F)),"-")</f>
        <v>-</v>
      </c>
      <c r="J958" s="315">
        <f>SUMIF('ADV - FB'!L:L,$A958,'ADV - FB'!I:I)+SUMIF('ADV - FB'!L:L,$A958,'ADV - FB'!J:J)+SUMIF('ADV - FB'!L:L,$A958,'ADV - FB'!K:K)</f>
        <v>0</v>
      </c>
      <c r="K958" s="321" t="str">
        <f t="shared" si="2"/>
        <v>-</v>
      </c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ht="15.75" customHeight="1">
      <c r="A959" s="313" t="s">
        <v>1228</v>
      </c>
      <c r="B959" s="314"/>
      <c r="C959" s="315"/>
      <c r="D959" s="315"/>
      <c r="E959" s="317"/>
      <c r="F959" s="318" t="str">
        <f t="shared" si="1"/>
        <v>TP958 -  -  - </v>
      </c>
      <c r="G959" s="319">
        <f>SUMIF('ADV - FB'!L:L,$A959,'ADV - FB'!E:E)</f>
        <v>0</v>
      </c>
      <c r="H959" s="320" t="str">
        <f>IFERROR(SUMIF('ADV - FB'!L:L,$A959,'ADV - FB'!H:H)/(SUMIF('ADV - FB'!L:L,$A959,'ADV - FB'!G:G)),"-")</f>
        <v>-</v>
      </c>
      <c r="I959" s="321" t="str">
        <f>IFERROR(SUMIF('ADV - FB'!L:L,$A959,'ADV - FB'!E:E)/(SUMIF('ADV - FB'!L:L,$A959,'ADV - FB'!F:F)),"-")</f>
        <v>-</v>
      </c>
      <c r="J959" s="315">
        <f>SUMIF('ADV - FB'!L:L,$A959,'ADV - FB'!I:I)+SUMIF('ADV - FB'!L:L,$A959,'ADV - FB'!J:J)+SUMIF('ADV - FB'!L:L,$A959,'ADV - FB'!K:K)</f>
        <v>0</v>
      </c>
      <c r="K959" s="321" t="str">
        <f t="shared" si="2"/>
        <v>-</v>
      </c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ht="15.75" customHeight="1">
      <c r="A960" s="313" t="s">
        <v>1229</v>
      </c>
      <c r="B960" s="314"/>
      <c r="C960" s="315"/>
      <c r="D960" s="315"/>
      <c r="E960" s="317"/>
      <c r="F960" s="318" t="str">
        <f t="shared" si="1"/>
        <v>TP959 -  -  - </v>
      </c>
      <c r="G960" s="319">
        <f>SUMIF('ADV - FB'!L:L,$A960,'ADV - FB'!E:E)</f>
        <v>0</v>
      </c>
      <c r="H960" s="320" t="str">
        <f>IFERROR(SUMIF('ADV - FB'!L:L,$A960,'ADV - FB'!H:H)/(SUMIF('ADV - FB'!L:L,$A960,'ADV - FB'!G:G)),"-")</f>
        <v>-</v>
      </c>
      <c r="I960" s="321" t="str">
        <f>IFERROR(SUMIF('ADV - FB'!L:L,$A960,'ADV - FB'!E:E)/(SUMIF('ADV - FB'!L:L,$A960,'ADV - FB'!F:F)),"-")</f>
        <v>-</v>
      </c>
      <c r="J960" s="315">
        <f>SUMIF('ADV - FB'!L:L,$A960,'ADV - FB'!I:I)+SUMIF('ADV - FB'!L:L,$A960,'ADV - FB'!J:J)+SUMIF('ADV - FB'!L:L,$A960,'ADV - FB'!K:K)</f>
        <v>0</v>
      </c>
      <c r="K960" s="321" t="str">
        <f t="shared" si="2"/>
        <v>-</v>
      </c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ht="15.75" customHeight="1">
      <c r="A961" s="313" t="s">
        <v>1230</v>
      </c>
      <c r="B961" s="314"/>
      <c r="C961" s="315"/>
      <c r="D961" s="315"/>
      <c r="E961" s="317"/>
      <c r="F961" s="318" t="str">
        <f t="shared" si="1"/>
        <v>TP960 -  -  - </v>
      </c>
      <c r="G961" s="319">
        <f>SUMIF('ADV - FB'!L:L,$A961,'ADV - FB'!E:E)</f>
        <v>0</v>
      </c>
      <c r="H961" s="320" t="str">
        <f>IFERROR(SUMIF('ADV - FB'!L:L,$A961,'ADV - FB'!H:H)/(SUMIF('ADV - FB'!L:L,$A961,'ADV - FB'!G:G)),"-")</f>
        <v>-</v>
      </c>
      <c r="I961" s="321" t="str">
        <f>IFERROR(SUMIF('ADV - FB'!L:L,$A961,'ADV - FB'!E:E)/(SUMIF('ADV - FB'!L:L,$A961,'ADV - FB'!F:F)),"-")</f>
        <v>-</v>
      </c>
      <c r="J961" s="315">
        <f>SUMIF('ADV - FB'!L:L,$A961,'ADV - FB'!I:I)+SUMIF('ADV - FB'!L:L,$A961,'ADV - FB'!J:J)+SUMIF('ADV - FB'!L:L,$A961,'ADV - FB'!K:K)</f>
        <v>0</v>
      </c>
      <c r="K961" s="321" t="str">
        <f t="shared" si="2"/>
        <v>-</v>
      </c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ht="15.75" customHeight="1">
      <c r="A962" s="313" t="s">
        <v>1231</v>
      </c>
      <c r="B962" s="314"/>
      <c r="C962" s="315"/>
      <c r="D962" s="315"/>
      <c r="E962" s="317"/>
      <c r="F962" s="318" t="str">
        <f t="shared" si="1"/>
        <v>TP961 -  -  - </v>
      </c>
      <c r="G962" s="319">
        <f>SUMIF('ADV - FB'!L:L,$A962,'ADV - FB'!E:E)</f>
        <v>0</v>
      </c>
      <c r="H962" s="320" t="str">
        <f>IFERROR(SUMIF('ADV - FB'!L:L,$A962,'ADV - FB'!H:H)/(SUMIF('ADV - FB'!L:L,$A962,'ADV - FB'!G:G)),"-")</f>
        <v>-</v>
      </c>
      <c r="I962" s="321" t="str">
        <f>IFERROR(SUMIF('ADV - FB'!L:L,$A962,'ADV - FB'!E:E)/(SUMIF('ADV - FB'!L:L,$A962,'ADV - FB'!F:F)),"-")</f>
        <v>-</v>
      </c>
      <c r="J962" s="315">
        <f>SUMIF('ADV - FB'!L:L,$A962,'ADV - FB'!I:I)+SUMIF('ADV - FB'!L:L,$A962,'ADV - FB'!J:J)+SUMIF('ADV - FB'!L:L,$A962,'ADV - FB'!K:K)</f>
        <v>0</v>
      </c>
      <c r="K962" s="321" t="str">
        <f t="shared" si="2"/>
        <v>-</v>
      </c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ht="15.75" customHeight="1">
      <c r="A963" s="313" t="s">
        <v>1232</v>
      </c>
      <c r="B963" s="314"/>
      <c r="C963" s="315"/>
      <c r="D963" s="315"/>
      <c r="E963" s="317"/>
      <c r="F963" s="318" t="str">
        <f t="shared" si="1"/>
        <v>TP962 -  -  - </v>
      </c>
      <c r="G963" s="319">
        <f>SUMIF('ADV - FB'!L:L,$A963,'ADV - FB'!E:E)</f>
        <v>0</v>
      </c>
      <c r="H963" s="320" t="str">
        <f>IFERROR(SUMIF('ADV - FB'!L:L,$A963,'ADV - FB'!H:H)/(SUMIF('ADV - FB'!L:L,$A963,'ADV - FB'!G:G)),"-")</f>
        <v>-</v>
      </c>
      <c r="I963" s="321" t="str">
        <f>IFERROR(SUMIF('ADV - FB'!L:L,$A963,'ADV - FB'!E:E)/(SUMIF('ADV - FB'!L:L,$A963,'ADV - FB'!F:F)),"-")</f>
        <v>-</v>
      </c>
      <c r="J963" s="315">
        <f>SUMIF('ADV - FB'!L:L,$A963,'ADV - FB'!I:I)+SUMIF('ADV - FB'!L:L,$A963,'ADV - FB'!J:J)+SUMIF('ADV - FB'!L:L,$A963,'ADV - FB'!K:K)</f>
        <v>0</v>
      </c>
      <c r="K963" s="321" t="str">
        <f t="shared" si="2"/>
        <v>-</v>
      </c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ht="15.75" customHeight="1">
      <c r="A964" s="313" t="s">
        <v>1233</v>
      </c>
      <c r="B964" s="314"/>
      <c r="C964" s="315"/>
      <c r="D964" s="315"/>
      <c r="E964" s="317"/>
      <c r="F964" s="318" t="str">
        <f t="shared" si="1"/>
        <v>TP963 -  -  - </v>
      </c>
      <c r="G964" s="319">
        <f>SUMIF('ADV - FB'!L:L,$A964,'ADV - FB'!E:E)</f>
        <v>0</v>
      </c>
      <c r="H964" s="320" t="str">
        <f>IFERROR(SUMIF('ADV - FB'!L:L,$A964,'ADV - FB'!H:H)/(SUMIF('ADV - FB'!L:L,$A964,'ADV - FB'!G:G)),"-")</f>
        <v>-</v>
      </c>
      <c r="I964" s="321" t="str">
        <f>IFERROR(SUMIF('ADV - FB'!L:L,$A964,'ADV - FB'!E:E)/(SUMIF('ADV - FB'!L:L,$A964,'ADV - FB'!F:F)),"-")</f>
        <v>-</v>
      </c>
      <c r="J964" s="315">
        <f>SUMIF('ADV - FB'!L:L,$A964,'ADV - FB'!I:I)+SUMIF('ADV - FB'!L:L,$A964,'ADV - FB'!J:J)+SUMIF('ADV - FB'!L:L,$A964,'ADV - FB'!K:K)</f>
        <v>0</v>
      </c>
      <c r="K964" s="321" t="str">
        <f t="shared" si="2"/>
        <v>-</v>
      </c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ht="15.75" customHeight="1">
      <c r="A965" s="313" t="s">
        <v>1234</v>
      </c>
      <c r="B965" s="314"/>
      <c r="C965" s="315"/>
      <c r="D965" s="315"/>
      <c r="E965" s="317"/>
      <c r="F965" s="318" t="str">
        <f t="shared" si="1"/>
        <v>TP964 -  -  - </v>
      </c>
      <c r="G965" s="319">
        <f>SUMIF('ADV - FB'!L:L,$A965,'ADV - FB'!E:E)</f>
        <v>0</v>
      </c>
      <c r="H965" s="320" t="str">
        <f>IFERROR(SUMIF('ADV - FB'!L:L,$A965,'ADV - FB'!H:H)/(SUMIF('ADV - FB'!L:L,$A965,'ADV - FB'!G:G)),"-")</f>
        <v>-</v>
      </c>
      <c r="I965" s="321" t="str">
        <f>IFERROR(SUMIF('ADV - FB'!L:L,$A965,'ADV - FB'!E:E)/(SUMIF('ADV - FB'!L:L,$A965,'ADV - FB'!F:F)),"-")</f>
        <v>-</v>
      </c>
      <c r="J965" s="315">
        <f>SUMIF('ADV - FB'!L:L,$A965,'ADV - FB'!I:I)+SUMIF('ADV - FB'!L:L,$A965,'ADV - FB'!J:J)+SUMIF('ADV - FB'!L:L,$A965,'ADV - FB'!K:K)</f>
        <v>0</v>
      </c>
      <c r="K965" s="321" t="str">
        <f t="shared" si="2"/>
        <v>-</v>
      </c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ht="15.75" customHeight="1">
      <c r="A966" s="313" t="s">
        <v>1235</v>
      </c>
      <c r="B966" s="314"/>
      <c r="C966" s="315"/>
      <c r="D966" s="315"/>
      <c r="E966" s="317"/>
      <c r="F966" s="318" t="str">
        <f t="shared" si="1"/>
        <v>TP965 -  -  - </v>
      </c>
      <c r="G966" s="319">
        <f>SUMIF('ADV - FB'!L:L,$A966,'ADV - FB'!E:E)</f>
        <v>0</v>
      </c>
      <c r="H966" s="320" t="str">
        <f>IFERROR(SUMIF('ADV - FB'!L:L,$A966,'ADV - FB'!H:H)/(SUMIF('ADV - FB'!L:L,$A966,'ADV - FB'!G:G)),"-")</f>
        <v>-</v>
      </c>
      <c r="I966" s="321" t="str">
        <f>IFERROR(SUMIF('ADV - FB'!L:L,$A966,'ADV - FB'!E:E)/(SUMIF('ADV - FB'!L:L,$A966,'ADV - FB'!F:F)),"-")</f>
        <v>-</v>
      </c>
      <c r="J966" s="315">
        <f>SUMIF('ADV - FB'!L:L,$A966,'ADV - FB'!I:I)+SUMIF('ADV - FB'!L:L,$A966,'ADV - FB'!J:J)+SUMIF('ADV - FB'!L:L,$A966,'ADV - FB'!K:K)</f>
        <v>0</v>
      </c>
      <c r="K966" s="321" t="str">
        <f t="shared" si="2"/>
        <v>-</v>
      </c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ht="15.75" customHeight="1">
      <c r="A967" s="313" t="s">
        <v>1236</v>
      </c>
      <c r="B967" s="314"/>
      <c r="C967" s="315"/>
      <c r="D967" s="315"/>
      <c r="E967" s="317"/>
      <c r="F967" s="318" t="str">
        <f t="shared" si="1"/>
        <v>TP966 -  -  - </v>
      </c>
      <c r="G967" s="319">
        <f>SUMIF('ADV - FB'!L:L,$A967,'ADV - FB'!E:E)</f>
        <v>0</v>
      </c>
      <c r="H967" s="320" t="str">
        <f>IFERROR(SUMIF('ADV - FB'!L:L,$A967,'ADV - FB'!H:H)/(SUMIF('ADV - FB'!L:L,$A967,'ADV - FB'!G:G)),"-")</f>
        <v>-</v>
      </c>
      <c r="I967" s="321" t="str">
        <f>IFERROR(SUMIF('ADV - FB'!L:L,$A967,'ADV - FB'!E:E)/(SUMIF('ADV - FB'!L:L,$A967,'ADV - FB'!F:F)),"-")</f>
        <v>-</v>
      </c>
      <c r="J967" s="315">
        <f>SUMIF('ADV - FB'!L:L,$A967,'ADV - FB'!I:I)+SUMIF('ADV - FB'!L:L,$A967,'ADV - FB'!J:J)+SUMIF('ADV - FB'!L:L,$A967,'ADV - FB'!K:K)</f>
        <v>0</v>
      </c>
      <c r="K967" s="321" t="str">
        <f t="shared" si="2"/>
        <v>-</v>
      </c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ht="15.75" customHeight="1">
      <c r="A968" s="313" t="s">
        <v>1237</v>
      </c>
      <c r="B968" s="314"/>
      <c r="C968" s="315"/>
      <c r="D968" s="315"/>
      <c r="E968" s="317"/>
      <c r="F968" s="318" t="str">
        <f t="shared" si="1"/>
        <v>TP967 -  -  - </v>
      </c>
      <c r="G968" s="319">
        <f>SUMIF('ADV - FB'!L:L,$A968,'ADV - FB'!E:E)</f>
        <v>0</v>
      </c>
      <c r="H968" s="320" t="str">
        <f>IFERROR(SUMIF('ADV - FB'!L:L,$A968,'ADV - FB'!H:H)/(SUMIF('ADV - FB'!L:L,$A968,'ADV - FB'!G:G)),"-")</f>
        <v>-</v>
      </c>
      <c r="I968" s="321" t="str">
        <f>IFERROR(SUMIF('ADV - FB'!L:L,$A968,'ADV - FB'!E:E)/(SUMIF('ADV - FB'!L:L,$A968,'ADV - FB'!F:F)),"-")</f>
        <v>-</v>
      </c>
      <c r="J968" s="315">
        <f>SUMIF('ADV - FB'!L:L,$A968,'ADV - FB'!I:I)+SUMIF('ADV - FB'!L:L,$A968,'ADV - FB'!J:J)+SUMIF('ADV - FB'!L:L,$A968,'ADV - FB'!K:K)</f>
        <v>0</v>
      </c>
      <c r="K968" s="321" t="str">
        <f t="shared" si="2"/>
        <v>-</v>
      </c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ht="15.75" customHeight="1">
      <c r="A969" s="313" t="s">
        <v>1238</v>
      </c>
      <c r="B969" s="314"/>
      <c r="C969" s="315"/>
      <c r="D969" s="315"/>
      <c r="E969" s="317"/>
      <c r="F969" s="318" t="str">
        <f t="shared" si="1"/>
        <v>TP968 -  -  - </v>
      </c>
      <c r="G969" s="319">
        <f>SUMIF('ADV - FB'!L:L,$A969,'ADV - FB'!E:E)</f>
        <v>0</v>
      </c>
      <c r="H969" s="320" t="str">
        <f>IFERROR(SUMIF('ADV - FB'!L:L,$A969,'ADV - FB'!H:H)/(SUMIF('ADV - FB'!L:L,$A969,'ADV - FB'!G:G)),"-")</f>
        <v>-</v>
      </c>
      <c r="I969" s="321" t="str">
        <f>IFERROR(SUMIF('ADV - FB'!L:L,$A969,'ADV - FB'!E:E)/(SUMIF('ADV - FB'!L:L,$A969,'ADV - FB'!F:F)),"-")</f>
        <v>-</v>
      </c>
      <c r="J969" s="315">
        <f>SUMIF('ADV - FB'!L:L,$A969,'ADV - FB'!I:I)+SUMIF('ADV - FB'!L:L,$A969,'ADV - FB'!J:J)+SUMIF('ADV - FB'!L:L,$A969,'ADV - FB'!K:K)</f>
        <v>0</v>
      </c>
      <c r="K969" s="321" t="str">
        <f t="shared" si="2"/>
        <v>-</v>
      </c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ht="15.75" customHeight="1">
      <c r="A970" s="313" t="s">
        <v>1239</v>
      </c>
      <c r="B970" s="314"/>
      <c r="C970" s="315"/>
      <c r="D970" s="315"/>
      <c r="E970" s="317"/>
      <c r="F970" s="318" t="str">
        <f t="shared" si="1"/>
        <v>TP969 -  -  - </v>
      </c>
      <c r="G970" s="319">
        <f>SUMIF('ADV - FB'!L:L,$A970,'ADV - FB'!E:E)</f>
        <v>0</v>
      </c>
      <c r="H970" s="320" t="str">
        <f>IFERROR(SUMIF('ADV - FB'!L:L,$A970,'ADV - FB'!H:H)/(SUMIF('ADV - FB'!L:L,$A970,'ADV - FB'!G:G)),"-")</f>
        <v>-</v>
      </c>
      <c r="I970" s="321" t="str">
        <f>IFERROR(SUMIF('ADV - FB'!L:L,$A970,'ADV - FB'!E:E)/(SUMIF('ADV - FB'!L:L,$A970,'ADV - FB'!F:F)),"-")</f>
        <v>-</v>
      </c>
      <c r="J970" s="315">
        <f>SUMIF('ADV - FB'!L:L,$A970,'ADV - FB'!I:I)+SUMIF('ADV - FB'!L:L,$A970,'ADV - FB'!J:J)+SUMIF('ADV - FB'!L:L,$A970,'ADV - FB'!K:K)</f>
        <v>0</v>
      </c>
      <c r="K970" s="321" t="str">
        <f t="shared" si="2"/>
        <v>-</v>
      </c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ht="15.75" customHeight="1">
      <c r="A971" s="313" t="s">
        <v>1240</v>
      </c>
      <c r="B971" s="314"/>
      <c r="C971" s="315"/>
      <c r="D971" s="315"/>
      <c r="E971" s="317"/>
      <c r="F971" s="318" t="str">
        <f t="shared" si="1"/>
        <v>TP970 -  -  - </v>
      </c>
      <c r="G971" s="319">
        <f>SUMIF('ADV - FB'!L:L,$A971,'ADV - FB'!E:E)</f>
        <v>0</v>
      </c>
      <c r="H971" s="320" t="str">
        <f>IFERROR(SUMIF('ADV - FB'!L:L,$A971,'ADV - FB'!H:H)/(SUMIF('ADV - FB'!L:L,$A971,'ADV - FB'!G:G)),"-")</f>
        <v>-</v>
      </c>
      <c r="I971" s="321" t="str">
        <f>IFERROR(SUMIF('ADV - FB'!L:L,$A971,'ADV - FB'!E:E)/(SUMIF('ADV - FB'!L:L,$A971,'ADV - FB'!F:F)),"-")</f>
        <v>-</v>
      </c>
      <c r="J971" s="315">
        <f>SUMIF('ADV - FB'!L:L,$A971,'ADV - FB'!I:I)+SUMIF('ADV - FB'!L:L,$A971,'ADV - FB'!J:J)+SUMIF('ADV - FB'!L:L,$A971,'ADV - FB'!K:K)</f>
        <v>0</v>
      </c>
      <c r="K971" s="321" t="str">
        <f t="shared" si="2"/>
        <v>-</v>
      </c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ht="15.75" customHeight="1">
      <c r="A972" s="313" t="s">
        <v>1241</v>
      </c>
      <c r="B972" s="314"/>
      <c r="C972" s="315"/>
      <c r="D972" s="315"/>
      <c r="E972" s="317"/>
      <c r="F972" s="318" t="str">
        <f t="shared" si="1"/>
        <v>TP971 -  -  - </v>
      </c>
      <c r="G972" s="319">
        <f>SUMIF('ADV - FB'!L:L,$A972,'ADV - FB'!E:E)</f>
        <v>0</v>
      </c>
      <c r="H972" s="320" t="str">
        <f>IFERROR(SUMIF('ADV - FB'!L:L,$A972,'ADV - FB'!H:H)/(SUMIF('ADV - FB'!L:L,$A972,'ADV - FB'!G:G)),"-")</f>
        <v>-</v>
      </c>
      <c r="I972" s="321" t="str">
        <f>IFERROR(SUMIF('ADV - FB'!L:L,$A972,'ADV - FB'!E:E)/(SUMIF('ADV - FB'!L:L,$A972,'ADV - FB'!F:F)),"-")</f>
        <v>-</v>
      </c>
      <c r="J972" s="315">
        <f>SUMIF('ADV - FB'!L:L,$A972,'ADV - FB'!I:I)+SUMIF('ADV - FB'!L:L,$A972,'ADV - FB'!J:J)+SUMIF('ADV - FB'!L:L,$A972,'ADV - FB'!K:K)</f>
        <v>0</v>
      </c>
      <c r="K972" s="321" t="str">
        <f t="shared" si="2"/>
        <v>-</v>
      </c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ht="15.75" customHeight="1">
      <c r="A973" s="313" t="s">
        <v>1242</v>
      </c>
      <c r="B973" s="314"/>
      <c r="C973" s="315"/>
      <c r="D973" s="315"/>
      <c r="E973" s="317"/>
      <c r="F973" s="318" t="str">
        <f t="shared" si="1"/>
        <v>TP972 -  -  - </v>
      </c>
      <c r="G973" s="319">
        <f>SUMIF('ADV - FB'!L:L,$A973,'ADV - FB'!E:E)</f>
        <v>0</v>
      </c>
      <c r="H973" s="320" t="str">
        <f>IFERROR(SUMIF('ADV - FB'!L:L,$A973,'ADV - FB'!H:H)/(SUMIF('ADV - FB'!L:L,$A973,'ADV - FB'!G:G)),"-")</f>
        <v>-</v>
      </c>
      <c r="I973" s="321" t="str">
        <f>IFERROR(SUMIF('ADV - FB'!L:L,$A973,'ADV - FB'!E:E)/(SUMIF('ADV - FB'!L:L,$A973,'ADV - FB'!F:F)),"-")</f>
        <v>-</v>
      </c>
      <c r="J973" s="315">
        <f>SUMIF('ADV - FB'!L:L,$A973,'ADV - FB'!I:I)+SUMIF('ADV - FB'!L:L,$A973,'ADV - FB'!J:J)+SUMIF('ADV - FB'!L:L,$A973,'ADV - FB'!K:K)</f>
        <v>0</v>
      </c>
      <c r="K973" s="321" t="str">
        <f t="shared" si="2"/>
        <v>-</v>
      </c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ht="15.75" customHeight="1">
      <c r="A974" s="313" t="s">
        <v>1243</v>
      </c>
      <c r="B974" s="314"/>
      <c r="C974" s="315"/>
      <c r="D974" s="315"/>
      <c r="E974" s="317"/>
      <c r="F974" s="318" t="str">
        <f t="shared" si="1"/>
        <v>TP973 -  -  - </v>
      </c>
      <c r="G974" s="319">
        <f>SUMIF('ADV - FB'!L:L,$A974,'ADV - FB'!E:E)</f>
        <v>0</v>
      </c>
      <c r="H974" s="320" t="str">
        <f>IFERROR(SUMIF('ADV - FB'!L:L,$A974,'ADV - FB'!H:H)/(SUMIF('ADV - FB'!L:L,$A974,'ADV - FB'!G:G)),"-")</f>
        <v>-</v>
      </c>
      <c r="I974" s="321" t="str">
        <f>IFERROR(SUMIF('ADV - FB'!L:L,$A974,'ADV - FB'!E:E)/(SUMIF('ADV - FB'!L:L,$A974,'ADV - FB'!F:F)),"-")</f>
        <v>-</v>
      </c>
      <c r="J974" s="315">
        <f>SUMIF('ADV - FB'!L:L,$A974,'ADV - FB'!I:I)+SUMIF('ADV - FB'!L:L,$A974,'ADV - FB'!J:J)+SUMIF('ADV - FB'!L:L,$A974,'ADV - FB'!K:K)</f>
        <v>0</v>
      </c>
      <c r="K974" s="321" t="str">
        <f t="shared" si="2"/>
        <v>-</v>
      </c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ht="15.75" customHeight="1">
      <c r="A975" s="313" t="s">
        <v>1244</v>
      </c>
      <c r="B975" s="314"/>
      <c r="C975" s="315"/>
      <c r="D975" s="315"/>
      <c r="E975" s="317"/>
      <c r="F975" s="318" t="str">
        <f t="shared" si="1"/>
        <v>TP974 -  -  - </v>
      </c>
      <c r="G975" s="319">
        <f>SUMIF('ADV - FB'!L:L,$A975,'ADV - FB'!E:E)</f>
        <v>0</v>
      </c>
      <c r="H975" s="320" t="str">
        <f>IFERROR(SUMIF('ADV - FB'!L:L,$A975,'ADV - FB'!H:H)/(SUMIF('ADV - FB'!L:L,$A975,'ADV - FB'!G:G)),"-")</f>
        <v>-</v>
      </c>
      <c r="I975" s="321" t="str">
        <f>IFERROR(SUMIF('ADV - FB'!L:L,$A975,'ADV - FB'!E:E)/(SUMIF('ADV - FB'!L:L,$A975,'ADV - FB'!F:F)),"-")</f>
        <v>-</v>
      </c>
      <c r="J975" s="315">
        <f>SUMIF('ADV - FB'!L:L,$A975,'ADV - FB'!I:I)+SUMIF('ADV - FB'!L:L,$A975,'ADV - FB'!J:J)+SUMIF('ADV - FB'!L:L,$A975,'ADV - FB'!K:K)</f>
        <v>0</v>
      </c>
      <c r="K975" s="321" t="str">
        <f t="shared" si="2"/>
        <v>-</v>
      </c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ht="15.75" customHeight="1">
      <c r="A976" s="313" t="s">
        <v>1245</v>
      </c>
      <c r="B976" s="314"/>
      <c r="C976" s="315"/>
      <c r="D976" s="315"/>
      <c r="E976" s="317"/>
      <c r="F976" s="318" t="str">
        <f t="shared" si="1"/>
        <v>TP975 -  -  - </v>
      </c>
      <c r="G976" s="319">
        <f>SUMIF('ADV - FB'!L:L,$A976,'ADV - FB'!E:E)</f>
        <v>0</v>
      </c>
      <c r="H976" s="320" t="str">
        <f>IFERROR(SUMIF('ADV - FB'!L:L,$A976,'ADV - FB'!H:H)/(SUMIF('ADV - FB'!L:L,$A976,'ADV - FB'!G:G)),"-")</f>
        <v>-</v>
      </c>
      <c r="I976" s="321" t="str">
        <f>IFERROR(SUMIF('ADV - FB'!L:L,$A976,'ADV - FB'!E:E)/(SUMIF('ADV - FB'!L:L,$A976,'ADV - FB'!F:F)),"-")</f>
        <v>-</v>
      </c>
      <c r="J976" s="315">
        <f>SUMIF('ADV - FB'!L:L,$A976,'ADV - FB'!I:I)+SUMIF('ADV - FB'!L:L,$A976,'ADV - FB'!J:J)+SUMIF('ADV - FB'!L:L,$A976,'ADV - FB'!K:K)</f>
        <v>0</v>
      </c>
      <c r="K976" s="321" t="str">
        <f t="shared" si="2"/>
        <v>-</v>
      </c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ht="15.75" customHeight="1">
      <c r="A977" s="313" t="s">
        <v>1246</v>
      </c>
      <c r="B977" s="314"/>
      <c r="C977" s="315"/>
      <c r="D977" s="315"/>
      <c r="E977" s="317"/>
      <c r="F977" s="318" t="str">
        <f t="shared" si="1"/>
        <v>TP976 -  -  - </v>
      </c>
      <c r="G977" s="319">
        <f>SUMIF('ADV - FB'!L:L,$A977,'ADV - FB'!E:E)</f>
        <v>0</v>
      </c>
      <c r="H977" s="320" t="str">
        <f>IFERROR(SUMIF('ADV - FB'!L:L,$A977,'ADV - FB'!H:H)/(SUMIF('ADV - FB'!L:L,$A977,'ADV - FB'!G:G)),"-")</f>
        <v>-</v>
      </c>
      <c r="I977" s="321" t="str">
        <f>IFERROR(SUMIF('ADV - FB'!L:L,$A977,'ADV - FB'!E:E)/(SUMIF('ADV - FB'!L:L,$A977,'ADV - FB'!F:F)),"-")</f>
        <v>-</v>
      </c>
      <c r="J977" s="315">
        <f>SUMIF('ADV - FB'!L:L,$A977,'ADV - FB'!I:I)+SUMIF('ADV - FB'!L:L,$A977,'ADV - FB'!J:J)+SUMIF('ADV - FB'!L:L,$A977,'ADV - FB'!K:K)</f>
        <v>0</v>
      </c>
      <c r="K977" s="321" t="str">
        <f t="shared" si="2"/>
        <v>-</v>
      </c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ht="15.75" customHeight="1">
      <c r="A978" s="313" t="s">
        <v>1247</v>
      </c>
      <c r="B978" s="314"/>
      <c r="C978" s="315"/>
      <c r="D978" s="315"/>
      <c r="E978" s="317"/>
      <c r="F978" s="318" t="str">
        <f t="shared" si="1"/>
        <v>TP977 -  -  - </v>
      </c>
      <c r="G978" s="319">
        <f>SUMIF('ADV - FB'!L:L,$A978,'ADV - FB'!E:E)</f>
        <v>0</v>
      </c>
      <c r="H978" s="320" t="str">
        <f>IFERROR(SUMIF('ADV - FB'!L:L,$A978,'ADV - FB'!H:H)/(SUMIF('ADV - FB'!L:L,$A978,'ADV - FB'!G:G)),"-")</f>
        <v>-</v>
      </c>
      <c r="I978" s="321" t="str">
        <f>IFERROR(SUMIF('ADV - FB'!L:L,$A978,'ADV - FB'!E:E)/(SUMIF('ADV - FB'!L:L,$A978,'ADV - FB'!F:F)),"-")</f>
        <v>-</v>
      </c>
      <c r="J978" s="315">
        <f>SUMIF('ADV - FB'!L:L,$A978,'ADV - FB'!I:I)+SUMIF('ADV - FB'!L:L,$A978,'ADV - FB'!J:J)+SUMIF('ADV - FB'!L:L,$A978,'ADV - FB'!K:K)</f>
        <v>0</v>
      </c>
      <c r="K978" s="321" t="str">
        <f t="shared" si="2"/>
        <v>-</v>
      </c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ht="15.75" customHeight="1">
      <c r="A979" s="313" t="s">
        <v>1248</v>
      </c>
      <c r="B979" s="314"/>
      <c r="C979" s="315"/>
      <c r="D979" s="315"/>
      <c r="E979" s="317"/>
      <c r="F979" s="318" t="str">
        <f t="shared" si="1"/>
        <v>TP978 -  -  - </v>
      </c>
      <c r="G979" s="319">
        <f>SUMIF('ADV - FB'!L:L,$A979,'ADV - FB'!E:E)</f>
        <v>0</v>
      </c>
      <c r="H979" s="320" t="str">
        <f>IFERROR(SUMIF('ADV - FB'!L:L,$A979,'ADV - FB'!H:H)/(SUMIF('ADV - FB'!L:L,$A979,'ADV - FB'!G:G)),"-")</f>
        <v>-</v>
      </c>
      <c r="I979" s="321" t="str">
        <f>IFERROR(SUMIF('ADV - FB'!L:L,$A979,'ADV - FB'!E:E)/(SUMIF('ADV - FB'!L:L,$A979,'ADV - FB'!F:F)),"-")</f>
        <v>-</v>
      </c>
      <c r="J979" s="315">
        <f>SUMIF('ADV - FB'!L:L,$A979,'ADV - FB'!I:I)+SUMIF('ADV - FB'!L:L,$A979,'ADV - FB'!J:J)+SUMIF('ADV - FB'!L:L,$A979,'ADV - FB'!K:K)</f>
        <v>0</v>
      </c>
      <c r="K979" s="321" t="str">
        <f t="shared" si="2"/>
        <v>-</v>
      </c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ht="15.75" customHeight="1">
      <c r="A980" s="313" t="s">
        <v>1249</v>
      </c>
      <c r="B980" s="314"/>
      <c r="C980" s="315"/>
      <c r="D980" s="315"/>
      <c r="E980" s="317"/>
      <c r="F980" s="318" t="str">
        <f t="shared" si="1"/>
        <v>TP979 -  -  - </v>
      </c>
      <c r="G980" s="319">
        <f>SUMIF('ADV - FB'!L:L,$A980,'ADV - FB'!E:E)</f>
        <v>0</v>
      </c>
      <c r="H980" s="320" t="str">
        <f>IFERROR(SUMIF('ADV - FB'!L:L,$A980,'ADV - FB'!H:H)/(SUMIF('ADV - FB'!L:L,$A980,'ADV - FB'!G:G)),"-")</f>
        <v>-</v>
      </c>
      <c r="I980" s="321" t="str">
        <f>IFERROR(SUMIF('ADV - FB'!L:L,$A980,'ADV - FB'!E:E)/(SUMIF('ADV - FB'!L:L,$A980,'ADV - FB'!F:F)),"-")</f>
        <v>-</v>
      </c>
      <c r="J980" s="315">
        <f>SUMIF('ADV - FB'!L:L,$A980,'ADV - FB'!I:I)+SUMIF('ADV - FB'!L:L,$A980,'ADV - FB'!J:J)+SUMIF('ADV - FB'!L:L,$A980,'ADV - FB'!K:K)</f>
        <v>0</v>
      </c>
      <c r="K980" s="321" t="str">
        <f t="shared" si="2"/>
        <v>-</v>
      </c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ht="15.75" customHeight="1">
      <c r="A981" s="313" t="s">
        <v>1250</v>
      </c>
      <c r="B981" s="314"/>
      <c r="C981" s="315"/>
      <c r="D981" s="315"/>
      <c r="E981" s="317"/>
      <c r="F981" s="318" t="str">
        <f t="shared" si="1"/>
        <v>TP980 -  -  - </v>
      </c>
      <c r="G981" s="319">
        <f>SUMIF('ADV - FB'!L:L,$A981,'ADV - FB'!E:E)</f>
        <v>0</v>
      </c>
      <c r="H981" s="320" t="str">
        <f>IFERROR(SUMIF('ADV - FB'!L:L,$A981,'ADV - FB'!H:H)/(SUMIF('ADV - FB'!L:L,$A981,'ADV - FB'!G:G)),"-")</f>
        <v>-</v>
      </c>
      <c r="I981" s="321" t="str">
        <f>IFERROR(SUMIF('ADV - FB'!L:L,$A981,'ADV - FB'!E:E)/(SUMIF('ADV - FB'!L:L,$A981,'ADV - FB'!F:F)),"-")</f>
        <v>-</v>
      </c>
      <c r="J981" s="315">
        <f>SUMIF('ADV - FB'!L:L,$A981,'ADV - FB'!I:I)+SUMIF('ADV - FB'!L:L,$A981,'ADV - FB'!J:J)+SUMIF('ADV - FB'!L:L,$A981,'ADV - FB'!K:K)</f>
        <v>0</v>
      </c>
      <c r="K981" s="321" t="str">
        <f t="shared" si="2"/>
        <v>-</v>
      </c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ht="15.75" customHeight="1">
      <c r="A982" s="313" t="s">
        <v>1251</v>
      </c>
      <c r="B982" s="314"/>
      <c r="C982" s="315"/>
      <c r="D982" s="315"/>
      <c r="E982" s="317"/>
      <c r="F982" s="318" t="str">
        <f t="shared" si="1"/>
        <v>TP981 -  -  - </v>
      </c>
      <c r="G982" s="319">
        <f>SUMIF('ADV - FB'!L:L,$A982,'ADV - FB'!E:E)</f>
        <v>0</v>
      </c>
      <c r="H982" s="320" t="str">
        <f>IFERROR(SUMIF('ADV - FB'!L:L,$A982,'ADV - FB'!H:H)/(SUMIF('ADV - FB'!L:L,$A982,'ADV - FB'!G:G)),"-")</f>
        <v>-</v>
      </c>
      <c r="I982" s="321" t="str">
        <f>IFERROR(SUMIF('ADV - FB'!L:L,$A982,'ADV - FB'!E:E)/(SUMIF('ADV - FB'!L:L,$A982,'ADV - FB'!F:F)),"-")</f>
        <v>-</v>
      </c>
      <c r="J982" s="315">
        <f>SUMIF('ADV - FB'!L:L,$A982,'ADV - FB'!I:I)+SUMIF('ADV - FB'!L:L,$A982,'ADV - FB'!J:J)+SUMIF('ADV - FB'!L:L,$A982,'ADV - FB'!K:K)</f>
        <v>0</v>
      </c>
      <c r="K982" s="321" t="str">
        <f t="shared" si="2"/>
        <v>-</v>
      </c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ht="15.75" customHeight="1">
      <c r="A983" s="313" t="s">
        <v>1252</v>
      </c>
      <c r="B983" s="314"/>
      <c r="C983" s="315"/>
      <c r="D983" s="315"/>
      <c r="E983" s="317"/>
      <c r="F983" s="318" t="str">
        <f t="shared" si="1"/>
        <v>TP982 -  -  - </v>
      </c>
      <c r="G983" s="319">
        <f>SUMIF('ADV - FB'!L:L,$A983,'ADV - FB'!E:E)</f>
        <v>0</v>
      </c>
      <c r="H983" s="320" t="str">
        <f>IFERROR(SUMIF('ADV - FB'!L:L,$A983,'ADV - FB'!H:H)/(SUMIF('ADV - FB'!L:L,$A983,'ADV - FB'!G:G)),"-")</f>
        <v>-</v>
      </c>
      <c r="I983" s="321" t="str">
        <f>IFERROR(SUMIF('ADV - FB'!L:L,$A983,'ADV - FB'!E:E)/(SUMIF('ADV - FB'!L:L,$A983,'ADV - FB'!F:F)),"-")</f>
        <v>-</v>
      </c>
      <c r="J983" s="315">
        <f>SUMIF('ADV - FB'!L:L,$A983,'ADV - FB'!I:I)+SUMIF('ADV - FB'!L:L,$A983,'ADV - FB'!J:J)+SUMIF('ADV - FB'!L:L,$A983,'ADV - FB'!K:K)</f>
        <v>0</v>
      </c>
      <c r="K983" s="321" t="str">
        <f t="shared" si="2"/>
        <v>-</v>
      </c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ht="15.75" customHeight="1">
      <c r="A984" s="313" t="s">
        <v>1253</v>
      </c>
      <c r="B984" s="314"/>
      <c r="C984" s="315"/>
      <c r="D984" s="315"/>
      <c r="E984" s="317"/>
      <c r="F984" s="318" t="str">
        <f t="shared" si="1"/>
        <v>TP983 -  -  - </v>
      </c>
      <c r="G984" s="319">
        <f>SUMIF('ADV - FB'!L:L,$A984,'ADV - FB'!E:E)</f>
        <v>0</v>
      </c>
      <c r="H984" s="320" t="str">
        <f>IFERROR(SUMIF('ADV - FB'!L:L,$A984,'ADV - FB'!H:H)/(SUMIF('ADV - FB'!L:L,$A984,'ADV - FB'!G:G)),"-")</f>
        <v>-</v>
      </c>
      <c r="I984" s="321" t="str">
        <f>IFERROR(SUMIF('ADV - FB'!L:L,$A984,'ADV - FB'!E:E)/(SUMIF('ADV - FB'!L:L,$A984,'ADV - FB'!F:F)),"-")</f>
        <v>-</v>
      </c>
      <c r="J984" s="315">
        <f>SUMIF('ADV - FB'!L:L,$A984,'ADV - FB'!I:I)+SUMIF('ADV - FB'!L:L,$A984,'ADV - FB'!J:J)+SUMIF('ADV - FB'!L:L,$A984,'ADV - FB'!K:K)</f>
        <v>0</v>
      </c>
      <c r="K984" s="321" t="str">
        <f t="shared" si="2"/>
        <v>-</v>
      </c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ht="15.75" customHeight="1">
      <c r="A985" s="313" t="s">
        <v>1254</v>
      </c>
      <c r="B985" s="314"/>
      <c r="C985" s="315"/>
      <c r="D985" s="315"/>
      <c r="E985" s="317"/>
      <c r="F985" s="318" t="str">
        <f t="shared" si="1"/>
        <v>TP984 -  -  - </v>
      </c>
      <c r="G985" s="319">
        <f>SUMIF('ADV - FB'!L:L,$A985,'ADV - FB'!E:E)</f>
        <v>0</v>
      </c>
      <c r="H985" s="320" t="str">
        <f>IFERROR(SUMIF('ADV - FB'!L:L,$A985,'ADV - FB'!H:H)/(SUMIF('ADV - FB'!L:L,$A985,'ADV - FB'!G:G)),"-")</f>
        <v>-</v>
      </c>
      <c r="I985" s="321" t="str">
        <f>IFERROR(SUMIF('ADV - FB'!L:L,$A985,'ADV - FB'!E:E)/(SUMIF('ADV - FB'!L:L,$A985,'ADV - FB'!F:F)),"-")</f>
        <v>-</v>
      </c>
      <c r="J985" s="315">
        <f>SUMIF('ADV - FB'!L:L,$A985,'ADV - FB'!I:I)+SUMIF('ADV - FB'!L:L,$A985,'ADV - FB'!J:J)+SUMIF('ADV - FB'!L:L,$A985,'ADV - FB'!K:K)</f>
        <v>0</v>
      </c>
      <c r="K985" s="321" t="str">
        <f t="shared" si="2"/>
        <v>-</v>
      </c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ht="15.75" customHeight="1">
      <c r="A986" s="313" t="s">
        <v>1255</v>
      </c>
      <c r="B986" s="314"/>
      <c r="C986" s="315"/>
      <c r="D986" s="315"/>
      <c r="E986" s="317"/>
      <c r="F986" s="318" t="str">
        <f t="shared" si="1"/>
        <v>TP985 -  -  - </v>
      </c>
      <c r="G986" s="319">
        <f>SUMIF('ADV - FB'!L:L,$A986,'ADV - FB'!E:E)</f>
        <v>0</v>
      </c>
      <c r="H986" s="320" t="str">
        <f>IFERROR(SUMIF('ADV - FB'!L:L,$A986,'ADV - FB'!H:H)/(SUMIF('ADV - FB'!L:L,$A986,'ADV - FB'!G:G)),"-")</f>
        <v>-</v>
      </c>
      <c r="I986" s="321" t="str">
        <f>IFERROR(SUMIF('ADV - FB'!L:L,$A986,'ADV - FB'!E:E)/(SUMIF('ADV - FB'!L:L,$A986,'ADV - FB'!F:F)),"-")</f>
        <v>-</v>
      </c>
      <c r="J986" s="315">
        <f>SUMIF('ADV - FB'!L:L,$A986,'ADV - FB'!I:I)+SUMIF('ADV - FB'!L:L,$A986,'ADV - FB'!J:J)+SUMIF('ADV - FB'!L:L,$A986,'ADV - FB'!K:K)</f>
        <v>0</v>
      </c>
      <c r="K986" s="321" t="str">
        <f t="shared" si="2"/>
        <v>-</v>
      </c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ht="15.75" customHeight="1">
      <c r="A987" s="313" t="s">
        <v>1256</v>
      </c>
      <c r="B987" s="314"/>
      <c r="C987" s="315"/>
      <c r="D987" s="315"/>
      <c r="E987" s="317"/>
      <c r="F987" s="318" t="str">
        <f t="shared" si="1"/>
        <v>TP986 -  -  - </v>
      </c>
      <c r="G987" s="319">
        <f>SUMIF('ADV - FB'!L:L,$A987,'ADV - FB'!E:E)</f>
        <v>0</v>
      </c>
      <c r="H987" s="320" t="str">
        <f>IFERROR(SUMIF('ADV - FB'!L:L,$A987,'ADV - FB'!H:H)/(SUMIF('ADV - FB'!L:L,$A987,'ADV - FB'!G:G)),"-")</f>
        <v>-</v>
      </c>
      <c r="I987" s="321" t="str">
        <f>IFERROR(SUMIF('ADV - FB'!L:L,$A987,'ADV - FB'!E:E)/(SUMIF('ADV - FB'!L:L,$A987,'ADV - FB'!F:F)),"-")</f>
        <v>-</v>
      </c>
      <c r="J987" s="315">
        <f>SUMIF('ADV - FB'!L:L,$A987,'ADV - FB'!I:I)+SUMIF('ADV - FB'!L:L,$A987,'ADV - FB'!J:J)+SUMIF('ADV - FB'!L:L,$A987,'ADV - FB'!K:K)</f>
        <v>0</v>
      </c>
      <c r="K987" s="321" t="str">
        <f t="shared" si="2"/>
        <v>-</v>
      </c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ht="15.75" customHeight="1">
      <c r="A988" s="313" t="s">
        <v>1257</v>
      </c>
      <c r="B988" s="314"/>
      <c r="C988" s="315"/>
      <c r="D988" s="315"/>
      <c r="E988" s="317"/>
      <c r="F988" s="318" t="str">
        <f t="shared" si="1"/>
        <v>TP987 -  -  - </v>
      </c>
      <c r="G988" s="319">
        <f>SUMIF('ADV - FB'!L:L,$A988,'ADV - FB'!E:E)</f>
        <v>0</v>
      </c>
      <c r="H988" s="320" t="str">
        <f>IFERROR(SUMIF('ADV - FB'!L:L,$A988,'ADV - FB'!H:H)/(SUMIF('ADV - FB'!L:L,$A988,'ADV - FB'!G:G)),"-")</f>
        <v>-</v>
      </c>
      <c r="I988" s="321" t="str">
        <f>IFERROR(SUMIF('ADV - FB'!L:L,$A988,'ADV - FB'!E:E)/(SUMIF('ADV - FB'!L:L,$A988,'ADV - FB'!F:F)),"-")</f>
        <v>-</v>
      </c>
      <c r="J988" s="315">
        <f>SUMIF('ADV - FB'!L:L,$A988,'ADV - FB'!I:I)+SUMIF('ADV - FB'!L:L,$A988,'ADV - FB'!J:J)+SUMIF('ADV - FB'!L:L,$A988,'ADV - FB'!K:K)</f>
        <v>0</v>
      </c>
      <c r="K988" s="321" t="str">
        <f t="shared" si="2"/>
        <v>-</v>
      </c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ht="15.75" customHeight="1">
      <c r="A989" s="313" t="s">
        <v>1258</v>
      </c>
      <c r="B989" s="314"/>
      <c r="C989" s="315"/>
      <c r="D989" s="315"/>
      <c r="E989" s="317"/>
      <c r="F989" s="318" t="str">
        <f t="shared" si="1"/>
        <v>TP988 -  -  - </v>
      </c>
      <c r="G989" s="319">
        <f>SUMIF('ADV - FB'!L:L,$A989,'ADV - FB'!E:E)</f>
        <v>0</v>
      </c>
      <c r="H989" s="320" t="str">
        <f>IFERROR(SUMIF('ADV - FB'!L:L,$A989,'ADV - FB'!H:H)/(SUMIF('ADV - FB'!L:L,$A989,'ADV - FB'!G:G)),"-")</f>
        <v>-</v>
      </c>
      <c r="I989" s="321" t="str">
        <f>IFERROR(SUMIF('ADV - FB'!L:L,$A989,'ADV - FB'!E:E)/(SUMIF('ADV - FB'!L:L,$A989,'ADV - FB'!F:F)),"-")</f>
        <v>-</v>
      </c>
      <c r="J989" s="315">
        <f>SUMIF('ADV - FB'!L:L,$A989,'ADV - FB'!I:I)+SUMIF('ADV - FB'!L:L,$A989,'ADV - FB'!J:J)+SUMIF('ADV - FB'!L:L,$A989,'ADV - FB'!K:K)</f>
        <v>0</v>
      </c>
      <c r="K989" s="321" t="str">
        <f t="shared" si="2"/>
        <v>-</v>
      </c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ht="15.75" customHeight="1">
      <c r="A990" s="313" t="s">
        <v>1259</v>
      </c>
      <c r="B990" s="314"/>
      <c r="C990" s="315"/>
      <c r="D990" s="315"/>
      <c r="E990" s="317"/>
      <c r="F990" s="318" t="str">
        <f t="shared" si="1"/>
        <v>TP989 -  -  - </v>
      </c>
      <c r="G990" s="319">
        <f>SUMIF('ADV - FB'!L:L,$A990,'ADV - FB'!E:E)</f>
        <v>0</v>
      </c>
      <c r="H990" s="320" t="str">
        <f>IFERROR(SUMIF('ADV - FB'!L:L,$A990,'ADV - FB'!H:H)/(SUMIF('ADV - FB'!L:L,$A990,'ADV - FB'!G:G)),"-")</f>
        <v>-</v>
      </c>
      <c r="I990" s="321" t="str">
        <f>IFERROR(SUMIF('ADV - FB'!L:L,$A990,'ADV - FB'!E:E)/(SUMIF('ADV - FB'!L:L,$A990,'ADV - FB'!F:F)),"-")</f>
        <v>-</v>
      </c>
      <c r="J990" s="315">
        <f>SUMIF('ADV - FB'!L:L,$A990,'ADV - FB'!I:I)+SUMIF('ADV - FB'!L:L,$A990,'ADV - FB'!J:J)+SUMIF('ADV - FB'!L:L,$A990,'ADV - FB'!K:K)</f>
        <v>0</v>
      </c>
      <c r="K990" s="321" t="str">
        <f t="shared" si="2"/>
        <v>-</v>
      </c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ht="15.75" customHeight="1">
      <c r="A991" s="313" t="s">
        <v>1260</v>
      </c>
      <c r="B991" s="314"/>
      <c r="C991" s="315"/>
      <c r="D991" s="315"/>
      <c r="E991" s="317"/>
      <c r="F991" s="318" t="str">
        <f t="shared" si="1"/>
        <v>TP990 -  -  - </v>
      </c>
      <c r="G991" s="319">
        <f>SUMIF('ADV - FB'!L:L,$A991,'ADV - FB'!E:E)</f>
        <v>0</v>
      </c>
      <c r="H991" s="320" t="str">
        <f>IFERROR(SUMIF('ADV - FB'!L:L,$A991,'ADV - FB'!H:H)/(SUMIF('ADV - FB'!L:L,$A991,'ADV - FB'!G:G)),"-")</f>
        <v>-</v>
      </c>
      <c r="I991" s="321" t="str">
        <f>IFERROR(SUMIF('ADV - FB'!L:L,$A991,'ADV - FB'!E:E)/(SUMIF('ADV - FB'!L:L,$A991,'ADV - FB'!F:F)),"-")</f>
        <v>-</v>
      </c>
      <c r="J991" s="315">
        <f>SUMIF('ADV - FB'!L:L,$A991,'ADV - FB'!I:I)+SUMIF('ADV - FB'!L:L,$A991,'ADV - FB'!J:J)+SUMIF('ADV - FB'!L:L,$A991,'ADV - FB'!K:K)</f>
        <v>0</v>
      </c>
      <c r="K991" s="321" t="str">
        <f t="shared" si="2"/>
        <v>-</v>
      </c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ht="15.75" customHeight="1">
      <c r="A992" s="313" t="s">
        <v>1261</v>
      </c>
      <c r="B992" s="314"/>
      <c r="C992" s="315"/>
      <c r="D992" s="315"/>
      <c r="E992" s="317"/>
      <c r="F992" s="318" t="str">
        <f t="shared" si="1"/>
        <v>TP991 -  -  - </v>
      </c>
      <c r="G992" s="319">
        <f>SUMIF('ADV - FB'!L:L,$A992,'ADV - FB'!E:E)</f>
        <v>0</v>
      </c>
      <c r="H992" s="320" t="str">
        <f>IFERROR(SUMIF('ADV - FB'!L:L,$A992,'ADV - FB'!H:H)/(SUMIF('ADV - FB'!L:L,$A992,'ADV - FB'!G:G)),"-")</f>
        <v>-</v>
      </c>
      <c r="I992" s="321" t="str">
        <f>IFERROR(SUMIF('ADV - FB'!L:L,$A992,'ADV - FB'!E:E)/(SUMIF('ADV - FB'!L:L,$A992,'ADV - FB'!F:F)),"-")</f>
        <v>-</v>
      </c>
      <c r="J992" s="315">
        <f>SUMIF('ADV - FB'!L:L,$A992,'ADV - FB'!I:I)+SUMIF('ADV - FB'!L:L,$A992,'ADV - FB'!J:J)+SUMIF('ADV - FB'!L:L,$A992,'ADV - FB'!K:K)</f>
        <v>0</v>
      </c>
      <c r="K992" s="321" t="str">
        <f t="shared" si="2"/>
        <v>-</v>
      </c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ht="15.75" customHeight="1">
      <c r="A993" s="313" t="s">
        <v>1262</v>
      </c>
      <c r="B993" s="314"/>
      <c r="C993" s="315"/>
      <c r="D993" s="315"/>
      <c r="E993" s="317"/>
      <c r="F993" s="318" t="str">
        <f t="shared" si="1"/>
        <v>TP992 -  -  - </v>
      </c>
      <c r="G993" s="319">
        <f>SUMIF('ADV - FB'!L:L,$A993,'ADV - FB'!E:E)</f>
        <v>0</v>
      </c>
      <c r="H993" s="320" t="str">
        <f>IFERROR(SUMIF('ADV - FB'!L:L,$A993,'ADV - FB'!H:H)/(SUMIF('ADV - FB'!L:L,$A993,'ADV - FB'!G:G)),"-")</f>
        <v>-</v>
      </c>
      <c r="I993" s="321" t="str">
        <f>IFERROR(SUMIF('ADV - FB'!L:L,$A993,'ADV - FB'!E:E)/(SUMIF('ADV - FB'!L:L,$A993,'ADV - FB'!F:F)),"-")</f>
        <v>-</v>
      </c>
      <c r="J993" s="315">
        <f>SUMIF('ADV - FB'!L:L,$A993,'ADV - FB'!I:I)+SUMIF('ADV - FB'!L:L,$A993,'ADV - FB'!J:J)+SUMIF('ADV - FB'!L:L,$A993,'ADV - FB'!K:K)</f>
        <v>0</v>
      </c>
      <c r="K993" s="321" t="str">
        <f t="shared" si="2"/>
        <v>-</v>
      </c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ht="15.75" customHeight="1">
      <c r="A994" s="313" t="s">
        <v>1263</v>
      </c>
      <c r="B994" s="314"/>
      <c r="C994" s="315"/>
      <c r="D994" s="315"/>
      <c r="E994" s="317"/>
      <c r="F994" s="318" t="str">
        <f t="shared" si="1"/>
        <v>TP993 -  -  - </v>
      </c>
      <c r="G994" s="319">
        <f>SUMIF('ADV - FB'!L:L,$A994,'ADV - FB'!E:E)</f>
        <v>0</v>
      </c>
      <c r="H994" s="320" t="str">
        <f>IFERROR(SUMIF('ADV - FB'!L:L,$A994,'ADV - FB'!H:H)/(SUMIF('ADV - FB'!L:L,$A994,'ADV - FB'!G:G)),"-")</f>
        <v>-</v>
      </c>
      <c r="I994" s="321" t="str">
        <f>IFERROR(SUMIF('ADV - FB'!L:L,$A994,'ADV - FB'!E:E)/(SUMIF('ADV - FB'!L:L,$A994,'ADV - FB'!F:F)),"-")</f>
        <v>-</v>
      </c>
      <c r="J994" s="315">
        <f>SUMIF('ADV - FB'!L:L,$A994,'ADV - FB'!I:I)+SUMIF('ADV - FB'!L:L,$A994,'ADV - FB'!J:J)+SUMIF('ADV - FB'!L:L,$A994,'ADV - FB'!K:K)</f>
        <v>0</v>
      </c>
      <c r="K994" s="321" t="str">
        <f t="shared" si="2"/>
        <v>-</v>
      </c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ht="15.75" customHeight="1">
      <c r="A995" s="313" t="s">
        <v>1264</v>
      </c>
      <c r="B995" s="314"/>
      <c r="C995" s="315"/>
      <c r="D995" s="315"/>
      <c r="E995" s="317"/>
      <c r="F995" s="318" t="str">
        <f t="shared" si="1"/>
        <v>TP994 -  -  - </v>
      </c>
      <c r="G995" s="319">
        <f>SUMIF('ADV - FB'!L:L,$A995,'ADV - FB'!E:E)</f>
        <v>0</v>
      </c>
      <c r="H995" s="320" t="str">
        <f>IFERROR(SUMIF('ADV - FB'!L:L,$A995,'ADV - FB'!H:H)/(SUMIF('ADV - FB'!L:L,$A995,'ADV - FB'!G:G)),"-")</f>
        <v>-</v>
      </c>
      <c r="I995" s="321" t="str">
        <f>IFERROR(SUMIF('ADV - FB'!L:L,$A995,'ADV - FB'!E:E)/(SUMIF('ADV - FB'!L:L,$A995,'ADV - FB'!F:F)),"-")</f>
        <v>-</v>
      </c>
      <c r="J995" s="315">
        <f>SUMIF('ADV - FB'!L:L,$A995,'ADV - FB'!I:I)+SUMIF('ADV - FB'!L:L,$A995,'ADV - FB'!J:J)+SUMIF('ADV - FB'!L:L,$A995,'ADV - FB'!K:K)</f>
        <v>0</v>
      </c>
      <c r="K995" s="321" t="str">
        <f t="shared" si="2"/>
        <v>-</v>
      </c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ht="15.75" customHeight="1">
      <c r="A996" s="313" t="s">
        <v>1265</v>
      </c>
      <c r="B996" s="314"/>
      <c r="C996" s="315"/>
      <c r="D996" s="315"/>
      <c r="E996" s="317"/>
      <c r="F996" s="318" t="str">
        <f t="shared" si="1"/>
        <v>TP995 -  -  - </v>
      </c>
      <c r="G996" s="319">
        <f>SUMIF('ADV - FB'!L:L,$A996,'ADV - FB'!E:E)</f>
        <v>0</v>
      </c>
      <c r="H996" s="320" t="str">
        <f>IFERROR(SUMIF('ADV - FB'!L:L,$A996,'ADV - FB'!H:H)/(SUMIF('ADV - FB'!L:L,$A996,'ADV - FB'!G:G)),"-")</f>
        <v>-</v>
      </c>
      <c r="I996" s="321" t="str">
        <f>IFERROR(SUMIF('ADV - FB'!L:L,$A996,'ADV - FB'!E:E)/(SUMIF('ADV - FB'!L:L,$A996,'ADV - FB'!F:F)),"-")</f>
        <v>-</v>
      </c>
      <c r="J996" s="315">
        <f>SUMIF('ADV - FB'!L:L,$A996,'ADV - FB'!I:I)+SUMIF('ADV - FB'!L:L,$A996,'ADV - FB'!J:J)+SUMIF('ADV - FB'!L:L,$A996,'ADV - FB'!K:K)</f>
        <v>0</v>
      </c>
      <c r="K996" s="321" t="str">
        <f t="shared" si="2"/>
        <v>-</v>
      </c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ht="15.75" customHeight="1">
      <c r="A997" s="313" t="s">
        <v>1266</v>
      </c>
      <c r="B997" s="314"/>
      <c r="C997" s="315"/>
      <c r="D997" s="315"/>
      <c r="E997" s="317"/>
      <c r="F997" s="318" t="str">
        <f t="shared" si="1"/>
        <v>TP996 -  -  - </v>
      </c>
      <c r="G997" s="319">
        <f>SUMIF('ADV - FB'!L:L,$A997,'ADV - FB'!E:E)</f>
        <v>0</v>
      </c>
      <c r="H997" s="320" t="str">
        <f>IFERROR(SUMIF('ADV - FB'!L:L,$A997,'ADV - FB'!H:H)/(SUMIF('ADV - FB'!L:L,$A997,'ADV - FB'!G:G)),"-")</f>
        <v>-</v>
      </c>
      <c r="I997" s="321" t="str">
        <f>IFERROR(SUMIF('ADV - FB'!L:L,$A997,'ADV - FB'!E:E)/(SUMIF('ADV - FB'!L:L,$A997,'ADV - FB'!F:F)),"-")</f>
        <v>-</v>
      </c>
      <c r="J997" s="315">
        <f>SUMIF('ADV - FB'!L:L,$A997,'ADV - FB'!I:I)+SUMIF('ADV - FB'!L:L,$A997,'ADV - FB'!J:J)+SUMIF('ADV - FB'!L:L,$A997,'ADV - FB'!K:K)</f>
        <v>0</v>
      </c>
      <c r="K997" s="321" t="str">
        <f t="shared" si="2"/>
        <v>-</v>
      </c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ht="15.75" customHeight="1">
      <c r="A998" s="313" t="s">
        <v>1267</v>
      </c>
      <c r="B998" s="314"/>
      <c r="C998" s="315"/>
      <c r="D998" s="315"/>
      <c r="E998" s="317"/>
      <c r="F998" s="318" t="str">
        <f t="shared" si="1"/>
        <v>TP997 -  -  - </v>
      </c>
      <c r="G998" s="319">
        <f>SUMIF('ADV - FB'!L:L,$A998,'ADV - FB'!E:E)</f>
        <v>0</v>
      </c>
      <c r="H998" s="320" t="str">
        <f>IFERROR(SUMIF('ADV - FB'!L:L,$A998,'ADV - FB'!H:H)/(SUMIF('ADV - FB'!L:L,$A998,'ADV - FB'!G:G)),"-")</f>
        <v>-</v>
      </c>
      <c r="I998" s="321" t="str">
        <f>IFERROR(SUMIF('ADV - FB'!L:L,$A998,'ADV - FB'!E:E)/(SUMIF('ADV - FB'!L:L,$A998,'ADV - FB'!F:F)),"-")</f>
        <v>-</v>
      </c>
      <c r="J998" s="315">
        <f>SUMIF('ADV - FB'!L:L,$A998,'ADV - FB'!I:I)+SUMIF('ADV - FB'!L:L,$A998,'ADV - FB'!J:J)+SUMIF('ADV - FB'!L:L,$A998,'ADV - FB'!K:K)</f>
        <v>0</v>
      </c>
      <c r="K998" s="321" t="str">
        <f t="shared" si="2"/>
        <v>-</v>
      </c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ht="15.75" customHeight="1">
      <c r="A999" s="313" t="s">
        <v>1268</v>
      </c>
      <c r="B999" s="314"/>
      <c r="C999" s="315"/>
      <c r="D999" s="315"/>
      <c r="E999" s="317"/>
      <c r="F999" s="318" t="str">
        <f t="shared" si="1"/>
        <v>TP998 -  -  - </v>
      </c>
      <c r="G999" s="319">
        <f>SUMIF('ADV - FB'!L:L,$A999,'ADV - FB'!E:E)</f>
        <v>0</v>
      </c>
      <c r="H999" s="320" t="str">
        <f>IFERROR(SUMIF('ADV - FB'!L:L,$A999,'ADV - FB'!H:H)/(SUMIF('ADV - FB'!L:L,$A999,'ADV - FB'!G:G)),"-")</f>
        <v>-</v>
      </c>
      <c r="I999" s="321" t="str">
        <f>IFERROR(SUMIF('ADV - FB'!L:L,$A999,'ADV - FB'!E:E)/(SUMIF('ADV - FB'!L:L,$A999,'ADV - FB'!F:F)),"-")</f>
        <v>-</v>
      </c>
      <c r="J999" s="315">
        <f>SUMIF('ADV - FB'!L:L,$A999,'ADV - FB'!I:I)</f>
        <v>0</v>
      </c>
      <c r="K999" s="321" t="str">
        <f t="shared" si="2"/>
        <v>-</v>
      </c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 ht="15.75" customHeight="1">
      <c r="A1000" s="313" t="s">
        <v>1269</v>
      </c>
      <c r="B1000" s="314"/>
      <c r="C1000" s="315"/>
      <c r="D1000" s="315"/>
      <c r="E1000" s="317"/>
      <c r="F1000" s="318" t="str">
        <f t="shared" si="1"/>
        <v>TP999 -  -  - </v>
      </c>
      <c r="G1000" s="319">
        <f>SUMIF('ADV - FB'!L:L,$A1000,'ADV - FB'!E:E)</f>
        <v>0</v>
      </c>
      <c r="H1000" s="320" t="str">
        <f>IFERROR(SUMIF('ADV - FB'!L:L,$A1000,'ADV - FB'!H:H)/(SUMIF('ADV - FB'!L:L,$A1000,'ADV - FB'!G:G)),"-")</f>
        <v>-</v>
      </c>
      <c r="I1000" s="321" t="str">
        <f>IFERROR(SUMIF('ADV - FB'!L:L,$A1000,'ADV - FB'!E:E)/(SUMIF('ADV - FB'!L:L,$A1000,'ADV - FB'!F:F)),"-")</f>
        <v>-</v>
      </c>
      <c r="J1000" s="315">
        <f>SUMIF('ADV - FB'!L:L,$A1000,'ADV - FB'!I:I)</f>
        <v>0</v>
      </c>
      <c r="K1000" s="321" t="str">
        <f t="shared" si="2"/>
        <v>-</v>
      </c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customSheetViews>
    <customSheetView guid="{D6E236A2-2FB7-489C-BCC8-8AF6C9B795F5}" filter="1" showAutoFilter="1">
      <autoFilter ref="$D$1:$D$1000"/>
    </customSheetView>
  </customSheetViews>
  <conditionalFormatting sqref="H2:H1000">
    <cfRule type="colorScale" priority="1">
      <colorScale>
        <cfvo type="min"/>
        <cfvo type="max"/>
        <color rgb="FFEA9999"/>
        <color rgb="FFB6D7A8"/>
      </colorScale>
    </cfRule>
  </conditionalFormatting>
  <conditionalFormatting sqref="I2:I1000">
    <cfRule type="colorScale" priority="2">
      <colorScale>
        <cfvo type="min"/>
        <cfvo type="max"/>
        <color rgb="FFEA9999"/>
        <color rgb="FFB6D7A8"/>
      </colorScale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2.5"/>
    <col customWidth="1" min="3" max="3" width="51.0"/>
    <col customWidth="1" min="4" max="4" width="35.5"/>
    <col customWidth="1" min="5" max="5" width="24.38"/>
    <col customWidth="1" min="6" max="6" width="12.63"/>
    <col customWidth="1" min="9" max="9" width="16.38"/>
    <col customWidth="1" hidden="1" min="10" max="10" width="16.38"/>
    <col customWidth="1" hidden="1" min="11" max="12" width="12.63"/>
  </cols>
  <sheetData>
    <row r="1" ht="33.0" customHeight="1">
      <c r="A1" s="323" t="s">
        <v>263</v>
      </c>
      <c r="B1" s="324" t="s">
        <v>1270</v>
      </c>
      <c r="C1" s="324" t="s">
        <v>1271</v>
      </c>
      <c r="D1" s="323" t="s">
        <v>1272</v>
      </c>
      <c r="E1" s="323" t="s">
        <v>1273</v>
      </c>
      <c r="F1" s="325" t="s">
        <v>269</v>
      </c>
      <c r="G1" s="325" t="s">
        <v>270</v>
      </c>
      <c r="H1" s="326" t="s">
        <v>4</v>
      </c>
      <c r="I1" s="325" t="s">
        <v>141</v>
      </c>
      <c r="J1" s="325" t="s">
        <v>1274</v>
      </c>
      <c r="K1" s="325" t="s">
        <v>136</v>
      </c>
      <c r="L1" s="325" t="s">
        <v>10</v>
      </c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16"/>
      <c r="Z1" s="16"/>
      <c r="AA1" s="16"/>
    </row>
    <row r="2" ht="15.75" customHeight="1">
      <c r="A2" s="328" t="s">
        <v>1275</v>
      </c>
      <c r="B2" s="329" t="b">
        <v>0</v>
      </c>
      <c r="C2" s="329"/>
      <c r="D2" s="329"/>
      <c r="E2" s="330"/>
      <c r="F2" s="331">
        <f>SUMIF('ADV - FB'!D:D,"*adc1*",'ADV - FB'!E:E)</f>
        <v>0</v>
      </c>
      <c r="G2" s="332" t="str">
        <f>IFERROR(SUMIF('ADV - FB'!D:D,"*adc1*",'ADV - FB'!H:H)/(SUMIF('ADV - FB'!D:D,"*adc1*",'ADV - FB'!G:G)),"-")</f>
        <v>-</v>
      </c>
      <c r="H2" s="333">
        <f>SUMIF('ADV - FB'!D:D,"*adc1*",'ADV - FB'!I:I)+SUMIF('ADV - FB'!D:D,"*adc1*",'ADV - FB'!J:J)</f>
        <v>0</v>
      </c>
      <c r="I2" s="334" t="str">
        <f t="shared" ref="I2:I61" si="1">IFERROR(J2/F2,"-")</f>
        <v>-</v>
      </c>
      <c r="J2" s="335">
        <f>SUMIF('ADV - FB'!D:D,"*adc1*",'ADV - FB'!J:J)</f>
        <v>0</v>
      </c>
      <c r="K2" s="335" t="str">
        <f t="shared" ref="K2:K61" si="2">IFERROR(F2/H2,"-")</f>
        <v>-</v>
      </c>
      <c r="L2" s="336" t="str">
        <f>IFERROR(SUMIF('ADV - FB'!D:D,"*adc1*",'ADV - FB'!E:E)/(SUMIF('ADV - FB'!D:D,"*adc1*",'ADV - FB'!F:F)),"-")</f>
        <v>-</v>
      </c>
      <c r="M2" s="33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16"/>
      <c r="Z2" s="16"/>
      <c r="AA2" s="16"/>
    </row>
    <row r="3" ht="15.75" customHeight="1">
      <c r="A3" s="338" t="s">
        <v>1276</v>
      </c>
      <c r="B3" s="329" t="b">
        <v>0</v>
      </c>
      <c r="C3" s="329"/>
      <c r="D3" s="329"/>
      <c r="E3" s="330"/>
      <c r="F3" s="331">
        <f>SUMIF('ADV - FB'!D:D,"*adc2*",'ADV - FB'!E:E)</f>
        <v>0</v>
      </c>
      <c r="G3" s="332" t="str">
        <f>IFERROR(SUMIF('ADV - FB'!D:D,"*adc2*",'ADV - FB'!H:H)/(SUMIF('ADV - FB'!D:D,"*adc2*",'ADV - FB'!G:G)),"-")</f>
        <v>-</v>
      </c>
      <c r="H3" s="333">
        <f>SUMIF('ADV - FB'!D:D,"*adc2*",'ADV - FB'!I:I)+SUMIF('ADV - FB'!D:D,"*adc2*",'ADV - FB'!J:J)</f>
        <v>0</v>
      </c>
      <c r="I3" s="334" t="str">
        <f t="shared" si="1"/>
        <v>-</v>
      </c>
      <c r="J3" s="335">
        <f>SUMIF('ADV - FB'!D:D,"*adc2*",'ADV - FB'!J:J)</f>
        <v>0</v>
      </c>
      <c r="K3" s="335" t="str">
        <f t="shared" si="2"/>
        <v>-</v>
      </c>
      <c r="L3" s="336" t="str">
        <f>IFERROR(SUMIF('ADV - FB'!D:D,"*adc2*",'ADV - FB'!E:E)/(SUMIF('ADV - FB'!D:D,"*adc2*",'ADV - FB'!F:F)),"-")</f>
        <v>-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5.75" customHeight="1">
      <c r="A4" s="338" t="s">
        <v>1277</v>
      </c>
      <c r="B4" s="329" t="b">
        <v>0</v>
      </c>
      <c r="C4" s="329"/>
      <c r="D4" s="329"/>
      <c r="E4" s="330"/>
      <c r="F4" s="331">
        <f>SUMIF('ADV - FB'!D:D,"*adc3*",'ADV - FB'!E:E)</f>
        <v>0</v>
      </c>
      <c r="G4" s="332" t="str">
        <f>IFERROR(SUMIF('ADV - FB'!D:D,"*adc3*",'ADV - FB'!H:H)/(SUMIF('ADV - FB'!D:D,"*adc3*",'ADV - FB'!G:G)),"-")</f>
        <v>-</v>
      </c>
      <c r="H4" s="333">
        <f>SUMIF('ADV - FB'!D:D,"*adc3*",'ADV - FB'!I:I)+SUMIF('ADV - FB'!D:D,"*adc3*",'ADV - FB'!J:J)</f>
        <v>0</v>
      </c>
      <c r="I4" s="334" t="str">
        <f t="shared" si="1"/>
        <v>-</v>
      </c>
      <c r="J4" s="335">
        <f>SUMIF('ADV - FB'!D:D,"*adc3*",'ADV - FB'!J:J)</f>
        <v>0</v>
      </c>
      <c r="K4" s="335" t="str">
        <f t="shared" si="2"/>
        <v>-</v>
      </c>
      <c r="L4" s="336" t="str">
        <f>IFERROR(SUMIF('ADV - FB'!D:D,"*adc3*",'ADV - FB'!E:E)/(SUMIF('ADV - FB'!D:D,"*adc3*",'ADV - FB'!F:F)),"-")</f>
        <v>-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75" customHeight="1">
      <c r="A5" s="338" t="s">
        <v>1278</v>
      </c>
      <c r="B5" s="329" t="b">
        <v>0</v>
      </c>
      <c r="C5" s="329"/>
      <c r="D5" s="329"/>
      <c r="E5" s="330"/>
      <c r="F5" s="331">
        <f>SUMIF('ADV - FB'!D:D,"*adc4*",'ADV - FB'!E:E)</f>
        <v>0</v>
      </c>
      <c r="G5" s="332" t="str">
        <f>IFERROR(SUMIF('ADV - FB'!D:D,"*adc4*",'ADV - FB'!H:H)/(SUMIF('ADV - FB'!D:D,"*adc4*",'ADV - FB'!G:G)),"-")</f>
        <v>-</v>
      </c>
      <c r="H5" s="333">
        <f>SUMIF('ADV - FB'!D:D,"*adc4*",'ADV - FB'!I:I)+SUMIF('ADV - FB'!D:D,"*adc4*",'ADV - FB'!J:J)</f>
        <v>0</v>
      </c>
      <c r="I5" s="334" t="str">
        <f t="shared" si="1"/>
        <v>-</v>
      </c>
      <c r="J5" s="335">
        <f>SUMIF('ADV - FB'!D:D,"*adc4*",'ADV - FB'!J:J)</f>
        <v>0</v>
      </c>
      <c r="K5" s="335" t="str">
        <f t="shared" si="2"/>
        <v>-</v>
      </c>
      <c r="L5" s="336" t="str">
        <f>IFERROR(SUMIF('ADV - FB'!D:D,"*adc4*",'ADV - FB'!E:E)/(SUMIF('ADV - FB'!D:D,"*adc4*",'ADV - FB'!F:F)),"-")</f>
        <v>-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5.75" customHeight="1">
      <c r="A6" s="338" t="s">
        <v>1279</v>
      </c>
      <c r="B6" s="329" t="b">
        <v>0</v>
      </c>
      <c r="C6" s="329"/>
      <c r="D6" s="329"/>
      <c r="E6" s="330"/>
      <c r="F6" s="331">
        <f>SUMIF('ADV - FB'!D:D,"*adc5*",'ADV - FB'!E:E)</f>
        <v>0</v>
      </c>
      <c r="G6" s="332" t="str">
        <f>IFERROR(SUMIF('ADV - FB'!D:D,"*adc5*",'ADV - FB'!H:H)/(SUMIF('ADV - FB'!D:D,"*adc5*",'ADV - FB'!G:G)),"-")</f>
        <v>-</v>
      </c>
      <c r="H6" s="333">
        <f>SUMIF('ADV - FB'!D:D,"*adc5*",'ADV - FB'!I:I)+SUMIF('ADV - FB'!D:D,"*adc5*",'ADV - FB'!J:J)</f>
        <v>0</v>
      </c>
      <c r="I6" s="334" t="str">
        <f t="shared" si="1"/>
        <v>-</v>
      </c>
      <c r="J6" s="335">
        <f>SUMIF('ADV - FB'!D:D,"*adc5*",'ADV - FB'!J:J)</f>
        <v>0</v>
      </c>
      <c r="K6" s="335" t="str">
        <f t="shared" si="2"/>
        <v>-</v>
      </c>
      <c r="L6" s="336" t="str">
        <f>IFERROR(SUMIF('ADV - FB'!D:D,"*adc5*",'ADV - FB'!E:E)/(SUMIF('ADV - FB'!D:D,"*adc5*",'ADV - FB'!F:F)),"-")</f>
        <v>-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5.75" customHeight="1">
      <c r="A7" s="338" t="s">
        <v>1280</v>
      </c>
      <c r="B7" s="329" t="b">
        <v>0</v>
      </c>
      <c r="C7" s="329"/>
      <c r="D7" s="329"/>
      <c r="E7" s="330"/>
      <c r="F7" s="331">
        <f>SUMIF('ADV - FB'!D:D,"*adc6*",'ADV - FB'!E:E)</f>
        <v>0</v>
      </c>
      <c r="G7" s="332" t="str">
        <f>IFERROR(SUMIF('ADV - FB'!D:D,"*adc6*",'ADV - FB'!H:H)/(SUMIF('ADV - FB'!D:D,"*adc6*",'ADV - FB'!G:G)),"-")</f>
        <v>-</v>
      </c>
      <c r="H7" s="333">
        <f>SUMIF('ADV - FB'!D:D,"*adc6*",'ADV - FB'!I:I)+SUMIF('ADV - FB'!D:D,"*adc6*",'ADV - FB'!J:J)</f>
        <v>0</v>
      </c>
      <c r="I7" s="334" t="str">
        <f t="shared" si="1"/>
        <v>-</v>
      </c>
      <c r="J7" s="335">
        <f>SUMIF('ADV - FB'!D:D,"*adc6*",'ADV - FB'!J:J)</f>
        <v>0</v>
      </c>
      <c r="K7" s="335" t="str">
        <f t="shared" si="2"/>
        <v>-</v>
      </c>
      <c r="L7" s="336" t="str">
        <f>IFERROR(SUMIF('ADV - FB'!D:D,"*adc6*",'ADV - FB'!E:E)/(SUMIF('ADV - FB'!D:D,"*adc6*",'ADV - FB'!F:F)),"-")</f>
        <v>-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5.75" customHeight="1">
      <c r="A8" s="338" t="s">
        <v>1281</v>
      </c>
      <c r="B8" s="339" t="b">
        <v>0</v>
      </c>
      <c r="C8" s="329"/>
      <c r="D8" s="329"/>
      <c r="E8" s="330"/>
      <c r="F8" s="331">
        <f>SUMIF('ADV - FB'!D:D,"*adc7*",'ADV - FB'!E:E)</f>
        <v>0</v>
      </c>
      <c r="G8" s="332" t="str">
        <f>IFERROR(SUMIF('ADV - FB'!D:D,"*adc7*",'ADV - FB'!H:H)/(SUMIF('ADV - FB'!D:D,"*adc7*",'ADV - FB'!G:G)),"-")</f>
        <v>-</v>
      </c>
      <c r="H8" s="333">
        <f>SUMIF('ADV - FB'!D:D,"*adc7*",'ADV - FB'!I:I)+SUMIF('ADV - FB'!D:D,"*adc7*",'ADV - FB'!J:J)</f>
        <v>0</v>
      </c>
      <c r="I8" s="334" t="str">
        <f t="shared" si="1"/>
        <v>-</v>
      </c>
      <c r="J8" s="335">
        <f>SUMIF('ADV - FB'!D:D,"*adc7*",'ADV - FB'!J:J)</f>
        <v>0</v>
      </c>
      <c r="K8" s="335" t="str">
        <f t="shared" si="2"/>
        <v>-</v>
      </c>
      <c r="L8" s="336" t="str">
        <f>IFERROR(SUMIF('ADV - FB'!D:D,"*adc7*",'ADV - FB'!E:E)/(SUMIF('ADV - FB'!D:D,"*adc7*",'ADV - FB'!F:F)),"-")</f>
        <v>-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15.75" customHeight="1">
      <c r="A9" s="338" t="s">
        <v>1282</v>
      </c>
      <c r="B9" s="329" t="b">
        <v>0</v>
      </c>
      <c r="C9" s="329"/>
      <c r="D9" s="329"/>
      <c r="E9" s="330"/>
      <c r="F9" s="331">
        <f>SUMIF('ADV - FB'!D:D,"*adc8*",'ADV - FB'!E:E)</f>
        <v>0</v>
      </c>
      <c r="G9" s="332" t="str">
        <f>IFERROR(SUMIF('ADV - FB'!D:D,"*adc8*",'ADV - FB'!H:H)/(SUMIF('ADV - FB'!D:D,"*adc8*",'ADV - FB'!G:G)),"-")</f>
        <v>-</v>
      </c>
      <c r="H9" s="333">
        <f>SUMIF('ADV - FB'!D:D,"*adc8*",'ADV - FB'!I:I)+SUMIF('ADV - FB'!D:D,"*adc8*",'ADV - FB'!J:J)</f>
        <v>0</v>
      </c>
      <c r="I9" s="334" t="str">
        <f t="shared" si="1"/>
        <v>-</v>
      </c>
      <c r="J9" s="335">
        <f>SUMIF('ADV - FB'!D:D,"*adc8*",'ADV - FB'!J:J)</f>
        <v>0</v>
      </c>
      <c r="K9" s="335" t="str">
        <f t="shared" si="2"/>
        <v>-</v>
      </c>
      <c r="L9" s="336" t="str">
        <f>IFERROR(SUMIF('ADV - FB'!D:D,"*adc8*",'ADV - FB'!E:E)/(SUMIF('ADV - FB'!D:D,"*adc8*",'ADV - FB'!F:F)),"-")</f>
        <v>-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5.75" customHeight="1">
      <c r="A10" s="338" t="s">
        <v>1283</v>
      </c>
      <c r="B10" s="329" t="b">
        <v>0</v>
      </c>
      <c r="C10" s="329"/>
      <c r="D10" s="329"/>
      <c r="E10" s="330"/>
      <c r="F10" s="331">
        <f>SUMIF('ADV - FB'!D:D,"*adc9*",'ADV - FB'!E:E)</f>
        <v>0</v>
      </c>
      <c r="G10" s="332" t="str">
        <f>IFERROR(SUMIF('ADV - FB'!D:D,"*adc9*",'ADV - FB'!H:H)/(SUMIF('ADV - FB'!D:D,"*adc9*",'ADV - FB'!G:G)),"-")</f>
        <v>-</v>
      </c>
      <c r="H10" s="333">
        <f>SUMIF('ADV - FB'!D:D,"*adc9*",'ADV - FB'!I:I)+SUMIF('ADV - FB'!D:D,"*adc9*",'ADV - FB'!J:J)</f>
        <v>0</v>
      </c>
      <c r="I10" s="334" t="str">
        <f t="shared" si="1"/>
        <v>-</v>
      </c>
      <c r="J10" s="335">
        <f>SUMIF('ADV - FB'!D:D,"*adc9*",'ADV - FB'!J:J)</f>
        <v>0</v>
      </c>
      <c r="K10" s="335" t="str">
        <f t="shared" si="2"/>
        <v>-</v>
      </c>
      <c r="L10" s="336" t="str">
        <f>IFERROR(SUMIF('ADV - FB'!D:D,"*adc9*",'ADV - FB'!E:E)/(SUMIF('ADV - FB'!D:D,"*adc9*",'ADV - FB'!F:F)),"-")</f>
        <v>-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>
      <c r="A11" s="338" t="s">
        <v>1284</v>
      </c>
      <c r="B11" s="329" t="b">
        <v>0</v>
      </c>
      <c r="C11" s="329"/>
      <c r="D11" s="329"/>
      <c r="E11" s="330"/>
      <c r="F11" s="331">
        <f>SUMIF('ADV - FB'!D:D,"*adc10*",'ADV - FB'!E:E)</f>
        <v>0</v>
      </c>
      <c r="G11" s="332" t="str">
        <f>IFERROR(SUMIF('ADV - FB'!D:D,"*adc10*",'ADV - FB'!H:H)/(SUMIF('ADV - FB'!D:D,"*adc10*",'ADV - FB'!G:G)),"-")</f>
        <v>-</v>
      </c>
      <c r="H11" s="333">
        <f>SUMIF('ADV - FB'!D:D,"*adc10*",'ADV - FB'!I:I)+SUMIF('ADV - FB'!D:D,"*adc10*",'ADV - FB'!J:J)</f>
        <v>0</v>
      </c>
      <c r="I11" s="334" t="str">
        <f t="shared" si="1"/>
        <v>-</v>
      </c>
      <c r="J11" s="335">
        <f>SUMIF('ADV - FB'!D:D,"*adc10*",'ADV - FB'!J:J)</f>
        <v>0</v>
      </c>
      <c r="K11" s="335" t="str">
        <f t="shared" si="2"/>
        <v>-</v>
      </c>
      <c r="L11" s="336" t="str">
        <f>IFERROR(SUMIF('ADV - FB'!D:D,"*adc10*",'ADV - FB'!E:E)/(SUMIF('ADV - FB'!D:D,"*adc10*",'ADV - FB'!F:F)),"-")</f>
        <v>-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5.75" customHeight="1">
      <c r="A12" s="338" t="s">
        <v>1285</v>
      </c>
      <c r="B12" s="329" t="b">
        <v>0</v>
      </c>
      <c r="C12" s="329"/>
      <c r="D12" s="329"/>
      <c r="E12" s="330"/>
      <c r="F12" s="331">
        <f>SUMIF('ADV - FB'!D:D,"*adc11*",'ADV - FB'!E:E)</f>
        <v>0</v>
      </c>
      <c r="G12" s="332" t="str">
        <f>IFERROR(SUMIF('ADV - FB'!D:D,"*adc11*",'ADV - FB'!H:H)/(SUMIF('ADV - FB'!D:D,"*adc11*",'ADV - FB'!G:G)),"-")</f>
        <v>-</v>
      </c>
      <c r="H12" s="333">
        <f>SUMIF('ADV - FB'!D:D,"*adc11*",'ADV - FB'!I:I)+SUMIF('ADV - FB'!D:D,"*adc11*",'ADV - FB'!J:J)</f>
        <v>0</v>
      </c>
      <c r="I12" s="334" t="str">
        <f t="shared" si="1"/>
        <v>-</v>
      </c>
      <c r="J12" s="335">
        <f>SUMIF('ADV - FB'!D:D,"*adc11*",'ADV - FB'!J:J)</f>
        <v>0</v>
      </c>
      <c r="K12" s="335" t="str">
        <f t="shared" si="2"/>
        <v>-</v>
      </c>
      <c r="L12" s="336" t="str">
        <f>IFERROR(SUMIF('ADV - FB'!D:D,"*adc11*",'ADV - FB'!E:E)/(SUMIF('ADV - FB'!D:D,"*adc11*",'ADV - FB'!F:F)),"-")</f>
        <v>-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5.75" customHeight="1">
      <c r="A13" s="338" t="s">
        <v>1286</v>
      </c>
      <c r="B13" s="329" t="b">
        <v>0</v>
      </c>
      <c r="C13" s="329"/>
      <c r="D13" s="329"/>
      <c r="E13" s="330"/>
      <c r="F13" s="331">
        <f>SUMIF('ADV - FB'!D:D,"*adc12*",'ADV - FB'!E:E)</f>
        <v>0</v>
      </c>
      <c r="G13" s="332" t="str">
        <f>IFERROR(SUMIF('ADV - FB'!D:D,"*adc12*",'ADV - FB'!H:H)/(SUMIF('ADV - FB'!D:D,"*adc12*",'ADV - FB'!G:G)),"-")</f>
        <v>-</v>
      </c>
      <c r="H13" s="333">
        <f>SUMIF('ADV - FB'!D:D,"*adc12*",'ADV - FB'!I:I)+SUMIF('ADV - FB'!D:D,"*adc12*",'ADV - FB'!J:J)</f>
        <v>0</v>
      </c>
      <c r="I13" s="334" t="str">
        <f t="shared" si="1"/>
        <v>-</v>
      </c>
      <c r="J13" s="335">
        <f>SUMIF('ADV - FB'!D:D,"*adc12*",'ADV - FB'!J:J)</f>
        <v>0</v>
      </c>
      <c r="K13" s="335" t="str">
        <f t="shared" si="2"/>
        <v>-</v>
      </c>
      <c r="L13" s="336" t="str">
        <f>IFERROR(SUMIF('ADV - FB'!D:D,"*adc12*",'ADV - FB'!E:E)/(SUMIF('ADV - FB'!D:D,"*adc12*",'ADV - FB'!F:F)),"-")</f>
        <v>-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5.75" customHeight="1">
      <c r="A14" s="338" t="s">
        <v>1287</v>
      </c>
      <c r="B14" s="329" t="b">
        <v>0</v>
      </c>
      <c r="C14" s="329"/>
      <c r="D14" s="329"/>
      <c r="E14" s="330"/>
      <c r="F14" s="331">
        <f>SUMIF('ADV - FB'!D:D,"*adc13*",'ADV - FB'!E:E)</f>
        <v>0</v>
      </c>
      <c r="G14" s="332" t="str">
        <f>IFERROR(SUMIF('ADV - FB'!D:D,"*adc13*",'ADV - FB'!H:H)/(SUMIF('ADV - FB'!D:D,"*adc13*",'ADV - FB'!G:G)),"-")</f>
        <v>-</v>
      </c>
      <c r="H14" s="333">
        <f>SUMIF('ADV - FB'!D:D,"*adc13*",'ADV - FB'!I:I)+SUMIF('ADV - FB'!D:D,"*adc13*",'ADV - FB'!J:J)</f>
        <v>0</v>
      </c>
      <c r="I14" s="334" t="str">
        <f t="shared" si="1"/>
        <v>-</v>
      </c>
      <c r="J14" s="335">
        <f>SUMIF('ADV - FB'!D:D,"*adc13*",'ADV - FB'!J:J)</f>
        <v>0</v>
      </c>
      <c r="K14" s="335" t="str">
        <f t="shared" si="2"/>
        <v>-</v>
      </c>
      <c r="L14" s="336" t="str">
        <f>IFERROR(SUMIF('ADV - FB'!D:D,"*adc13*",'ADV - FB'!E:E)/(SUMIF('ADV - FB'!D:D,"*adc13*",'ADV - FB'!F:F)),"-")</f>
        <v>-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15.75" customHeight="1">
      <c r="A15" s="338" t="s">
        <v>1288</v>
      </c>
      <c r="B15" s="329" t="b">
        <v>0</v>
      </c>
      <c r="C15" s="329"/>
      <c r="D15" s="329"/>
      <c r="E15" s="330"/>
      <c r="F15" s="331">
        <f>SUMIF('ADV - FB'!D:D,"*adc14*",'ADV - FB'!E:E)</f>
        <v>0</v>
      </c>
      <c r="G15" s="332" t="str">
        <f>IFERROR(SUMIF('ADV - FB'!D:D,"*adc14*",'ADV - FB'!H:H)/(SUMIF('ADV - FB'!D:D,"*adc14*",'ADV - FB'!G:G)),"-")</f>
        <v>-</v>
      </c>
      <c r="H15" s="333">
        <f>SUMIF('ADV - FB'!D:D,"*adc14*",'ADV - FB'!I:I)+SUMIF('ADV - FB'!D:D,"*adc14*",'ADV - FB'!J:J)</f>
        <v>0</v>
      </c>
      <c r="I15" s="334" t="str">
        <f t="shared" si="1"/>
        <v>-</v>
      </c>
      <c r="J15" s="335">
        <f>SUMIF('ADV - FB'!D:D,"*adc14*",'ADV - FB'!J:J)</f>
        <v>0</v>
      </c>
      <c r="K15" s="335" t="str">
        <f t="shared" si="2"/>
        <v>-</v>
      </c>
      <c r="L15" s="336" t="str">
        <f>IFERROR(SUMIF('ADV - FB'!D:D,"*adc14*",'ADV - FB'!E:E)/(SUMIF('ADV - FB'!D:D,"*adc14*",'ADV - FB'!F:F)),"-")</f>
        <v>-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15.75" customHeight="1">
      <c r="A16" s="338" t="s">
        <v>1289</v>
      </c>
      <c r="B16" s="339" t="b">
        <v>0</v>
      </c>
      <c r="C16" s="339"/>
      <c r="D16" s="329"/>
      <c r="E16" s="330"/>
      <c r="F16" s="331">
        <f>SUMIF('ADV - FB'!D:D,"*adc15*",'ADV - FB'!E:E)</f>
        <v>0</v>
      </c>
      <c r="G16" s="332" t="str">
        <f>IFERROR(SUMIF('ADV - FB'!D:D,"*adc15*",'ADV - FB'!H:H)/(SUMIF('ADV - FB'!D:D,"*adc15*",'ADV - FB'!G:G)),"-")</f>
        <v>-</v>
      </c>
      <c r="H16" s="333">
        <f>SUMIF('ADV - FB'!D:D,"*adc15*",'ADV - FB'!I:I)+SUMIF('ADV - FB'!D:D,"*adc15*",'ADV - FB'!J:J)</f>
        <v>0</v>
      </c>
      <c r="I16" s="334" t="str">
        <f t="shared" si="1"/>
        <v>-</v>
      </c>
      <c r="J16" s="335">
        <f>SUMIF('ADV - FB'!D:D,"*adc15*",'ADV - FB'!J:J)</f>
        <v>0</v>
      </c>
      <c r="K16" s="335" t="str">
        <f t="shared" si="2"/>
        <v>-</v>
      </c>
      <c r="L16" s="336" t="str">
        <f>IFERROR(SUMIF('ADV - FB'!D:D,"*adc15*",'ADV - FB'!E:E)/(SUMIF('ADV - FB'!D:D,"*adc15*",'ADV - FB'!F:F)),"-")</f>
        <v>-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15.75" customHeight="1">
      <c r="A17" s="338" t="s">
        <v>1290</v>
      </c>
      <c r="B17" s="329" t="b">
        <v>0</v>
      </c>
      <c r="C17" s="329"/>
      <c r="D17" s="329"/>
      <c r="E17" s="330"/>
      <c r="F17" s="331">
        <f>SUMIF('ADV - FB'!D:D,"*adc16*",'ADV - FB'!E:E)</f>
        <v>0</v>
      </c>
      <c r="G17" s="332" t="str">
        <f>IFERROR(SUMIF('ADV - FB'!D:D,"*adc16*",'ADV - FB'!H:H)/(SUMIF('ADV - FB'!D:D,"*adc16*",'ADV - FB'!G:G)),"-")</f>
        <v>-</v>
      </c>
      <c r="H17" s="333">
        <f>SUMIF('ADV - FB'!D:D,"*adc16*",'ADV - FB'!I:I)+SUMIF('ADV - FB'!D:D,"*adc16*",'ADV - FB'!J:J)</f>
        <v>0</v>
      </c>
      <c r="I17" s="334" t="str">
        <f t="shared" si="1"/>
        <v>-</v>
      </c>
      <c r="J17" s="335">
        <f>SUMIF('ADV - FB'!D:D,"*adc16*",'ADV - FB'!J:J)</f>
        <v>0</v>
      </c>
      <c r="K17" s="335" t="str">
        <f t="shared" si="2"/>
        <v>-</v>
      </c>
      <c r="L17" s="336" t="str">
        <f>IFERROR(SUMIF('ADV - FB'!D:D,"*adc16*",'ADV - FB'!E:E)/(SUMIF('ADV - FB'!D:D,"*adc16*",'ADV - FB'!F:F)),"-")</f>
        <v>-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15.75" customHeight="1">
      <c r="A18" s="338" t="s">
        <v>1291</v>
      </c>
      <c r="B18" s="329" t="b">
        <v>0</v>
      </c>
      <c r="C18" s="329"/>
      <c r="D18" s="329"/>
      <c r="E18" s="330"/>
      <c r="F18" s="331">
        <f>SUMIF('ADV - FB'!D:D,"*adc17*",'ADV - FB'!E:E)</f>
        <v>0</v>
      </c>
      <c r="G18" s="332" t="str">
        <f>IFERROR(SUMIF('ADV - FB'!D:D,"*adc17*",'ADV - FB'!H:H)/(SUMIF('ADV - FB'!D:D,"*adc17*",'ADV - FB'!G:G)),"-")</f>
        <v>-</v>
      </c>
      <c r="H18" s="333">
        <f>SUMIF('ADV - FB'!D:D,"*adc17*",'ADV - FB'!I:I)+SUMIF('ADV - FB'!D:D,"*adc17*",'ADV - FB'!J:J)</f>
        <v>0</v>
      </c>
      <c r="I18" s="334" t="str">
        <f t="shared" si="1"/>
        <v>-</v>
      </c>
      <c r="J18" s="335">
        <f>SUMIF('ADV - FB'!D:D,"*adc17*",'ADV - FB'!J:J)</f>
        <v>0</v>
      </c>
      <c r="K18" s="335" t="str">
        <f t="shared" si="2"/>
        <v>-</v>
      </c>
      <c r="L18" s="336" t="str">
        <f>IFERROR(SUMIF('ADV - FB'!D:D,"*adc17*",'ADV - FB'!E:E)/(SUMIF('ADV - FB'!D:D,"*adc17*",'ADV - FB'!F:F)),"-")</f>
        <v>-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15.75" customHeight="1">
      <c r="A19" s="338" t="s">
        <v>1292</v>
      </c>
      <c r="B19" s="329" t="b">
        <v>0</v>
      </c>
      <c r="C19" s="329"/>
      <c r="D19" s="329"/>
      <c r="E19" s="330"/>
      <c r="F19" s="331">
        <f>SUMIF('ADV - FB'!D:D,"*adc18*",'ADV - FB'!E:E)</f>
        <v>0</v>
      </c>
      <c r="G19" s="332" t="str">
        <f>IFERROR(SUMIF('ADV - FB'!D:D,"*adc18*",'ADV - FB'!H:H)/(SUMIF('ADV - FB'!D:D,"*adc18*",'ADV - FB'!G:G)),"-")</f>
        <v>-</v>
      </c>
      <c r="H19" s="333">
        <f>SUMIF('ADV - FB'!D:D,"*adc18*",'ADV - FB'!I:I)+SUMIF('ADV - FB'!D:D,"*adc18*",'ADV - FB'!J:J)</f>
        <v>0</v>
      </c>
      <c r="I19" s="334" t="str">
        <f t="shared" si="1"/>
        <v>-</v>
      </c>
      <c r="J19" s="335">
        <f>SUMIF('ADV - FB'!D:D,"*adc18*",'ADV - FB'!J:J)</f>
        <v>0</v>
      </c>
      <c r="K19" s="335" t="str">
        <f t="shared" si="2"/>
        <v>-</v>
      </c>
      <c r="L19" s="336" t="str">
        <f>IFERROR(SUMIF('ADV - FB'!D:D,"*adc18*",'ADV - FB'!E:E)/(SUMIF('ADV - FB'!D:D,"*adc18*",'ADV - FB'!F:F)),"-")</f>
        <v>-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338" t="s">
        <v>1293</v>
      </c>
      <c r="B20" s="329" t="b">
        <v>0</v>
      </c>
      <c r="C20" s="329"/>
      <c r="D20" s="329"/>
      <c r="E20" s="330"/>
      <c r="F20" s="331">
        <f>SUMIF('ADV - FB'!D:D,"*adc19*",'ADV - FB'!E:E)</f>
        <v>0</v>
      </c>
      <c r="G20" s="332" t="str">
        <f>IFERROR(SUMIF('ADV - FB'!D:D,"*adc19*",'ADV - FB'!H:H)/(SUMIF('ADV - FB'!D:D,"*adc19*",'ADV - FB'!G:G)),"-")</f>
        <v>-</v>
      </c>
      <c r="H20" s="333">
        <f>SUMIF('ADV - FB'!D:D,"*adc19*",'ADV - FB'!I:I)+SUMIF('ADV - FB'!D:D,"*adc19*",'ADV - FB'!J:J)</f>
        <v>0</v>
      </c>
      <c r="I20" s="334" t="str">
        <f t="shared" si="1"/>
        <v>-</v>
      </c>
      <c r="J20" s="335">
        <f>SUMIF('ADV - FB'!D:D,"*adc19*",'ADV - FB'!J:J)</f>
        <v>0</v>
      </c>
      <c r="K20" s="335" t="str">
        <f t="shared" si="2"/>
        <v>-</v>
      </c>
      <c r="L20" s="336" t="str">
        <f>IFERROR(SUMIF('ADV - FB'!D:D,"*adc19*",'ADV - FB'!E:E)/(SUMIF('ADV - FB'!D:D,"*adc19*",'ADV - FB'!F:F)),"-")</f>
        <v>-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5.75" customHeight="1">
      <c r="A21" s="338" t="s">
        <v>1294</v>
      </c>
      <c r="B21" s="329" t="b">
        <v>0</v>
      </c>
      <c r="C21" s="329"/>
      <c r="D21" s="329"/>
      <c r="E21" s="330"/>
      <c r="F21" s="331">
        <f>SUMIF('ADV - FB'!D:D,"*adc20*",'ADV - FB'!E:E)</f>
        <v>0</v>
      </c>
      <c r="G21" s="332" t="str">
        <f>IFERROR(SUMIF('ADV - FB'!D:D,"*adc20*",'ADV - FB'!H:H)/(SUMIF('ADV - FB'!D:D,"*adc20*",'ADV - FB'!G:G)),"-")</f>
        <v>-</v>
      </c>
      <c r="H21" s="333">
        <f>SUMIF('ADV - FB'!D:D,"*adc20*",'ADV - FB'!I:I)+SUMIF('ADV - FB'!D:D,"*adc20*",'ADV - FB'!J:J)</f>
        <v>0</v>
      </c>
      <c r="I21" s="334" t="str">
        <f t="shared" si="1"/>
        <v>-</v>
      </c>
      <c r="J21" s="335">
        <f>SUMIF('ADV - FB'!D:D,"*adc20*",'ADV - FB'!J:J)</f>
        <v>0</v>
      </c>
      <c r="K21" s="335" t="str">
        <f t="shared" si="2"/>
        <v>-</v>
      </c>
      <c r="L21" s="336" t="str">
        <f>IFERROR(SUMIF('ADV - FB'!D:D,"*adc20*",'ADV - FB'!E:E)/(SUMIF('ADV - FB'!D:D,"*adc20*",'ADV - FB'!F:F)),"-")</f>
        <v>-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75" customHeight="1">
      <c r="A22" s="338" t="s">
        <v>1295</v>
      </c>
      <c r="B22" s="329" t="b">
        <v>0</v>
      </c>
      <c r="C22" s="329"/>
      <c r="D22" s="329"/>
      <c r="E22" s="330"/>
      <c r="F22" s="331">
        <f>SUMIF('ADV - FB'!D:D,"*adc21*",'ADV - FB'!E:E)</f>
        <v>0</v>
      </c>
      <c r="G22" s="332" t="str">
        <f>IFERROR(SUMIF('ADV - FB'!D:D,"*adc21*",'ADV - FB'!H:H)/(SUMIF('ADV - FB'!D:D,"*adc21*",'ADV - FB'!G:G)),"-")</f>
        <v>-</v>
      </c>
      <c r="H22" s="333">
        <f>SUMIF('ADV - FB'!D:D,"*adc21*",'ADV - FB'!I:I)+SUMIF('ADV - FB'!D:D,"*adc21*",'ADV - FB'!J:J)</f>
        <v>0</v>
      </c>
      <c r="I22" s="334" t="str">
        <f t="shared" si="1"/>
        <v>-</v>
      </c>
      <c r="J22" s="335">
        <f>SUMIF('ADV - FB'!D:D,"*adc21*",'ADV - FB'!J:J)</f>
        <v>0</v>
      </c>
      <c r="K22" s="335" t="str">
        <f t="shared" si="2"/>
        <v>-</v>
      </c>
      <c r="L22" s="336" t="str">
        <f>IFERROR(SUMIF('ADV - FB'!D:D,"*adc21*",'ADV - FB'!E:E)/(SUMIF('ADV - FB'!D:D,"*adc21*",'ADV - FB'!F:F)),"-")</f>
        <v>-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75" customHeight="1">
      <c r="A23" s="338" t="s">
        <v>1296</v>
      </c>
      <c r="B23" s="329" t="b">
        <v>0</v>
      </c>
      <c r="C23" s="329"/>
      <c r="D23" s="329"/>
      <c r="E23" s="330"/>
      <c r="F23" s="331">
        <f>SUMIF('ADV - FB'!D:D,"*adc22*",'ADV - FB'!E:E)</f>
        <v>0</v>
      </c>
      <c r="G23" s="332" t="str">
        <f>IFERROR(SUMIF('ADV - FB'!D:D,"*adc22*",'ADV - FB'!H:H)/(SUMIF('ADV - FB'!D:D,"*adc22*",'ADV - FB'!G:G)),"-")</f>
        <v>-</v>
      </c>
      <c r="H23" s="333">
        <f>SUMIF('ADV - FB'!D:D,"*adc22*",'ADV - FB'!I:I)+SUMIF('ADV - FB'!D:D,"*adc22*",'ADV - FB'!J:J)</f>
        <v>0</v>
      </c>
      <c r="I23" s="334" t="str">
        <f t="shared" si="1"/>
        <v>-</v>
      </c>
      <c r="J23" s="335">
        <f>SUMIF('ADV - FB'!D:D,"*adc22*",'ADV - FB'!J:J)</f>
        <v>0</v>
      </c>
      <c r="K23" s="335" t="str">
        <f t="shared" si="2"/>
        <v>-</v>
      </c>
      <c r="L23" s="336" t="str">
        <f>IFERROR(SUMIF('ADV - FB'!D:D,"*adc22*",'ADV - FB'!E:E)/(SUMIF('ADV - FB'!D:D,"*adc22*",'ADV - FB'!F:F)),"-")</f>
        <v>-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5.75" customHeight="1">
      <c r="A24" s="338" t="s">
        <v>1297</v>
      </c>
      <c r="B24" s="329" t="b">
        <v>0</v>
      </c>
      <c r="C24" s="329"/>
      <c r="D24" s="329"/>
      <c r="E24" s="330"/>
      <c r="F24" s="331">
        <f>SUMIF('ADV - FB'!D:D,"*adc23*",'ADV - FB'!E:E)</f>
        <v>0</v>
      </c>
      <c r="G24" s="332" t="str">
        <f>IFERROR(SUMIF('ADV - FB'!D:D,"*adc23*",'ADV - FB'!H:H)/(SUMIF('ADV - FB'!D:D,"*adc23*",'ADV - FB'!G:G)),"-")</f>
        <v>-</v>
      </c>
      <c r="H24" s="333">
        <f>SUMIF('ADV - FB'!D:D,"*adc23*",'ADV - FB'!I:I)+SUMIF('ADV - FB'!D:D,"*adc23*",'ADV - FB'!J:J)</f>
        <v>0</v>
      </c>
      <c r="I24" s="334" t="str">
        <f t="shared" si="1"/>
        <v>-</v>
      </c>
      <c r="J24" s="335">
        <f>SUMIF('ADV - FB'!D:D,"*adc23*",'ADV - FB'!J:J)</f>
        <v>0</v>
      </c>
      <c r="K24" s="335" t="str">
        <f t="shared" si="2"/>
        <v>-</v>
      </c>
      <c r="L24" s="336" t="str">
        <f>IFERROR(SUMIF('ADV - FB'!D:D,"*adc23*",'ADV - FB'!E:E)/(SUMIF('ADV - FB'!D:D,"*adc23*",'ADV - FB'!F:F)),"-")</f>
        <v>-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75" customHeight="1">
      <c r="A25" s="338" t="s">
        <v>1298</v>
      </c>
      <c r="B25" s="329" t="b">
        <v>0</v>
      </c>
      <c r="C25" s="329"/>
      <c r="D25" s="329"/>
      <c r="E25" s="330"/>
      <c r="F25" s="331">
        <f>SUMIF('ADV - FB'!D:D,"*adc24*",'ADV - FB'!E:E)</f>
        <v>0</v>
      </c>
      <c r="G25" s="332" t="str">
        <f>IFERROR(SUMIF('ADV - FB'!D:D,"*adc24*",'ADV - FB'!H:H)/(SUMIF('ADV - FB'!D:D,"*adc24*",'ADV - FB'!G:G)),"-")</f>
        <v>-</v>
      </c>
      <c r="H25" s="333">
        <f>SUMIF('ADV - FB'!D:D,"*adc24*",'ADV - FB'!I:I)+SUMIF('ADV - FB'!D:D,"*adc24*",'ADV - FB'!J:J)</f>
        <v>0</v>
      </c>
      <c r="I25" s="334" t="str">
        <f t="shared" si="1"/>
        <v>-</v>
      </c>
      <c r="J25" s="335">
        <f>SUMIF('ADV - FB'!D:D,"*adc24*",'ADV - FB'!J:J)</f>
        <v>0</v>
      </c>
      <c r="K25" s="335" t="str">
        <f t="shared" si="2"/>
        <v>-</v>
      </c>
      <c r="L25" s="336" t="str">
        <f>IFERROR(SUMIF('ADV - FB'!D:D,"*adc24*",'ADV - FB'!E:E)/(SUMIF('ADV - FB'!D:D,"*adc24*",'ADV - FB'!F:F)),"-")</f>
        <v>-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75" customHeight="1">
      <c r="A26" s="338" t="s">
        <v>1299</v>
      </c>
      <c r="B26" s="329" t="b">
        <v>0</v>
      </c>
      <c r="C26" s="329"/>
      <c r="D26" s="329"/>
      <c r="E26" s="330"/>
      <c r="F26" s="331">
        <f>SUMIF('ADV - FB'!D:D,"*adc25*",'ADV - FB'!E:E)</f>
        <v>0</v>
      </c>
      <c r="G26" s="332" t="str">
        <f>IFERROR(SUMIF('ADV - FB'!D:D,"*adc25*",'ADV - FB'!H:H)/(SUMIF('ADV - FB'!D:D,"*adc25*",'ADV - FB'!G:G)),"-")</f>
        <v>-</v>
      </c>
      <c r="H26" s="333">
        <f>SUMIF('ADV - FB'!D:D,"*adc25*",'ADV - FB'!I:I)+SUMIF('ADV - FB'!D:D,"*adc25*",'ADV - FB'!J:J)</f>
        <v>0</v>
      </c>
      <c r="I26" s="334" t="str">
        <f t="shared" si="1"/>
        <v>-</v>
      </c>
      <c r="J26" s="335">
        <f>SUMIF('ADV - FB'!D:D,"*adc25*",'ADV - FB'!J:J)</f>
        <v>0</v>
      </c>
      <c r="K26" s="335" t="str">
        <f t="shared" si="2"/>
        <v>-</v>
      </c>
      <c r="L26" s="336" t="str">
        <f>IFERROR(SUMIF('ADV - FB'!D:D,"*adc25*",'ADV - FB'!E:E)/(SUMIF('ADV - FB'!D:D,"*adc25*",'ADV - FB'!F:F)),"-")</f>
        <v>-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5.75" customHeight="1">
      <c r="A27" s="338" t="s">
        <v>1300</v>
      </c>
      <c r="B27" s="329" t="b">
        <v>0</v>
      </c>
      <c r="C27" s="329"/>
      <c r="D27" s="329"/>
      <c r="E27" s="330"/>
      <c r="F27" s="331">
        <f>SUMIF('ADV - FB'!D:D,"*adc26*",'ADV - FB'!E:E)</f>
        <v>0</v>
      </c>
      <c r="G27" s="332" t="str">
        <f>IFERROR(SUMIF('ADV - FB'!D:D,"*adc26*",'ADV - FB'!H:H)/(SUMIF('ADV - FB'!D:D,"*adc26*",'ADV - FB'!G:G)),"-")</f>
        <v>-</v>
      </c>
      <c r="H27" s="333">
        <f>SUMIF('ADV - FB'!D:D,"*adc26*",'ADV - FB'!I:I)</f>
        <v>0</v>
      </c>
      <c r="I27" s="334" t="str">
        <f t="shared" si="1"/>
        <v>-</v>
      </c>
      <c r="J27" s="335">
        <f>SUMIF('ADV - FB'!D:D,"*adc26*",'ADV - FB'!J:J)</f>
        <v>0</v>
      </c>
      <c r="K27" s="335" t="str">
        <f t="shared" si="2"/>
        <v>-</v>
      </c>
      <c r="L27" s="336" t="str">
        <f>IFERROR(SUMIF('ADV - FB'!D:D,"*adc26*",'ADV - FB'!E:E)/(SUMIF('ADV - FB'!D:D,"*adc26*",'ADV - FB'!F:F)),"-")</f>
        <v>-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5.75" customHeight="1">
      <c r="A28" s="338" t="s">
        <v>1301</v>
      </c>
      <c r="B28" s="329" t="b">
        <v>0</v>
      </c>
      <c r="C28" s="329"/>
      <c r="D28" s="329"/>
      <c r="E28" s="330"/>
      <c r="F28" s="331">
        <f>SUMIF('ADV - FB'!D:D,"*adc27*",'ADV - FB'!E:E)</f>
        <v>0</v>
      </c>
      <c r="G28" s="332" t="str">
        <f>IFERROR(SUMIF('ADV - FB'!D:D,"*adc27*",'ADV - FB'!H:H)/(SUMIF('ADV - FB'!D:D,"*adc27*",'ADV - FB'!G:G)),"-")</f>
        <v>-</v>
      </c>
      <c r="H28" s="333">
        <f>SUMIF('ADV - FB'!D:D,"*adc27*",'ADV - FB'!I:I)</f>
        <v>0</v>
      </c>
      <c r="I28" s="334" t="str">
        <f t="shared" si="1"/>
        <v>-</v>
      </c>
      <c r="J28" s="335">
        <f>SUMIF('ADV - FB'!D:D,"*adc27*",'ADV - FB'!J:J)</f>
        <v>0</v>
      </c>
      <c r="K28" s="335" t="str">
        <f t="shared" si="2"/>
        <v>-</v>
      </c>
      <c r="L28" s="336" t="str">
        <f>IFERROR(SUMIF('ADV - FB'!D:D,"*adc27*",'ADV - FB'!E:E)/(SUMIF('ADV - FB'!D:D,"*adc27*",'ADV - FB'!F:F)),"-")</f>
        <v>-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5.75" customHeight="1">
      <c r="A29" s="338" t="s">
        <v>1302</v>
      </c>
      <c r="B29" s="329" t="b">
        <v>0</v>
      </c>
      <c r="C29" s="329"/>
      <c r="D29" s="329"/>
      <c r="E29" s="330"/>
      <c r="F29" s="331">
        <f>SUMIF('ADV - FB'!D:D,"*adc28*",'ADV - FB'!E:E)</f>
        <v>0</v>
      </c>
      <c r="G29" s="332" t="str">
        <f>IFERROR(SUMIF('ADV - FB'!D:D,"*adc28*",'ADV - FB'!H:H)/(SUMIF('ADV - FB'!D:D,"*adc28*",'ADV - FB'!G:G)),"-")</f>
        <v>-</v>
      </c>
      <c r="H29" s="333">
        <f>SUMIF('ADV - FB'!D:D,"*adc28*",'ADV - FB'!I:I)</f>
        <v>0</v>
      </c>
      <c r="I29" s="334" t="str">
        <f t="shared" si="1"/>
        <v>-</v>
      </c>
      <c r="J29" s="335">
        <f>SUMIF('ADV - FB'!D:D,"*adc28*",'ADV - FB'!J:J)</f>
        <v>0</v>
      </c>
      <c r="K29" s="335" t="str">
        <f t="shared" si="2"/>
        <v>-</v>
      </c>
      <c r="L29" s="336" t="str">
        <f>IFERROR(SUMIF('ADV - FB'!D:D,"*adc28*",'ADV - FB'!E:E)/(SUMIF('ADV - FB'!D:D,"*adc28*",'ADV - FB'!F:F)),"-")</f>
        <v>-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75" customHeight="1">
      <c r="A30" s="338" t="s">
        <v>1303</v>
      </c>
      <c r="B30" s="329" t="b">
        <v>0</v>
      </c>
      <c r="C30" s="329"/>
      <c r="D30" s="329"/>
      <c r="E30" s="330"/>
      <c r="F30" s="331">
        <f>SUMIF('ADV - FB'!D:D,"*adc29*",'ADV - FB'!E:E)</f>
        <v>0</v>
      </c>
      <c r="G30" s="332" t="str">
        <f>IFERROR(SUMIF('ADV - FB'!D:D,"*adc29*",'ADV - FB'!H:H)/(SUMIF('ADV - FB'!D:D,"*adc29*",'ADV - FB'!G:G)),"-")</f>
        <v>-</v>
      </c>
      <c r="H30" s="333">
        <f>SUMIF('ADV - FB'!D:D,"*adc29*",'ADV - FB'!I:I)</f>
        <v>0</v>
      </c>
      <c r="I30" s="334" t="str">
        <f t="shared" si="1"/>
        <v>-</v>
      </c>
      <c r="J30" s="335">
        <f>SUMIF('ADV - FB'!D:D,"*adc29*",'ADV - FB'!J:J)</f>
        <v>0</v>
      </c>
      <c r="K30" s="335" t="str">
        <f t="shared" si="2"/>
        <v>-</v>
      </c>
      <c r="L30" s="336" t="str">
        <f>IFERROR(SUMIF('ADV - FB'!D:D,"*adc29*",'ADV - FB'!E:E)/(SUMIF('ADV - FB'!D:D,"*adc29*",'ADV - FB'!F:F)),"-")</f>
        <v>-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75" customHeight="1">
      <c r="A31" s="338" t="s">
        <v>1304</v>
      </c>
      <c r="B31" s="329" t="b">
        <v>0</v>
      </c>
      <c r="C31" s="329"/>
      <c r="D31" s="329"/>
      <c r="E31" s="330"/>
      <c r="F31" s="331">
        <f>SUMIF('ADV - FB'!D:D,"*adc30*",'ADV - FB'!E:E)</f>
        <v>0</v>
      </c>
      <c r="G31" s="332" t="str">
        <f>IFERROR(SUMIF('ADV - FB'!D:D,"*adc30*",'ADV - FB'!H:H)/(SUMIF('ADV - FB'!D:D,"*adc30*",'ADV - FB'!G:G)),"-")</f>
        <v>-</v>
      </c>
      <c r="H31" s="333">
        <f>SUMIF('ADV - FB'!D:D,"*adc30*",'ADV - FB'!I:I)</f>
        <v>0</v>
      </c>
      <c r="I31" s="334" t="str">
        <f t="shared" si="1"/>
        <v>-</v>
      </c>
      <c r="J31" s="335">
        <f>SUMIF('ADV - FB'!D:D,"*adc30*",'ADV - FB'!J:J)</f>
        <v>0</v>
      </c>
      <c r="K31" s="335" t="str">
        <f t="shared" si="2"/>
        <v>-</v>
      </c>
      <c r="L31" s="336" t="str">
        <f>IFERROR(SUMIF('ADV - FB'!D:D,"*adc30*",'ADV - FB'!E:E)/(SUMIF('ADV - FB'!D:D,"*adc30*",'ADV - FB'!F:F)),"-")</f>
        <v>-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75" customHeight="1">
      <c r="A32" s="338" t="s">
        <v>1305</v>
      </c>
      <c r="B32" s="329" t="b">
        <v>0</v>
      </c>
      <c r="C32" s="329"/>
      <c r="D32" s="329"/>
      <c r="E32" s="330"/>
      <c r="F32" s="331">
        <f>SUMIF('ADV - FB'!D:D,"*adc31*",'ADV - FB'!E:E)</f>
        <v>0</v>
      </c>
      <c r="G32" s="332" t="str">
        <f>IFERROR(SUMIF('ADV - FB'!D:D,"*adc31*",'ADV - FB'!H:H)/(SUMIF('ADV - FB'!D:D,"*adc31*",'ADV - FB'!G:G)),"-")</f>
        <v>-</v>
      </c>
      <c r="H32" s="333">
        <f>SUMIF('ADV - FB'!D:D,"*adc31*",'ADV - FB'!I:I)</f>
        <v>0</v>
      </c>
      <c r="I32" s="334" t="str">
        <f t="shared" si="1"/>
        <v>-</v>
      </c>
      <c r="J32" s="335">
        <f>SUMIF('ADV - FB'!D:D,"*adc31*",'ADV - FB'!J:J)</f>
        <v>0</v>
      </c>
      <c r="K32" s="335" t="str">
        <f t="shared" si="2"/>
        <v>-</v>
      </c>
      <c r="L32" s="336" t="str">
        <f>IFERROR(SUMIF('ADV - FB'!D:D,"*adc31*",'ADV - FB'!E:E)/(SUMIF('ADV - FB'!D:D,"*adc31*",'ADV - FB'!F:F)),"-")</f>
        <v>-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75" customHeight="1">
      <c r="A33" s="338" t="s">
        <v>1306</v>
      </c>
      <c r="B33" s="329" t="b">
        <v>0</v>
      </c>
      <c r="C33" s="329"/>
      <c r="D33" s="329"/>
      <c r="E33" s="330"/>
      <c r="F33" s="331">
        <f>SUMIF('ADV - FB'!D:D,"*adc32*",'ADV - FB'!E:E)</f>
        <v>0</v>
      </c>
      <c r="G33" s="332" t="str">
        <f>IFERROR(SUMIF('ADV - FB'!D:D,"*adc32*",'ADV - FB'!H:H)/(SUMIF('ADV - FB'!D:D,"*adc32*",'ADV - FB'!G:G)),"-")</f>
        <v>-</v>
      </c>
      <c r="H33" s="333">
        <f>SUMIF('ADV - FB'!D:D,"*adc32*",'ADV - FB'!I:I)</f>
        <v>0</v>
      </c>
      <c r="I33" s="334" t="str">
        <f t="shared" si="1"/>
        <v>-</v>
      </c>
      <c r="J33" s="335">
        <f>SUMIF('ADV - FB'!D:D,"*adc32*",'ADV - FB'!J:J)</f>
        <v>0</v>
      </c>
      <c r="K33" s="335" t="str">
        <f t="shared" si="2"/>
        <v>-</v>
      </c>
      <c r="L33" s="336" t="str">
        <f>IFERROR(SUMIF('ADV - FB'!D:D,"*adc32*",'ADV - FB'!E:E)/(SUMIF('ADV - FB'!D:D,"*adc32*",'ADV - FB'!F:F)),"-")</f>
        <v>-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75" customHeight="1">
      <c r="A34" s="338" t="s">
        <v>1307</v>
      </c>
      <c r="B34" s="329" t="b">
        <v>0</v>
      </c>
      <c r="C34" s="329"/>
      <c r="D34" s="329"/>
      <c r="E34" s="330"/>
      <c r="F34" s="331">
        <f>SUMIF('ADV - FB'!D:D,"*adc33*",'ADV - FB'!E:E)</f>
        <v>0</v>
      </c>
      <c r="G34" s="332" t="str">
        <f>IFERROR(SUMIF('ADV - FB'!D:D,"*adc33*",'ADV - FB'!H:H)/(SUMIF('ADV - FB'!D:D,"*adc33*",'ADV - FB'!G:G)),"-")</f>
        <v>-</v>
      </c>
      <c r="H34" s="333">
        <f>SUMIF('ADV - FB'!D:D,"*adc33*",'ADV - FB'!I:I)</f>
        <v>0</v>
      </c>
      <c r="I34" s="334" t="str">
        <f t="shared" si="1"/>
        <v>-</v>
      </c>
      <c r="J34" s="335">
        <f>SUMIF('ADV - FB'!D:D,"*adc33*",'ADV - FB'!J:J)</f>
        <v>0</v>
      </c>
      <c r="K34" s="335" t="str">
        <f t="shared" si="2"/>
        <v>-</v>
      </c>
      <c r="L34" s="336" t="str">
        <f>IFERROR(SUMIF('ADV - FB'!D:D,"*adc33*",'ADV - FB'!E:E)/(SUMIF('ADV - FB'!D:D,"*adc33*",'ADV - FB'!F:F)),"-")</f>
        <v>-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75" customHeight="1">
      <c r="A35" s="338" t="s">
        <v>1308</v>
      </c>
      <c r="B35" s="329" t="b">
        <v>0</v>
      </c>
      <c r="C35" s="329"/>
      <c r="D35" s="329"/>
      <c r="E35" s="330"/>
      <c r="F35" s="331">
        <f>SUMIF('ADV - FB'!D:D,"*adc34*",'ADV - FB'!E:E)</f>
        <v>0</v>
      </c>
      <c r="G35" s="332" t="str">
        <f>IFERROR(SUMIF('ADV - FB'!D:D,"*adc34*",'ADV - FB'!H:H)/(SUMIF('ADV - FB'!D:D,"*adc34*",'ADV - FB'!G:G)),"-")</f>
        <v>-</v>
      </c>
      <c r="H35" s="333">
        <f>SUMIF('ADV - FB'!D:D,"*adc34*",'ADV - FB'!I:I)</f>
        <v>0</v>
      </c>
      <c r="I35" s="334" t="str">
        <f t="shared" si="1"/>
        <v>-</v>
      </c>
      <c r="J35" s="335">
        <f>SUMIF('ADV - FB'!D:D,"*adc34*",'ADV - FB'!J:J)</f>
        <v>0</v>
      </c>
      <c r="K35" s="335" t="str">
        <f t="shared" si="2"/>
        <v>-</v>
      </c>
      <c r="L35" s="336" t="str">
        <f>IFERROR(SUMIF('ADV - FB'!D:D,"*adc34*",'ADV - FB'!E:E)/(SUMIF('ADV - FB'!D:D,"*adc34*",'ADV - FB'!F:F)),"-")</f>
        <v>-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75" customHeight="1">
      <c r="A36" s="338" t="s">
        <v>1309</v>
      </c>
      <c r="B36" s="329" t="b">
        <v>0</v>
      </c>
      <c r="C36" s="329"/>
      <c r="D36" s="329"/>
      <c r="E36" s="330"/>
      <c r="F36" s="331">
        <f>SUMIF('ADV - FB'!D:D,"*adc35*",'ADV - FB'!E:E)</f>
        <v>0</v>
      </c>
      <c r="G36" s="332" t="str">
        <f>IFERROR(SUMIF('ADV - FB'!D:D,"*adc35*",'ADV - FB'!H:H)/(SUMIF('ADV - FB'!D:D,"*adc35*",'ADV - FB'!G:G)),"-")</f>
        <v>-</v>
      </c>
      <c r="H36" s="333">
        <f>SUMIF('ADV - FB'!D:D,"*adc35*",'ADV - FB'!I:I)</f>
        <v>0</v>
      </c>
      <c r="I36" s="334" t="str">
        <f t="shared" si="1"/>
        <v>-</v>
      </c>
      <c r="J36" s="335">
        <f>SUMIF('ADV - FB'!D:D,"*adc35*",'ADV - FB'!J:J)</f>
        <v>0</v>
      </c>
      <c r="K36" s="335" t="str">
        <f t="shared" si="2"/>
        <v>-</v>
      </c>
      <c r="L36" s="336" t="str">
        <f>IFERROR(SUMIF('ADV - FB'!D:D,"*adc35*",'ADV - FB'!E:E)/(SUMIF('ADV - FB'!D:D,"*adc35*",'ADV - FB'!F:F)),"-")</f>
        <v>-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338" t="s">
        <v>1310</v>
      </c>
      <c r="B37" s="329" t="b">
        <v>0</v>
      </c>
      <c r="C37" s="329"/>
      <c r="D37" s="329"/>
      <c r="E37" s="330"/>
      <c r="F37" s="331">
        <f>SUMIF('ADV - FB'!D:D,"*adc36*",'ADV - FB'!E:E)</f>
        <v>0</v>
      </c>
      <c r="G37" s="332" t="str">
        <f>IFERROR(SUMIF('ADV - FB'!D:D,"*adc36*",'ADV - FB'!H:H)/(SUMIF('ADV - FB'!D:D,"*adc36*",'ADV - FB'!G:G)),"-")</f>
        <v>-</v>
      </c>
      <c r="H37" s="333">
        <f>SUMIF('ADV - FB'!D:D,"*adc36*",'ADV - FB'!I:I)</f>
        <v>0</v>
      </c>
      <c r="I37" s="334" t="str">
        <f t="shared" si="1"/>
        <v>-</v>
      </c>
      <c r="J37" s="335">
        <f>SUMIF('ADV - FB'!D:D,"*adc36*",'ADV - FB'!J:J)</f>
        <v>0</v>
      </c>
      <c r="K37" s="335" t="str">
        <f t="shared" si="2"/>
        <v>-</v>
      </c>
      <c r="L37" s="336" t="str">
        <f>IFERROR(SUMIF('ADV - FB'!D:D,"*adc36*",'ADV - FB'!E:E)/(SUMIF('ADV - FB'!D:D,"*adc36*",'ADV - FB'!F:F)),"-")</f>
        <v>-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338" t="s">
        <v>1311</v>
      </c>
      <c r="B38" s="329" t="b">
        <v>0</v>
      </c>
      <c r="C38" s="329"/>
      <c r="D38" s="329"/>
      <c r="E38" s="330"/>
      <c r="F38" s="331">
        <f>SUMIF('ADV - FB'!D:D,"*adc37*",'ADV - FB'!E:E)</f>
        <v>0</v>
      </c>
      <c r="G38" s="332" t="str">
        <f>IFERROR(SUMIF('ADV - FB'!D:D,"*adc37*",'ADV - FB'!H:H)/(SUMIF('ADV - FB'!D:D,"*adc37*",'ADV - FB'!G:G)),"-")</f>
        <v>-</v>
      </c>
      <c r="H38" s="333">
        <f>SUMIF('ADV - FB'!D:D,"*adc37*",'ADV - FB'!I:I)</f>
        <v>0</v>
      </c>
      <c r="I38" s="334" t="str">
        <f t="shared" si="1"/>
        <v>-</v>
      </c>
      <c r="J38" s="335">
        <f>SUMIF('ADV - FB'!D:D,"*adc37*",'ADV - FB'!J:J)</f>
        <v>0</v>
      </c>
      <c r="K38" s="335" t="str">
        <f t="shared" si="2"/>
        <v>-</v>
      </c>
      <c r="L38" s="336" t="str">
        <f>IFERROR(SUMIF('ADV - FB'!D:D,"*adc37*",'ADV - FB'!E:E)/(SUMIF('ADV - FB'!D:D,"*adc37*",'ADV - FB'!F:F)),"-")</f>
        <v>-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338" t="s">
        <v>1312</v>
      </c>
      <c r="B39" s="329" t="b">
        <v>0</v>
      </c>
      <c r="C39" s="329"/>
      <c r="D39" s="329"/>
      <c r="E39" s="330"/>
      <c r="F39" s="331">
        <f>SUMIF('ADV - FB'!D:D,"*adc38*",'ADV - FB'!E:E)</f>
        <v>0</v>
      </c>
      <c r="G39" s="332" t="str">
        <f>IFERROR(SUMIF('ADV - FB'!D:D,"*adc38*",'ADV - FB'!H:H)/(SUMIF('ADV - FB'!D:D,"*adc38*",'ADV - FB'!G:G)),"-")</f>
        <v>-</v>
      </c>
      <c r="H39" s="333">
        <f>SUMIF('ADV - FB'!D:D,"*adc38*",'ADV - FB'!I:I)</f>
        <v>0</v>
      </c>
      <c r="I39" s="334" t="str">
        <f t="shared" si="1"/>
        <v>-</v>
      </c>
      <c r="J39" s="335">
        <f>SUMIF('ADV - FB'!D:D,"*adc38*",'ADV - FB'!J:J)</f>
        <v>0</v>
      </c>
      <c r="K39" s="335" t="str">
        <f t="shared" si="2"/>
        <v>-</v>
      </c>
      <c r="L39" s="336" t="str">
        <f>IFERROR(SUMIF('ADV - FB'!D:D,"*adc38*",'ADV - FB'!E:E)/(SUMIF('ADV - FB'!D:D,"*adc38*",'ADV - FB'!F:F)),"-")</f>
        <v>-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338" t="s">
        <v>1313</v>
      </c>
      <c r="B40" s="329" t="b">
        <v>0</v>
      </c>
      <c r="C40" s="329"/>
      <c r="D40" s="329"/>
      <c r="E40" s="330"/>
      <c r="F40" s="331">
        <f>SUMIF('ADV - FB'!D:D,"*adc39*",'ADV - FB'!E:E)</f>
        <v>0</v>
      </c>
      <c r="G40" s="332" t="str">
        <f>IFERROR(SUMIF('ADV - FB'!D:D,"*adc39*",'ADV - FB'!H:H)/(SUMIF('ADV - FB'!D:D,"*adc39*",'ADV - FB'!G:G)),"-")</f>
        <v>-</v>
      </c>
      <c r="H40" s="333">
        <f>SUMIF('ADV - FB'!D:D,"*adc39*",'ADV - FB'!I:I)</f>
        <v>0</v>
      </c>
      <c r="I40" s="334" t="str">
        <f t="shared" si="1"/>
        <v>-</v>
      </c>
      <c r="J40" s="335">
        <f>SUMIF('ADV - FB'!D:D,"*adc39*",'ADV - FB'!J:J)</f>
        <v>0</v>
      </c>
      <c r="K40" s="335" t="str">
        <f t="shared" si="2"/>
        <v>-</v>
      </c>
      <c r="L40" s="336" t="str">
        <f>IFERROR(SUMIF('ADV - FB'!D:D,"*adc39*",'ADV - FB'!E:E)/(SUMIF('ADV - FB'!D:D,"*adc39*",'ADV - FB'!F:F)),"-")</f>
        <v>-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338" t="s">
        <v>1314</v>
      </c>
      <c r="B41" s="329" t="b">
        <v>0</v>
      </c>
      <c r="C41" s="329"/>
      <c r="D41" s="329"/>
      <c r="E41" s="330"/>
      <c r="F41" s="331">
        <f>SUMIF('ADV - FB'!D:D,"*adc40*",'ADV - FB'!E:E)</f>
        <v>0</v>
      </c>
      <c r="G41" s="332" t="str">
        <f>IFERROR(SUMIF('ADV - FB'!D:D,"*adc40*",'ADV - FB'!H:H)/(SUMIF('ADV - FB'!D:D,"*adc40*",'ADV - FB'!G:G)),"-")</f>
        <v>-</v>
      </c>
      <c r="H41" s="333">
        <f>SUMIF('ADV - FB'!D:D,"*adc40*",'ADV - FB'!I:I)</f>
        <v>0</v>
      </c>
      <c r="I41" s="334" t="str">
        <f t="shared" si="1"/>
        <v>-</v>
      </c>
      <c r="J41" s="335">
        <f>SUMIF('ADV - FB'!D:D,"*adc40*",'ADV - FB'!J:J)</f>
        <v>0</v>
      </c>
      <c r="K41" s="335" t="str">
        <f t="shared" si="2"/>
        <v>-</v>
      </c>
      <c r="L41" s="336" t="str">
        <f>IFERROR(SUMIF('ADV - FB'!D:D,"*adc40*",'ADV - FB'!E:E)/(SUMIF('ADV - FB'!D:D,"*adc40*",'ADV - FB'!F:F)),"-")</f>
        <v>-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75" customHeight="1">
      <c r="A42" s="338" t="s">
        <v>1315</v>
      </c>
      <c r="B42" s="329" t="b">
        <v>0</v>
      </c>
      <c r="C42" s="329"/>
      <c r="D42" s="329"/>
      <c r="E42" s="329"/>
      <c r="F42" s="331">
        <f>SUMIF('ADV - FB'!D:D,"*adc41*",'ADV - FB'!E:E)</f>
        <v>0</v>
      </c>
      <c r="G42" s="332" t="str">
        <f>IFERROR(SUMIF('ADV - FB'!D:D,"*adc41*",'ADV - FB'!H:H)/(SUMIF('ADV - FB'!D:D,"*adc41*",'ADV - FB'!G:G)),"-")</f>
        <v>-</v>
      </c>
      <c r="H42" s="333">
        <f>SUMIF('ADV - FB'!D:D,"*adc41*",'ADV - FB'!I:I)</f>
        <v>0</v>
      </c>
      <c r="I42" s="334" t="str">
        <f t="shared" si="1"/>
        <v>-</v>
      </c>
      <c r="J42" s="335">
        <f>SUMIF('ADV - FB'!D:D,"*adc41*",'ADV - FB'!J:J)</f>
        <v>0</v>
      </c>
      <c r="K42" s="335" t="str">
        <f t="shared" si="2"/>
        <v>-</v>
      </c>
      <c r="L42" s="336" t="str">
        <f>IFERROR(SUMIF('ADV - FB'!D:D,"*adc41*",'ADV - FB'!E:E)/(SUMIF('ADV - FB'!D:D,"*adc41*",'ADV - FB'!F:F)),"-")</f>
        <v>-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338" t="s">
        <v>1316</v>
      </c>
      <c r="B43" s="329" t="b">
        <v>0</v>
      </c>
      <c r="C43" s="329"/>
      <c r="D43" s="329"/>
      <c r="E43" s="329"/>
      <c r="F43" s="331">
        <f>SUMIF('ADV - FB'!D:D,"*adc42*",'ADV - FB'!E:E)</f>
        <v>0</v>
      </c>
      <c r="G43" s="332" t="str">
        <f>IFERROR(SUMIF('ADV - FB'!D:D,"*adc42*",'ADV - FB'!H:H)/(SUMIF('ADV - FB'!D:D,"*adc42*",'ADV - FB'!G:G)),"-")</f>
        <v>-</v>
      </c>
      <c r="H43" s="333">
        <f>SUMIF('ADV - FB'!D:D,"*adc42*",'ADV - FB'!I:I)</f>
        <v>0</v>
      </c>
      <c r="I43" s="334" t="str">
        <f t="shared" si="1"/>
        <v>-</v>
      </c>
      <c r="J43" s="335">
        <f>SUMIF('ADV - FB'!D:D,"*adc42*",'ADV - FB'!J:J)</f>
        <v>0</v>
      </c>
      <c r="K43" s="335" t="str">
        <f t="shared" si="2"/>
        <v>-</v>
      </c>
      <c r="L43" s="336" t="str">
        <f>IFERROR(SUMIF('ADV - FB'!D:D,"*adc42*",'ADV - FB'!E:E)/(SUMIF('ADV - FB'!D:D,"*adc42*",'ADV - FB'!F:F)),"-")</f>
        <v>-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338" t="s">
        <v>1317</v>
      </c>
      <c r="B44" s="329" t="b">
        <v>0</v>
      </c>
      <c r="C44" s="329"/>
      <c r="D44" s="329"/>
      <c r="E44" s="329"/>
      <c r="F44" s="331">
        <f>SUMIF('ADV - FB'!D:D,"*adc43*",'ADV - FB'!E:E)</f>
        <v>0</v>
      </c>
      <c r="G44" s="332" t="str">
        <f>IFERROR(SUMIF('ADV - FB'!D:D,"*adc43*",'ADV - FB'!H:H)/(SUMIF('ADV - FB'!D:D,"*adc43*",'ADV - FB'!G:G)),"-")</f>
        <v>-</v>
      </c>
      <c r="H44" s="333">
        <f>SUMIF('ADV - FB'!D:D,"*adc43*",'ADV - FB'!I:I)</f>
        <v>0</v>
      </c>
      <c r="I44" s="334" t="str">
        <f t="shared" si="1"/>
        <v>-</v>
      </c>
      <c r="J44" s="335">
        <f>SUMIF('ADV - FB'!D:D,"*adc43*",'ADV - FB'!J:J)</f>
        <v>0</v>
      </c>
      <c r="K44" s="335" t="str">
        <f t="shared" si="2"/>
        <v>-</v>
      </c>
      <c r="L44" s="336" t="str">
        <f>IFERROR(SUMIF('ADV - FB'!D:D,"*adc43*",'ADV - FB'!E:E)/(SUMIF('ADV - FB'!D:D,"*adc43*",'ADV - FB'!F:F)),"-")</f>
        <v>-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338" t="s">
        <v>1318</v>
      </c>
      <c r="B45" s="329" t="b">
        <v>0</v>
      </c>
      <c r="C45" s="329"/>
      <c r="D45" s="329"/>
      <c r="E45" s="329"/>
      <c r="F45" s="331">
        <f>SUMIF('ADV - FB'!D:D,"*adc44*",'ADV - FB'!E:E)</f>
        <v>0</v>
      </c>
      <c r="G45" s="332" t="str">
        <f>IFERROR(SUMIF('ADV - FB'!D:D,"*adc44*",'ADV - FB'!H:H)/(SUMIF('ADV - FB'!D:D,"*adc44*",'ADV - FB'!G:G)),"-")</f>
        <v>-</v>
      </c>
      <c r="H45" s="333">
        <f>SUMIF('ADV - FB'!D:D,"*adc44*",'ADV - FB'!I:I)</f>
        <v>0</v>
      </c>
      <c r="I45" s="334" t="str">
        <f t="shared" si="1"/>
        <v>-</v>
      </c>
      <c r="J45" s="335">
        <f>SUMIF('ADV - FB'!D:D,"*adc44*",'ADV - FB'!J:J)</f>
        <v>0</v>
      </c>
      <c r="K45" s="335" t="str">
        <f t="shared" si="2"/>
        <v>-</v>
      </c>
      <c r="L45" s="336" t="str">
        <f>IFERROR(SUMIF('ADV - FB'!D:D,"*adc44*",'ADV - FB'!E:E)/(SUMIF('ADV - FB'!D:D,"*adc44*",'ADV - FB'!F:F)),"-")</f>
        <v>-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338" t="s">
        <v>1319</v>
      </c>
      <c r="B46" s="329" t="b">
        <v>0</v>
      </c>
      <c r="C46" s="329"/>
      <c r="D46" s="329"/>
      <c r="E46" s="329"/>
      <c r="F46" s="331">
        <f>SUMIF('ADV - FB'!D:D,"*adc45*",'ADV - FB'!E:E)</f>
        <v>0</v>
      </c>
      <c r="G46" s="332" t="str">
        <f>IFERROR(SUMIF('ADV - FB'!D:D,"*adc45*",'ADV - FB'!H:H)/(SUMIF('ADV - FB'!D:D,"*adc45*",'ADV - FB'!G:G)),"-")</f>
        <v>-</v>
      </c>
      <c r="H46" s="333">
        <f>SUMIF('ADV - FB'!D:D,"*adc45*",'ADV - FB'!I:I)</f>
        <v>0</v>
      </c>
      <c r="I46" s="334" t="str">
        <f t="shared" si="1"/>
        <v>-</v>
      </c>
      <c r="J46" s="335">
        <f>SUMIF('ADV - FB'!D:D,"*adc45*",'ADV - FB'!J:J)</f>
        <v>0</v>
      </c>
      <c r="K46" s="335" t="str">
        <f t="shared" si="2"/>
        <v>-</v>
      </c>
      <c r="L46" s="336" t="str">
        <f>IFERROR(SUMIF('ADV - FB'!D:D,"*adc45*",'ADV - FB'!E:E)/(SUMIF('ADV - FB'!D:D,"*adc45*",'ADV - FB'!F:F)),"-")</f>
        <v>-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338" t="s">
        <v>1320</v>
      </c>
      <c r="B47" s="329" t="b">
        <v>0</v>
      </c>
      <c r="C47" s="329"/>
      <c r="D47" s="329"/>
      <c r="E47" s="329"/>
      <c r="F47" s="331">
        <f>SUMIF('ADV - FB'!D:D,"*adc46*",'ADV - FB'!E:E)</f>
        <v>0</v>
      </c>
      <c r="G47" s="332" t="str">
        <f>IFERROR(SUMIF('ADV - FB'!D:D,"*adc46*",'ADV - FB'!H:H)/(SUMIF('ADV - FB'!D:D,"*adc46*",'ADV - FB'!G:G)),"-")</f>
        <v>-</v>
      </c>
      <c r="H47" s="333">
        <f>SUMIF('ADV - FB'!D:D,"*adc46*",'ADV - FB'!I:I)</f>
        <v>0</v>
      </c>
      <c r="I47" s="334" t="str">
        <f t="shared" si="1"/>
        <v>-</v>
      </c>
      <c r="J47" s="335">
        <f>SUMIF('ADV - FB'!D:D,"*adc46*",'ADV - FB'!J:J)</f>
        <v>0</v>
      </c>
      <c r="K47" s="335" t="str">
        <f t="shared" si="2"/>
        <v>-</v>
      </c>
      <c r="L47" s="336" t="str">
        <f>IFERROR(SUMIF('ADV - FB'!D:D,"*adc46*",'ADV - FB'!E:E)/(SUMIF('ADV - FB'!D:D,"*adc46*",'ADV - FB'!F:F)),"-")</f>
        <v>-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338" t="s">
        <v>1321</v>
      </c>
      <c r="B48" s="329" t="b">
        <v>0</v>
      </c>
      <c r="C48" s="329"/>
      <c r="D48" s="329"/>
      <c r="E48" s="329"/>
      <c r="F48" s="331">
        <f>SUMIF('ADV - FB'!D:D,"*adc47*",'ADV - FB'!E:E)</f>
        <v>0</v>
      </c>
      <c r="G48" s="332" t="str">
        <f>IFERROR(SUMIF('ADV - FB'!D:D,"*adc47*",'ADV - FB'!H:H)/(SUMIF('ADV - FB'!D:D,"*adc47*",'ADV - FB'!G:G)),"-")</f>
        <v>-</v>
      </c>
      <c r="H48" s="333">
        <f>SUMIF('ADV - FB'!D:D,"*adc47*",'ADV - FB'!I:I)</f>
        <v>0</v>
      </c>
      <c r="I48" s="334" t="str">
        <f t="shared" si="1"/>
        <v>-</v>
      </c>
      <c r="J48" s="335">
        <f>SUMIF('ADV - FB'!D:D,"*adc47*",'ADV - FB'!J:J)</f>
        <v>0</v>
      </c>
      <c r="K48" s="335" t="str">
        <f t="shared" si="2"/>
        <v>-</v>
      </c>
      <c r="L48" s="336" t="str">
        <f>IFERROR(SUMIF('ADV - FB'!D:D,"*adc47*",'ADV - FB'!E:E)/(SUMIF('ADV - FB'!D:D,"*adc47*",'ADV - FB'!F:F)),"-")</f>
        <v>-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338" t="s">
        <v>1322</v>
      </c>
      <c r="B49" s="329" t="b">
        <v>0</v>
      </c>
      <c r="C49" s="329"/>
      <c r="D49" s="329"/>
      <c r="E49" s="329"/>
      <c r="F49" s="331">
        <f>SUMIF('ADV - FB'!D:D,"*adc48*",'ADV - FB'!E:E)</f>
        <v>0</v>
      </c>
      <c r="G49" s="332" t="str">
        <f>IFERROR(SUMIF('ADV - FB'!D:D,"*adc48*",'ADV - FB'!H:H)/(SUMIF('ADV - FB'!D:D,"*adc48*",'ADV - FB'!G:G)),"-")</f>
        <v>-</v>
      </c>
      <c r="H49" s="333">
        <f>SUMIF('ADV - FB'!D:D,"*adc48*",'ADV - FB'!I:I)</f>
        <v>0</v>
      </c>
      <c r="I49" s="334" t="str">
        <f t="shared" si="1"/>
        <v>-</v>
      </c>
      <c r="J49" s="335">
        <f>SUMIF('ADV - FB'!D:D,"*adc48*",'ADV - FB'!J:J)</f>
        <v>0</v>
      </c>
      <c r="K49" s="335" t="str">
        <f t="shared" si="2"/>
        <v>-</v>
      </c>
      <c r="L49" s="336" t="str">
        <f>IFERROR(SUMIF('ADV - FB'!D:D,"*adc48*",'ADV - FB'!E:E)/(SUMIF('ADV - FB'!D:D,"*adc48*",'ADV - FB'!F:F)),"-")</f>
        <v>-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338" t="s">
        <v>1323</v>
      </c>
      <c r="B50" s="329" t="b">
        <v>0</v>
      </c>
      <c r="C50" s="329"/>
      <c r="D50" s="329"/>
      <c r="E50" s="329"/>
      <c r="F50" s="331">
        <f>SUMIF('ADV - FB'!D:D,"*adc49*",'ADV - FB'!E:E)</f>
        <v>0</v>
      </c>
      <c r="G50" s="332" t="str">
        <f>IFERROR(SUMIF('ADV - FB'!D:D,"*adc49*",'ADV - FB'!H:H)/(SUMIF('ADV - FB'!D:D,"*adc49*",'ADV - FB'!G:G)),"-")</f>
        <v>-</v>
      </c>
      <c r="H50" s="333">
        <f>SUMIF('ADV - FB'!D:D,"*adc49*",'ADV - FB'!I:I)</f>
        <v>0</v>
      </c>
      <c r="I50" s="334" t="str">
        <f t="shared" si="1"/>
        <v>-</v>
      </c>
      <c r="J50" s="335">
        <f>SUMIF('ADV - FB'!D:D,"*adc49*",'ADV - FB'!J:J)</f>
        <v>0</v>
      </c>
      <c r="K50" s="335" t="str">
        <f t="shared" si="2"/>
        <v>-</v>
      </c>
      <c r="L50" s="336" t="str">
        <f>IFERROR(SUMIF('ADV - FB'!D:D,"*adc49*",'ADV - FB'!E:E)/(SUMIF('ADV - FB'!D:D,"*adc49*",'ADV - FB'!F:F)),"-")</f>
        <v>-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338" t="s">
        <v>1324</v>
      </c>
      <c r="B51" s="329" t="b">
        <v>0</v>
      </c>
      <c r="C51" s="329"/>
      <c r="D51" s="329"/>
      <c r="E51" s="329"/>
      <c r="F51" s="331">
        <f>SUMIF('ADV - FB'!D:D,"*adc50*",'ADV - FB'!E:E)</f>
        <v>0</v>
      </c>
      <c r="G51" s="332" t="str">
        <f>IFERROR(SUMIF('ADV - FB'!D:D,"*adc50*",'ADV - FB'!H:H)/(SUMIF('ADV - FB'!D:D,"*adc50*",'ADV - FB'!G:G)),"-")</f>
        <v>-</v>
      </c>
      <c r="H51" s="333">
        <f>SUMIF('ADV - FB'!D:D,"*adc50*",'ADV - FB'!I:I)</f>
        <v>0</v>
      </c>
      <c r="I51" s="334" t="str">
        <f t="shared" si="1"/>
        <v>-</v>
      </c>
      <c r="J51" s="335">
        <f>SUMIF('ADV - FB'!D:D,"*adc50*",'ADV - FB'!J:J)</f>
        <v>0</v>
      </c>
      <c r="K51" s="335" t="str">
        <f t="shared" si="2"/>
        <v>-</v>
      </c>
      <c r="L51" s="336" t="str">
        <f>IFERROR(SUMIF('ADV - FB'!D:D,"*adc50*",'ADV - FB'!E:E)/(SUMIF('ADV - FB'!D:D,"*adc50*",'ADV - FB'!F:F)),"-")</f>
        <v>-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338" t="s">
        <v>1325</v>
      </c>
      <c r="B52" s="329" t="b">
        <v>0</v>
      </c>
      <c r="C52" s="329"/>
      <c r="D52" s="329"/>
      <c r="E52" s="329"/>
      <c r="F52" s="331">
        <f>SUMIF('ADV - FB'!D:D,"*adc51*",'ADV - FB'!E:E)</f>
        <v>0</v>
      </c>
      <c r="G52" s="332" t="str">
        <f>IFERROR(SUMIF('ADV - FB'!D:D,"*adc51*",'ADV - FB'!H:H)/(SUMIF('ADV - FB'!D:D,"*adc51*",'ADV - FB'!G:G)),"-")</f>
        <v>-</v>
      </c>
      <c r="H52" s="333">
        <f>SUMIF('ADV - FB'!D:D,"*adc51*",'ADV - FB'!I:I)</f>
        <v>0</v>
      </c>
      <c r="I52" s="334" t="str">
        <f t="shared" si="1"/>
        <v>-</v>
      </c>
      <c r="J52" s="335">
        <f>SUMIF('ADV - FB'!D:D,"*adc51*",'ADV - FB'!J:J)</f>
        <v>0</v>
      </c>
      <c r="K52" s="335" t="str">
        <f t="shared" si="2"/>
        <v>-</v>
      </c>
      <c r="L52" s="336" t="str">
        <f>IFERROR(SUMIF('ADV - FB'!D:D,"*adc51*",'ADV - FB'!E:E)/(SUMIF('ADV - FB'!D:D,"*adc51*",'ADV - FB'!F:F)),"-")</f>
        <v>-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338" t="s">
        <v>1326</v>
      </c>
      <c r="B53" s="329" t="b">
        <v>0</v>
      </c>
      <c r="C53" s="329"/>
      <c r="D53" s="329"/>
      <c r="E53" s="329"/>
      <c r="F53" s="331">
        <f>SUMIF('ADV - FB'!D:D,"*adc52*",'ADV - FB'!E:E)</f>
        <v>0</v>
      </c>
      <c r="G53" s="332" t="str">
        <f>IFERROR(SUMIF('ADV - FB'!D:D,"*adc52*",'ADV - FB'!H:H)/(SUMIF('ADV - FB'!D:D,"*adc52*",'ADV - FB'!G:G)),"-")</f>
        <v>-</v>
      </c>
      <c r="H53" s="333">
        <f>SUMIF('ADV - FB'!D:D,"*adc52*",'ADV - FB'!I:I)</f>
        <v>0</v>
      </c>
      <c r="I53" s="334" t="str">
        <f t="shared" si="1"/>
        <v>-</v>
      </c>
      <c r="J53" s="335">
        <f>SUMIF('ADV - FB'!D:D,"*adc52*",'ADV - FB'!J:J)</f>
        <v>0</v>
      </c>
      <c r="K53" s="335" t="str">
        <f t="shared" si="2"/>
        <v>-</v>
      </c>
      <c r="L53" s="336" t="str">
        <f>IFERROR(SUMIF('ADV - FB'!D:D,"*adc52*",'ADV - FB'!E:E)/(SUMIF('ADV - FB'!D:D,"*adc52*",'ADV - FB'!F:F)),"-")</f>
        <v>-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338" t="s">
        <v>1327</v>
      </c>
      <c r="B54" s="329" t="b">
        <v>0</v>
      </c>
      <c r="C54" s="329"/>
      <c r="D54" s="329"/>
      <c r="E54" s="329"/>
      <c r="F54" s="331">
        <f>SUMIF('ADV - FB'!D:D,"*adc53*",'ADV - FB'!E:E)</f>
        <v>0</v>
      </c>
      <c r="G54" s="332" t="str">
        <f>IFERROR(SUMIF('ADV - FB'!D:D,"*adc53*",'ADV - FB'!H:H)/(SUMIF('ADV - FB'!D:D,"*adc53*",'ADV - FB'!G:G)),"-")</f>
        <v>-</v>
      </c>
      <c r="H54" s="333">
        <f>SUMIF('ADV - FB'!D:D,"*adc53*",'ADV - FB'!I:I)</f>
        <v>0</v>
      </c>
      <c r="I54" s="334" t="str">
        <f t="shared" si="1"/>
        <v>-</v>
      </c>
      <c r="J54" s="335">
        <f>SUMIF('ADV - FB'!D:D,"*adc53*",'ADV - FB'!J:J)</f>
        <v>0</v>
      </c>
      <c r="K54" s="335" t="str">
        <f t="shared" si="2"/>
        <v>-</v>
      </c>
      <c r="L54" s="336" t="str">
        <f>IFERROR(SUMIF('ADV - FB'!D:D,"*adc53*",'ADV - FB'!E:E)/(SUMIF('ADV - FB'!D:D,"*adc53*",'ADV - FB'!F:F)),"-")</f>
        <v>-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338" t="s">
        <v>1328</v>
      </c>
      <c r="B55" s="329" t="b">
        <v>0</v>
      </c>
      <c r="C55" s="329"/>
      <c r="D55" s="329"/>
      <c r="E55" s="329"/>
      <c r="F55" s="331">
        <f>SUMIF('ADV - FB'!D:D,"*adc54*",'ADV - FB'!E:E)</f>
        <v>0</v>
      </c>
      <c r="G55" s="332" t="str">
        <f>IFERROR(SUMIF('ADV - FB'!D:D,"*adc54*",'ADV - FB'!H:H)/(SUMIF('ADV - FB'!D:D,"*adc54*",'ADV - FB'!G:G)),"-")</f>
        <v>-</v>
      </c>
      <c r="H55" s="333">
        <f>SUMIF('ADV - FB'!D:D,"*adc54*",'ADV - FB'!I:I)</f>
        <v>0</v>
      </c>
      <c r="I55" s="334" t="str">
        <f t="shared" si="1"/>
        <v>-</v>
      </c>
      <c r="J55" s="335">
        <f>SUMIF('ADV - FB'!D:D,"*adc54*",'ADV - FB'!J:J)</f>
        <v>0</v>
      </c>
      <c r="K55" s="335" t="str">
        <f t="shared" si="2"/>
        <v>-</v>
      </c>
      <c r="L55" s="336" t="str">
        <f>IFERROR(SUMIF('ADV - FB'!D:D,"*adc54*",'ADV - FB'!E:E)/(SUMIF('ADV - FB'!D:D,"*adc54*",'ADV - FB'!F:F)),"-")</f>
        <v>-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338" t="s">
        <v>1329</v>
      </c>
      <c r="B56" s="329" t="b">
        <v>0</v>
      </c>
      <c r="C56" s="329"/>
      <c r="D56" s="329"/>
      <c r="E56" s="329"/>
      <c r="F56" s="331">
        <f>SUMIF('ADV - FB'!D:D,"*adc55*",'ADV - FB'!E:E)</f>
        <v>0</v>
      </c>
      <c r="G56" s="332" t="str">
        <f>IFERROR(SUMIF('ADV - FB'!D:D,"*adc55*",'ADV - FB'!H:H)/(SUMIF('ADV - FB'!D:D,"*adc55*",'ADV - FB'!G:G)),"-")</f>
        <v>-</v>
      </c>
      <c r="H56" s="333">
        <f>SUMIF('ADV - FB'!D:D,"*adc55*",'ADV - FB'!I:I)</f>
        <v>0</v>
      </c>
      <c r="I56" s="334" t="str">
        <f t="shared" si="1"/>
        <v>-</v>
      </c>
      <c r="J56" s="335">
        <f>SUMIF('ADV - FB'!D:D,"*adc55*",'ADV - FB'!J:J)</f>
        <v>0</v>
      </c>
      <c r="K56" s="335" t="str">
        <f t="shared" si="2"/>
        <v>-</v>
      </c>
      <c r="L56" s="336" t="str">
        <f>IFERROR(SUMIF('ADV - FB'!D:D,"*adc55*",'ADV - FB'!E:E)/(SUMIF('ADV - FB'!D:D,"*adc55*",'ADV - FB'!F:F)),"-")</f>
        <v>-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338" t="s">
        <v>1330</v>
      </c>
      <c r="B57" s="329" t="b">
        <v>0</v>
      </c>
      <c r="C57" s="329"/>
      <c r="D57" s="329"/>
      <c r="E57" s="329"/>
      <c r="F57" s="331">
        <f>SUMIF('ADV - FB'!D:D,"*adc56*",'ADV - FB'!E:E)</f>
        <v>0</v>
      </c>
      <c r="G57" s="332" t="str">
        <f>IFERROR(SUMIF('ADV - FB'!D:D,"*adc56*",'ADV - FB'!H:H)/(SUMIF('ADV - FB'!D:D,"*adc56*",'ADV - FB'!G:G)),"-")</f>
        <v>-</v>
      </c>
      <c r="H57" s="333">
        <f>SUMIF('ADV - FB'!D:D,"*adc56*",'ADV - FB'!I:I)</f>
        <v>0</v>
      </c>
      <c r="I57" s="334" t="str">
        <f t="shared" si="1"/>
        <v>-</v>
      </c>
      <c r="J57" s="335">
        <f>SUMIF('ADV - FB'!D:D,"*adc56*",'ADV - FB'!J:J)</f>
        <v>0</v>
      </c>
      <c r="K57" s="335" t="str">
        <f t="shared" si="2"/>
        <v>-</v>
      </c>
      <c r="L57" s="336" t="str">
        <f>IFERROR(SUMIF('ADV - FB'!D:D,"*adc56*",'ADV - FB'!E:E)/(SUMIF('ADV - FB'!D:D,"*adc56*",'ADV - FB'!F:F)),"-")</f>
        <v>-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338" t="s">
        <v>1331</v>
      </c>
      <c r="B58" s="329" t="b">
        <v>0</v>
      </c>
      <c r="C58" s="329"/>
      <c r="D58" s="329"/>
      <c r="E58" s="329"/>
      <c r="F58" s="331">
        <f>SUMIF('ADV - FB'!D:D,"*adc57*",'ADV - FB'!E:E)</f>
        <v>0</v>
      </c>
      <c r="G58" s="332" t="str">
        <f>IFERROR(SUMIF('ADV - FB'!D:D,"*adc57*",'ADV - FB'!H:H)/(SUMIF('ADV - FB'!D:D,"*adc57*",'ADV - FB'!G:G)),"-")</f>
        <v>-</v>
      </c>
      <c r="H58" s="333">
        <f>SUMIF('ADV - FB'!D:D,"*adc57*",'ADV - FB'!I:I)</f>
        <v>0</v>
      </c>
      <c r="I58" s="334" t="str">
        <f t="shared" si="1"/>
        <v>-</v>
      </c>
      <c r="J58" s="335">
        <f>SUMIF('ADV - FB'!D:D,"*adc57*",'ADV - FB'!J:J)</f>
        <v>0</v>
      </c>
      <c r="K58" s="335" t="str">
        <f t="shared" si="2"/>
        <v>-</v>
      </c>
      <c r="L58" s="336" t="str">
        <f>IFERROR(SUMIF('ADV - FB'!D:D,"*adc57*",'ADV - FB'!E:E)/(SUMIF('ADV - FB'!D:D,"*adc57*",'ADV - FB'!F:F)),"-")</f>
        <v>-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338" t="s">
        <v>1332</v>
      </c>
      <c r="B59" s="329" t="b">
        <v>0</v>
      </c>
      <c r="C59" s="329"/>
      <c r="D59" s="329"/>
      <c r="E59" s="329"/>
      <c r="F59" s="331">
        <f>SUMIF('ADV - FB'!D:D,"*adc58*",'ADV - FB'!E:E)</f>
        <v>0</v>
      </c>
      <c r="G59" s="332" t="str">
        <f>IFERROR(SUMIF('ADV - FB'!D:D,"*adc58*",'ADV - FB'!H:H)/(SUMIF('ADV - FB'!D:D,"*adc1*",'ADV - FB'!G:G)),"-")</f>
        <v>-</v>
      </c>
      <c r="H59" s="333">
        <f>SUMIF('ADV - FB'!D:D,"*adc58*",'ADV - FB'!I:I)</f>
        <v>0</v>
      </c>
      <c r="I59" s="334" t="str">
        <f t="shared" si="1"/>
        <v>-</v>
      </c>
      <c r="J59" s="335">
        <f>SUMIF('ADV - FB'!D:D,"*adc58*",'ADV - FB'!J:J)</f>
        <v>0</v>
      </c>
      <c r="K59" s="335" t="str">
        <f t="shared" si="2"/>
        <v>-</v>
      </c>
      <c r="L59" s="336" t="str">
        <f>IFERROR(SUMIF('ADV - FB'!D:D,"*adc58*",'ADV - FB'!E:E)/(SUMIF('ADV - FB'!D:D,"*adc58*",'ADV - FB'!F:F)),"-")</f>
        <v>-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338" t="s">
        <v>1333</v>
      </c>
      <c r="B60" s="329" t="b">
        <v>0</v>
      </c>
      <c r="C60" s="329"/>
      <c r="D60" s="329"/>
      <c r="E60" s="329"/>
      <c r="F60" s="331">
        <f>SUMIF('ADV - FB'!D:D,"*adc59*",'ADV - FB'!E:E)</f>
        <v>0</v>
      </c>
      <c r="G60" s="332" t="str">
        <f>IFERROR(SUMIF('ADV - FB'!D:D,"*adc59*",'ADV - FB'!H:H)/(SUMIF('ADV - FB'!D:D,"*adc59*",'ADV - FB'!G:G)),"-")</f>
        <v>-</v>
      </c>
      <c r="H60" s="333">
        <f>SUMIF('ADV - FB'!D:D,"*adc59*",'ADV - FB'!I:I)</f>
        <v>0</v>
      </c>
      <c r="I60" s="334" t="str">
        <f t="shared" si="1"/>
        <v>-</v>
      </c>
      <c r="J60" s="335">
        <f>SUMIF('ADV - FB'!D:D,"*adc59*",'ADV - FB'!J:J)</f>
        <v>0</v>
      </c>
      <c r="K60" s="335" t="str">
        <f t="shared" si="2"/>
        <v>-</v>
      </c>
      <c r="L60" s="336" t="str">
        <f>IFERROR(SUMIF('ADV - FB'!D:D,"*adc59*",'ADV - FB'!E:E)/(SUMIF('ADV - FB'!D:D,"*adc59*",'ADV - FB'!F:F)),"-")</f>
        <v>-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338" t="s">
        <v>1334</v>
      </c>
      <c r="B61" s="329" t="b">
        <v>0</v>
      </c>
      <c r="C61" s="329"/>
      <c r="D61" s="329"/>
      <c r="E61" s="329"/>
      <c r="F61" s="331">
        <f>SUMIF('ADV - FB'!D:D,"*adc60*",'ADV - FB'!E:E)</f>
        <v>0</v>
      </c>
      <c r="G61" s="332" t="str">
        <f>IFERROR(SUMIF('ADV - FB'!D:D,"*adc60*",'ADV - FB'!H:H)/(SUMIF('ADV - FB'!D:D,"*adc60*",'ADV - FB'!G:G)),"-")</f>
        <v>-</v>
      </c>
      <c r="H61" s="333">
        <f>SUMIF('ADV - FB'!D:D,"*adc50*",'ADV - FB'!I:I)</f>
        <v>0</v>
      </c>
      <c r="I61" s="334" t="str">
        <f t="shared" si="1"/>
        <v>-</v>
      </c>
      <c r="J61" s="335">
        <f>SUMIF('ADV - FB'!D:D,"*adc60*",'ADV - FB'!J:J)</f>
        <v>0</v>
      </c>
      <c r="K61" s="335" t="str">
        <f t="shared" si="2"/>
        <v>-</v>
      </c>
      <c r="L61" s="336" t="str">
        <f>IFERROR(SUMIF('ADV - FB'!D:D,"*adc60*",'ADV - FB'!E:E)/(SUMIF('ADV - FB'!D:D,"*adc60*",'ADV - FB'!F:F)),"-")</f>
        <v>-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338" t="s">
        <v>1335</v>
      </c>
      <c r="B62" s="329" t="b">
        <v>0</v>
      </c>
      <c r="C62" s="329"/>
      <c r="D62" s="329"/>
      <c r="E62" s="329"/>
      <c r="F62" s="340"/>
      <c r="G62" s="341"/>
      <c r="H62" s="333"/>
      <c r="I62" s="341"/>
      <c r="J62" s="341"/>
      <c r="K62" s="335"/>
      <c r="L62" s="34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338" t="s">
        <v>1336</v>
      </c>
      <c r="B63" s="329" t="b">
        <v>0</v>
      </c>
      <c r="C63" s="329"/>
      <c r="D63" s="329"/>
      <c r="E63" s="329"/>
      <c r="F63" s="340"/>
      <c r="G63" s="341"/>
      <c r="H63" s="333"/>
      <c r="I63" s="341"/>
      <c r="J63" s="341"/>
      <c r="K63" s="335"/>
      <c r="L63" s="34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338" t="s">
        <v>1337</v>
      </c>
      <c r="B64" s="329" t="b">
        <v>0</v>
      </c>
      <c r="C64" s="329"/>
      <c r="D64" s="329"/>
      <c r="E64" s="329"/>
      <c r="F64" s="340"/>
      <c r="G64" s="341"/>
      <c r="H64" s="333"/>
      <c r="I64" s="341"/>
      <c r="J64" s="341"/>
      <c r="K64" s="335"/>
      <c r="L64" s="34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338" t="s">
        <v>1338</v>
      </c>
      <c r="B65" s="329" t="b">
        <v>0</v>
      </c>
      <c r="C65" s="329"/>
      <c r="D65" s="329"/>
      <c r="E65" s="329"/>
      <c r="F65" s="340"/>
      <c r="G65" s="341"/>
      <c r="H65" s="333"/>
      <c r="I65" s="341"/>
      <c r="J65" s="341"/>
      <c r="K65" s="335"/>
      <c r="L65" s="34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338" t="s">
        <v>1339</v>
      </c>
      <c r="B66" s="329" t="b">
        <v>0</v>
      </c>
      <c r="C66" s="329"/>
      <c r="D66" s="329"/>
      <c r="E66" s="329"/>
      <c r="F66" s="340"/>
      <c r="G66" s="341"/>
      <c r="H66" s="333"/>
      <c r="I66" s="341"/>
      <c r="J66" s="341"/>
      <c r="K66" s="335"/>
      <c r="L66" s="34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338" t="s">
        <v>1340</v>
      </c>
      <c r="B67" s="329" t="b">
        <v>0</v>
      </c>
      <c r="C67" s="329"/>
      <c r="D67" s="329"/>
      <c r="E67" s="329"/>
      <c r="F67" s="340"/>
      <c r="G67" s="341"/>
      <c r="H67" s="333"/>
      <c r="I67" s="341"/>
      <c r="J67" s="341"/>
      <c r="K67" s="335"/>
      <c r="L67" s="34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338" t="s">
        <v>1341</v>
      </c>
      <c r="B68" s="343" t="b">
        <v>0</v>
      </c>
      <c r="C68" s="343"/>
      <c r="D68" s="343"/>
      <c r="E68" s="343"/>
      <c r="F68" s="340"/>
      <c r="G68" s="341"/>
      <c r="H68" s="333"/>
      <c r="I68" s="341"/>
      <c r="J68" s="341"/>
      <c r="K68" s="335"/>
      <c r="L68" s="342"/>
      <c r="M68" s="16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</row>
    <row r="69" ht="15.75" customHeight="1">
      <c r="A69" s="338" t="s">
        <v>1342</v>
      </c>
      <c r="B69" s="343" t="b">
        <v>0</v>
      </c>
      <c r="C69" s="343"/>
      <c r="D69" s="343"/>
      <c r="E69" s="343"/>
      <c r="F69" s="340"/>
      <c r="G69" s="341"/>
      <c r="H69" s="333"/>
      <c r="I69" s="341"/>
      <c r="J69" s="341"/>
      <c r="K69" s="335"/>
      <c r="L69" s="342"/>
      <c r="M69" s="16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</row>
    <row r="70" ht="15.75" customHeight="1">
      <c r="A70" s="338" t="s">
        <v>1343</v>
      </c>
      <c r="B70" s="343" t="b">
        <v>0</v>
      </c>
      <c r="C70" s="343"/>
      <c r="D70" s="343"/>
      <c r="E70" s="343"/>
      <c r="F70" s="340"/>
      <c r="G70" s="341"/>
      <c r="H70" s="333"/>
      <c r="I70" s="341"/>
      <c r="J70" s="341"/>
      <c r="K70" s="335"/>
      <c r="L70" s="342"/>
      <c r="M70" s="16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</row>
    <row r="71" ht="15.75" customHeight="1">
      <c r="A71" s="338" t="s">
        <v>1344</v>
      </c>
      <c r="B71" s="343" t="b">
        <v>0</v>
      </c>
      <c r="C71" s="343"/>
      <c r="D71" s="343"/>
      <c r="E71" s="343"/>
      <c r="F71" s="340"/>
      <c r="G71" s="341"/>
      <c r="H71" s="333"/>
      <c r="I71" s="341"/>
      <c r="J71" s="341"/>
      <c r="K71" s="335"/>
      <c r="L71" s="342"/>
      <c r="M71" s="16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</row>
    <row r="72" ht="15.75" customHeight="1">
      <c r="A72" s="338" t="s">
        <v>1345</v>
      </c>
      <c r="B72" s="343" t="b">
        <v>0</v>
      </c>
      <c r="C72" s="343"/>
      <c r="D72" s="343"/>
      <c r="E72" s="343"/>
      <c r="F72" s="340"/>
      <c r="G72" s="341"/>
      <c r="H72" s="333"/>
      <c r="I72" s="341"/>
      <c r="J72" s="341"/>
      <c r="K72" s="335"/>
      <c r="L72" s="342"/>
      <c r="M72" s="16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</row>
    <row r="73" ht="15.75" customHeight="1">
      <c r="A73" s="338" t="s">
        <v>1346</v>
      </c>
      <c r="B73" s="343" t="b">
        <v>0</v>
      </c>
      <c r="C73" s="343"/>
      <c r="D73" s="343"/>
      <c r="E73" s="343"/>
      <c r="F73" s="340"/>
      <c r="G73" s="341"/>
      <c r="H73" s="333"/>
      <c r="I73" s="341"/>
      <c r="J73" s="341"/>
      <c r="K73" s="335"/>
      <c r="L73" s="342"/>
      <c r="M73" s="16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</row>
    <row r="74" ht="15.75" customHeight="1">
      <c r="A74" s="338" t="s">
        <v>1347</v>
      </c>
      <c r="B74" s="343" t="b">
        <v>0</v>
      </c>
      <c r="C74" s="343"/>
      <c r="D74" s="343"/>
      <c r="E74" s="343"/>
      <c r="F74" s="340"/>
      <c r="G74" s="341"/>
      <c r="H74" s="333"/>
      <c r="I74" s="341"/>
      <c r="J74" s="341"/>
      <c r="K74" s="335"/>
      <c r="L74" s="342"/>
      <c r="M74" s="16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ht="15.75" customHeight="1">
      <c r="A75" s="338" t="s">
        <v>1348</v>
      </c>
      <c r="B75" s="343" t="b">
        <v>0</v>
      </c>
      <c r="C75" s="343"/>
      <c r="D75" s="343"/>
      <c r="E75" s="343"/>
      <c r="F75" s="340"/>
      <c r="G75" s="341"/>
      <c r="H75" s="333"/>
      <c r="I75" s="341"/>
      <c r="J75" s="341"/>
      <c r="K75" s="335"/>
      <c r="L75" s="342"/>
      <c r="M75" s="16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ht="15.75" customHeight="1">
      <c r="A76" s="338" t="s">
        <v>1349</v>
      </c>
      <c r="B76" s="343" t="b">
        <v>0</v>
      </c>
      <c r="C76" s="343"/>
      <c r="D76" s="343"/>
      <c r="E76" s="343"/>
      <c r="F76" s="340"/>
      <c r="G76" s="341"/>
      <c r="H76" s="333"/>
      <c r="I76" s="341"/>
      <c r="J76" s="341"/>
      <c r="K76" s="341"/>
      <c r="L76" s="342"/>
      <c r="M76" s="16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ht="15.75" customHeight="1">
      <c r="A77" s="338" t="s">
        <v>1350</v>
      </c>
      <c r="B77" s="343" t="b">
        <v>0</v>
      </c>
      <c r="C77" s="343"/>
      <c r="D77" s="343"/>
      <c r="E77" s="343"/>
      <c r="F77" s="340"/>
      <c r="G77" s="341"/>
      <c r="H77" s="333"/>
      <c r="I77" s="341"/>
      <c r="J77" s="341"/>
      <c r="K77" s="341"/>
      <c r="L77" s="342"/>
      <c r="M77" s="16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ht="15.75" customHeight="1">
      <c r="A78" s="338" t="s">
        <v>1351</v>
      </c>
      <c r="B78" s="343" t="b">
        <v>0</v>
      </c>
      <c r="C78" s="343"/>
      <c r="D78" s="343"/>
      <c r="E78" s="343"/>
      <c r="F78" s="340"/>
      <c r="G78" s="341"/>
      <c r="H78" s="333"/>
      <c r="I78" s="341"/>
      <c r="J78" s="341"/>
      <c r="K78" s="341"/>
      <c r="L78" s="342"/>
      <c r="M78" s="16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ht="15.75" customHeight="1">
      <c r="A79" s="338" t="s">
        <v>1352</v>
      </c>
      <c r="B79" s="343" t="b">
        <v>0</v>
      </c>
      <c r="C79" s="343"/>
      <c r="D79" s="343"/>
      <c r="E79" s="343"/>
      <c r="F79" s="340"/>
      <c r="G79" s="341"/>
      <c r="H79" s="333"/>
      <c r="I79" s="341"/>
      <c r="J79" s="341"/>
      <c r="K79" s="341"/>
      <c r="L79" s="342"/>
      <c r="M79" s="16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ht="15.75" customHeight="1">
      <c r="A80" s="338" t="s">
        <v>1353</v>
      </c>
      <c r="B80" s="343" t="b">
        <v>0</v>
      </c>
      <c r="C80" s="343"/>
      <c r="D80" s="343"/>
      <c r="E80" s="343"/>
      <c r="F80" s="340"/>
      <c r="G80" s="341"/>
      <c r="H80" s="333"/>
      <c r="I80" s="341"/>
      <c r="J80" s="341"/>
      <c r="K80" s="341"/>
      <c r="L80" s="342"/>
      <c r="M80" s="16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ht="15.75" customHeight="1">
      <c r="A81" s="338" t="s">
        <v>1354</v>
      </c>
      <c r="B81" s="343" t="b">
        <v>0</v>
      </c>
      <c r="C81" s="343"/>
      <c r="D81" s="343"/>
      <c r="E81" s="343"/>
      <c r="F81" s="340"/>
      <c r="G81" s="341"/>
      <c r="H81" s="333"/>
      <c r="I81" s="341"/>
      <c r="J81" s="341"/>
      <c r="K81" s="341"/>
      <c r="L81" s="342"/>
      <c r="M81" s="16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ht="15.75" customHeight="1">
      <c r="A82" s="338" t="s">
        <v>1355</v>
      </c>
      <c r="B82" s="343" t="b">
        <v>0</v>
      </c>
      <c r="C82" s="343"/>
      <c r="D82" s="343"/>
      <c r="E82" s="343"/>
      <c r="F82" s="340"/>
      <c r="G82" s="341"/>
      <c r="H82" s="333"/>
      <c r="I82" s="341"/>
      <c r="J82" s="341"/>
      <c r="K82" s="341"/>
      <c r="L82" s="342"/>
      <c r="M82" s="16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ht="15.75" customHeight="1">
      <c r="A83" s="338" t="s">
        <v>1356</v>
      </c>
      <c r="B83" s="343" t="b">
        <v>0</v>
      </c>
      <c r="C83" s="343"/>
      <c r="D83" s="343"/>
      <c r="E83" s="343"/>
      <c r="F83" s="340"/>
      <c r="G83" s="341"/>
      <c r="H83" s="333"/>
      <c r="I83" s="341"/>
      <c r="J83" s="341"/>
      <c r="K83" s="341"/>
      <c r="L83" s="342"/>
      <c r="M83" s="344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ht="15.75" customHeight="1">
      <c r="A84" s="338" t="s">
        <v>1357</v>
      </c>
      <c r="B84" s="343" t="b">
        <v>0</v>
      </c>
      <c r="C84" s="343"/>
      <c r="D84" s="343"/>
      <c r="E84" s="343"/>
      <c r="F84" s="340"/>
      <c r="G84" s="341"/>
      <c r="H84" s="333"/>
      <c r="I84" s="341"/>
      <c r="J84" s="341"/>
      <c r="K84" s="341"/>
      <c r="L84" s="342"/>
      <c r="M84" s="344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  <row r="85" ht="15.75" customHeight="1">
      <c r="A85" s="338" t="s">
        <v>1358</v>
      </c>
      <c r="B85" s="343" t="b">
        <v>0</v>
      </c>
      <c r="C85" s="343"/>
      <c r="D85" s="343"/>
      <c r="E85" s="343"/>
      <c r="F85" s="340"/>
      <c r="G85" s="341"/>
      <c r="H85" s="333"/>
      <c r="I85" s="341"/>
      <c r="J85" s="341"/>
      <c r="K85" s="341"/>
      <c r="L85" s="342"/>
      <c r="M85" s="344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</row>
    <row r="86" ht="15.75" customHeight="1">
      <c r="A86" s="338" t="s">
        <v>1359</v>
      </c>
      <c r="B86" s="343" t="b">
        <v>0</v>
      </c>
      <c r="C86" s="343"/>
      <c r="D86" s="343"/>
      <c r="E86" s="343"/>
      <c r="F86" s="340"/>
      <c r="G86" s="341"/>
      <c r="H86" s="333"/>
      <c r="I86" s="341"/>
      <c r="J86" s="341"/>
      <c r="K86" s="341"/>
      <c r="L86" s="342"/>
      <c r="M86" s="344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</row>
    <row r="87" ht="15.75" customHeight="1">
      <c r="A87" s="338" t="s">
        <v>1360</v>
      </c>
      <c r="B87" s="343" t="b">
        <v>0</v>
      </c>
      <c r="C87" s="343"/>
      <c r="D87" s="343"/>
      <c r="E87" s="343"/>
      <c r="F87" s="340"/>
      <c r="G87" s="341"/>
      <c r="H87" s="333"/>
      <c r="I87" s="341"/>
      <c r="J87" s="341"/>
      <c r="K87" s="341"/>
      <c r="L87" s="342"/>
      <c r="M87" s="344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</row>
    <row r="88" ht="15.75" customHeight="1">
      <c r="A88" s="338" t="s">
        <v>1361</v>
      </c>
      <c r="B88" s="343" t="b">
        <v>0</v>
      </c>
      <c r="C88" s="343"/>
      <c r="D88" s="343"/>
      <c r="E88" s="343"/>
      <c r="F88" s="340"/>
      <c r="G88" s="341"/>
      <c r="H88" s="333"/>
      <c r="I88" s="341"/>
      <c r="J88" s="341"/>
      <c r="K88" s="341"/>
      <c r="L88" s="342"/>
      <c r="M88" s="344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</row>
    <row r="89" ht="15.75" customHeight="1">
      <c r="A89" s="338" t="s">
        <v>1362</v>
      </c>
      <c r="B89" s="343" t="b">
        <v>0</v>
      </c>
      <c r="C89" s="343"/>
      <c r="D89" s="343"/>
      <c r="E89" s="343"/>
      <c r="F89" s="340"/>
      <c r="G89" s="341"/>
      <c r="H89" s="333"/>
      <c r="I89" s="341"/>
      <c r="J89" s="341"/>
      <c r="K89" s="341"/>
      <c r="L89" s="342"/>
      <c r="M89" s="344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</row>
    <row r="90" ht="15.75" customHeight="1">
      <c r="A90" s="338" t="s">
        <v>1363</v>
      </c>
      <c r="B90" s="343" t="b">
        <v>0</v>
      </c>
      <c r="C90" s="343"/>
      <c r="D90" s="343"/>
      <c r="E90" s="343"/>
      <c r="F90" s="340"/>
      <c r="G90" s="341"/>
      <c r="H90" s="333"/>
      <c r="I90" s="341"/>
      <c r="J90" s="341"/>
      <c r="K90" s="341"/>
      <c r="L90" s="342"/>
      <c r="M90" s="344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</row>
    <row r="91" ht="15.75" customHeight="1">
      <c r="A91" s="338" t="s">
        <v>1364</v>
      </c>
      <c r="B91" s="343" t="b">
        <v>0</v>
      </c>
      <c r="C91" s="343"/>
      <c r="D91" s="343"/>
      <c r="E91" s="343"/>
      <c r="F91" s="340"/>
      <c r="G91" s="341"/>
      <c r="H91" s="333"/>
      <c r="I91" s="341"/>
      <c r="J91" s="341"/>
      <c r="K91" s="341"/>
      <c r="L91" s="342"/>
      <c r="M91" s="344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</row>
    <row r="92" ht="15.75" customHeight="1">
      <c r="A92" s="338" t="s">
        <v>1365</v>
      </c>
      <c r="B92" s="343" t="b">
        <v>0</v>
      </c>
      <c r="C92" s="343"/>
      <c r="D92" s="343"/>
      <c r="E92" s="343"/>
      <c r="F92" s="340"/>
      <c r="G92" s="341"/>
      <c r="H92" s="333"/>
      <c r="I92" s="341"/>
      <c r="J92" s="341"/>
      <c r="K92" s="341"/>
      <c r="L92" s="342"/>
      <c r="M92" s="344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</row>
    <row r="93" ht="15.75" customHeight="1">
      <c r="A93" s="338" t="s">
        <v>1366</v>
      </c>
      <c r="B93" s="343" t="b">
        <v>0</v>
      </c>
      <c r="C93" s="343"/>
      <c r="D93" s="343"/>
      <c r="E93" s="343"/>
      <c r="F93" s="340"/>
      <c r="G93" s="341"/>
      <c r="H93" s="333"/>
      <c r="I93" s="341"/>
      <c r="J93" s="341"/>
      <c r="K93" s="341"/>
      <c r="L93" s="342"/>
      <c r="M93" s="344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</row>
    <row r="94" ht="15.75" customHeight="1">
      <c r="A94" s="338" t="s">
        <v>1367</v>
      </c>
      <c r="B94" s="343" t="b">
        <v>0</v>
      </c>
      <c r="C94" s="343"/>
      <c r="D94" s="343"/>
      <c r="E94" s="343"/>
      <c r="F94" s="340"/>
      <c r="G94" s="341"/>
      <c r="H94" s="333"/>
      <c r="I94" s="341"/>
      <c r="J94" s="341"/>
      <c r="K94" s="341"/>
      <c r="L94" s="342"/>
      <c r="M94" s="344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</row>
    <row r="95" ht="15.75" customHeight="1">
      <c r="A95" s="338" t="s">
        <v>1368</v>
      </c>
      <c r="B95" s="343" t="b">
        <v>0</v>
      </c>
      <c r="C95" s="343"/>
      <c r="D95" s="343"/>
      <c r="E95" s="343"/>
      <c r="F95" s="340"/>
      <c r="G95" s="341"/>
      <c r="H95" s="333"/>
      <c r="I95" s="341"/>
      <c r="J95" s="341"/>
      <c r="K95" s="341"/>
      <c r="L95" s="342"/>
      <c r="M95" s="344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</row>
    <row r="96" ht="15.75" customHeight="1">
      <c r="A96" s="338" t="s">
        <v>1369</v>
      </c>
      <c r="B96" s="343" t="b">
        <v>0</v>
      </c>
      <c r="C96" s="343"/>
      <c r="D96" s="343"/>
      <c r="E96" s="343"/>
      <c r="F96" s="340"/>
      <c r="G96" s="341"/>
      <c r="H96" s="333"/>
      <c r="I96" s="341"/>
      <c r="J96" s="341"/>
      <c r="K96" s="341"/>
      <c r="L96" s="342"/>
      <c r="M96" s="344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</row>
    <row r="97" ht="15.75" customHeight="1">
      <c r="A97" s="338" t="s">
        <v>1370</v>
      </c>
      <c r="B97" s="343" t="b">
        <v>0</v>
      </c>
      <c r="C97" s="343"/>
      <c r="D97" s="343"/>
      <c r="E97" s="343"/>
      <c r="F97" s="340"/>
      <c r="G97" s="341"/>
      <c r="H97" s="333"/>
      <c r="I97" s="341"/>
      <c r="J97" s="341"/>
      <c r="K97" s="341"/>
      <c r="L97" s="342"/>
      <c r="M97" s="344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</row>
    <row r="98" ht="15.75" customHeight="1">
      <c r="A98" s="338" t="s">
        <v>1371</v>
      </c>
      <c r="B98" s="343" t="b">
        <v>0</v>
      </c>
      <c r="C98" s="343"/>
      <c r="D98" s="343"/>
      <c r="E98" s="343"/>
      <c r="F98" s="340"/>
      <c r="G98" s="341"/>
      <c r="H98" s="333"/>
      <c r="I98" s="341"/>
      <c r="J98" s="341"/>
      <c r="K98" s="341"/>
      <c r="L98" s="342"/>
      <c r="M98" s="344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</row>
    <row r="99" ht="15.75" customHeight="1">
      <c r="A99" s="338" t="s">
        <v>1372</v>
      </c>
      <c r="B99" s="343" t="b">
        <v>0</v>
      </c>
      <c r="C99" s="343"/>
      <c r="D99" s="343"/>
      <c r="E99" s="343"/>
      <c r="F99" s="340"/>
      <c r="G99" s="341"/>
      <c r="H99" s="333"/>
      <c r="I99" s="341"/>
      <c r="J99" s="341"/>
      <c r="K99" s="341"/>
      <c r="L99" s="342"/>
      <c r="M99" s="344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</row>
    <row r="100" ht="15.75" customHeight="1">
      <c r="A100" s="338" t="s">
        <v>1373</v>
      </c>
      <c r="B100" s="343" t="b">
        <v>0</v>
      </c>
      <c r="C100" s="343"/>
      <c r="D100" s="343"/>
      <c r="E100" s="343"/>
      <c r="F100" s="340"/>
      <c r="G100" s="341"/>
      <c r="H100" s="333"/>
      <c r="I100" s="341"/>
      <c r="J100" s="341"/>
      <c r="K100" s="341"/>
      <c r="L100" s="342"/>
      <c r="M100" s="344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</row>
    <row r="101" ht="15.75" customHeight="1">
      <c r="A101" s="345"/>
      <c r="B101" s="346" t="b">
        <v>0</v>
      </c>
      <c r="C101" s="346"/>
      <c r="D101" s="346"/>
      <c r="E101" s="346"/>
      <c r="F101" s="347"/>
      <c r="G101" s="348"/>
      <c r="H101" s="349"/>
      <c r="I101" s="348"/>
      <c r="J101" s="348"/>
      <c r="K101" s="348"/>
      <c r="L101" s="350"/>
      <c r="M101" s="344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</row>
    <row r="102" ht="15.75" customHeight="1">
      <c r="A102" s="345"/>
      <c r="B102" s="346" t="b">
        <v>0</v>
      </c>
      <c r="C102" s="346"/>
      <c r="D102" s="346"/>
      <c r="E102" s="346"/>
      <c r="F102" s="347"/>
      <c r="G102" s="348"/>
      <c r="H102" s="349"/>
      <c r="I102" s="348"/>
      <c r="J102" s="348"/>
      <c r="K102" s="348"/>
      <c r="L102" s="350"/>
      <c r="M102" s="344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</row>
    <row r="103" ht="15.75" customHeight="1">
      <c r="A103" s="345"/>
      <c r="B103" s="346" t="b">
        <v>0</v>
      </c>
      <c r="C103" s="346"/>
      <c r="D103" s="346"/>
      <c r="E103" s="346"/>
      <c r="F103" s="347"/>
      <c r="G103" s="348"/>
      <c r="H103" s="349"/>
      <c r="I103" s="348"/>
      <c r="J103" s="348"/>
      <c r="K103" s="348"/>
      <c r="L103" s="350"/>
      <c r="M103" s="344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</row>
    <row r="104" ht="15.75" customHeight="1">
      <c r="A104" s="345"/>
      <c r="B104" s="346" t="b">
        <v>0</v>
      </c>
      <c r="C104" s="346"/>
      <c r="D104" s="346"/>
      <c r="E104" s="346"/>
      <c r="F104" s="347"/>
      <c r="G104" s="348"/>
      <c r="H104" s="349"/>
      <c r="I104" s="348"/>
      <c r="J104" s="348"/>
      <c r="K104" s="348"/>
      <c r="L104" s="350"/>
      <c r="M104" s="344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 ht="15.75" customHeight="1">
      <c r="A105" s="345"/>
      <c r="B105" s="346" t="b">
        <v>0</v>
      </c>
      <c r="C105" s="346"/>
      <c r="D105" s="346"/>
      <c r="E105" s="346"/>
      <c r="F105" s="347"/>
      <c r="G105" s="348"/>
      <c r="H105" s="349"/>
      <c r="I105" s="348"/>
      <c r="J105" s="348"/>
      <c r="K105" s="348"/>
      <c r="L105" s="350"/>
      <c r="M105" s="344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</row>
    <row r="106" ht="15.75" customHeight="1">
      <c r="A106" s="345"/>
      <c r="B106" s="346" t="b">
        <v>0</v>
      </c>
      <c r="C106" s="346"/>
      <c r="D106" s="346"/>
      <c r="E106" s="346"/>
      <c r="F106" s="347"/>
      <c r="G106" s="348"/>
      <c r="H106" s="349"/>
      <c r="I106" s="348"/>
      <c r="J106" s="348"/>
      <c r="K106" s="348"/>
      <c r="L106" s="350"/>
      <c r="M106" s="344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</row>
    <row r="107" ht="15.75" customHeight="1">
      <c r="A107" s="345"/>
      <c r="B107" s="346" t="b">
        <v>0</v>
      </c>
      <c r="C107" s="346"/>
      <c r="D107" s="346"/>
      <c r="E107" s="346"/>
      <c r="F107" s="347"/>
      <c r="G107" s="348"/>
      <c r="H107" s="349"/>
      <c r="I107" s="348"/>
      <c r="J107" s="348"/>
      <c r="K107" s="348"/>
      <c r="L107" s="350"/>
      <c r="M107" s="344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</row>
    <row r="108" ht="15.75" customHeight="1">
      <c r="A108" s="345"/>
      <c r="B108" s="346" t="b">
        <v>0</v>
      </c>
      <c r="C108" s="346"/>
      <c r="D108" s="346"/>
      <c r="E108" s="346"/>
      <c r="F108" s="347"/>
      <c r="G108" s="348"/>
      <c r="H108" s="349"/>
      <c r="I108" s="348"/>
      <c r="J108" s="348"/>
      <c r="K108" s="348"/>
      <c r="L108" s="350"/>
      <c r="M108" s="344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</row>
    <row r="109" ht="15.75" customHeight="1">
      <c r="A109" s="345"/>
      <c r="B109" s="346" t="b">
        <v>0</v>
      </c>
      <c r="C109" s="346"/>
      <c r="D109" s="346"/>
      <c r="E109" s="346"/>
      <c r="F109" s="347"/>
      <c r="G109" s="348"/>
      <c r="H109" s="349"/>
      <c r="I109" s="348"/>
      <c r="J109" s="348"/>
      <c r="K109" s="348"/>
      <c r="L109" s="350"/>
      <c r="M109" s="344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</row>
    <row r="110" ht="15.75" customHeight="1">
      <c r="A110" s="345"/>
      <c r="B110" s="346" t="b">
        <v>0</v>
      </c>
      <c r="C110" s="346"/>
      <c r="D110" s="346"/>
      <c r="E110" s="346"/>
      <c r="F110" s="347"/>
      <c r="G110" s="348"/>
      <c r="H110" s="349"/>
      <c r="I110" s="348"/>
      <c r="J110" s="348"/>
      <c r="K110" s="348"/>
      <c r="L110" s="350"/>
      <c r="M110" s="344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</row>
    <row r="111" ht="15.75" customHeight="1">
      <c r="A111" s="345"/>
      <c r="B111" s="346" t="b">
        <v>0</v>
      </c>
      <c r="C111" s="346"/>
      <c r="D111" s="346"/>
      <c r="E111" s="346"/>
      <c r="F111" s="347"/>
      <c r="G111" s="348"/>
      <c r="H111" s="349"/>
      <c r="I111" s="348"/>
      <c r="J111" s="348"/>
      <c r="K111" s="348"/>
      <c r="L111" s="350"/>
      <c r="M111" s="344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</row>
    <row r="112" ht="15.75" customHeight="1">
      <c r="A112" s="345"/>
      <c r="B112" s="346" t="b">
        <v>0</v>
      </c>
      <c r="C112" s="346"/>
      <c r="D112" s="346"/>
      <c r="E112" s="346"/>
      <c r="F112" s="347"/>
      <c r="G112" s="348"/>
      <c r="H112" s="349"/>
      <c r="I112" s="348"/>
      <c r="J112" s="348"/>
      <c r="K112" s="348"/>
      <c r="L112" s="350"/>
      <c r="M112" s="344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</row>
    <row r="113" ht="15.75" customHeight="1">
      <c r="A113" s="345"/>
      <c r="B113" s="346" t="b">
        <v>0</v>
      </c>
      <c r="C113" s="346"/>
      <c r="D113" s="346"/>
      <c r="E113" s="346"/>
      <c r="F113" s="347"/>
      <c r="G113" s="348"/>
      <c r="H113" s="349"/>
      <c r="I113" s="348"/>
      <c r="J113" s="348"/>
      <c r="K113" s="348"/>
      <c r="L113" s="350"/>
      <c r="M113" s="344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</row>
    <row r="114" ht="15.75" customHeight="1">
      <c r="A114" s="345"/>
      <c r="B114" s="346" t="b">
        <v>0</v>
      </c>
      <c r="C114" s="346"/>
      <c r="D114" s="346"/>
      <c r="E114" s="346"/>
      <c r="F114" s="347"/>
      <c r="G114" s="348"/>
      <c r="H114" s="349"/>
      <c r="I114" s="348"/>
      <c r="J114" s="348"/>
      <c r="K114" s="348"/>
      <c r="L114" s="350"/>
      <c r="M114" s="344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</row>
    <row r="115" ht="15.75" customHeight="1">
      <c r="A115" s="345"/>
      <c r="B115" s="346" t="b">
        <v>0</v>
      </c>
      <c r="C115" s="346"/>
      <c r="D115" s="346"/>
      <c r="E115" s="346"/>
      <c r="F115" s="347"/>
      <c r="G115" s="348"/>
      <c r="H115" s="349"/>
      <c r="I115" s="348"/>
      <c r="J115" s="348"/>
      <c r="K115" s="348"/>
      <c r="L115" s="350"/>
      <c r="M115" s="344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</row>
    <row r="116" ht="15.75" customHeight="1">
      <c r="A116" s="345"/>
      <c r="B116" s="346" t="b">
        <v>0</v>
      </c>
      <c r="C116" s="346"/>
      <c r="D116" s="346"/>
      <c r="E116" s="346"/>
      <c r="F116" s="347"/>
      <c r="G116" s="348"/>
      <c r="H116" s="349"/>
      <c r="I116" s="348"/>
      <c r="J116" s="348"/>
      <c r="K116" s="348"/>
      <c r="L116" s="350"/>
      <c r="M116" s="344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</row>
    <row r="117" ht="15.75" customHeight="1">
      <c r="A117" s="345"/>
      <c r="B117" s="346" t="b">
        <v>0</v>
      </c>
      <c r="C117" s="346"/>
      <c r="D117" s="346"/>
      <c r="E117" s="346"/>
      <c r="F117" s="347"/>
      <c r="G117" s="348"/>
      <c r="H117" s="349"/>
      <c r="I117" s="348"/>
      <c r="J117" s="348"/>
      <c r="K117" s="348"/>
      <c r="L117" s="350"/>
      <c r="M117" s="344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</row>
    <row r="118" ht="15.75" customHeight="1">
      <c r="A118" s="345"/>
      <c r="B118" s="346" t="b">
        <v>0</v>
      </c>
      <c r="C118" s="346"/>
      <c r="D118" s="346"/>
      <c r="E118" s="346"/>
      <c r="F118" s="347"/>
      <c r="G118" s="348"/>
      <c r="H118" s="349"/>
      <c r="I118" s="348"/>
      <c r="J118" s="348"/>
      <c r="K118" s="348"/>
      <c r="L118" s="350"/>
      <c r="M118" s="344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</row>
    <row r="119" ht="15.75" customHeight="1">
      <c r="A119" s="345"/>
      <c r="B119" s="346" t="b">
        <v>0</v>
      </c>
      <c r="C119" s="346"/>
      <c r="D119" s="346"/>
      <c r="E119" s="346"/>
      <c r="F119" s="347"/>
      <c r="G119" s="348"/>
      <c r="H119" s="349"/>
      <c r="I119" s="348"/>
      <c r="J119" s="348"/>
      <c r="K119" s="348"/>
      <c r="L119" s="350"/>
      <c r="M119" s="344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</row>
    <row r="120" ht="15.75" customHeight="1">
      <c r="A120" s="345"/>
      <c r="B120" s="346" t="b">
        <v>0</v>
      </c>
      <c r="C120" s="346"/>
      <c r="D120" s="346"/>
      <c r="E120" s="346"/>
      <c r="F120" s="347"/>
      <c r="G120" s="348"/>
      <c r="H120" s="349"/>
      <c r="I120" s="348"/>
      <c r="J120" s="348"/>
      <c r="K120" s="348"/>
      <c r="L120" s="350"/>
      <c r="M120" s="344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 ht="15.75" customHeight="1">
      <c r="A121" s="345"/>
      <c r="B121" s="346" t="b">
        <v>0</v>
      </c>
      <c r="C121" s="346"/>
      <c r="D121" s="346"/>
      <c r="E121" s="346"/>
      <c r="F121" s="347"/>
      <c r="G121" s="348"/>
      <c r="H121" s="349"/>
      <c r="I121" s="348"/>
      <c r="J121" s="348"/>
      <c r="K121" s="348"/>
      <c r="L121" s="350"/>
      <c r="M121" s="344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 ht="15.75" customHeight="1">
      <c r="A122" s="345"/>
      <c r="B122" s="346" t="b">
        <v>0</v>
      </c>
      <c r="C122" s="346"/>
      <c r="D122" s="346"/>
      <c r="E122" s="346"/>
      <c r="F122" s="347"/>
      <c r="G122" s="348"/>
      <c r="H122" s="349"/>
      <c r="I122" s="348"/>
      <c r="J122" s="348"/>
      <c r="K122" s="348"/>
      <c r="L122" s="350"/>
      <c r="M122" s="344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</row>
    <row r="123" ht="15.75" customHeight="1">
      <c r="A123" s="345"/>
      <c r="B123" s="346" t="b">
        <v>0</v>
      </c>
      <c r="C123" s="346"/>
      <c r="D123" s="346"/>
      <c r="E123" s="346"/>
      <c r="F123" s="347"/>
      <c r="G123" s="348"/>
      <c r="H123" s="349"/>
      <c r="I123" s="348"/>
      <c r="J123" s="348"/>
      <c r="K123" s="348"/>
      <c r="L123" s="350"/>
      <c r="M123" s="344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</row>
    <row r="124" ht="15.75" customHeight="1">
      <c r="A124" s="345"/>
      <c r="B124" s="346" t="b">
        <v>0</v>
      </c>
      <c r="C124" s="346"/>
      <c r="D124" s="346"/>
      <c r="E124" s="346"/>
      <c r="F124" s="347"/>
      <c r="G124" s="348"/>
      <c r="H124" s="349"/>
      <c r="I124" s="348"/>
      <c r="J124" s="348"/>
      <c r="K124" s="348"/>
      <c r="L124" s="350"/>
      <c r="M124" s="344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</row>
    <row r="125" ht="15.75" customHeight="1">
      <c r="A125" s="345"/>
      <c r="B125" s="346" t="b">
        <v>0</v>
      </c>
      <c r="C125" s="346"/>
      <c r="D125" s="346"/>
      <c r="E125" s="346"/>
      <c r="F125" s="347"/>
      <c r="G125" s="348"/>
      <c r="H125" s="349"/>
      <c r="I125" s="348"/>
      <c r="J125" s="348"/>
      <c r="K125" s="348"/>
      <c r="L125" s="350"/>
      <c r="M125" s="344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</row>
    <row r="126" ht="15.75" customHeight="1">
      <c r="A126" s="345"/>
      <c r="B126" s="346" t="b">
        <v>0</v>
      </c>
      <c r="C126" s="346"/>
      <c r="D126" s="346"/>
      <c r="E126" s="346"/>
      <c r="F126" s="347"/>
      <c r="G126" s="348"/>
      <c r="H126" s="349"/>
      <c r="I126" s="348"/>
      <c r="J126" s="348"/>
      <c r="K126" s="348"/>
      <c r="L126" s="350"/>
      <c r="M126" s="344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</row>
    <row r="127" ht="15.75" customHeight="1">
      <c r="A127" s="345"/>
      <c r="B127" s="346" t="b">
        <v>0</v>
      </c>
      <c r="C127" s="346"/>
      <c r="D127" s="346"/>
      <c r="E127" s="346"/>
      <c r="F127" s="347"/>
      <c r="G127" s="348"/>
      <c r="H127" s="349"/>
      <c r="I127" s="348"/>
      <c r="J127" s="348"/>
      <c r="K127" s="348"/>
      <c r="L127" s="350"/>
      <c r="M127" s="344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</row>
    <row r="128" ht="15.75" customHeight="1">
      <c r="A128" s="345"/>
      <c r="B128" s="346" t="b">
        <v>0</v>
      </c>
      <c r="C128" s="346"/>
      <c r="D128" s="346"/>
      <c r="E128" s="346"/>
      <c r="F128" s="347"/>
      <c r="G128" s="348"/>
      <c r="H128" s="349"/>
      <c r="I128" s="348"/>
      <c r="J128" s="348"/>
      <c r="K128" s="348"/>
      <c r="L128" s="350"/>
      <c r="M128" s="344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</row>
    <row r="129" ht="15.75" customHeight="1">
      <c r="A129" s="345"/>
      <c r="B129" s="346" t="b">
        <v>0</v>
      </c>
      <c r="C129" s="346"/>
      <c r="D129" s="346"/>
      <c r="E129" s="346"/>
      <c r="F129" s="347"/>
      <c r="G129" s="348"/>
      <c r="H129" s="349"/>
      <c r="I129" s="348"/>
      <c r="J129" s="348"/>
      <c r="K129" s="348"/>
      <c r="L129" s="350"/>
      <c r="M129" s="344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</row>
    <row r="130" ht="15.75" customHeight="1">
      <c r="A130" s="345"/>
      <c r="B130" s="346" t="b">
        <v>0</v>
      </c>
      <c r="C130" s="346"/>
      <c r="D130" s="346"/>
      <c r="E130" s="346"/>
      <c r="F130" s="347"/>
      <c r="G130" s="348"/>
      <c r="H130" s="349"/>
      <c r="I130" s="348"/>
      <c r="J130" s="348"/>
      <c r="K130" s="348"/>
      <c r="L130" s="350"/>
      <c r="M130" s="344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</row>
    <row r="131" ht="15.75" customHeight="1">
      <c r="A131" s="345"/>
      <c r="B131" s="346" t="b">
        <v>0</v>
      </c>
      <c r="C131" s="346"/>
      <c r="D131" s="346"/>
      <c r="E131" s="346"/>
      <c r="F131" s="347"/>
      <c r="G131" s="348"/>
      <c r="H131" s="349"/>
      <c r="I131" s="348"/>
      <c r="J131" s="348"/>
      <c r="K131" s="348"/>
      <c r="L131" s="350"/>
      <c r="M131" s="344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</row>
    <row r="132" ht="15.75" customHeight="1">
      <c r="A132" s="345"/>
      <c r="B132" s="346" t="b">
        <v>0</v>
      </c>
      <c r="C132" s="346"/>
      <c r="D132" s="346"/>
      <c r="E132" s="346"/>
      <c r="F132" s="347"/>
      <c r="G132" s="348"/>
      <c r="H132" s="349"/>
      <c r="I132" s="348"/>
      <c r="J132" s="348"/>
      <c r="K132" s="348"/>
      <c r="L132" s="350"/>
      <c r="M132" s="344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 ht="15.75" customHeight="1">
      <c r="A133" s="345"/>
      <c r="B133" s="346" t="b">
        <v>0</v>
      </c>
      <c r="C133" s="346"/>
      <c r="D133" s="346"/>
      <c r="E133" s="346"/>
      <c r="F133" s="347"/>
      <c r="G133" s="348"/>
      <c r="H133" s="349"/>
      <c r="I133" s="348"/>
      <c r="J133" s="348"/>
      <c r="K133" s="348"/>
      <c r="L133" s="350"/>
      <c r="M133" s="344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</row>
    <row r="134" ht="15.75" customHeight="1">
      <c r="A134" s="345"/>
      <c r="B134" s="346" t="b">
        <v>0</v>
      </c>
      <c r="C134" s="346"/>
      <c r="D134" s="346"/>
      <c r="E134" s="346"/>
      <c r="F134" s="347"/>
      <c r="G134" s="348"/>
      <c r="H134" s="349"/>
      <c r="I134" s="348"/>
      <c r="J134" s="348"/>
      <c r="K134" s="348"/>
      <c r="L134" s="350"/>
      <c r="M134" s="344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</row>
    <row r="135" ht="15.75" customHeight="1">
      <c r="A135" s="345"/>
      <c r="B135" s="346" t="b">
        <v>0</v>
      </c>
      <c r="C135" s="346"/>
      <c r="D135" s="346"/>
      <c r="E135" s="346"/>
      <c r="F135" s="347"/>
      <c r="G135" s="348"/>
      <c r="H135" s="349"/>
      <c r="I135" s="348"/>
      <c r="J135" s="348"/>
      <c r="K135" s="348"/>
      <c r="L135" s="350"/>
      <c r="M135" s="344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</row>
    <row r="136" ht="15.75" customHeight="1">
      <c r="A136" s="345"/>
      <c r="B136" s="346" t="b">
        <v>0</v>
      </c>
      <c r="C136" s="346"/>
      <c r="D136" s="346"/>
      <c r="E136" s="346"/>
      <c r="F136" s="347"/>
      <c r="G136" s="348"/>
      <c r="H136" s="349"/>
      <c r="I136" s="348"/>
      <c r="J136" s="348"/>
      <c r="K136" s="348"/>
      <c r="L136" s="350"/>
      <c r="M136" s="344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</row>
    <row r="137" ht="15.75" customHeight="1">
      <c r="A137" s="345"/>
      <c r="B137" s="346" t="b">
        <v>0</v>
      </c>
      <c r="C137" s="346"/>
      <c r="D137" s="346"/>
      <c r="E137" s="346"/>
      <c r="F137" s="347"/>
      <c r="G137" s="348"/>
      <c r="H137" s="349"/>
      <c r="I137" s="348"/>
      <c r="J137" s="348"/>
      <c r="K137" s="348"/>
      <c r="L137" s="350"/>
      <c r="M137" s="344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</row>
    <row r="138" ht="15.75" customHeight="1">
      <c r="A138" s="345"/>
      <c r="B138" s="346" t="b">
        <v>0</v>
      </c>
      <c r="C138" s="346"/>
      <c r="D138" s="346"/>
      <c r="E138" s="346"/>
      <c r="F138" s="347"/>
      <c r="G138" s="348"/>
      <c r="H138" s="349"/>
      <c r="I138" s="348"/>
      <c r="J138" s="348"/>
      <c r="K138" s="348"/>
      <c r="L138" s="350"/>
      <c r="M138" s="344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 ht="15.75" customHeight="1">
      <c r="A139" s="345"/>
      <c r="B139" s="346" t="b">
        <v>0</v>
      </c>
      <c r="C139" s="346"/>
      <c r="D139" s="346"/>
      <c r="E139" s="346"/>
      <c r="F139" s="347"/>
      <c r="G139" s="348"/>
      <c r="H139" s="349"/>
      <c r="I139" s="348"/>
      <c r="J139" s="348"/>
      <c r="K139" s="348"/>
      <c r="L139" s="350"/>
      <c r="M139" s="344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</row>
    <row r="140" ht="15.75" customHeight="1">
      <c r="A140" s="345"/>
      <c r="B140" s="346" t="b">
        <v>0</v>
      </c>
      <c r="C140" s="346"/>
      <c r="D140" s="346"/>
      <c r="E140" s="346"/>
      <c r="F140" s="347"/>
      <c r="G140" s="348"/>
      <c r="H140" s="349"/>
      <c r="I140" s="348"/>
      <c r="J140" s="348"/>
      <c r="K140" s="348"/>
      <c r="L140" s="350"/>
      <c r="M140" s="344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</row>
    <row r="141" ht="15.75" customHeight="1">
      <c r="A141" s="345"/>
      <c r="B141" s="346" t="b">
        <v>0</v>
      </c>
      <c r="C141" s="346"/>
      <c r="D141" s="346"/>
      <c r="E141" s="346"/>
      <c r="F141" s="347"/>
      <c r="G141" s="348"/>
      <c r="H141" s="349"/>
      <c r="I141" s="348"/>
      <c r="J141" s="348"/>
      <c r="K141" s="348"/>
      <c r="L141" s="350"/>
      <c r="M141" s="344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</row>
    <row r="142" ht="15.75" customHeight="1">
      <c r="A142" s="345"/>
      <c r="B142" s="346" t="b">
        <v>0</v>
      </c>
      <c r="C142" s="346"/>
      <c r="D142" s="346"/>
      <c r="E142" s="346"/>
      <c r="F142" s="347"/>
      <c r="G142" s="348"/>
      <c r="H142" s="349"/>
      <c r="I142" s="348"/>
      <c r="J142" s="348"/>
      <c r="K142" s="348"/>
      <c r="L142" s="350"/>
      <c r="M142" s="344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</row>
    <row r="143" ht="15.75" customHeight="1">
      <c r="A143" s="345"/>
      <c r="B143" s="346" t="b">
        <v>0</v>
      </c>
      <c r="C143" s="346"/>
      <c r="D143" s="346"/>
      <c r="E143" s="346"/>
      <c r="F143" s="347"/>
      <c r="G143" s="348"/>
      <c r="H143" s="349"/>
      <c r="I143" s="348"/>
      <c r="J143" s="348"/>
      <c r="K143" s="348"/>
      <c r="L143" s="350"/>
      <c r="M143" s="344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</row>
    <row r="144" ht="15.75" customHeight="1">
      <c r="A144" s="345"/>
      <c r="B144" s="346" t="b">
        <v>0</v>
      </c>
      <c r="C144" s="346"/>
      <c r="D144" s="346"/>
      <c r="E144" s="346"/>
      <c r="F144" s="347"/>
      <c r="G144" s="348"/>
      <c r="H144" s="349"/>
      <c r="I144" s="348"/>
      <c r="J144" s="348"/>
      <c r="K144" s="348"/>
      <c r="L144" s="350"/>
      <c r="M144" s="344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</row>
    <row r="145" ht="15.75" customHeight="1">
      <c r="A145" s="345"/>
      <c r="B145" s="346" t="b">
        <v>0</v>
      </c>
      <c r="C145" s="346"/>
      <c r="D145" s="346"/>
      <c r="E145" s="346"/>
      <c r="F145" s="347"/>
      <c r="G145" s="348"/>
      <c r="H145" s="349"/>
      <c r="I145" s="348"/>
      <c r="J145" s="348"/>
      <c r="K145" s="348"/>
      <c r="L145" s="350"/>
      <c r="M145" s="344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</row>
    <row r="146" ht="15.75" customHeight="1">
      <c r="A146" s="345"/>
      <c r="B146" s="346" t="b">
        <v>0</v>
      </c>
      <c r="C146" s="346"/>
      <c r="D146" s="346"/>
      <c r="E146" s="346"/>
      <c r="F146" s="347"/>
      <c r="G146" s="348"/>
      <c r="H146" s="349"/>
      <c r="I146" s="348"/>
      <c r="J146" s="348"/>
      <c r="K146" s="348"/>
      <c r="L146" s="350"/>
      <c r="M146" s="344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</row>
    <row r="147" ht="15.75" customHeight="1">
      <c r="A147" s="345"/>
      <c r="B147" s="346" t="b">
        <v>0</v>
      </c>
      <c r="C147" s="346"/>
      <c r="D147" s="346"/>
      <c r="E147" s="346"/>
      <c r="F147" s="347"/>
      <c r="G147" s="348"/>
      <c r="H147" s="349"/>
      <c r="I147" s="348"/>
      <c r="J147" s="348"/>
      <c r="K147" s="348"/>
      <c r="L147" s="350"/>
      <c r="M147" s="344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</row>
    <row r="148" ht="15.75" customHeight="1">
      <c r="A148" s="345"/>
      <c r="B148" s="346" t="b">
        <v>0</v>
      </c>
      <c r="C148" s="346"/>
      <c r="D148" s="346"/>
      <c r="E148" s="346"/>
      <c r="F148" s="347"/>
      <c r="G148" s="348"/>
      <c r="H148" s="349"/>
      <c r="I148" s="348"/>
      <c r="J148" s="348"/>
      <c r="K148" s="348"/>
      <c r="L148" s="350"/>
      <c r="M148" s="344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</row>
    <row r="149" ht="15.75" customHeight="1">
      <c r="A149" s="345"/>
      <c r="B149" s="346" t="b">
        <v>0</v>
      </c>
      <c r="C149" s="346"/>
      <c r="D149" s="346"/>
      <c r="E149" s="346"/>
      <c r="F149" s="347"/>
      <c r="G149" s="348"/>
      <c r="H149" s="349"/>
      <c r="I149" s="348"/>
      <c r="J149" s="348"/>
      <c r="K149" s="348"/>
      <c r="L149" s="350"/>
      <c r="M149" s="344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</row>
    <row r="150" ht="15.75" customHeight="1">
      <c r="A150" s="345"/>
      <c r="B150" s="346" t="b">
        <v>0</v>
      </c>
      <c r="C150" s="346"/>
      <c r="D150" s="346"/>
      <c r="E150" s="346"/>
      <c r="F150" s="347"/>
      <c r="G150" s="348"/>
      <c r="H150" s="349"/>
      <c r="I150" s="348"/>
      <c r="J150" s="348"/>
      <c r="K150" s="348"/>
      <c r="L150" s="350"/>
      <c r="M150" s="344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</row>
    <row r="151" ht="15.75" customHeight="1">
      <c r="A151" s="345"/>
      <c r="B151" s="346" t="b">
        <v>0</v>
      </c>
      <c r="C151" s="346"/>
      <c r="D151" s="346"/>
      <c r="E151" s="346"/>
      <c r="F151" s="347"/>
      <c r="G151" s="348"/>
      <c r="H151" s="349"/>
      <c r="I151" s="348"/>
      <c r="J151" s="348"/>
      <c r="K151" s="348"/>
      <c r="L151" s="350"/>
      <c r="M151" s="344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</row>
    <row r="152" ht="15.75" customHeight="1">
      <c r="A152" s="345"/>
      <c r="B152" s="346" t="b">
        <v>0</v>
      </c>
      <c r="C152" s="346"/>
      <c r="D152" s="346"/>
      <c r="E152" s="346"/>
      <c r="F152" s="347"/>
      <c r="G152" s="348"/>
      <c r="H152" s="349"/>
      <c r="I152" s="348"/>
      <c r="J152" s="348"/>
      <c r="K152" s="348"/>
      <c r="L152" s="350"/>
      <c r="M152" s="344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 ht="15.75" customHeight="1">
      <c r="A153" s="345"/>
      <c r="B153" s="346" t="b">
        <v>0</v>
      </c>
      <c r="C153" s="346"/>
      <c r="D153" s="346"/>
      <c r="E153" s="346"/>
      <c r="F153" s="347"/>
      <c r="G153" s="348"/>
      <c r="H153" s="349"/>
      <c r="I153" s="348"/>
      <c r="J153" s="348"/>
      <c r="K153" s="348"/>
      <c r="L153" s="350"/>
      <c r="M153" s="344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</row>
    <row r="154" ht="15.75" customHeight="1">
      <c r="A154" s="345"/>
      <c r="B154" s="346" t="b">
        <v>0</v>
      </c>
      <c r="C154" s="346"/>
      <c r="D154" s="346"/>
      <c r="E154" s="346"/>
      <c r="F154" s="347"/>
      <c r="G154" s="348"/>
      <c r="H154" s="349"/>
      <c r="I154" s="348"/>
      <c r="J154" s="348"/>
      <c r="K154" s="348"/>
      <c r="L154" s="350"/>
      <c r="M154" s="344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 ht="15.75" customHeight="1">
      <c r="A155" s="345"/>
      <c r="B155" s="346" t="b">
        <v>0</v>
      </c>
      <c r="C155" s="346"/>
      <c r="D155" s="346"/>
      <c r="E155" s="346"/>
      <c r="F155" s="347"/>
      <c r="G155" s="348"/>
      <c r="H155" s="349"/>
      <c r="I155" s="348"/>
      <c r="J155" s="348"/>
      <c r="K155" s="348"/>
      <c r="L155" s="350"/>
      <c r="M155" s="344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</row>
    <row r="156" ht="15.75" customHeight="1">
      <c r="A156" s="345"/>
      <c r="B156" s="346" t="b">
        <v>0</v>
      </c>
      <c r="C156" s="346"/>
      <c r="D156" s="346"/>
      <c r="E156" s="346"/>
      <c r="F156" s="347"/>
      <c r="G156" s="348"/>
      <c r="H156" s="349"/>
      <c r="I156" s="348"/>
      <c r="J156" s="348"/>
      <c r="K156" s="348"/>
      <c r="L156" s="350"/>
      <c r="M156" s="344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</row>
    <row r="157" ht="15.75" customHeight="1">
      <c r="A157" s="345"/>
      <c r="B157" s="346" t="b">
        <v>0</v>
      </c>
      <c r="C157" s="346"/>
      <c r="D157" s="346"/>
      <c r="E157" s="346"/>
      <c r="F157" s="347"/>
      <c r="G157" s="348"/>
      <c r="H157" s="349"/>
      <c r="I157" s="348"/>
      <c r="J157" s="348"/>
      <c r="K157" s="348"/>
      <c r="L157" s="350"/>
      <c r="M157" s="344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</row>
    <row r="158" ht="15.75" customHeight="1">
      <c r="A158" s="345"/>
      <c r="B158" s="346" t="b">
        <v>0</v>
      </c>
      <c r="C158" s="346"/>
      <c r="D158" s="346"/>
      <c r="E158" s="346"/>
      <c r="F158" s="347"/>
      <c r="G158" s="348"/>
      <c r="H158" s="349"/>
      <c r="I158" s="348"/>
      <c r="J158" s="348"/>
      <c r="K158" s="348"/>
      <c r="L158" s="350"/>
      <c r="M158" s="344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</row>
    <row r="159" ht="15.75" customHeight="1">
      <c r="A159" s="345"/>
      <c r="B159" s="346" t="b">
        <v>0</v>
      </c>
      <c r="C159" s="346"/>
      <c r="D159" s="346"/>
      <c r="E159" s="346"/>
      <c r="F159" s="347"/>
      <c r="G159" s="348"/>
      <c r="H159" s="349"/>
      <c r="I159" s="348"/>
      <c r="J159" s="348"/>
      <c r="K159" s="348"/>
      <c r="L159" s="350"/>
      <c r="M159" s="344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</row>
    <row r="160" ht="15.75" customHeight="1">
      <c r="A160" s="345"/>
      <c r="B160" s="346" t="b">
        <v>0</v>
      </c>
      <c r="C160" s="346"/>
      <c r="D160" s="346"/>
      <c r="E160" s="346"/>
      <c r="F160" s="347"/>
      <c r="G160" s="348"/>
      <c r="H160" s="349"/>
      <c r="I160" s="348"/>
      <c r="J160" s="348"/>
      <c r="K160" s="348"/>
      <c r="L160" s="350"/>
      <c r="M160" s="344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</row>
    <row r="161" ht="15.75" customHeight="1">
      <c r="A161" s="345"/>
      <c r="B161" s="346" t="b">
        <v>0</v>
      </c>
      <c r="C161" s="346"/>
      <c r="D161" s="346"/>
      <c r="E161" s="346"/>
      <c r="F161" s="347"/>
      <c r="G161" s="348"/>
      <c r="H161" s="349"/>
      <c r="I161" s="348"/>
      <c r="J161" s="348"/>
      <c r="K161" s="348"/>
      <c r="L161" s="350"/>
      <c r="M161" s="344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</row>
    <row r="162" ht="15.75" customHeight="1">
      <c r="A162" s="345"/>
      <c r="B162" s="346" t="b">
        <v>0</v>
      </c>
      <c r="C162" s="346"/>
      <c r="D162" s="346"/>
      <c r="E162" s="346"/>
      <c r="F162" s="347"/>
      <c r="G162" s="348"/>
      <c r="H162" s="349"/>
      <c r="I162" s="348"/>
      <c r="J162" s="348"/>
      <c r="K162" s="348"/>
      <c r="L162" s="350"/>
      <c r="M162" s="344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</row>
    <row r="163" ht="15.75" customHeight="1">
      <c r="A163" s="345"/>
      <c r="B163" s="346" t="b">
        <v>0</v>
      </c>
      <c r="C163" s="346"/>
      <c r="D163" s="346"/>
      <c r="E163" s="346"/>
      <c r="F163" s="347"/>
      <c r="G163" s="348"/>
      <c r="H163" s="349"/>
      <c r="I163" s="348"/>
      <c r="J163" s="348"/>
      <c r="K163" s="348"/>
      <c r="L163" s="350"/>
      <c r="M163" s="344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</row>
    <row r="164" ht="15.75" customHeight="1">
      <c r="A164" s="345"/>
      <c r="B164" s="346" t="b">
        <v>0</v>
      </c>
      <c r="C164" s="346"/>
      <c r="D164" s="346"/>
      <c r="E164" s="346"/>
      <c r="F164" s="347"/>
      <c r="G164" s="348"/>
      <c r="H164" s="349"/>
      <c r="I164" s="348"/>
      <c r="J164" s="348"/>
      <c r="K164" s="348"/>
      <c r="L164" s="350"/>
      <c r="M164" s="344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</row>
    <row r="165" ht="15.75" customHeight="1">
      <c r="A165" s="345"/>
      <c r="B165" s="346" t="b">
        <v>0</v>
      </c>
      <c r="C165" s="346"/>
      <c r="D165" s="346"/>
      <c r="E165" s="346"/>
      <c r="F165" s="347"/>
      <c r="G165" s="348"/>
      <c r="H165" s="349"/>
      <c r="I165" s="348"/>
      <c r="J165" s="348"/>
      <c r="K165" s="348"/>
      <c r="L165" s="350"/>
      <c r="M165" s="344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</row>
    <row r="166" ht="15.75" customHeight="1">
      <c r="A166" s="345"/>
      <c r="B166" s="346" t="b">
        <v>0</v>
      </c>
      <c r="C166" s="346"/>
      <c r="D166" s="346"/>
      <c r="E166" s="346"/>
      <c r="F166" s="347"/>
      <c r="G166" s="348"/>
      <c r="H166" s="349"/>
      <c r="I166" s="348"/>
      <c r="J166" s="348"/>
      <c r="K166" s="348"/>
      <c r="L166" s="350"/>
      <c r="M166" s="344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</row>
    <row r="167" ht="15.75" customHeight="1">
      <c r="A167" s="345"/>
      <c r="B167" s="346" t="b">
        <v>0</v>
      </c>
      <c r="C167" s="346"/>
      <c r="D167" s="346"/>
      <c r="E167" s="346"/>
      <c r="F167" s="347"/>
      <c r="G167" s="348"/>
      <c r="H167" s="349"/>
      <c r="I167" s="348"/>
      <c r="J167" s="348"/>
      <c r="K167" s="348"/>
      <c r="L167" s="350"/>
      <c r="M167" s="344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</row>
    <row r="168" ht="15.75" customHeight="1">
      <c r="A168" s="345"/>
      <c r="B168" s="346" t="b">
        <v>0</v>
      </c>
      <c r="C168" s="346"/>
      <c r="D168" s="346"/>
      <c r="E168" s="346"/>
      <c r="F168" s="347"/>
      <c r="G168" s="348"/>
      <c r="H168" s="349"/>
      <c r="I168" s="348"/>
      <c r="J168" s="348"/>
      <c r="K168" s="348"/>
      <c r="L168" s="350"/>
      <c r="M168" s="344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</row>
    <row r="169" ht="15.75" customHeight="1">
      <c r="A169" s="345"/>
      <c r="B169" s="346" t="b">
        <v>0</v>
      </c>
      <c r="C169" s="346"/>
      <c r="D169" s="346"/>
      <c r="E169" s="346"/>
      <c r="F169" s="347"/>
      <c r="G169" s="348"/>
      <c r="H169" s="349"/>
      <c r="I169" s="348"/>
      <c r="J169" s="348"/>
      <c r="K169" s="348"/>
      <c r="L169" s="350"/>
      <c r="M169" s="344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</row>
    <row r="170" ht="15.75" customHeight="1">
      <c r="A170" s="345"/>
      <c r="B170" s="346" t="b">
        <v>0</v>
      </c>
      <c r="C170" s="346"/>
      <c r="D170" s="346"/>
      <c r="E170" s="346"/>
      <c r="F170" s="347"/>
      <c r="G170" s="348"/>
      <c r="H170" s="349"/>
      <c r="I170" s="348"/>
      <c r="J170" s="348"/>
      <c r="K170" s="348"/>
      <c r="L170" s="350"/>
      <c r="M170" s="344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</row>
    <row r="171" ht="15.75" customHeight="1">
      <c r="A171" s="345"/>
      <c r="B171" s="346" t="b">
        <v>0</v>
      </c>
      <c r="C171" s="346"/>
      <c r="D171" s="346"/>
      <c r="E171" s="346"/>
      <c r="F171" s="347"/>
      <c r="G171" s="348"/>
      <c r="H171" s="349"/>
      <c r="I171" s="348"/>
      <c r="J171" s="348"/>
      <c r="K171" s="348"/>
      <c r="L171" s="350"/>
      <c r="M171" s="344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</row>
    <row r="172" ht="15.75" customHeight="1">
      <c r="A172" s="345"/>
      <c r="B172" s="346" t="b">
        <v>0</v>
      </c>
      <c r="C172" s="346"/>
      <c r="D172" s="346"/>
      <c r="E172" s="346"/>
      <c r="F172" s="347"/>
      <c r="G172" s="348"/>
      <c r="H172" s="349"/>
      <c r="I172" s="348"/>
      <c r="J172" s="348"/>
      <c r="K172" s="348"/>
      <c r="L172" s="350"/>
      <c r="M172" s="344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</row>
    <row r="173" ht="15.75" customHeight="1">
      <c r="A173" s="345"/>
      <c r="B173" s="346" t="b">
        <v>0</v>
      </c>
      <c r="C173" s="346"/>
      <c r="D173" s="346"/>
      <c r="E173" s="346"/>
      <c r="F173" s="347"/>
      <c r="G173" s="348"/>
      <c r="H173" s="349"/>
      <c r="I173" s="348"/>
      <c r="J173" s="348"/>
      <c r="K173" s="348"/>
      <c r="L173" s="350"/>
      <c r="M173" s="344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 ht="15.75" customHeight="1">
      <c r="A174" s="345"/>
      <c r="B174" s="346" t="b">
        <v>0</v>
      </c>
      <c r="C174" s="346"/>
      <c r="D174" s="346"/>
      <c r="E174" s="346"/>
      <c r="F174" s="347"/>
      <c r="G174" s="348"/>
      <c r="H174" s="349"/>
      <c r="I174" s="348"/>
      <c r="J174" s="348"/>
      <c r="K174" s="348"/>
      <c r="L174" s="350"/>
      <c r="M174" s="344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</row>
    <row r="175" ht="15.75" customHeight="1">
      <c r="A175" s="345"/>
      <c r="B175" s="346" t="b">
        <v>0</v>
      </c>
      <c r="C175" s="346"/>
      <c r="D175" s="346"/>
      <c r="E175" s="346"/>
      <c r="F175" s="347"/>
      <c r="G175" s="348"/>
      <c r="H175" s="349"/>
      <c r="I175" s="348"/>
      <c r="J175" s="348"/>
      <c r="K175" s="348"/>
      <c r="L175" s="350"/>
      <c r="M175" s="344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</row>
    <row r="176" ht="15.75" customHeight="1">
      <c r="A176" s="345"/>
      <c r="B176" s="346" t="b">
        <v>0</v>
      </c>
      <c r="C176" s="346"/>
      <c r="D176" s="346"/>
      <c r="E176" s="346"/>
      <c r="F176" s="347"/>
      <c r="G176" s="348"/>
      <c r="H176" s="349"/>
      <c r="I176" s="348"/>
      <c r="J176" s="348"/>
      <c r="K176" s="348"/>
      <c r="L176" s="350"/>
      <c r="M176" s="344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</row>
    <row r="177" ht="15.75" customHeight="1">
      <c r="A177" s="345"/>
      <c r="B177" s="346" t="b">
        <v>0</v>
      </c>
      <c r="C177" s="346"/>
      <c r="D177" s="346"/>
      <c r="E177" s="346"/>
      <c r="F177" s="347"/>
      <c r="G177" s="348"/>
      <c r="H177" s="349"/>
      <c r="I177" s="348"/>
      <c r="J177" s="348"/>
      <c r="K177" s="348"/>
      <c r="L177" s="350"/>
      <c r="M177" s="344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</row>
    <row r="178" ht="15.75" customHeight="1">
      <c r="A178" s="345"/>
      <c r="B178" s="346" t="b">
        <v>0</v>
      </c>
      <c r="C178" s="346"/>
      <c r="D178" s="346"/>
      <c r="E178" s="346"/>
      <c r="F178" s="347"/>
      <c r="G178" s="348"/>
      <c r="H178" s="349"/>
      <c r="I178" s="348"/>
      <c r="J178" s="348"/>
      <c r="K178" s="348"/>
      <c r="L178" s="350"/>
      <c r="M178" s="344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</row>
    <row r="179" ht="15.75" customHeight="1">
      <c r="A179" s="345"/>
      <c r="B179" s="346" t="b">
        <v>0</v>
      </c>
      <c r="C179" s="346"/>
      <c r="D179" s="346"/>
      <c r="E179" s="346"/>
      <c r="F179" s="347"/>
      <c r="G179" s="348"/>
      <c r="H179" s="349"/>
      <c r="I179" s="348"/>
      <c r="J179" s="348"/>
      <c r="K179" s="348"/>
      <c r="L179" s="350"/>
      <c r="M179" s="344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</row>
    <row r="180" ht="15.75" customHeight="1">
      <c r="A180" s="345"/>
      <c r="B180" s="346" t="b">
        <v>0</v>
      </c>
      <c r="C180" s="346"/>
      <c r="D180" s="346"/>
      <c r="E180" s="346"/>
      <c r="F180" s="347"/>
      <c r="G180" s="348"/>
      <c r="H180" s="349"/>
      <c r="I180" s="348"/>
      <c r="J180" s="348"/>
      <c r="K180" s="348"/>
      <c r="L180" s="350"/>
      <c r="M180" s="344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</row>
    <row r="181" ht="15.75" customHeight="1">
      <c r="A181" s="345"/>
      <c r="B181" s="346" t="b">
        <v>0</v>
      </c>
      <c r="C181" s="346"/>
      <c r="D181" s="346"/>
      <c r="E181" s="346"/>
      <c r="F181" s="347"/>
      <c r="G181" s="348"/>
      <c r="H181" s="349"/>
      <c r="I181" s="348"/>
      <c r="J181" s="348"/>
      <c r="K181" s="348"/>
      <c r="L181" s="350"/>
      <c r="M181" s="344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</row>
    <row r="182" ht="15.75" customHeight="1">
      <c r="A182" s="345"/>
      <c r="B182" s="346" t="b">
        <v>0</v>
      </c>
      <c r="C182" s="346"/>
      <c r="D182" s="346"/>
      <c r="E182" s="346"/>
      <c r="F182" s="347"/>
      <c r="G182" s="348"/>
      <c r="H182" s="349"/>
      <c r="I182" s="348"/>
      <c r="J182" s="348"/>
      <c r="K182" s="348"/>
      <c r="L182" s="350"/>
      <c r="M182" s="344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</row>
    <row r="183" ht="15.75" customHeight="1">
      <c r="A183" s="345"/>
      <c r="B183" s="346" t="b">
        <v>0</v>
      </c>
      <c r="C183" s="346"/>
      <c r="D183" s="346"/>
      <c r="E183" s="346"/>
      <c r="F183" s="347"/>
      <c r="G183" s="348"/>
      <c r="H183" s="349"/>
      <c r="I183" s="348"/>
      <c r="J183" s="348"/>
      <c r="K183" s="348"/>
      <c r="L183" s="350"/>
      <c r="M183" s="344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</row>
    <row r="184" ht="15.75" customHeight="1">
      <c r="A184" s="345"/>
      <c r="B184" s="346" t="b">
        <v>0</v>
      </c>
      <c r="C184" s="346"/>
      <c r="D184" s="346"/>
      <c r="E184" s="346"/>
      <c r="F184" s="347"/>
      <c r="G184" s="348"/>
      <c r="H184" s="349"/>
      <c r="I184" s="348"/>
      <c r="J184" s="348"/>
      <c r="K184" s="348"/>
      <c r="L184" s="350"/>
      <c r="M184" s="344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</row>
    <row r="185" ht="15.75" customHeight="1">
      <c r="A185" s="345"/>
      <c r="B185" s="346" t="b">
        <v>0</v>
      </c>
      <c r="C185" s="346"/>
      <c r="D185" s="346"/>
      <c r="E185" s="346"/>
      <c r="F185" s="347"/>
      <c r="G185" s="348"/>
      <c r="H185" s="349"/>
      <c r="I185" s="348"/>
      <c r="J185" s="348"/>
      <c r="K185" s="348"/>
      <c r="L185" s="350"/>
      <c r="M185" s="344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</row>
    <row r="186" ht="15.75" customHeight="1">
      <c r="A186" s="345"/>
      <c r="B186" s="346" t="b">
        <v>0</v>
      </c>
      <c r="C186" s="346"/>
      <c r="D186" s="346"/>
      <c r="E186" s="346"/>
      <c r="F186" s="347"/>
      <c r="G186" s="348"/>
      <c r="H186" s="349"/>
      <c r="I186" s="348"/>
      <c r="J186" s="348"/>
      <c r="K186" s="348"/>
      <c r="L186" s="350"/>
      <c r="M186" s="344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</row>
    <row r="187" ht="15.75" customHeight="1">
      <c r="A187" s="345"/>
      <c r="B187" s="346" t="b">
        <v>0</v>
      </c>
      <c r="C187" s="346"/>
      <c r="D187" s="346"/>
      <c r="E187" s="346"/>
      <c r="F187" s="347"/>
      <c r="G187" s="348"/>
      <c r="H187" s="349"/>
      <c r="I187" s="348"/>
      <c r="J187" s="348"/>
      <c r="K187" s="348"/>
      <c r="L187" s="350"/>
      <c r="M187" s="344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</row>
    <row r="188" ht="15.75" customHeight="1">
      <c r="A188" s="345"/>
      <c r="B188" s="346" t="b">
        <v>0</v>
      </c>
      <c r="C188" s="346"/>
      <c r="D188" s="346"/>
      <c r="E188" s="346"/>
      <c r="F188" s="347"/>
      <c r="G188" s="348"/>
      <c r="H188" s="349"/>
      <c r="I188" s="348"/>
      <c r="J188" s="348"/>
      <c r="K188" s="348"/>
      <c r="L188" s="350"/>
      <c r="M188" s="344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</row>
    <row r="189" ht="15.75" customHeight="1">
      <c r="A189" s="345"/>
      <c r="B189" s="346" t="b">
        <v>0</v>
      </c>
      <c r="C189" s="346"/>
      <c r="D189" s="346"/>
      <c r="E189" s="346"/>
      <c r="F189" s="347"/>
      <c r="G189" s="348"/>
      <c r="H189" s="349"/>
      <c r="I189" s="348"/>
      <c r="J189" s="348"/>
      <c r="K189" s="348"/>
      <c r="L189" s="350"/>
      <c r="M189" s="344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</row>
    <row r="190" ht="15.75" customHeight="1">
      <c r="A190" s="345"/>
      <c r="B190" s="346" t="b">
        <v>0</v>
      </c>
      <c r="C190" s="346"/>
      <c r="D190" s="346"/>
      <c r="E190" s="346"/>
      <c r="F190" s="347"/>
      <c r="G190" s="348"/>
      <c r="H190" s="349"/>
      <c r="I190" s="348"/>
      <c r="J190" s="348"/>
      <c r="K190" s="348"/>
      <c r="L190" s="350"/>
      <c r="M190" s="344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</row>
    <row r="191" ht="15.75" customHeight="1">
      <c r="A191" s="345"/>
      <c r="B191" s="346" t="b">
        <v>0</v>
      </c>
      <c r="C191" s="346"/>
      <c r="D191" s="346"/>
      <c r="E191" s="346"/>
      <c r="F191" s="347"/>
      <c r="G191" s="348"/>
      <c r="H191" s="349"/>
      <c r="I191" s="348"/>
      <c r="J191" s="348"/>
      <c r="K191" s="348"/>
      <c r="L191" s="350"/>
      <c r="M191" s="344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</row>
    <row r="192" ht="15.75" customHeight="1">
      <c r="A192" s="345"/>
      <c r="B192" s="346" t="b">
        <v>0</v>
      </c>
      <c r="C192" s="346"/>
      <c r="D192" s="346"/>
      <c r="E192" s="346"/>
      <c r="F192" s="347"/>
      <c r="G192" s="348"/>
      <c r="H192" s="349"/>
      <c r="I192" s="348"/>
      <c r="J192" s="348"/>
      <c r="K192" s="348"/>
      <c r="L192" s="350"/>
      <c r="M192" s="344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</row>
    <row r="193" ht="15.75" customHeight="1">
      <c r="A193" s="345"/>
      <c r="B193" s="346" t="b">
        <v>0</v>
      </c>
      <c r="C193" s="346"/>
      <c r="D193" s="346"/>
      <c r="E193" s="346"/>
      <c r="F193" s="347"/>
      <c r="G193" s="348"/>
      <c r="H193" s="349"/>
      <c r="I193" s="348"/>
      <c r="J193" s="348"/>
      <c r="K193" s="348"/>
      <c r="L193" s="350"/>
      <c r="M193" s="344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</row>
    <row r="194" ht="15.75" customHeight="1">
      <c r="A194" s="345"/>
      <c r="B194" s="346" t="b">
        <v>0</v>
      </c>
      <c r="C194" s="346"/>
      <c r="D194" s="346"/>
      <c r="E194" s="346"/>
      <c r="F194" s="347"/>
      <c r="G194" s="348"/>
      <c r="H194" s="349"/>
      <c r="I194" s="348"/>
      <c r="J194" s="348"/>
      <c r="K194" s="348"/>
      <c r="L194" s="350"/>
      <c r="M194" s="344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</row>
    <row r="195" ht="15.75" customHeight="1">
      <c r="A195" s="345"/>
      <c r="B195" s="346" t="b">
        <v>0</v>
      </c>
      <c r="C195" s="346"/>
      <c r="D195" s="346"/>
      <c r="E195" s="346"/>
      <c r="F195" s="347"/>
      <c r="G195" s="348"/>
      <c r="H195" s="349"/>
      <c r="I195" s="348"/>
      <c r="J195" s="348"/>
      <c r="K195" s="348"/>
      <c r="L195" s="350"/>
      <c r="M195" s="344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</row>
    <row r="196" ht="15.75" customHeight="1">
      <c r="A196" s="345"/>
      <c r="B196" s="346" t="b">
        <v>0</v>
      </c>
      <c r="C196" s="346"/>
      <c r="D196" s="346"/>
      <c r="E196" s="346"/>
      <c r="F196" s="347"/>
      <c r="G196" s="348"/>
      <c r="H196" s="349"/>
      <c r="I196" s="348"/>
      <c r="J196" s="348"/>
      <c r="K196" s="348"/>
      <c r="L196" s="350"/>
      <c r="M196" s="344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</row>
    <row r="197" ht="15.75" customHeight="1">
      <c r="A197" s="345"/>
      <c r="B197" s="346" t="b">
        <v>0</v>
      </c>
      <c r="C197" s="346"/>
      <c r="D197" s="346"/>
      <c r="E197" s="346"/>
      <c r="F197" s="347"/>
      <c r="G197" s="348"/>
      <c r="H197" s="349"/>
      <c r="I197" s="348"/>
      <c r="J197" s="348"/>
      <c r="K197" s="348"/>
      <c r="L197" s="350"/>
      <c r="M197" s="344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</row>
    <row r="198" ht="15.75" customHeight="1">
      <c r="A198" s="345"/>
      <c r="B198" s="346" t="b">
        <v>0</v>
      </c>
      <c r="C198" s="346"/>
      <c r="D198" s="346"/>
      <c r="E198" s="346"/>
      <c r="F198" s="347"/>
      <c r="G198" s="348"/>
      <c r="H198" s="349"/>
      <c r="I198" s="348"/>
      <c r="J198" s="348"/>
      <c r="K198" s="348"/>
      <c r="L198" s="350"/>
      <c r="M198" s="344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</row>
    <row r="199" ht="15.75" customHeight="1">
      <c r="A199" s="345"/>
      <c r="B199" s="346" t="b">
        <v>0</v>
      </c>
      <c r="C199" s="346"/>
      <c r="D199" s="346"/>
      <c r="E199" s="346"/>
      <c r="F199" s="347"/>
      <c r="G199" s="348"/>
      <c r="H199" s="349"/>
      <c r="I199" s="348"/>
      <c r="J199" s="348"/>
      <c r="K199" s="348"/>
      <c r="L199" s="350"/>
      <c r="M199" s="344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</row>
    <row r="200" ht="15.75" customHeight="1">
      <c r="A200" s="345"/>
      <c r="B200" s="346" t="b">
        <v>0</v>
      </c>
      <c r="C200" s="346"/>
      <c r="D200" s="346"/>
      <c r="E200" s="346"/>
      <c r="F200" s="347"/>
      <c r="G200" s="348"/>
      <c r="H200" s="349"/>
      <c r="I200" s="348"/>
      <c r="J200" s="348"/>
      <c r="K200" s="348"/>
      <c r="L200" s="350"/>
      <c r="M200" s="344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</row>
    <row r="201" ht="15.75" customHeight="1">
      <c r="A201" s="345"/>
      <c r="B201" s="346" t="b">
        <v>0</v>
      </c>
      <c r="C201" s="346"/>
      <c r="D201" s="346"/>
      <c r="E201" s="346"/>
      <c r="F201" s="347"/>
      <c r="G201" s="348"/>
      <c r="H201" s="349"/>
      <c r="I201" s="348"/>
      <c r="J201" s="348"/>
      <c r="K201" s="348"/>
      <c r="L201" s="350"/>
      <c r="M201" s="344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</row>
    <row r="202" ht="15.75" customHeight="1">
      <c r="A202" s="345"/>
      <c r="B202" s="346" t="b">
        <v>0</v>
      </c>
      <c r="C202" s="346"/>
      <c r="D202" s="346"/>
      <c r="E202" s="346"/>
      <c r="F202" s="347"/>
      <c r="G202" s="348"/>
      <c r="H202" s="349"/>
      <c r="I202" s="348"/>
      <c r="J202" s="348"/>
      <c r="K202" s="348"/>
      <c r="L202" s="350"/>
      <c r="M202" s="344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</row>
    <row r="203" ht="15.75" customHeight="1">
      <c r="A203" s="345"/>
      <c r="B203" s="346" t="b">
        <v>0</v>
      </c>
      <c r="C203" s="346"/>
      <c r="D203" s="346"/>
      <c r="E203" s="346"/>
      <c r="F203" s="347"/>
      <c r="G203" s="348"/>
      <c r="H203" s="349"/>
      <c r="I203" s="348"/>
      <c r="J203" s="348"/>
      <c r="K203" s="348"/>
      <c r="L203" s="350"/>
      <c r="M203" s="344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</row>
    <row r="204" ht="15.75" customHeight="1">
      <c r="A204" s="345"/>
      <c r="B204" s="346" t="b">
        <v>0</v>
      </c>
      <c r="C204" s="346"/>
      <c r="D204" s="346"/>
      <c r="E204" s="346"/>
      <c r="F204" s="347"/>
      <c r="G204" s="348"/>
      <c r="H204" s="349"/>
      <c r="I204" s="348"/>
      <c r="J204" s="348"/>
      <c r="K204" s="348"/>
      <c r="L204" s="350"/>
      <c r="M204" s="344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</row>
    <row r="205" ht="15.75" customHeight="1">
      <c r="A205" s="345"/>
      <c r="B205" s="346" t="b">
        <v>0</v>
      </c>
      <c r="C205" s="346"/>
      <c r="D205" s="346"/>
      <c r="E205" s="346"/>
      <c r="F205" s="347"/>
      <c r="G205" s="348"/>
      <c r="H205" s="349"/>
      <c r="I205" s="348"/>
      <c r="J205" s="348"/>
      <c r="K205" s="348"/>
      <c r="L205" s="350"/>
      <c r="M205" s="344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</row>
    <row r="206" ht="15.75" customHeight="1">
      <c r="A206" s="345"/>
      <c r="B206" s="346" t="b">
        <v>0</v>
      </c>
      <c r="C206" s="346"/>
      <c r="D206" s="346"/>
      <c r="E206" s="346"/>
      <c r="F206" s="347"/>
      <c r="G206" s="348"/>
      <c r="H206" s="349"/>
      <c r="I206" s="348"/>
      <c r="J206" s="348"/>
      <c r="K206" s="348"/>
      <c r="L206" s="350"/>
      <c r="M206" s="344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</row>
    <row r="207" ht="15.75" customHeight="1">
      <c r="A207" s="345"/>
      <c r="B207" s="346" t="b">
        <v>0</v>
      </c>
      <c r="C207" s="346"/>
      <c r="D207" s="346"/>
      <c r="E207" s="346"/>
      <c r="F207" s="347"/>
      <c r="G207" s="348"/>
      <c r="H207" s="349"/>
      <c r="I207" s="348"/>
      <c r="J207" s="348"/>
      <c r="K207" s="348"/>
      <c r="L207" s="350"/>
      <c r="M207" s="344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</row>
    <row r="208" ht="15.75" customHeight="1">
      <c r="A208" s="345"/>
      <c r="B208" s="346" t="b">
        <v>0</v>
      </c>
      <c r="C208" s="346"/>
      <c r="D208" s="346"/>
      <c r="E208" s="346"/>
      <c r="F208" s="347"/>
      <c r="G208" s="348"/>
      <c r="H208" s="349"/>
      <c r="I208" s="348"/>
      <c r="J208" s="348"/>
      <c r="K208" s="348"/>
      <c r="L208" s="350"/>
      <c r="M208" s="344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</row>
    <row r="209" ht="15.75" customHeight="1">
      <c r="A209" s="345"/>
      <c r="B209" s="346" t="b">
        <v>0</v>
      </c>
      <c r="C209" s="346"/>
      <c r="D209" s="346"/>
      <c r="E209" s="346"/>
      <c r="F209" s="347"/>
      <c r="G209" s="348"/>
      <c r="H209" s="349"/>
      <c r="I209" s="348"/>
      <c r="J209" s="348"/>
      <c r="K209" s="348"/>
      <c r="L209" s="350"/>
      <c r="M209" s="344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</row>
    <row r="210" ht="15.75" customHeight="1">
      <c r="A210" s="345"/>
      <c r="B210" s="346" t="b">
        <v>0</v>
      </c>
      <c r="C210" s="346"/>
      <c r="D210" s="346"/>
      <c r="E210" s="346"/>
      <c r="F210" s="347"/>
      <c r="G210" s="348"/>
      <c r="H210" s="349"/>
      <c r="I210" s="348"/>
      <c r="J210" s="348"/>
      <c r="K210" s="348"/>
      <c r="L210" s="350"/>
      <c r="M210" s="344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</row>
    <row r="211" ht="15.75" customHeight="1">
      <c r="A211" s="345"/>
      <c r="B211" s="346" t="b">
        <v>0</v>
      </c>
      <c r="C211" s="346"/>
      <c r="D211" s="346"/>
      <c r="E211" s="346"/>
      <c r="F211" s="347"/>
      <c r="G211" s="348"/>
      <c r="H211" s="349"/>
      <c r="I211" s="348"/>
      <c r="J211" s="348"/>
      <c r="K211" s="348"/>
      <c r="L211" s="350"/>
      <c r="M211" s="344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</row>
    <row r="212" ht="15.75" customHeight="1">
      <c r="A212" s="345"/>
      <c r="B212" s="346" t="b">
        <v>0</v>
      </c>
      <c r="C212" s="346"/>
      <c r="D212" s="346"/>
      <c r="E212" s="346"/>
      <c r="F212" s="347"/>
      <c r="G212" s="348"/>
      <c r="H212" s="349"/>
      <c r="I212" s="348"/>
      <c r="J212" s="348"/>
      <c r="K212" s="348"/>
      <c r="L212" s="350"/>
      <c r="M212" s="344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</row>
    <row r="213" ht="15.75" customHeight="1">
      <c r="A213" s="345"/>
      <c r="B213" s="346" t="b">
        <v>0</v>
      </c>
      <c r="C213" s="346"/>
      <c r="D213" s="346"/>
      <c r="E213" s="346"/>
      <c r="F213" s="347"/>
      <c r="G213" s="348"/>
      <c r="H213" s="349"/>
      <c r="I213" s="348"/>
      <c r="J213" s="348"/>
      <c r="K213" s="348"/>
      <c r="L213" s="350"/>
      <c r="M213" s="344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</row>
    <row r="214" ht="15.75" customHeight="1">
      <c r="A214" s="345"/>
      <c r="B214" s="346" t="b">
        <v>0</v>
      </c>
      <c r="C214" s="346"/>
      <c r="D214" s="346"/>
      <c r="E214" s="346"/>
      <c r="F214" s="347"/>
      <c r="G214" s="348"/>
      <c r="H214" s="349"/>
      <c r="I214" s="348"/>
      <c r="J214" s="348"/>
      <c r="K214" s="348"/>
      <c r="L214" s="350"/>
      <c r="M214" s="344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</row>
    <row r="215" ht="15.75" customHeight="1">
      <c r="A215" s="345"/>
      <c r="B215" s="346" t="b">
        <v>0</v>
      </c>
      <c r="C215" s="346"/>
      <c r="D215" s="346"/>
      <c r="E215" s="346"/>
      <c r="F215" s="347"/>
      <c r="G215" s="348"/>
      <c r="H215" s="349"/>
      <c r="I215" s="348"/>
      <c r="J215" s="348"/>
      <c r="K215" s="348"/>
      <c r="L215" s="350"/>
      <c r="M215" s="344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</row>
    <row r="216" ht="15.75" customHeight="1">
      <c r="A216" s="345"/>
      <c r="B216" s="346" t="b">
        <v>0</v>
      </c>
      <c r="C216" s="346"/>
      <c r="D216" s="346"/>
      <c r="E216" s="346"/>
      <c r="F216" s="347"/>
      <c r="G216" s="348"/>
      <c r="H216" s="349"/>
      <c r="I216" s="348"/>
      <c r="J216" s="348"/>
      <c r="K216" s="348"/>
      <c r="L216" s="350"/>
      <c r="M216" s="344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</row>
    <row r="217" ht="15.75" customHeight="1">
      <c r="A217" s="345"/>
      <c r="B217" s="346" t="b">
        <v>0</v>
      </c>
      <c r="C217" s="346"/>
      <c r="D217" s="346"/>
      <c r="E217" s="346"/>
      <c r="F217" s="347"/>
      <c r="G217" s="348"/>
      <c r="H217" s="349"/>
      <c r="I217" s="348"/>
      <c r="J217" s="348"/>
      <c r="K217" s="348"/>
      <c r="L217" s="350"/>
      <c r="M217" s="344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</row>
    <row r="218" ht="15.75" customHeight="1">
      <c r="A218" s="345"/>
      <c r="B218" s="346" t="b">
        <v>0</v>
      </c>
      <c r="C218" s="346"/>
      <c r="D218" s="346"/>
      <c r="E218" s="346"/>
      <c r="F218" s="347"/>
      <c r="G218" s="348"/>
      <c r="H218" s="349"/>
      <c r="I218" s="348"/>
      <c r="J218" s="348"/>
      <c r="K218" s="348"/>
      <c r="L218" s="350"/>
      <c r="M218" s="344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 ht="15.75" customHeight="1">
      <c r="A219" s="345"/>
      <c r="B219" s="346" t="b">
        <v>0</v>
      </c>
      <c r="C219" s="346"/>
      <c r="D219" s="346"/>
      <c r="E219" s="346"/>
      <c r="F219" s="347"/>
      <c r="G219" s="348"/>
      <c r="H219" s="349"/>
      <c r="I219" s="348"/>
      <c r="J219" s="348"/>
      <c r="K219" s="348"/>
      <c r="L219" s="350"/>
      <c r="M219" s="344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</row>
    <row r="220" ht="15.75" customHeight="1">
      <c r="A220" s="345"/>
      <c r="B220" s="346" t="b">
        <v>0</v>
      </c>
      <c r="C220" s="346"/>
      <c r="D220" s="346"/>
      <c r="E220" s="346"/>
      <c r="F220" s="347"/>
      <c r="G220" s="348"/>
      <c r="H220" s="349"/>
      <c r="I220" s="348"/>
      <c r="J220" s="348"/>
      <c r="K220" s="348"/>
      <c r="L220" s="350"/>
      <c r="M220" s="344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</row>
    <row r="221" ht="15.75" customHeight="1">
      <c r="A221" s="345"/>
      <c r="B221" s="346" t="b">
        <v>0</v>
      </c>
      <c r="C221" s="346"/>
      <c r="D221" s="346"/>
      <c r="E221" s="346"/>
      <c r="F221" s="347"/>
      <c r="G221" s="348"/>
      <c r="H221" s="349"/>
      <c r="I221" s="348"/>
      <c r="J221" s="348"/>
      <c r="K221" s="348"/>
      <c r="L221" s="350"/>
      <c r="M221" s="344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 ht="15.75" customHeight="1">
      <c r="A222" s="345"/>
      <c r="B222" s="346" t="b">
        <v>0</v>
      </c>
      <c r="C222" s="346"/>
      <c r="D222" s="346"/>
      <c r="E222" s="346"/>
      <c r="F222" s="347"/>
      <c r="G222" s="348"/>
      <c r="H222" s="349"/>
      <c r="I222" s="348"/>
      <c r="J222" s="348"/>
      <c r="K222" s="348"/>
      <c r="L222" s="350"/>
      <c r="M222" s="344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</row>
    <row r="223" ht="15.75" customHeight="1">
      <c r="A223" s="345"/>
      <c r="B223" s="346" t="b">
        <v>0</v>
      </c>
      <c r="C223" s="346"/>
      <c r="D223" s="346"/>
      <c r="E223" s="346"/>
      <c r="F223" s="347"/>
      <c r="G223" s="348"/>
      <c r="H223" s="349"/>
      <c r="I223" s="348"/>
      <c r="J223" s="348"/>
      <c r="K223" s="348"/>
      <c r="L223" s="350"/>
      <c r="M223" s="344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</row>
    <row r="224" ht="15.75" customHeight="1">
      <c r="A224" s="345"/>
      <c r="B224" s="346" t="b">
        <v>0</v>
      </c>
      <c r="C224" s="346"/>
      <c r="D224" s="346"/>
      <c r="E224" s="346"/>
      <c r="F224" s="347"/>
      <c r="G224" s="348"/>
      <c r="H224" s="349"/>
      <c r="I224" s="348"/>
      <c r="J224" s="348"/>
      <c r="K224" s="348"/>
      <c r="L224" s="350"/>
      <c r="M224" s="344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</row>
    <row r="225" ht="15.75" customHeight="1">
      <c r="A225" s="345"/>
      <c r="B225" s="346" t="b">
        <v>0</v>
      </c>
      <c r="C225" s="346"/>
      <c r="D225" s="346"/>
      <c r="E225" s="346"/>
      <c r="F225" s="347"/>
      <c r="G225" s="348"/>
      <c r="H225" s="349"/>
      <c r="I225" s="348"/>
      <c r="J225" s="348"/>
      <c r="K225" s="348"/>
      <c r="L225" s="350"/>
      <c r="M225" s="344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</row>
    <row r="226" ht="15.75" customHeight="1">
      <c r="A226" s="345"/>
      <c r="B226" s="346" t="b">
        <v>0</v>
      </c>
      <c r="C226" s="346"/>
      <c r="D226" s="346"/>
      <c r="E226" s="346"/>
      <c r="F226" s="347"/>
      <c r="G226" s="348"/>
      <c r="H226" s="349"/>
      <c r="I226" s="348"/>
      <c r="J226" s="348"/>
      <c r="K226" s="348"/>
      <c r="L226" s="350"/>
      <c r="M226" s="344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</row>
    <row r="227" ht="15.75" customHeight="1">
      <c r="A227" s="345"/>
      <c r="B227" s="346" t="b">
        <v>0</v>
      </c>
      <c r="C227" s="346"/>
      <c r="D227" s="346"/>
      <c r="E227" s="346"/>
      <c r="F227" s="347"/>
      <c r="G227" s="348"/>
      <c r="H227" s="349"/>
      <c r="I227" s="348"/>
      <c r="J227" s="348"/>
      <c r="K227" s="348"/>
      <c r="L227" s="350"/>
      <c r="M227" s="344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</row>
    <row r="228" ht="15.75" customHeight="1">
      <c r="A228" s="345"/>
      <c r="B228" s="346" t="b">
        <v>0</v>
      </c>
      <c r="C228" s="346"/>
      <c r="D228" s="346"/>
      <c r="E228" s="346"/>
      <c r="F228" s="347"/>
      <c r="G228" s="348"/>
      <c r="H228" s="349"/>
      <c r="I228" s="348"/>
      <c r="J228" s="348"/>
      <c r="K228" s="348"/>
      <c r="L228" s="350"/>
      <c r="M228" s="344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</row>
    <row r="229" ht="15.75" customHeight="1">
      <c r="A229" s="345"/>
      <c r="B229" s="346" t="b">
        <v>0</v>
      </c>
      <c r="C229" s="346"/>
      <c r="D229" s="346"/>
      <c r="E229" s="346"/>
      <c r="F229" s="347"/>
      <c r="G229" s="348"/>
      <c r="H229" s="349"/>
      <c r="I229" s="348"/>
      <c r="J229" s="348"/>
      <c r="K229" s="348"/>
      <c r="L229" s="350"/>
      <c r="M229" s="344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</row>
    <row r="230" ht="15.75" customHeight="1">
      <c r="A230" s="345"/>
      <c r="B230" s="346" t="b">
        <v>0</v>
      </c>
      <c r="C230" s="346"/>
      <c r="D230" s="346"/>
      <c r="E230" s="346"/>
      <c r="F230" s="347"/>
      <c r="G230" s="348"/>
      <c r="H230" s="349"/>
      <c r="I230" s="348"/>
      <c r="J230" s="348"/>
      <c r="K230" s="348"/>
      <c r="L230" s="350"/>
      <c r="M230" s="344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</row>
    <row r="231" ht="15.75" customHeight="1">
      <c r="A231" s="345"/>
      <c r="B231" s="346" t="b">
        <v>0</v>
      </c>
      <c r="C231" s="346"/>
      <c r="D231" s="346"/>
      <c r="E231" s="346"/>
      <c r="F231" s="347"/>
      <c r="G231" s="348"/>
      <c r="H231" s="349"/>
      <c r="I231" s="348"/>
      <c r="J231" s="348"/>
      <c r="K231" s="348"/>
      <c r="L231" s="350"/>
      <c r="M231" s="344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</row>
    <row r="232" ht="15.75" customHeight="1">
      <c r="A232" s="345"/>
      <c r="B232" s="346" t="b">
        <v>0</v>
      </c>
      <c r="C232" s="346"/>
      <c r="D232" s="346"/>
      <c r="E232" s="346"/>
      <c r="F232" s="347"/>
      <c r="G232" s="348"/>
      <c r="H232" s="349"/>
      <c r="I232" s="348"/>
      <c r="J232" s="348"/>
      <c r="K232" s="348"/>
      <c r="L232" s="350"/>
      <c r="M232" s="344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</row>
    <row r="233" ht="15.75" customHeight="1">
      <c r="A233" s="345"/>
      <c r="B233" s="346" t="b">
        <v>0</v>
      </c>
      <c r="C233" s="346"/>
      <c r="D233" s="346"/>
      <c r="E233" s="346"/>
      <c r="F233" s="347"/>
      <c r="G233" s="348"/>
      <c r="H233" s="349"/>
      <c r="I233" s="348"/>
      <c r="J233" s="348"/>
      <c r="K233" s="348"/>
      <c r="L233" s="350"/>
      <c r="M233" s="344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 ht="15.75" customHeight="1">
      <c r="A234" s="345"/>
      <c r="B234" s="346" t="b">
        <v>0</v>
      </c>
      <c r="C234" s="346"/>
      <c r="D234" s="346"/>
      <c r="E234" s="346"/>
      <c r="F234" s="347"/>
      <c r="G234" s="348"/>
      <c r="H234" s="349"/>
      <c r="I234" s="348"/>
      <c r="J234" s="348"/>
      <c r="K234" s="348"/>
      <c r="L234" s="350"/>
      <c r="M234" s="344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 ht="15.75" customHeight="1">
      <c r="A235" s="345"/>
      <c r="B235" s="346" t="b">
        <v>0</v>
      </c>
      <c r="C235" s="346"/>
      <c r="D235" s="346"/>
      <c r="E235" s="346"/>
      <c r="F235" s="347"/>
      <c r="G235" s="348"/>
      <c r="H235" s="349"/>
      <c r="I235" s="348"/>
      <c r="J235" s="348"/>
      <c r="K235" s="348"/>
      <c r="L235" s="350"/>
      <c r="M235" s="344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 ht="15.75" customHeight="1">
      <c r="A236" s="345"/>
      <c r="B236" s="346" t="b">
        <v>0</v>
      </c>
      <c r="C236" s="346"/>
      <c r="D236" s="346"/>
      <c r="E236" s="346"/>
      <c r="F236" s="347"/>
      <c r="G236" s="348"/>
      <c r="H236" s="349"/>
      <c r="I236" s="348"/>
      <c r="J236" s="348"/>
      <c r="K236" s="348"/>
      <c r="L236" s="350"/>
      <c r="M236" s="344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</row>
    <row r="237" ht="15.75" customHeight="1">
      <c r="A237" s="345"/>
      <c r="B237" s="346" t="b">
        <v>0</v>
      </c>
      <c r="C237" s="346"/>
      <c r="D237" s="346"/>
      <c r="E237" s="346"/>
      <c r="F237" s="347"/>
      <c r="G237" s="348"/>
      <c r="H237" s="349"/>
      <c r="I237" s="348"/>
      <c r="J237" s="348"/>
      <c r="K237" s="348"/>
      <c r="L237" s="350"/>
      <c r="M237" s="344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</row>
    <row r="238" ht="15.75" customHeight="1">
      <c r="A238" s="345"/>
      <c r="B238" s="346" t="b">
        <v>0</v>
      </c>
      <c r="C238" s="346"/>
      <c r="D238" s="346"/>
      <c r="E238" s="346"/>
      <c r="F238" s="347"/>
      <c r="G238" s="348"/>
      <c r="H238" s="349"/>
      <c r="I238" s="348"/>
      <c r="J238" s="348"/>
      <c r="K238" s="348"/>
      <c r="L238" s="350"/>
      <c r="M238" s="344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</row>
    <row r="239" ht="15.75" customHeight="1">
      <c r="A239" s="345"/>
      <c r="B239" s="346" t="b">
        <v>0</v>
      </c>
      <c r="C239" s="346"/>
      <c r="D239" s="346"/>
      <c r="E239" s="346"/>
      <c r="F239" s="347"/>
      <c r="G239" s="348"/>
      <c r="H239" s="349"/>
      <c r="I239" s="348"/>
      <c r="J239" s="348"/>
      <c r="K239" s="348"/>
      <c r="L239" s="350"/>
      <c r="M239" s="344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</row>
    <row r="240" ht="15.75" customHeight="1">
      <c r="A240" s="345"/>
      <c r="B240" s="346" t="b">
        <v>0</v>
      </c>
      <c r="C240" s="346"/>
      <c r="D240" s="346"/>
      <c r="E240" s="346"/>
      <c r="F240" s="347"/>
      <c r="G240" s="348"/>
      <c r="H240" s="349"/>
      <c r="I240" s="348"/>
      <c r="J240" s="348"/>
      <c r="K240" s="348"/>
      <c r="L240" s="350"/>
      <c r="M240" s="344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</row>
    <row r="241" ht="15.75" customHeight="1">
      <c r="A241" s="345"/>
      <c r="B241" s="346" t="b">
        <v>0</v>
      </c>
      <c r="C241" s="346"/>
      <c r="D241" s="346"/>
      <c r="E241" s="346"/>
      <c r="F241" s="347"/>
      <c r="G241" s="348"/>
      <c r="H241" s="349"/>
      <c r="I241" s="348"/>
      <c r="J241" s="348"/>
      <c r="K241" s="348"/>
      <c r="L241" s="350"/>
      <c r="M241" s="344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</row>
    <row r="242" ht="15.75" customHeight="1">
      <c r="A242" s="345"/>
      <c r="B242" s="346" t="b">
        <v>0</v>
      </c>
      <c r="C242" s="346"/>
      <c r="D242" s="346"/>
      <c r="E242" s="346"/>
      <c r="F242" s="347"/>
      <c r="G242" s="348"/>
      <c r="H242" s="349"/>
      <c r="I242" s="348"/>
      <c r="J242" s="348"/>
      <c r="K242" s="348"/>
      <c r="L242" s="350"/>
      <c r="M242" s="344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 ht="15.75" customHeight="1">
      <c r="A243" s="345"/>
      <c r="B243" s="346" t="b">
        <v>0</v>
      </c>
      <c r="C243" s="346"/>
      <c r="D243" s="346"/>
      <c r="E243" s="346"/>
      <c r="F243" s="347"/>
      <c r="G243" s="348"/>
      <c r="H243" s="349"/>
      <c r="I243" s="348"/>
      <c r="J243" s="348"/>
      <c r="K243" s="348"/>
      <c r="L243" s="350"/>
      <c r="M243" s="344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</row>
    <row r="244" ht="15.75" customHeight="1">
      <c r="A244" s="345"/>
      <c r="B244" s="346" t="b">
        <v>0</v>
      </c>
      <c r="C244" s="346"/>
      <c r="D244" s="346"/>
      <c r="E244" s="346"/>
      <c r="F244" s="347"/>
      <c r="G244" s="348"/>
      <c r="H244" s="349"/>
      <c r="I244" s="348"/>
      <c r="J244" s="348"/>
      <c r="K244" s="348"/>
      <c r="L244" s="350"/>
      <c r="M244" s="344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 ht="15.75" customHeight="1">
      <c r="A245" s="345"/>
      <c r="B245" s="346" t="b">
        <v>0</v>
      </c>
      <c r="C245" s="346"/>
      <c r="D245" s="346"/>
      <c r="E245" s="346"/>
      <c r="F245" s="347"/>
      <c r="G245" s="348"/>
      <c r="H245" s="349"/>
      <c r="I245" s="348"/>
      <c r="J245" s="348"/>
      <c r="K245" s="348"/>
      <c r="L245" s="350"/>
      <c r="M245" s="344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 ht="15.75" customHeight="1">
      <c r="A246" s="345"/>
      <c r="B246" s="346" t="b">
        <v>0</v>
      </c>
      <c r="C246" s="346"/>
      <c r="D246" s="346"/>
      <c r="E246" s="346"/>
      <c r="F246" s="347"/>
      <c r="G246" s="348"/>
      <c r="H246" s="349"/>
      <c r="I246" s="348"/>
      <c r="J246" s="348"/>
      <c r="K246" s="348"/>
      <c r="L246" s="350"/>
      <c r="M246" s="344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 ht="15.75" customHeight="1">
      <c r="A247" s="345"/>
      <c r="B247" s="346" t="b">
        <v>0</v>
      </c>
      <c r="C247" s="346"/>
      <c r="D247" s="346"/>
      <c r="E247" s="346"/>
      <c r="F247" s="347"/>
      <c r="G247" s="348"/>
      <c r="H247" s="349"/>
      <c r="I247" s="348"/>
      <c r="J247" s="348"/>
      <c r="K247" s="348"/>
      <c r="L247" s="350"/>
      <c r="M247" s="344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 ht="15.75" customHeight="1">
      <c r="A248" s="345"/>
      <c r="B248" s="346" t="b">
        <v>0</v>
      </c>
      <c r="C248" s="346"/>
      <c r="D248" s="346"/>
      <c r="E248" s="346"/>
      <c r="F248" s="347"/>
      <c r="G248" s="348"/>
      <c r="H248" s="349"/>
      <c r="I248" s="348"/>
      <c r="J248" s="348"/>
      <c r="K248" s="348"/>
      <c r="L248" s="350"/>
      <c r="M248" s="344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 ht="15.75" customHeight="1">
      <c r="A249" s="345"/>
      <c r="B249" s="346" t="b">
        <v>0</v>
      </c>
      <c r="C249" s="346"/>
      <c r="D249" s="346"/>
      <c r="E249" s="346"/>
      <c r="F249" s="347"/>
      <c r="G249" s="348"/>
      <c r="H249" s="349"/>
      <c r="I249" s="348"/>
      <c r="J249" s="348"/>
      <c r="K249" s="348"/>
      <c r="L249" s="350"/>
      <c r="M249" s="344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 ht="15.75" customHeight="1">
      <c r="A250" s="345"/>
      <c r="B250" s="346" t="b">
        <v>0</v>
      </c>
      <c r="C250" s="346"/>
      <c r="D250" s="346"/>
      <c r="E250" s="346"/>
      <c r="F250" s="347"/>
      <c r="G250" s="348"/>
      <c r="H250" s="349"/>
      <c r="I250" s="348"/>
      <c r="J250" s="348"/>
      <c r="K250" s="348"/>
      <c r="L250" s="350"/>
      <c r="M250" s="344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</row>
    <row r="251" ht="15.75" customHeight="1">
      <c r="A251" s="345"/>
      <c r="B251" s="346" t="b">
        <v>0</v>
      </c>
      <c r="C251" s="346"/>
      <c r="D251" s="346"/>
      <c r="E251" s="346"/>
      <c r="F251" s="347"/>
      <c r="G251" s="348"/>
      <c r="H251" s="349"/>
      <c r="I251" s="348"/>
      <c r="J251" s="348"/>
      <c r="K251" s="348"/>
      <c r="L251" s="350"/>
      <c r="M251" s="344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 ht="15.75" customHeight="1">
      <c r="A252" s="345"/>
      <c r="B252" s="346" t="b">
        <v>0</v>
      </c>
      <c r="C252" s="346"/>
      <c r="D252" s="346"/>
      <c r="E252" s="346"/>
      <c r="F252" s="347"/>
      <c r="G252" s="348"/>
      <c r="H252" s="349"/>
      <c r="I252" s="348"/>
      <c r="J252" s="348"/>
      <c r="K252" s="348"/>
      <c r="L252" s="350"/>
      <c r="M252" s="344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 ht="15.75" customHeight="1">
      <c r="A253" s="345"/>
      <c r="B253" s="346" t="b">
        <v>0</v>
      </c>
      <c r="C253" s="346"/>
      <c r="D253" s="346"/>
      <c r="E253" s="346"/>
      <c r="F253" s="347"/>
      <c r="G253" s="348"/>
      <c r="H253" s="349"/>
      <c r="I253" s="348"/>
      <c r="J253" s="348"/>
      <c r="K253" s="348"/>
      <c r="L253" s="350"/>
      <c r="M253" s="344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 ht="15.75" customHeight="1">
      <c r="A254" s="345"/>
      <c r="B254" s="346" t="b">
        <v>0</v>
      </c>
      <c r="C254" s="346"/>
      <c r="D254" s="346"/>
      <c r="E254" s="346"/>
      <c r="F254" s="347"/>
      <c r="G254" s="348"/>
      <c r="H254" s="349"/>
      <c r="I254" s="348"/>
      <c r="J254" s="348"/>
      <c r="K254" s="348"/>
      <c r="L254" s="350"/>
      <c r="M254" s="344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 ht="15.75" customHeight="1">
      <c r="A255" s="345"/>
      <c r="B255" s="346" t="b">
        <v>0</v>
      </c>
      <c r="C255" s="346"/>
      <c r="D255" s="346"/>
      <c r="E255" s="346"/>
      <c r="F255" s="347"/>
      <c r="G255" s="348"/>
      <c r="H255" s="349"/>
      <c r="I255" s="348"/>
      <c r="J255" s="348"/>
      <c r="K255" s="348"/>
      <c r="L255" s="350"/>
      <c r="M255" s="344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 ht="15.75" customHeight="1">
      <c r="A256" s="345"/>
      <c r="B256" s="346" t="b">
        <v>0</v>
      </c>
      <c r="C256" s="346"/>
      <c r="D256" s="346"/>
      <c r="E256" s="346"/>
      <c r="F256" s="347"/>
      <c r="G256" s="348"/>
      <c r="H256" s="349"/>
      <c r="I256" s="348"/>
      <c r="J256" s="348"/>
      <c r="K256" s="348"/>
      <c r="L256" s="350"/>
      <c r="M256" s="344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 ht="15.75" customHeight="1">
      <c r="A257" s="345"/>
      <c r="B257" s="346" t="b">
        <v>0</v>
      </c>
      <c r="C257" s="346"/>
      <c r="D257" s="346"/>
      <c r="E257" s="346"/>
      <c r="F257" s="347"/>
      <c r="G257" s="348"/>
      <c r="H257" s="349"/>
      <c r="I257" s="348"/>
      <c r="J257" s="348"/>
      <c r="K257" s="348"/>
      <c r="L257" s="350"/>
      <c r="M257" s="344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 ht="15.75" customHeight="1">
      <c r="A258" s="345"/>
      <c r="B258" s="346" t="b">
        <v>0</v>
      </c>
      <c r="C258" s="346"/>
      <c r="D258" s="346"/>
      <c r="E258" s="346"/>
      <c r="F258" s="347"/>
      <c r="G258" s="348"/>
      <c r="H258" s="349"/>
      <c r="I258" s="348"/>
      <c r="J258" s="348"/>
      <c r="K258" s="348"/>
      <c r="L258" s="350"/>
      <c r="M258" s="344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 ht="15.75" customHeight="1">
      <c r="A259" s="345"/>
      <c r="B259" s="346" t="b">
        <v>0</v>
      </c>
      <c r="C259" s="346"/>
      <c r="D259" s="346"/>
      <c r="E259" s="346"/>
      <c r="F259" s="347"/>
      <c r="G259" s="348"/>
      <c r="H259" s="349"/>
      <c r="I259" s="348"/>
      <c r="J259" s="348"/>
      <c r="K259" s="348"/>
      <c r="L259" s="350"/>
      <c r="M259" s="344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 ht="15.75" customHeight="1">
      <c r="A260" s="345"/>
      <c r="B260" s="346" t="b">
        <v>0</v>
      </c>
      <c r="C260" s="346"/>
      <c r="D260" s="346"/>
      <c r="E260" s="346"/>
      <c r="F260" s="347"/>
      <c r="G260" s="348"/>
      <c r="H260" s="349"/>
      <c r="I260" s="348"/>
      <c r="J260" s="348"/>
      <c r="K260" s="348"/>
      <c r="L260" s="350"/>
      <c r="M260" s="344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 ht="15.75" customHeight="1">
      <c r="A261" s="345"/>
      <c r="B261" s="346" t="b">
        <v>0</v>
      </c>
      <c r="C261" s="346"/>
      <c r="D261" s="346"/>
      <c r="E261" s="346"/>
      <c r="F261" s="347"/>
      <c r="G261" s="348"/>
      <c r="H261" s="349"/>
      <c r="I261" s="348"/>
      <c r="J261" s="348"/>
      <c r="K261" s="348"/>
      <c r="L261" s="350"/>
      <c r="M261" s="344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 ht="15.75" customHeight="1">
      <c r="A262" s="345"/>
      <c r="B262" s="346" t="b">
        <v>0</v>
      </c>
      <c r="C262" s="346"/>
      <c r="D262" s="346"/>
      <c r="E262" s="346"/>
      <c r="F262" s="347"/>
      <c r="G262" s="348"/>
      <c r="H262" s="349"/>
      <c r="I262" s="348"/>
      <c r="J262" s="348"/>
      <c r="K262" s="348"/>
      <c r="L262" s="350"/>
      <c r="M262" s="344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 ht="15.75" customHeight="1">
      <c r="A263" s="345"/>
      <c r="B263" s="346" t="b">
        <v>0</v>
      </c>
      <c r="C263" s="346"/>
      <c r="D263" s="346"/>
      <c r="E263" s="346"/>
      <c r="F263" s="347"/>
      <c r="G263" s="348"/>
      <c r="H263" s="349"/>
      <c r="I263" s="348"/>
      <c r="J263" s="348"/>
      <c r="K263" s="348"/>
      <c r="L263" s="350"/>
      <c r="M263" s="344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 ht="15.75" customHeight="1">
      <c r="A264" s="345"/>
      <c r="B264" s="346" t="b">
        <v>0</v>
      </c>
      <c r="C264" s="346"/>
      <c r="D264" s="346"/>
      <c r="E264" s="346"/>
      <c r="F264" s="347"/>
      <c r="G264" s="348"/>
      <c r="H264" s="349"/>
      <c r="I264" s="348"/>
      <c r="J264" s="348"/>
      <c r="K264" s="348"/>
      <c r="L264" s="350"/>
      <c r="M264" s="344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 ht="15.75" customHeight="1">
      <c r="A265" s="345"/>
      <c r="B265" s="346" t="b">
        <v>0</v>
      </c>
      <c r="C265" s="346"/>
      <c r="D265" s="346"/>
      <c r="E265" s="346"/>
      <c r="F265" s="347"/>
      <c r="G265" s="348"/>
      <c r="H265" s="349"/>
      <c r="I265" s="348"/>
      <c r="J265" s="348"/>
      <c r="K265" s="348"/>
      <c r="L265" s="350"/>
      <c r="M265" s="344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 ht="15.75" customHeight="1">
      <c r="A266" s="345"/>
      <c r="B266" s="346" t="b">
        <v>0</v>
      </c>
      <c r="C266" s="346"/>
      <c r="D266" s="346"/>
      <c r="E266" s="346"/>
      <c r="F266" s="347"/>
      <c r="G266" s="348"/>
      <c r="H266" s="349"/>
      <c r="I266" s="348"/>
      <c r="J266" s="348"/>
      <c r="K266" s="348"/>
      <c r="L266" s="350"/>
      <c r="M266" s="344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 ht="15.75" customHeight="1">
      <c r="A267" s="345"/>
      <c r="B267" s="346" t="b">
        <v>0</v>
      </c>
      <c r="C267" s="346"/>
      <c r="D267" s="346"/>
      <c r="E267" s="346"/>
      <c r="F267" s="347"/>
      <c r="G267" s="348"/>
      <c r="H267" s="349"/>
      <c r="I267" s="348"/>
      <c r="J267" s="348"/>
      <c r="K267" s="348"/>
      <c r="L267" s="350"/>
      <c r="M267" s="344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 ht="15.75" customHeight="1">
      <c r="A268" s="345"/>
      <c r="B268" s="346" t="b">
        <v>0</v>
      </c>
      <c r="C268" s="346"/>
      <c r="D268" s="346"/>
      <c r="E268" s="346"/>
      <c r="F268" s="347"/>
      <c r="G268" s="348"/>
      <c r="H268" s="349"/>
      <c r="I268" s="348"/>
      <c r="J268" s="348"/>
      <c r="K268" s="348"/>
      <c r="L268" s="350"/>
      <c r="M268" s="344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 ht="15.75" customHeight="1">
      <c r="A269" s="345"/>
      <c r="B269" s="346" t="b">
        <v>0</v>
      </c>
      <c r="C269" s="346"/>
      <c r="D269" s="346"/>
      <c r="E269" s="346"/>
      <c r="F269" s="347"/>
      <c r="G269" s="348"/>
      <c r="H269" s="349"/>
      <c r="I269" s="348"/>
      <c r="J269" s="348"/>
      <c r="K269" s="348"/>
      <c r="L269" s="350"/>
      <c r="M269" s="344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 ht="15.75" customHeight="1">
      <c r="A270" s="345"/>
      <c r="B270" s="346" t="b">
        <v>0</v>
      </c>
      <c r="C270" s="346"/>
      <c r="D270" s="346"/>
      <c r="E270" s="346"/>
      <c r="F270" s="347"/>
      <c r="G270" s="348"/>
      <c r="H270" s="349"/>
      <c r="I270" s="348"/>
      <c r="J270" s="348"/>
      <c r="K270" s="348"/>
      <c r="L270" s="350"/>
      <c r="M270" s="344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 ht="15.75" customHeight="1">
      <c r="A271" s="345"/>
      <c r="B271" s="346" t="b">
        <v>0</v>
      </c>
      <c r="C271" s="346"/>
      <c r="D271" s="346"/>
      <c r="E271" s="346"/>
      <c r="F271" s="347"/>
      <c r="G271" s="348"/>
      <c r="H271" s="349"/>
      <c r="I271" s="348"/>
      <c r="J271" s="348"/>
      <c r="K271" s="348"/>
      <c r="L271" s="350"/>
      <c r="M271" s="344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 ht="15.75" customHeight="1">
      <c r="A272" s="345"/>
      <c r="B272" s="346" t="b">
        <v>0</v>
      </c>
      <c r="C272" s="346"/>
      <c r="D272" s="346"/>
      <c r="E272" s="346"/>
      <c r="F272" s="347"/>
      <c r="G272" s="348"/>
      <c r="H272" s="349"/>
      <c r="I272" s="348"/>
      <c r="J272" s="348"/>
      <c r="K272" s="348"/>
      <c r="L272" s="350"/>
      <c r="M272" s="344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 ht="15.75" customHeight="1">
      <c r="A273" s="345"/>
      <c r="B273" s="346" t="b">
        <v>0</v>
      </c>
      <c r="C273" s="346"/>
      <c r="D273" s="346"/>
      <c r="E273" s="346"/>
      <c r="F273" s="347"/>
      <c r="G273" s="348"/>
      <c r="H273" s="349"/>
      <c r="I273" s="348"/>
      <c r="J273" s="348"/>
      <c r="K273" s="348"/>
      <c r="L273" s="350"/>
      <c r="M273" s="344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 ht="15.75" customHeight="1">
      <c r="A274" s="345"/>
      <c r="B274" s="346" t="b">
        <v>0</v>
      </c>
      <c r="C274" s="346"/>
      <c r="D274" s="346"/>
      <c r="E274" s="346"/>
      <c r="F274" s="347"/>
      <c r="G274" s="348"/>
      <c r="H274" s="349"/>
      <c r="I274" s="348"/>
      <c r="J274" s="348"/>
      <c r="K274" s="348"/>
      <c r="L274" s="350"/>
      <c r="M274" s="344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 ht="15.75" customHeight="1">
      <c r="A275" s="345"/>
      <c r="B275" s="346" t="b">
        <v>0</v>
      </c>
      <c r="C275" s="346"/>
      <c r="D275" s="346"/>
      <c r="E275" s="346"/>
      <c r="F275" s="347"/>
      <c r="G275" s="348"/>
      <c r="H275" s="349"/>
      <c r="I275" s="348"/>
      <c r="J275" s="348"/>
      <c r="K275" s="348"/>
      <c r="L275" s="350"/>
      <c r="M275" s="344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 ht="15.75" customHeight="1">
      <c r="A276" s="345"/>
      <c r="B276" s="346" t="b">
        <v>0</v>
      </c>
      <c r="C276" s="346"/>
      <c r="D276" s="346"/>
      <c r="E276" s="346"/>
      <c r="F276" s="347"/>
      <c r="G276" s="348"/>
      <c r="H276" s="349"/>
      <c r="I276" s="348"/>
      <c r="J276" s="348"/>
      <c r="K276" s="348"/>
      <c r="L276" s="350"/>
      <c r="M276" s="344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 ht="15.75" customHeight="1">
      <c r="A277" s="345"/>
      <c r="B277" s="346" t="b">
        <v>0</v>
      </c>
      <c r="C277" s="346"/>
      <c r="D277" s="346"/>
      <c r="E277" s="346"/>
      <c r="F277" s="347"/>
      <c r="G277" s="348"/>
      <c r="H277" s="349"/>
      <c r="I277" s="348"/>
      <c r="J277" s="348"/>
      <c r="K277" s="348"/>
      <c r="L277" s="350"/>
      <c r="M277" s="344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</row>
    <row r="278" ht="15.75" customHeight="1">
      <c r="A278" s="345"/>
      <c r="B278" s="346" t="b">
        <v>0</v>
      </c>
      <c r="C278" s="346"/>
      <c r="D278" s="346"/>
      <c r="E278" s="346"/>
      <c r="F278" s="347"/>
      <c r="G278" s="348"/>
      <c r="H278" s="349"/>
      <c r="I278" s="348"/>
      <c r="J278" s="348"/>
      <c r="K278" s="348"/>
      <c r="L278" s="350"/>
      <c r="M278" s="344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</row>
    <row r="279" ht="15.75" customHeight="1">
      <c r="A279" s="345"/>
      <c r="B279" s="346" t="b">
        <v>0</v>
      </c>
      <c r="C279" s="346"/>
      <c r="D279" s="346"/>
      <c r="E279" s="346"/>
      <c r="F279" s="347"/>
      <c r="G279" s="348"/>
      <c r="H279" s="349"/>
      <c r="I279" s="348"/>
      <c r="J279" s="348"/>
      <c r="K279" s="348"/>
      <c r="L279" s="350"/>
      <c r="M279" s="344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</row>
    <row r="280" ht="15.75" customHeight="1">
      <c r="A280" s="345"/>
      <c r="B280" s="346" t="b">
        <v>0</v>
      </c>
      <c r="C280" s="346"/>
      <c r="D280" s="346"/>
      <c r="E280" s="346"/>
      <c r="F280" s="347"/>
      <c r="G280" s="348"/>
      <c r="H280" s="349"/>
      <c r="I280" s="348"/>
      <c r="J280" s="348"/>
      <c r="K280" s="348"/>
      <c r="L280" s="350"/>
      <c r="M280" s="344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</row>
    <row r="281" ht="15.75" customHeight="1">
      <c r="A281" s="345"/>
      <c r="B281" s="346" t="b">
        <v>0</v>
      </c>
      <c r="C281" s="346"/>
      <c r="D281" s="346"/>
      <c r="E281" s="346"/>
      <c r="F281" s="347"/>
      <c r="G281" s="348"/>
      <c r="H281" s="349"/>
      <c r="I281" s="348"/>
      <c r="J281" s="348"/>
      <c r="K281" s="348"/>
      <c r="L281" s="350"/>
      <c r="M281" s="344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</row>
    <row r="282" ht="15.75" customHeight="1">
      <c r="A282" s="345"/>
      <c r="B282" s="346" t="b">
        <v>0</v>
      </c>
      <c r="C282" s="346"/>
      <c r="D282" s="346"/>
      <c r="E282" s="346"/>
      <c r="F282" s="347"/>
      <c r="G282" s="348"/>
      <c r="H282" s="349"/>
      <c r="I282" s="348"/>
      <c r="J282" s="348"/>
      <c r="K282" s="348"/>
      <c r="L282" s="350"/>
      <c r="M282" s="344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</row>
    <row r="283" ht="15.75" customHeight="1">
      <c r="A283" s="345"/>
      <c r="B283" s="346" t="b">
        <v>0</v>
      </c>
      <c r="C283" s="346"/>
      <c r="D283" s="346"/>
      <c r="E283" s="346"/>
      <c r="F283" s="347"/>
      <c r="G283" s="348"/>
      <c r="H283" s="349"/>
      <c r="I283" s="348"/>
      <c r="J283" s="348"/>
      <c r="K283" s="348"/>
      <c r="L283" s="350"/>
      <c r="M283" s="344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</row>
    <row r="284" ht="15.75" customHeight="1">
      <c r="A284" s="345"/>
      <c r="B284" s="346" t="b">
        <v>0</v>
      </c>
      <c r="C284" s="346"/>
      <c r="D284" s="346"/>
      <c r="E284" s="346"/>
      <c r="F284" s="347"/>
      <c r="G284" s="348"/>
      <c r="H284" s="349"/>
      <c r="I284" s="348"/>
      <c r="J284" s="348"/>
      <c r="K284" s="348"/>
      <c r="L284" s="350"/>
      <c r="M284" s="344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</row>
    <row r="285" ht="15.75" customHeight="1">
      <c r="A285" s="345"/>
      <c r="B285" s="346" t="b">
        <v>0</v>
      </c>
      <c r="C285" s="346"/>
      <c r="D285" s="346"/>
      <c r="E285" s="346"/>
      <c r="F285" s="347"/>
      <c r="G285" s="348"/>
      <c r="H285" s="349"/>
      <c r="I285" s="348"/>
      <c r="J285" s="348"/>
      <c r="K285" s="348"/>
      <c r="L285" s="350"/>
      <c r="M285" s="344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</row>
    <row r="286" ht="15.75" customHeight="1">
      <c r="A286" s="345"/>
      <c r="B286" s="351" t="b">
        <v>0</v>
      </c>
      <c r="C286" s="351"/>
      <c r="D286" s="351"/>
      <c r="E286" s="351"/>
      <c r="F286" s="352"/>
      <c r="G286" s="350"/>
      <c r="H286" s="353"/>
      <c r="I286" s="350"/>
      <c r="J286" s="350"/>
      <c r="K286" s="350"/>
      <c r="L286" s="350"/>
      <c r="M286" s="344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</row>
    <row r="287" ht="15.75" customHeight="1">
      <c r="A287" s="345"/>
      <c r="B287" s="351" t="b">
        <v>0</v>
      </c>
      <c r="C287" s="351"/>
      <c r="D287" s="351"/>
      <c r="E287" s="351"/>
      <c r="F287" s="352"/>
      <c r="G287" s="350"/>
      <c r="H287" s="353"/>
      <c r="I287" s="350"/>
      <c r="J287" s="350"/>
      <c r="K287" s="350"/>
      <c r="L287" s="350"/>
      <c r="M287" s="344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</row>
    <row r="288" ht="15.75" customHeight="1">
      <c r="A288" s="345"/>
      <c r="B288" s="351" t="b">
        <v>0</v>
      </c>
      <c r="C288" s="351"/>
      <c r="D288" s="351"/>
      <c r="E288" s="351"/>
      <c r="F288" s="352"/>
      <c r="G288" s="350"/>
      <c r="H288" s="353"/>
      <c r="I288" s="350"/>
      <c r="J288" s="350"/>
      <c r="K288" s="350"/>
      <c r="L288" s="350"/>
      <c r="M288" s="344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</row>
    <row r="289" ht="15.75" customHeight="1">
      <c r="A289" s="345"/>
      <c r="B289" s="351" t="b">
        <v>0</v>
      </c>
      <c r="C289" s="351"/>
      <c r="D289" s="351"/>
      <c r="E289" s="351"/>
      <c r="F289" s="352"/>
      <c r="G289" s="350"/>
      <c r="H289" s="353"/>
      <c r="I289" s="350"/>
      <c r="J289" s="350"/>
      <c r="K289" s="350"/>
      <c r="L289" s="350"/>
      <c r="M289" s="344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</row>
    <row r="290" ht="15.75" customHeight="1">
      <c r="A290" s="345"/>
      <c r="B290" s="351" t="b">
        <v>0</v>
      </c>
      <c r="C290" s="351"/>
      <c r="D290" s="351"/>
      <c r="E290" s="351"/>
      <c r="F290" s="352"/>
      <c r="G290" s="350"/>
      <c r="H290" s="353"/>
      <c r="I290" s="350"/>
      <c r="J290" s="350"/>
      <c r="K290" s="350"/>
      <c r="L290" s="350"/>
      <c r="M290" s="344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</row>
    <row r="291" ht="15.75" customHeight="1">
      <c r="A291" s="345"/>
      <c r="B291" s="351" t="b">
        <v>0</v>
      </c>
      <c r="C291" s="351"/>
      <c r="D291" s="351"/>
      <c r="E291" s="351"/>
      <c r="F291" s="352"/>
      <c r="G291" s="350"/>
      <c r="H291" s="353"/>
      <c r="I291" s="350"/>
      <c r="J291" s="350"/>
      <c r="K291" s="350"/>
      <c r="L291" s="350"/>
      <c r="M291" s="344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</row>
    <row r="292" ht="15.75" customHeight="1">
      <c r="A292" s="345"/>
      <c r="B292" s="351" t="b">
        <v>0</v>
      </c>
      <c r="C292" s="351"/>
      <c r="D292" s="351"/>
      <c r="E292" s="351"/>
      <c r="F292" s="352"/>
      <c r="G292" s="350"/>
      <c r="H292" s="353"/>
      <c r="I292" s="350"/>
      <c r="J292" s="350"/>
      <c r="K292" s="350"/>
      <c r="L292" s="350"/>
      <c r="M292" s="344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</row>
    <row r="293" ht="15.75" customHeight="1">
      <c r="A293" s="345"/>
      <c r="B293" s="351" t="b">
        <v>0</v>
      </c>
      <c r="C293" s="351"/>
      <c r="D293" s="351"/>
      <c r="E293" s="351"/>
      <c r="F293" s="352"/>
      <c r="G293" s="350"/>
      <c r="H293" s="353"/>
      <c r="I293" s="350"/>
      <c r="J293" s="350"/>
      <c r="K293" s="350"/>
      <c r="L293" s="350"/>
      <c r="M293" s="344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</row>
    <row r="294" ht="15.75" customHeight="1">
      <c r="A294" s="345"/>
      <c r="B294" s="351" t="b">
        <v>0</v>
      </c>
      <c r="C294" s="351"/>
      <c r="D294" s="351"/>
      <c r="E294" s="351"/>
      <c r="F294" s="352"/>
      <c r="G294" s="350"/>
      <c r="H294" s="353"/>
      <c r="I294" s="350"/>
      <c r="J294" s="350"/>
      <c r="K294" s="350"/>
      <c r="L294" s="350"/>
      <c r="M294" s="344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</row>
    <row r="295" ht="15.75" customHeight="1">
      <c r="A295" s="345"/>
      <c r="B295" s="351" t="b">
        <v>0</v>
      </c>
      <c r="C295" s="351"/>
      <c r="D295" s="351"/>
      <c r="E295" s="351"/>
      <c r="F295" s="352"/>
      <c r="G295" s="350"/>
      <c r="H295" s="353"/>
      <c r="I295" s="350"/>
      <c r="J295" s="350"/>
      <c r="K295" s="350"/>
      <c r="L295" s="350"/>
      <c r="M295" s="344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</row>
    <row r="296" ht="15.75" customHeight="1">
      <c r="A296" s="345"/>
      <c r="B296" s="351" t="b">
        <v>0</v>
      </c>
      <c r="C296" s="351"/>
      <c r="D296" s="351"/>
      <c r="E296" s="351"/>
      <c r="F296" s="352"/>
      <c r="G296" s="350"/>
      <c r="H296" s="353"/>
      <c r="I296" s="350"/>
      <c r="J296" s="350"/>
      <c r="K296" s="350"/>
      <c r="L296" s="350"/>
      <c r="M296" s="344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</row>
    <row r="297" ht="15.75" customHeight="1">
      <c r="A297" s="345"/>
      <c r="B297" s="351" t="b">
        <v>0</v>
      </c>
      <c r="C297" s="351"/>
      <c r="D297" s="351"/>
      <c r="E297" s="351"/>
      <c r="F297" s="352"/>
      <c r="G297" s="350"/>
      <c r="H297" s="353"/>
      <c r="I297" s="350"/>
      <c r="J297" s="350"/>
      <c r="K297" s="350"/>
      <c r="L297" s="350"/>
      <c r="M297" s="344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</row>
    <row r="298" ht="15.75" customHeight="1">
      <c r="A298" s="345"/>
      <c r="B298" s="351" t="b">
        <v>0</v>
      </c>
      <c r="C298" s="351"/>
      <c r="D298" s="351"/>
      <c r="E298" s="351"/>
      <c r="F298" s="352"/>
      <c r="G298" s="350"/>
      <c r="H298" s="353"/>
      <c r="I298" s="350"/>
      <c r="J298" s="350"/>
      <c r="K298" s="350"/>
      <c r="L298" s="350"/>
      <c r="M298" s="344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</row>
    <row r="299" ht="15.75" customHeight="1">
      <c r="A299" s="345"/>
      <c r="B299" s="351" t="b">
        <v>0</v>
      </c>
      <c r="C299" s="351"/>
      <c r="D299" s="351"/>
      <c r="E299" s="351"/>
      <c r="F299" s="352"/>
      <c r="G299" s="350"/>
      <c r="H299" s="353"/>
      <c r="I299" s="350"/>
      <c r="J299" s="350"/>
      <c r="K299" s="350"/>
      <c r="L299" s="350"/>
      <c r="M299" s="344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</row>
    <row r="300" ht="15.75" customHeight="1">
      <c r="A300" s="345"/>
      <c r="B300" s="351" t="b">
        <v>0</v>
      </c>
      <c r="C300" s="351"/>
      <c r="D300" s="351"/>
      <c r="E300" s="351"/>
      <c r="F300" s="352"/>
      <c r="G300" s="350"/>
      <c r="H300" s="353"/>
      <c r="I300" s="350"/>
      <c r="J300" s="350"/>
      <c r="K300" s="350"/>
      <c r="L300" s="350"/>
      <c r="M300" s="344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 ht="15.75" customHeight="1">
      <c r="A301" s="16"/>
      <c r="B301" s="16" t="b">
        <v>0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 t="b">
        <v>0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 t="b">
        <v>0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 t="b">
        <v>0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 t="b">
        <v>0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 t="b">
        <v>0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 t="b">
        <v>0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 t="b">
        <v>0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 t="b">
        <v>0</v>
      </c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 t="b">
        <v>0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 t="b">
        <v>0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 t="b">
        <v>0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 t="b">
        <v>0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 t="b">
        <v>0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 t="b">
        <v>0</v>
      </c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 t="b">
        <v>0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 t="b">
        <v>0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 t="b">
        <v>0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 t="b">
        <v>0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 t="b">
        <v>0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 t="b">
        <v>0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 t="b">
        <v>0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 t="b">
        <v>0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 t="b">
        <v>0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 t="b">
        <v>0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 t="b">
        <v>0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 t="b">
        <v>0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16"/>
      <c r="B328" s="16" t="b">
        <v>0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16"/>
      <c r="B329" s="16" t="b">
        <v>0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16"/>
      <c r="B330" s="16" t="b">
        <v>0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16"/>
      <c r="B331" s="16" t="b">
        <v>0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16"/>
      <c r="B332" s="16" t="b">
        <v>0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16"/>
      <c r="B333" s="16" t="b">
        <v>0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16"/>
      <c r="B334" s="16" t="b">
        <v>0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16"/>
      <c r="B335" s="16" t="b">
        <v>0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16"/>
      <c r="B336" s="16" t="b">
        <v>0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16"/>
      <c r="B337" s="16" t="b">
        <v>0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16"/>
      <c r="B338" s="16" t="b">
        <v>0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16"/>
      <c r="B339" s="16" t="b">
        <v>0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16"/>
      <c r="B340" s="16" t="b">
        <v>0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16"/>
      <c r="B341" s="16" t="b">
        <v>0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16"/>
      <c r="B342" s="16" t="b">
        <v>0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16"/>
      <c r="B343" s="16" t="b">
        <v>0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16"/>
      <c r="B344" s="16" t="b">
        <v>0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16"/>
      <c r="B345" s="16" t="b">
        <v>0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16"/>
      <c r="B346" s="16" t="b">
        <v>0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16"/>
      <c r="B347" s="16" t="b">
        <v>0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16"/>
      <c r="B348" s="16" t="b">
        <v>0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5.75" customHeight="1">
      <c r="A349" s="16"/>
      <c r="B349" s="16" t="b">
        <v>0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5.75" customHeight="1">
      <c r="A350" s="16"/>
      <c r="B350" s="16" t="b">
        <v>0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5.75" customHeight="1">
      <c r="A351" s="16"/>
      <c r="B351" s="16" t="b">
        <v>0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5.75" customHeight="1">
      <c r="A352" s="16"/>
      <c r="B352" s="16" t="b">
        <v>0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5.75" customHeight="1">
      <c r="A353" s="16"/>
      <c r="B353" s="16" t="b">
        <v>0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5.75" customHeight="1">
      <c r="A354" s="16"/>
      <c r="B354" s="16" t="b">
        <v>0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5.75" customHeight="1">
      <c r="A355" s="16"/>
      <c r="B355" s="16" t="b">
        <v>0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5.75" customHeight="1">
      <c r="A356" s="16"/>
      <c r="B356" s="16" t="b">
        <v>0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5.75" customHeight="1">
      <c r="A357" s="16"/>
      <c r="B357" s="16" t="b">
        <v>0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5.75" customHeight="1">
      <c r="A358" s="16"/>
      <c r="B358" s="16" t="b">
        <v>0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5.75" customHeight="1">
      <c r="A359" s="16"/>
      <c r="B359" s="16" t="b">
        <v>0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5.75" customHeight="1">
      <c r="A360" s="16"/>
      <c r="B360" s="16" t="b">
        <v>0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5.75" customHeight="1">
      <c r="A361" s="16"/>
      <c r="B361" s="16" t="b">
        <v>0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5.75" customHeight="1">
      <c r="A362" s="16"/>
      <c r="B362" s="16" t="b">
        <v>0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5.75" customHeight="1">
      <c r="A363" s="16"/>
      <c r="B363" s="16" t="b">
        <v>0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5.75" customHeight="1">
      <c r="A364" s="16"/>
      <c r="B364" s="16" t="b">
        <v>0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5.75" customHeight="1">
      <c r="A365" s="16"/>
      <c r="B365" s="16" t="b">
        <v>0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5.75" customHeight="1">
      <c r="A366" s="16"/>
      <c r="B366" s="16" t="b">
        <v>0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5.75" customHeight="1">
      <c r="A367" s="16"/>
      <c r="B367" s="16" t="b">
        <v>0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5.75" customHeight="1">
      <c r="A368" s="16"/>
      <c r="B368" s="16" t="b">
        <v>0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5.75" customHeight="1">
      <c r="A369" s="16"/>
      <c r="B369" s="16" t="b">
        <v>0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5.75" customHeight="1">
      <c r="A370" s="16"/>
      <c r="B370" s="16" t="b">
        <v>0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5.75" customHeight="1">
      <c r="A371" s="16"/>
      <c r="B371" s="16" t="b">
        <v>0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5.75" customHeight="1">
      <c r="A372" s="16"/>
      <c r="B372" s="16" t="b">
        <v>0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5.75" customHeight="1">
      <c r="A373" s="16"/>
      <c r="B373" s="16" t="b">
        <v>0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5.75" customHeight="1">
      <c r="A374" s="16"/>
      <c r="B374" s="16" t="b">
        <v>0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5.75" customHeight="1">
      <c r="A375" s="16"/>
      <c r="B375" s="16" t="b">
        <v>0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5.75" customHeight="1">
      <c r="A376" s="16"/>
      <c r="B376" s="16" t="b">
        <v>0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5.75" customHeight="1">
      <c r="A377" s="16"/>
      <c r="B377" s="16" t="b">
        <v>0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5.75" customHeight="1">
      <c r="A378" s="16"/>
      <c r="B378" s="16" t="b">
        <v>0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5.75" customHeight="1">
      <c r="A379" s="16"/>
      <c r="B379" s="16" t="b">
        <v>0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5.75" customHeight="1">
      <c r="A380" s="16"/>
      <c r="B380" s="16" t="b">
        <v>0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5.75" customHeight="1">
      <c r="A381" s="16"/>
      <c r="B381" s="16" t="b">
        <v>0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5.75" customHeight="1">
      <c r="A382" s="16"/>
      <c r="B382" s="16" t="b">
        <v>0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5.75" customHeight="1">
      <c r="A383" s="16"/>
      <c r="B383" s="16" t="b">
        <v>0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5.75" customHeight="1">
      <c r="A384" s="16"/>
      <c r="B384" s="16" t="b">
        <v>0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5.75" customHeight="1">
      <c r="A385" s="16"/>
      <c r="B385" s="16" t="b">
        <v>0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5.75" customHeight="1">
      <c r="A386" s="16"/>
      <c r="B386" s="16" t="b">
        <v>0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5.75" customHeight="1">
      <c r="A387" s="16"/>
      <c r="B387" s="16" t="b">
        <v>0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5.75" customHeight="1">
      <c r="A388" s="16"/>
      <c r="B388" s="16" t="b">
        <v>0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5.75" customHeight="1">
      <c r="A389" s="16"/>
      <c r="B389" s="16" t="b">
        <v>0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5.75" customHeight="1">
      <c r="A390" s="16"/>
      <c r="B390" s="16" t="b">
        <v>0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5.75" customHeight="1">
      <c r="A391" s="16"/>
      <c r="B391" s="16" t="b">
        <v>0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5.75" customHeight="1">
      <c r="A392" s="16"/>
      <c r="B392" s="16" t="b">
        <v>0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5.75" customHeight="1">
      <c r="A393" s="16"/>
      <c r="B393" s="16" t="b">
        <v>0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5.75" customHeight="1">
      <c r="A394" s="16"/>
      <c r="B394" s="16" t="b">
        <v>0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5.75" customHeight="1">
      <c r="A395" s="16"/>
      <c r="B395" s="16" t="b">
        <v>0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5.75" customHeight="1">
      <c r="A396" s="16"/>
      <c r="B396" s="16" t="b">
        <v>0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5.75" customHeight="1">
      <c r="A397" s="16"/>
      <c r="B397" s="16" t="b">
        <v>0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5.75" customHeight="1">
      <c r="A398" s="16"/>
      <c r="B398" s="16" t="b">
        <v>0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5.75" customHeight="1">
      <c r="A399" s="16"/>
      <c r="B399" s="16" t="b">
        <v>0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5.75" customHeight="1">
      <c r="A400" s="16"/>
      <c r="B400" s="16" t="b">
        <v>0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5.75" customHeight="1">
      <c r="A401" s="16"/>
      <c r="B401" s="16" t="b">
        <v>0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5.75" customHeight="1">
      <c r="A402" s="16"/>
      <c r="B402" s="16" t="b">
        <v>0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5.75" customHeight="1">
      <c r="A403" s="16"/>
      <c r="B403" s="16" t="b">
        <v>0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5.75" customHeight="1">
      <c r="A404" s="16"/>
      <c r="B404" s="16" t="b">
        <v>0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5.75" customHeight="1">
      <c r="A405" s="16"/>
      <c r="B405" s="16" t="b">
        <v>0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5.75" customHeight="1">
      <c r="A406" s="16"/>
      <c r="B406" s="16" t="b">
        <v>0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5.75" customHeight="1">
      <c r="A407" s="16"/>
      <c r="B407" s="16" t="b">
        <v>0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5.75" customHeight="1">
      <c r="A408" s="16"/>
      <c r="B408" s="16" t="b">
        <v>0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5.75" customHeight="1">
      <c r="A409" s="16"/>
      <c r="B409" s="16" t="b">
        <v>0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5.75" customHeight="1">
      <c r="A410" s="16"/>
      <c r="B410" s="16" t="b">
        <v>0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5.75" customHeight="1">
      <c r="A411" s="16"/>
      <c r="B411" s="16" t="b">
        <v>0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5.75" customHeight="1">
      <c r="A412" s="16"/>
      <c r="B412" s="16" t="b">
        <v>0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5.75" customHeight="1">
      <c r="A413" s="16"/>
      <c r="B413" s="16" t="b">
        <v>0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5.75" customHeight="1">
      <c r="A414" s="16"/>
      <c r="B414" s="16" t="b">
        <v>0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5.75" customHeight="1">
      <c r="A415" s="16"/>
      <c r="B415" s="16" t="b">
        <v>0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5.75" customHeight="1">
      <c r="A416" s="16"/>
      <c r="B416" s="16" t="b">
        <v>0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5.75" customHeight="1">
      <c r="A417" s="16"/>
      <c r="B417" s="16" t="b">
        <v>0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5.75" customHeight="1">
      <c r="A418" s="16"/>
      <c r="B418" s="16" t="b">
        <v>0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5.75" customHeight="1">
      <c r="A419" s="16"/>
      <c r="B419" s="16" t="b">
        <v>0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5.75" customHeight="1">
      <c r="A420" s="16"/>
      <c r="B420" s="16" t="b">
        <v>0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5.75" customHeight="1">
      <c r="A421" s="16"/>
      <c r="B421" s="16" t="b">
        <v>0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5.75" customHeight="1">
      <c r="A422" s="16"/>
      <c r="B422" s="16" t="b">
        <v>0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5.75" customHeight="1">
      <c r="A423" s="16"/>
      <c r="B423" s="16" t="b">
        <v>0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5.75" customHeight="1">
      <c r="A424" s="16"/>
      <c r="B424" s="16" t="b">
        <v>0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5.75" customHeight="1">
      <c r="A425" s="16"/>
      <c r="B425" s="16" t="b">
        <v>0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5.75" customHeight="1">
      <c r="A426" s="16"/>
      <c r="B426" s="16" t="b">
        <v>0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5.75" customHeight="1">
      <c r="A427" s="16"/>
      <c r="B427" s="16" t="b">
        <v>0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5.75" customHeight="1">
      <c r="A428" s="16"/>
      <c r="B428" s="16" t="b">
        <v>0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5.75" customHeight="1">
      <c r="A429" s="16"/>
      <c r="B429" s="16" t="b">
        <v>0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5.75" customHeight="1">
      <c r="A430" s="16"/>
      <c r="B430" s="16" t="b">
        <v>0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5.75" customHeight="1">
      <c r="A431" s="16"/>
      <c r="B431" s="16" t="b">
        <v>0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5.75" customHeight="1">
      <c r="A432" s="16"/>
      <c r="B432" s="16" t="b">
        <v>0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5.75" customHeight="1">
      <c r="A433" s="16"/>
      <c r="B433" s="16" t="b">
        <v>0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5.75" customHeight="1">
      <c r="A434" s="16"/>
      <c r="B434" s="16" t="b">
        <v>0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5.75" customHeight="1">
      <c r="A435" s="16"/>
      <c r="B435" s="16" t="b">
        <v>0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5.75" customHeight="1">
      <c r="A436" s="16"/>
      <c r="B436" s="16" t="b">
        <v>0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5.75" customHeight="1">
      <c r="A437" s="16"/>
      <c r="B437" s="16" t="b">
        <v>0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5.75" customHeight="1">
      <c r="A438" s="16"/>
      <c r="B438" s="16" t="b">
        <v>0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5.75" customHeight="1">
      <c r="A439" s="16"/>
      <c r="B439" s="16" t="b">
        <v>0</v>
      </c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5.75" customHeight="1">
      <c r="A440" s="16"/>
      <c r="B440" s="16" t="b">
        <v>0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5.75" customHeight="1">
      <c r="A441" s="16"/>
      <c r="B441" s="16" t="b">
        <v>0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5.75" customHeight="1">
      <c r="A442" s="16"/>
      <c r="B442" s="16" t="b">
        <v>0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5.75" customHeight="1">
      <c r="A443" s="16"/>
      <c r="B443" s="16" t="b">
        <v>0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5.75" customHeight="1">
      <c r="A444" s="16"/>
      <c r="B444" s="16" t="b">
        <v>0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5.75" customHeight="1">
      <c r="A445" s="16"/>
      <c r="B445" s="16" t="b">
        <v>0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5.75" customHeight="1">
      <c r="A446" s="16"/>
      <c r="B446" s="16" t="b">
        <v>0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5.75" customHeight="1">
      <c r="A447" s="16"/>
      <c r="B447" s="16" t="b">
        <v>0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5.75" customHeight="1">
      <c r="A448" s="16"/>
      <c r="B448" s="16" t="b">
        <v>0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5.75" customHeight="1">
      <c r="A449" s="16"/>
      <c r="B449" s="16" t="b">
        <v>0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5.75" customHeight="1">
      <c r="A450" s="16"/>
      <c r="B450" s="16" t="b">
        <v>0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5.75" customHeight="1">
      <c r="A451" s="16"/>
      <c r="B451" s="16" t="b">
        <v>0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5.75" customHeight="1">
      <c r="A452" s="16"/>
      <c r="B452" s="16" t="b">
        <v>0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5.75" customHeight="1">
      <c r="A453" s="16"/>
      <c r="B453" s="16" t="b">
        <v>0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5.75" customHeight="1">
      <c r="A454" s="16"/>
      <c r="B454" s="16" t="b">
        <v>0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5.75" customHeight="1">
      <c r="A455" s="16"/>
      <c r="B455" s="16" t="b">
        <v>0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5.75" customHeight="1">
      <c r="A456" s="16"/>
      <c r="B456" s="16" t="b">
        <v>0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5.75" customHeight="1">
      <c r="A457" s="16"/>
      <c r="B457" s="16" t="b">
        <v>0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5.75" customHeight="1">
      <c r="A458" s="16"/>
      <c r="B458" s="16" t="b">
        <v>0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5.75" customHeight="1">
      <c r="A459" s="16"/>
      <c r="B459" s="16" t="b">
        <v>0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5.75" customHeight="1">
      <c r="A460" s="16"/>
      <c r="B460" s="16" t="b">
        <v>0</v>
      </c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5.75" customHeight="1">
      <c r="A461" s="16"/>
      <c r="B461" s="16" t="b">
        <v>0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5.75" customHeight="1">
      <c r="A462" s="16"/>
      <c r="B462" s="16" t="b">
        <v>0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5.75" customHeight="1">
      <c r="A463" s="16"/>
      <c r="B463" s="16" t="b">
        <v>0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5.75" customHeight="1">
      <c r="A464" s="16"/>
      <c r="B464" s="16" t="b">
        <v>0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5.75" customHeight="1">
      <c r="A465" s="16"/>
      <c r="B465" s="16" t="b">
        <v>0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5.75" customHeight="1">
      <c r="A466" s="16"/>
      <c r="B466" s="16" t="b">
        <v>0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5.75" customHeight="1">
      <c r="A467" s="16"/>
      <c r="B467" s="16" t="b">
        <v>0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5.75" customHeight="1">
      <c r="A468" s="16"/>
      <c r="B468" s="16" t="b">
        <v>0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5.75" customHeight="1">
      <c r="A469" s="16"/>
      <c r="B469" s="16" t="b">
        <v>0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5.75" customHeight="1">
      <c r="A470" s="16"/>
      <c r="B470" s="16" t="b">
        <v>0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5.75" customHeight="1">
      <c r="A471" s="16"/>
      <c r="B471" s="16" t="b">
        <v>0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5.75" customHeight="1">
      <c r="A472" s="16"/>
      <c r="B472" s="16" t="b">
        <v>0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5.75" customHeight="1">
      <c r="A473" s="16"/>
      <c r="B473" s="16" t="b">
        <v>0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5.75" customHeight="1">
      <c r="A474" s="16"/>
      <c r="B474" s="16" t="b">
        <v>0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5.75" customHeight="1">
      <c r="A475" s="16"/>
      <c r="B475" s="16" t="b">
        <v>0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5.75" customHeight="1">
      <c r="A476" s="16"/>
      <c r="B476" s="16" t="b">
        <v>0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5.75" customHeight="1">
      <c r="A477" s="16"/>
      <c r="B477" s="16" t="b">
        <v>0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5.75" customHeight="1">
      <c r="A478" s="16"/>
      <c r="B478" s="16" t="b">
        <v>0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5.75" customHeight="1">
      <c r="A479" s="16"/>
      <c r="B479" s="16" t="b">
        <v>0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5.75" customHeight="1">
      <c r="A480" s="16"/>
      <c r="B480" s="16" t="b">
        <v>0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5.75" customHeight="1">
      <c r="A481" s="16"/>
      <c r="B481" s="16" t="b">
        <v>0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5.75" customHeight="1">
      <c r="A482" s="16"/>
      <c r="B482" s="16" t="b">
        <v>0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5.75" customHeight="1">
      <c r="A483" s="16"/>
      <c r="B483" s="16" t="b">
        <v>0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5.75" customHeight="1">
      <c r="A484" s="16"/>
      <c r="B484" s="16" t="b">
        <v>0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5.75" customHeight="1">
      <c r="A485" s="16"/>
      <c r="B485" s="16" t="b">
        <v>0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5.75" customHeight="1">
      <c r="A486" s="16"/>
      <c r="B486" s="16" t="b">
        <v>0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5.75" customHeight="1">
      <c r="A487" s="16"/>
      <c r="B487" s="16" t="b">
        <v>0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5.75" customHeight="1">
      <c r="A488" s="16"/>
      <c r="B488" s="16" t="b">
        <v>0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5.75" customHeight="1">
      <c r="A489" s="16"/>
      <c r="B489" s="16" t="b">
        <v>0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5.75" customHeight="1">
      <c r="A490" s="16"/>
      <c r="B490" s="16" t="b">
        <v>0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5.75" customHeight="1">
      <c r="A491" s="16"/>
      <c r="B491" s="16" t="b">
        <v>0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5.75" customHeight="1">
      <c r="A492" s="16"/>
      <c r="B492" s="16" t="b">
        <v>0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5.75" customHeight="1">
      <c r="A493" s="16"/>
      <c r="B493" s="16" t="b">
        <v>0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5.75" customHeight="1">
      <c r="A494" s="16"/>
      <c r="B494" s="16" t="b">
        <v>0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5.75" customHeight="1">
      <c r="A495" s="16"/>
      <c r="B495" s="16" t="b">
        <v>0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5.75" customHeight="1">
      <c r="A496" s="16"/>
      <c r="B496" s="16" t="b">
        <v>0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5.75" customHeight="1">
      <c r="A497" s="16"/>
      <c r="B497" s="16" t="b">
        <v>0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5.75" customHeight="1">
      <c r="A498" s="16"/>
      <c r="B498" s="16" t="b">
        <v>0</v>
      </c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5.75" customHeight="1">
      <c r="A499" s="16"/>
      <c r="B499" s="16" t="b">
        <v>0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5.75" customHeight="1">
      <c r="A500" s="16"/>
      <c r="B500" s="16" t="b">
        <v>0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5.75" customHeight="1">
      <c r="A501" s="16"/>
      <c r="B501" s="16" t="b">
        <v>0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5.75" customHeight="1">
      <c r="A502" s="16"/>
      <c r="B502" s="16" t="b">
        <v>0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5.75" customHeight="1">
      <c r="A503" s="16"/>
      <c r="B503" s="16" t="b">
        <v>0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5.75" customHeight="1">
      <c r="A504" s="16"/>
      <c r="B504" s="16" t="b">
        <v>0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5.75" customHeight="1">
      <c r="A505" s="16"/>
      <c r="B505" s="16" t="b">
        <v>0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5.75" customHeight="1">
      <c r="A506" s="16"/>
      <c r="B506" s="16" t="b">
        <v>0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5.75" customHeight="1">
      <c r="A507" s="16"/>
      <c r="B507" s="16" t="b">
        <v>0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5.75" customHeight="1">
      <c r="A508" s="16"/>
      <c r="B508" s="16" t="b">
        <v>0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5.75" customHeight="1">
      <c r="A509" s="16"/>
      <c r="B509" s="16" t="b">
        <v>0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5.75" customHeight="1">
      <c r="A510" s="16"/>
      <c r="B510" s="16" t="b">
        <v>0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5.75" customHeight="1">
      <c r="A511" s="16"/>
      <c r="B511" s="16" t="b">
        <v>0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5.75" customHeight="1">
      <c r="A512" s="16"/>
      <c r="B512" s="16" t="b">
        <v>0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5.75" customHeight="1">
      <c r="A513" s="16"/>
      <c r="B513" s="16" t="b">
        <v>0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5.75" customHeight="1">
      <c r="A514" s="16"/>
      <c r="B514" s="16" t="b">
        <v>0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5.75" customHeight="1">
      <c r="A515" s="16"/>
      <c r="B515" s="16" t="b">
        <v>0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5.75" customHeight="1">
      <c r="A516" s="16"/>
      <c r="B516" s="16" t="b">
        <v>0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5.75" customHeight="1">
      <c r="A517" s="16"/>
      <c r="B517" s="16" t="b">
        <v>0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5.75" customHeight="1">
      <c r="A518" s="16"/>
      <c r="B518" s="16" t="b">
        <v>0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5.75" customHeight="1">
      <c r="A519" s="16"/>
      <c r="B519" s="16" t="b">
        <v>0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5.75" customHeight="1">
      <c r="A520" s="16"/>
      <c r="B520" s="16" t="b">
        <v>0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5.75" customHeight="1">
      <c r="A521" s="16"/>
      <c r="B521" s="16" t="b">
        <v>0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5.75" customHeight="1">
      <c r="A522" s="16"/>
      <c r="B522" s="16" t="b">
        <v>0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5.75" customHeight="1">
      <c r="A523" s="16"/>
      <c r="B523" s="16" t="b">
        <v>0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5.75" customHeight="1">
      <c r="A524" s="16"/>
      <c r="B524" s="16" t="b">
        <v>0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5.75" customHeight="1">
      <c r="A525" s="16"/>
      <c r="B525" s="16" t="b">
        <v>0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5.75" customHeight="1">
      <c r="A526" s="16"/>
      <c r="B526" s="16" t="b">
        <v>0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5.75" customHeight="1">
      <c r="A527" s="16"/>
      <c r="B527" s="16" t="b">
        <v>0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5.75" customHeight="1">
      <c r="A528" s="16"/>
      <c r="B528" s="16" t="b">
        <v>0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5.75" customHeight="1">
      <c r="A529" s="16"/>
      <c r="B529" s="16" t="b">
        <v>0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5.75" customHeight="1">
      <c r="A530" s="16"/>
      <c r="B530" s="16" t="b">
        <v>0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5.75" customHeight="1">
      <c r="A531" s="16"/>
      <c r="B531" s="16" t="b">
        <v>0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5.75" customHeight="1">
      <c r="A532" s="16"/>
      <c r="B532" s="16" t="b">
        <v>0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5.75" customHeight="1">
      <c r="A533" s="16"/>
      <c r="B533" s="16" t="b">
        <v>0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5.75" customHeight="1">
      <c r="A534" s="16"/>
      <c r="B534" s="16" t="b">
        <v>0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5.75" customHeight="1">
      <c r="A535" s="16"/>
      <c r="B535" s="16" t="b">
        <v>0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5.75" customHeight="1">
      <c r="A536" s="16"/>
      <c r="B536" s="16" t="b">
        <v>0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5.75" customHeight="1">
      <c r="A537" s="16"/>
      <c r="B537" s="16" t="b">
        <v>0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5.75" customHeight="1">
      <c r="A538" s="16"/>
      <c r="B538" s="16" t="b">
        <v>0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5.75" customHeight="1">
      <c r="A539" s="16"/>
      <c r="B539" s="16" t="b">
        <v>0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5.75" customHeight="1">
      <c r="A540" s="16"/>
      <c r="B540" s="16" t="b">
        <v>0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5.75" customHeight="1">
      <c r="A541" s="16"/>
      <c r="B541" s="16" t="b">
        <v>0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5.75" customHeight="1">
      <c r="A542" s="16"/>
      <c r="B542" s="16" t="b">
        <v>0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5.75" customHeight="1">
      <c r="A543" s="16"/>
      <c r="B543" s="16" t="b">
        <v>0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5.75" customHeight="1">
      <c r="A544" s="16"/>
      <c r="B544" s="16" t="b">
        <v>0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5.75" customHeight="1">
      <c r="A545" s="16"/>
      <c r="B545" s="16" t="b">
        <v>0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5.75" customHeight="1">
      <c r="A546" s="16"/>
      <c r="B546" s="16" t="b">
        <v>0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5.75" customHeight="1">
      <c r="A547" s="16"/>
      <c r="B547" s="16" t="b">
        <v>0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5.75" customHeight="1">
      <c r="A548" s="16"/>
      <c r="B548" s="16" t="b">
        <v>0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5.75" customHeight="1">
      <c r="A549" s="16"/>
      <c r="B549" s="16" t="b">
        <v>0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5.75" customHeight="1">
      <c r="A550" s="16"/>
      <c r="B550" s="16" t="b">
        <v>0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5.75" customHeight="1">
      <c r="A551" s="16"/>
      <c r="B551" s="16" t="b">
        <v>0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5.75" customHeight="1">
      <c r="A552" s="16"/>
      <c r="B552" s="16" t="b">
        <v>0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5.75" customHeight="1">
      <c r="A553" s="16"/>
      <c r="B553" s="16" t="b">
        <v>0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5.75" customHeight="1">
      <c r="A554" s="16"/>
      <c r="B554" s="16" t="b">
        <v>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5.75" customHeight="1">
      <c r="A555" s="16"/>
      <c r="B555" s="16" t="b">
        <v>0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5.75" customHeight="1">
      <c r="A556" s="16"/>
      <c r="B556" s="16" t="b">
        <v>0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5.75" customHeight="1">
      <c r="A557" s="16"/>
      <c r="B557" s="16" t="b">
        <v>0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5.75" customHeight="1">
      <c r="A558" s="16"/>
      <c r="B558" s="16" t="b">
        <v>0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5.75" customHeight="1">
      <c r="A559" s="16"/>
      <c r="B559" s="16" t="b">
        <v>0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5.75" customHeight="1">
      <c r="A560" s="16"/>
      <c r="B560" s="16" t="b">
        <v>0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5.75" customHeight="1">
      <c r="A561" s="16"/>
      <c r="B561" s="16" t="b">
        <v>0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5.75" customHeight="1">
      <c r="A562" s="16"/>
      <c r="B562" s="16" t="b">
        <v>0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5.75" customHeight="1">
      <c r="A563" s="16"/>
      <c r="B563" s="16" t="b">
        <v>0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5.75" customHeight="1">
      <c r="A564" s="16"/>
      <c r="B564" s="16" t="b">
        <v>0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5.75" customHeight="1">
      <c r="A565" s="16"/>
      <c r="B565" s="16" t="b">
        <v>0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5.75" customHeight="1">
      <c r="A566" s="16"/>
      <c r="B566" s="16" t="b">
        <v>0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5.75" customHeight="1">
      <c r="A567" s="16"/>
      <c r="B567" s="16" t="b">
        <v>0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5.75" customHeight="1">
      <c r="A568" s="16"/>
      <c r="B568" s="16" t="b">
        <v>0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5.75" customHeight="1">
      <c r="A569" s="16"/>
      <c r="B569" s="16" t="b">
        <v>0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5.75" customHeight="1">
      <c r="A570" s="16"/>
      <c r="B570" s="16" t="b">
        <v>0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5.75" customHeight="1">
      <c r="A571" s="16"/>
      <c r="B571" s="16" t="b">
        <v>0</v>
      </c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5.75" customHeight="1">
      <c r="A572" s="16"/>
      <c r="B572" s="16" t="b">
        <v>0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5.75" customHeight="1">
      <c r="A573" s="16"/>
      <c r="B573" s="16" t="b">
        <v>0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5.75" customHeight="1">
      <c r="A574" s="16"/>
      <c r="B574" s="16" t="b">
        <v>0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5.75" customHeight="1">
      <c r="A575" s="16"/>
      <c r="B575" s="16" t="b">
        <v>0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5.75" customHeight="1">
      <c r="A576" s="16"/>
      <c r="B576" s="16" t="b">
        <v>0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5.75" customHeight="1">
      <c r="A577" s="16"/>
      <c r="B577" s="16" t="b">
        <v>0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5.75" customHeight="1">
      <c r="A578" s="16"/>
      <c r="B578" s="16" t="b">
        <v>0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5.75" customHeight="1">
      <c r="A579" s="16"/>
      <c r="B579" s="16" t="b">
        <v>0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5.75" customHeight="1">
      <c r="A580" s="16"/>
      <c r="B580" s="16" t="b">
        <v>0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5.75" customHeight="1">
      <c r="A581" s="16"/>
      <c r="B581" s="16" t="b">
        <v>0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5.75" customHeight="1">
      <c r="A582" s="16"/>
      <c r="B582" s="16" t="b">
        <v>0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5.75" customHeight="1">
      <c r="A583" s="16"/>
      <c r="B583" s="16" t="b">
        <v>0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5.75" customHeight="1">
      <c r="A584" s="16"/>
      <c r="B584" s="16" t="b">
        <v>0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5.75" customHeight="1">
      <c r="A585" s="16"/>
      <c r="B585" s="16" t="b">
        <v>0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5.75" customHeight="1">
      <c r="A586" s="16"/>
      <c r="B586" s="16" t="b">
        <v>0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5.75" customHeight="1">
      <c r="A587" s="16"/>
      <c r="B587" s="16" t="b">
        <v>0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5.75" customHeight="1">
      <c r="A588" s="16"/>
      <c r="B588" s="16" t="b">
        <v>0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5.75" customHeight="1">
      <c r="A589" s="16"/>
      <c r="B589" s="16" t="b">
        <v>0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5.75" customHeight="1">
      <c r="A590" s="16"/>
      <c r="B590" s="16" t="b">
        <v>0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5.75" customHeight="1">
      <c r="A591" s="16"/>
      <c r="B591" s="16" t="b">
        <v>0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5.75" customHeight="1">
      <c r="A592" s="16"/>
      <c r="B592" s="16" t="b">
        <v>0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5.75" customHeight="1">
      <c r="A593" s="16"/>
      <c r="B593" s="16" t="b">
        <v>0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5.75" customHeight="1">
      <c r="A594" s="16"/>
      <c r="B594" s="16" t="b">
        <v>0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5.75" customHeight="1">
      <c r="A595" s="16"/>
      <c r="B595" s="16" t="b">
        <v>0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5.75" customHeight="1">
      <c r="A596" s="16"/>
      <c r="B596" s="16" t="b">
        <v>0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5.75" customHeight="1">
      <c r="A597" s="16"/>
      <c r="B597" s="16" t="b">
        <v>0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5.75" customHeight="1">
      <c r="A598" s="16"/>
      <c r="B598" s="16" t="b">
        <v>0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5.75" customHeight="1">
      <c r="A599" s="16"/>
      <c r="B599" s="16" t="b">
        <v>0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5.75" customHeight="1">
      <c r="A600" s="16"/>
      <c r="B600" s="16" t="b">
        <v>0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5.75" customHeight="1">
      <c r="A601" s="16"/>
      <c r="B601" s="16" t="b">
        <v>0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5.75" customHeight="1">
      <c r="A602" s="16"/>
      <c r="B602" s="16" t="b">
        <v>0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5.75" customHeight="1">
      <c r="A603" s="16"/>
      <c r="B603" s="16" t="b">
        <v>0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5.75" customHeight="1">
      <c r="A604" s="16"/>
      <c r="B604" s="16" t="b">
        <v>0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5.75" customHeight="1">
      <c r="A605" s="16"/>
      <c r="B605" s="16" t="b">
        <v>0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5.75" customHeight="1">
      <c r="A606" s="16"/>
      <c r="B606" s="16" t="b">
        <v>0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5.75" customHeight="1">
      <c r="A607" s="16"/>
      <c r="B607" s="16" t="b">
        <v>0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5.75" customHeight="1">
      <c r="A608" s="16"/>
      <c r="B608" s="16" t="b">
        <v>0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5.75" customHeight="1">
      <c r="A609" s="16"/>
      <c r="B609" s="16" t="b">
        <v>0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5.75" customHeight="1">
      <c r="A610" s="16"/>
      <c r="B610" s="16" t="b">
        <v>0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5.75" customHeight="1">
      <c r="A611" s="16"/>
      <c r="B611" s="16" t="b">
        <v>0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5.75" customHeight="1">
      <c r="A612" s="16"/>
      <c r="B612" s="16" t="b">
        <v>0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5.75" customHeight="1">
      <c r="A613" s="16"/>
      <c r="B613" s="16" t="b">
        <v>0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5.75" customHeight="1">
      <c r="A614" s="16"/>
      <c r="B614" s="16" t="b">
        <v>0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5.75" customHeight="1">
      <c r="A615" s="16"/>
      <c r="B615" s="16" t="b">
        <v>0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5.75" customHeight="1">
      <c r="A616" s="16"/>
      <c r="B616" s="16" t="b">
        <v>0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5.75" customHeight="1">
      <c r="A617" s="16"/>
      <c r="B617" s="16" t="b">
        <v>0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5.75" customHeight="1">
      <c r="A618" s="16"/>
      <c r="B618" s="16" t="b">
        <v>0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5.75" customHeight="1">
      <c r="A619" s="16"/>
      <c r="B619" s="16" t="b">
        <v>0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5.75" customHeight="1">
      <c r="A620" s="16"/>
      <c r="B620" s="16" t="b">
        <v>0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5.75" customHeight="1">
      <c r="A621" s="16"/>
      <c r="B621" s="16" t="b">
        <v>0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5.75" customHeight="1">
      <c r="A622" s="16"/>
      <c r="B622" s="16" t="b">
        <v>0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5.75" customHeight="1">
      <c r="A623" s="16"/>
      <c r="B623" s="16" t="b">
        <v>0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5.75" customHeight="1">
      <c r="A624" s="16"/>
      <c r="B624" s="16" t="b">
        <v>0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5.75" customHeight="1">
      <c r="A625" s="16"/>
      <c r="B625" s="16" t="b">
        <v>0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5.75" customHeight="1">
      <c r="A626" s="16"/>
      <c r="B626" s="16" t="b">
        <v>0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5.75" customHeight="1">
      <c r="A627" s="16"/>
      <c r="B627" s="16" t="b">
        <v>0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5.75" customHeight="1">
      <c r="A628" s="16"/>
      <c r="B628" s="16" t="b">
        <v>0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5.75" customHeight="1">
      <c r="A629" s="16"/>
      <c r="B629" s="16" t="b">
        <v>0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5.75" customHeight="1">
      <c r="A630" s="16"/>
      <c r="B630" s="16" t="b">
        <v>0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5.75" customHeight="1">
      <c r="A631" s="16"/>
      <c r="B631" s="16" t="b">
        <v>0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5.75" customHeight="1">
      <c r="A632" s="16"/>
      <c r="B632" s="16" t="b">
        <v>0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5.75" customHeight="1">
      <c r="A633" s="16"/>
      <c r="B633" s="16" t="b">
        <v>0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5.75" customHeight="1">
      <c r="A634" s="16"/>
      <c r="B634" s="16" t="b">
        <v>0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5.75" customHeight="1">
      <c r="A635" s="16"/>
      <c r="B635" s="16" t="b">
        <v>0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5.75" customHeight="1">
      <c r="A636" s="16"/>
      <c r="B636" s="16" t="b">
        <v>0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5.75" customHeight="1">
      <c r="A637" s="16"/>
      <c r="B637" s="16" t="b">
        <v>0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5.75" customHeight="1">
      <c r="A638" s="16"/>
      <c r="B638" s="16" t="b">
        <v>0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5.75" customHeight="1">
      <c r="A639" s="16"/>
      <c r="B639" s="16" t="b">
        <v>0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5.75" customHeight="1">
      <c r="A640" s="16"/>
      <c r="B640" s="16" t="b">
        <v>0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5.75" customHeight="1">
      <c r="A641" s="16"/>
      <c r="B641" s="16" t="b">
        <v>0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5.75" customHeight="1">
      <c r="A642" s="16"/>
      <c r="B642" s="16" t="b">
        <v>0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5.75" customHeight="1">
      <c r="A643" s="16"/>
      <c r="B643" s="16" t="b">
        <v>0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5.75" customHeight="1">
      <c r="A644" s="16"/>
      <c r="B644" s="16" t="b">
        <v>0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5.75" customHeight="1">
      <c r="A645" s="16"/>
      <c r="B645" s="16" t="b">
        <v>0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5.75" customHeight="1">
      <c r="A646" s="16"/>
      <c r="B646" s="16" t="b">
        <v>0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5.75" customHeight="1">
      <c r="A647" s="16"/>
      <c r="B647" s="16" t="b">
        <v>0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5.75" customHeight="1">
      <c r="A648" s="16"/>
      <c r="B648" s="16" t="b">
        <v>0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5.75" customHeight="1">
      <c r="A649" s="16"/>
      <c r="B649" s="16" t="b">
        <v>0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5.75" customHeight="1">
      <c r="A650" s="16"/>
      <c r="B650" s="16" t="b">
        <v>0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5.75" customHeight="1">
      <c r="A651" s="16"/>
      <c r="B651" s="16" t="b">
        <v>0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5.75" customHeight="1">
      <c r="A652" s="16"/>
      <c r="B652" s="16" t="b">
        <v>0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5.75" customHeight="1">
      <c r="A653" s="16"/>
      <c r="B653" s="16" t="b">
        <v>0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5.75" customHeight="1">
      <c r="A654" s="16"/>
      <c r="B654" s="16" t="b">
        <v>0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5.75" customHeight="1">
      <c r="A655" s="16"/>
      <c r="B655" s="16" t="b">
        <v>0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5.75" customHeight="1">
      <c r="A656" s="16"/>
      <c r="B656" s="16" t="b">
        <v>0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5.75" customHeight="1">
      <c r="A657" s="16"/>
      <c r="B657" s="16" t="b">
        <v>0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5.75" customHeight="1">
      <c r="A658" s="16"/>
      <c r="B658" s="16" t="b">
        <v>0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5.75" customHeight="1">
      <c r="A659" s="16"/>
      <c r="B659" s="16" t="b">
        <v>0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5.75" customHeight="1">
      <c r="A660" s="16"/>
      <c r="B660" s="16" t="b">
        <v>0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5.75" customHeight="1">
      <c r="A661" s="16"/>
      <c r="B661" s="16" t="b">
        <v>0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5.75" customHeight="1">
      <c r="A662" s="16"/>
      <c r="B662" s="16" t="b">
        <v>0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5.75" customHeight="1">
      <c r="A663" s="16"/>
      <c r="B663" s="16" t="b">
        <v>0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5.75" customHeight="1">
      <c r="A664" s="16"/>
      <c r="B664" s="16" t="b">
        <v>0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5.75" customHeight="1">
      <c r="A665" s="16"/>
      <c r="B665" s="16" t="b">
        <v>0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5.75" customHeight="1">
      <c r="A666" s="16"/>
      <c r="B666" s="16" t="b">
        <v>0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5.75" customHeight="1">
      <c r="A667" s="16"/>
      <c r="B667" s="16" t="b">
        <v>0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5.75" customHeight="1">
      <c r="A668" s="16"/>
      <c r="B668" s="16" t="b">
        <v>0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5.75" customHeight="1">
      <c r="A669" s="16"/>
      <c r="B669" s="16" t="b">
        <v>0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5.75" customHeight="1">
      <c r="A670" s="16"/>
      <c r="B670" s="16" t="b">
        <v>0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5.75" customHeight="1">
      <c r="A671" s="16"/>
      <c r="B671" s="16" t="b">
        <v>0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5.75" customHeight="1">
      <c r="A672" s="16"/>
      <c r="B672" s="16" t="b">
        <v>0</v>
      </c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5.75" customHeight="1">
      <c r="A673" s="16"/>
      <c r="B673" s="16" t="b">
        <v>0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5.75" customHeight="1">
      <c r="A674" s="16"/>
      <c r="B674" s="16" t="b">
        <v>0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5.75" customHeight="1">
      <c r="A675" s="16"/>
      <c r="B675" s="16" t="b">
        <v>0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5.75" customHeight="1">
      <c r="A676" s="16"/>
      <c r="B676" s="16" t="b">
        <v>0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5.75" customHeight="1">
      <c r="A677" s="16"/>
      <c r="B677" s="16" t="b">
        <v>0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5.75" customHeight="1">
      <c r="A678" s="16"/>
      <c r="B678" s="16" t="b">
        <v>0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5.75" customHeight="1">
      <c r="A679" s="16"/>
      <c r="B679" s="16" t="b">
        <v>0</v>
      </c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5.75" customHeight="1">
      <c r="A680" s="16"/>
      <c r="B680" s="16" t="b">
        <v>0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5.75" customHeight="1">
      <c r="A681" s="16"/>
      <c r="B681" s="16" t="b">
        <v>0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5.75" customHeight="1">
      <c r="A682" s="16"/>
      <c r="B682" s="16" t="b">
        <v>0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5.75" customHeight="1">
      <c r="A683" s="16"/>
      <c r="B683" s="16" t="b">
        <v>0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5.75" customHeight="1">
      <c r="A684" s="16"/>
      <c r="B684" s="16" t="b">
        <v>0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5.75" customHeight="1">
      <c r="A685" s="16"/>
      <c r="B685" s="16" t="b">
        <v>0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5.75" customHeight="1">
      <c r="A686" s="16"/>
      <c r="B686" s="16" t="b">
        <v>0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5.75" customHeight="1">
      <c r="A687" s="16"/>
      <c r="B687" s="16" t="b">
        <v>0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5.75" customHeight="1">
      <c r="A688" s="16"/>
      <c r="B688" s="16" t="b">
        <v>0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5.75" customHeight="1">
      <c r="A689" s="16"/>
      <c r="B689" s="16" t="b">
        <v>0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5.75" customHeight="1">
      <c r="A690" s="16"/>
      <c r="B690" s="16" t="b">
        <v>0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5.75" customHeight="1">
      <c r="A691" s="16"/>
      <c r="B691" s="16" t="b">
        <v>0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5.75" customHeight="1">
      <c r="A692" s="16"/>
      <c r="B692" s="16" t="b">
        <v>0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5.75" customHeight="1">
      <c r="A693" s="16"/>
      <c r="B693" s="16" t="b">
        <v>0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5.75" customHeight="1">
      <c r="A694" s="16"/>
      <c r="B694" s="16" t="b">
        <v>0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5.75" customHeight="1">
      <c r="A695" s="16"/>
      <c r="B695" s="16" t="b">
        <v>0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5.75" customHeight="1">
      <c r="A696" s="16"/>
      <c r="B696" s="16" t="b">
        <v>0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5.75" customHeight="1">
      <c r="A697" s="16"/>
      <c r="B697" s="16" t="b">
        <v>0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5.75" customHeight="1">
      <c r="A698" s="16"/>
      <c r="B698" s="16" t="b">
        <v>0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5.75" customHeight="1">
      <c r="A699" s="16"/>
      <c r="B699" s="16" t="b">
        <v>0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5.75" customHeight="1">
      <c r="A700" s="16"/>
      <c r="B700" s="16" t="b">
        <v>0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5.75" customHeight="1">
      <c r="A701" s="16"/>
      <c r="B701" s="16" t="b">
        <v>0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5.75" customHeight="1">
      <c r="A702" s="16"/>
      <c r="B702" s="16" t="b">
        <v>0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5.75" customHeight="1">
      <c r="A703" s="16"/>
      <c r="B703" s="16" t="b">
        <v>0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5.75" customHeight="1">
      <c r="A704" s="16"/>
      <c r="B704" s="16" t="b">
        <v>0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5.75" customHeight="1">
      <c r="A705" s="16"/>
      <c r="B705" s="16" t="b">
        <v>0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5.75" customHeight="1">
      <c r="A706" s="16"/>
      <c r="B706" s="16" t="b">
        <v>0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5.75" customHeight="1">
      <c r="A707" s="16"/>
      <c r="B707" s="16" t="b">
        <v>0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5.75" customHeight="1">
      <c r="A708" s="16"/>
      <c r="B708" s="16" t="b">
        <v>0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5.75" customHeight="1">
      <c r="A709" s="16"/>
      <c r="B709" s="16" t="b">
        <v>0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5.75" customHeight="1">
      <c r="A710" s="16"/>
      <c r="B710" s="16" t="b">
        <v>0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5.75" customHeight="1">
      <c r="A711" s="16"/>
      <c r="B711" s="16" t="b">
        <v>0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5.75" customHeight="1">
      <c r="A712" s="16"/>
      <c r="B712" s="16" t="b">
        <v>0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5.75" customHeight="1">
      <c r="A713" s="16"/>
      <c r="B713" s="16" t="b">
        <v>0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5.75" customHeight="1">
      <c r="A714" s="16"/>
      <c r="B714" s="16" t="b">
        <v>0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5.75" customHeight="1">
      <c r="A715" s="16"/>
      <c r="B715" s="16" t="b">
        <v>0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5.75" customHeight="1">
      <c r="A716" s="16"/>
      <c r="B716" s="16" t="b">
        <v>0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5.75" customHeight="1">
      <c r="A717" s="16"/>
      <c r="B717" s="16" t="b">
        <v>0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5.75" customHeight="1">
      <c r="A718" s="16"/>
      <c r="B718" s="16" t="b">
        <v>0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5.75" customHeight="1">
      <c r="A719" s="16"/>
      <c r="B719" s="16" t="b">
        <v>0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5.75" customHeight="1">
      <c r="A720" s="16"/>
      <c r="B720" s="16" t="b">
        <v>0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5.75" customHeight="1">
      <c r="A721" s="16"/>
      <c r="B721" s="16" t="b">
        <v>0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5.75" customHeight="1">
      <c r="A722" s="16"/>
      <c r="B722" s="16" t="b">
        <v>0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5.75" customHeight="1">
      <c r="A723" s="16"/>
      <c r="B723" s="16" t="b">
        <v>0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5.75" customHeight="1">
      <c r="A724" s="16"/>
      <c r="B724" s="16" t="b">
        <v>0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5.75" customHeight="1">
      <c r="A725" s="16"/>
      <c r="B725" s="16" t="b">
        <v>0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5.75" customHeight="1">
      <c r="A726" s="16"/>
      <c r="B726" s="16" t="b">
        <v>0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5.75" customHeight="1">
      <c r="A727" s="16"/>
      <c r="B727" s="16" t="b">
        <v>0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5.75" customHeight="1">
      <c r="A728" s="16"/>
      <c r="B728" s="16" t="b">
        <v>0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5.75" customHeight="1">
      <c r="A729" s="16"/>
      <c r="B729" s="16" t="b">
        <v>0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5.75" customHeight="1">
      <c r="A730" s="16"/>
      <c r="B730" s="16" t="b">
        <v>0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5.75" customHeight="1">
      <c r="A731" s="16"/>
      <c r="B731" s="16" t="b">
        <v>0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5.75" customHeight="1">
      <c r="A732" s="16"/>
      <c r="B732" s="16" t="b">
        <v>0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5.75" customHeight="1">
      <c r="A733" s="16"/>
      <c r="B733" s="16" t="b">
        <v>0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5.75" customHeight="1">
      <c r="A734" s="16"/>
      <c r="B734" s="16" t="b">
        <v>0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5.75" customHeight="1">
      <c r="A735" s="16"/>
      <c r="B735" s="16" t="b">
        <v>0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5.75" customHeight="1">
      <c r="A736" s="16"/>
      <c r="B736" s="16" t="b">
        <v>0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5.75" customHeight="1">
      <c r="A737" s="16"/>
      <c r="B737" s="16" t="b">
        <v>0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5.75" customHeight="1">
      <c r="A738" s="16"/>
      <c r="B738" s="16" t="b">
        <v>0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5.75" customHeight="1">
      <c r="A739" s="16"/>
      <c r="B739" s="16" t="b">
        <v>0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5.75" customHeight="1">
      <c r="A740" s="16"/>
      <c r="B740" s="16" t="b">
        <v>0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5.75" customHeight="1">
      <c r="A741" s="16"/>
      <c r="B741" s="16" t="b">
        <v>0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5.75" customHeight="1">
      <c r="A742" s="16"/>
      <c r="B742" s="16" t="b">
        <v>0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5.75" customHeight="1">
      <c r="A743" s="16"/>
      <c r="B743" s="16" t="b">
        <v>0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5.75" customHeight="1">
      <c r="A744" s="16"/>
      <c r="B744" s="16" t="b">
        <v>0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5.75" customHeight="1">
      <c r="A745" s="16"/>
      <c r="B745" s="16" t="b">
        <v>0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5.75" customHeight="1">
      <c r="A746" s="16"/>
      <c r="B746" s="16" t="b">
        <v>0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5.75" customHeight="1">
      <c r="A747" s="16"/>
      <c r="B747" s="16" t="b">
        <v>0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5.75" customHeight="1">
      <c r="A748" s="16"/>
      <c r="B748" s="16" t="b">
        <v>0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5.75" customHeight="1">
      <c r="A749" s="16"/>
      <c r="B749" s="16" t="b">
        <v>0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5.75" customHeight="1">
      <c r="A750" s="16"/>
      <c r="B750" s="16" t="b">
        <v>0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5.75" customHeight="1">
      <c r="A751" s="16"/>
      <c r="B751" s="16" t="b">
        <v>0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5.75" customHeight="1">
      <c r="A752" s="16"/>
      <c r="B752" s="16" t="b">
        <v>0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5.75" customHeight="1">
      <c r="A753" s="16"/>
      <c r="B753" s="16" t="b">
        <v>0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5.75" customHeight="1">
      <c r="A754" s="16"/>
      <c r="B754" s="16" t="b">
        <v>0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5.75" customHeight="1">
      <c r="A755" s="16"/>
      <c r="B755" s="16" t="b">
        <v>0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5.75" customHeight="1">
      <c r="A756" s="16"/>
      <c r="B756" s="16" t="b">
        <v>0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5.75" customHeight="1">
      <c r="A757" s="16"/>
      <c r="B757" s="16" t="b">
        <v>0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5.75" customHeight="1">
      <c r="A758" s="16"/>
      <c r="B758" s="16" t="b">
        <v>0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5.75" customHeight="1">
      <c r="A759" s="16"/>
      <c r="B759" s="16" t="b">
        <v>0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5.75" customHeight="1">
      <c r="A760" s="16"/>
      <c r="B760" s="16" t="b">
        <v>0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5.75" customHeight="1">
      <c r="A761" s="16"/>
      <c r="B761" s="16" t="b">
        <v>0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5.75" customHeight="1">
      <c r="A762" s="16"/>
      <c r="B762" s="16" t="b">
        <v>0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5.75" customHeight="1">
      <c r="A763" s="16"/>
      <c r="B763" s="16" t="b">
        <v>0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5.75" customHeight="1">
      <c r="A764" s="16"/>
      <c r="B764" s="16" t="b">
        <v>0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5.75" customHeight="1">
      <c r="A765" s="16"/>
      <c r="B765" s="16" t="b">
        <v>0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5.75" customHeight="1">
      <c r="A766" s="16"/>
      <c r="B766" s="16" t="b">
        <v>0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5.75" customHeight="1">
      <c r="A767" s="16"/>
      <c r="B767" s="16" t="b">
        <v>0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5.75" customHeight="1">
      <c r="A768" s="16"/>
      <c r="B768" s="16" t="b">
        <v>0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5.75" customHeight="1">
      <c r="A769" s="16"/>
      <c r="B769" s="16" t="b">
        <v>0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5.75" customHeight="1">
      <c r="A770" s="16"/>
      <c r="B770" s="16" t="b">
        <v>0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5.75" customHeight="1">
      <c r="A771" s="16"/>
      <c r="B771" s="16" t="b">
        <v>0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5.75" customHeight="1">
      <c r="A772" s="16"/>
      <c r="B772" s="16" t="b">
        <v>0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5.75" customHeight="1">
      <c r="A773" s="16"/>
      <c r="B773" s="16" t="b">
        <v>0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5.75" customHeight="1">
      <c r="A774" s="16"/>
      <c r="B774" s="16" t="b">
        <v>0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5.75" customHeight="1">
      <c r="A775" s="16"/>
      <c r="B775" s="16" t="b">
        <v>0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5.75" customHeight="1">
      <c r="A776" s="16"/>
      <c r="B776" s="16" t="b">
        <v>0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5.75" customHeight="1">
      <c r="A777" s="16"/>
      <c r="B777" s="16" t="b">
        <v>0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5.75" customHeight="1">
      <c r="A778" s="16"/>
      <c r="B778" s="16" t="b">
        <v>0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5.75" customHeight="1">
      <c r="A779" s="16"/>
      <c r="B779" s="16" t="b">
        <v>0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5.75" customHeight="1">
      <c r="A780" s="16"/>
      <c r="B780" s="16" t="b">
        <v>0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5.75" customHeight="1">
      <c r="A781" s="16"/>
      <c r="B781" s="16" t="b">
        <v>0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5.75" customHeight="1">
      <c r="A782" s="16"/>
      <c r="B782" s="16" t="b">
        <v>0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5.75" customHeight="1">
      <c r="A783" s="16"/>
      <c r="B783" s="16" t="b">
        <v>0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5.75" customHeight="1">
      <c r="A784" s="16"/>
      <c r="B784" s="16" t="b">
        <v>0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5.75" customHeight="1">
      <c r="A785" s="16"/>
      <c r="B785" s="16" t="b">
        <v>0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5.75" customHeight="1">
      <c r="A786" s="16"/>
      <c r="B786" s="16" t="b">
        <v>0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5.75" customHeight="1">
      <c r="A787" s="16"/>
      <c r="B787" s="16" t="b">
        <v>0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5.75" customHeight="1">
      <c r="A788" s="16"/>
      <c r="B788" s="16" t="b">
        <v>0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5.75" customHeight="1">
      <c r="A789" s="16"/>
      <c r="B789" s="16" t="b">
        <v>0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5.75" customHeight="1">
      <c r="A790" s="16"/>
      <c r="B790" s="16" t="b">
        <v>0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5.75" customHeight="1">
      <c r="A791" s="16"/>
      <c r="B791" s="16" t="b">
        <v>0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5.75" customHeight="1">
      <c r="A792" s="16"/>
      <c r="B792" s="16" t="b">
        <v>0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5.75" customHeight="1">
      <c r="A793" s="16"/>
      <c r="B793" s="16" t="b">
        <v>0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5.75" customHeight="1">
      <c r="A794" s="16"/>
      <c r="B794" s="16" t="b">
        <v>0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5.75" customHeight="1">
      <c r="A795" s="16"/>
      <c r="B795" s="16" t="b">
        <v>0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5.75" customHeight="1">
      <c r="A796" s="16"/>
      <c r="B796" s="16" t="b">
        <v>0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5.75" customHeight="1">
      <c r="A797" s="16"/>
      <c r="B797" s="16" t="b">
        <v>0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5.75" customHeight="1">
      <c r="A798" s="16"/>
      <c r="B798" s="16" t="b">
        <v>0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5.75" customHeight="1">
      <c r="A799" s="16"/>
      <c r="B799" s="16" t="b">
        <v>0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5.75" customHeight="1">
      <c r="A800" s="16"/>
      <c r="B800" s="16" t="b">
        <v>0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5.75" customHeight="1">
      <c r="A801" s="16"/>
      <c r="B801" s="16" t="b">
        <v>0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5.75" customHeight="1">
      <c r="A802" s="16"/>
      <c r="B802" s="16" t="b">
        <v>0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5.75" customHeight="1">
      <c r="A803" s="16"/>
      <c r="B803" s="16" t="b">
        <v>0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5.75" customHeight="1">
      <c r="A804" s="16"/>
      <c r="B804" s="16" t="b">
        <v>0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5.75" customHeight="1">
      <c r="A805" s="16"/>
      <c r="B805" s="16" t="b">
        <v>0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5.75" customHeight="1">
      <c r="A806" s="16"/>
      <c r="B806" s="16" t="b">
        <v>0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5.75" customHeight="1">
      <c r="A807" s="16"/>
      <c r="B807" s="16" t="b">
        <v>0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5.75" customHeight="1">
      <c r="A808" s="16"/>
      <c r="B808" s="16" t="b">
        <v>0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5.75" customHeight="1">
      <c r="A809" s="16"/>
      <c r="B809" s="16" t="b">
        <v>0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5.75" customHeight="1">
      <c r="A810" s="16"/>
      <c r="B810" s="16" t="b">
        <v>0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5.75" customHeight="1">
      <c r="A811" s="16"/>
      <c r="B811" s="16" t="b">
        <v>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5.75" customHeight="1">
      <c r="A812" s="16"/>
      <c r="B812" s="16" t="b">
        <v>0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5.75" customHeight="1">
      <c r="A813" s="16"/>
      <c r="B813" s="16" t="b">
        <v>0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5.75" customHeight="1">
      <c r="A814" s="16"/>
      <c r="B814" s="16" t="b">
        <v>0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5.75" customHeight="1">
      <c r="A815" s="16"/>
      <c r="B815" s="16" t="b">
        <v>0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5.75" customHeight="1">
      <c r="A816" s="16"/>
      <c r="B816" s="16" t="b">
        <v>0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5.75" customHeight="1">
      <c r="A817" s="16"/>
      <c r="B817" s="16" t="b">
        <v>0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5.75" customHeight="1">
      <c r="A818" s="16"/>
      <c r="B818" s="16" t="b">
        <v>0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5.75" customHeight="1">
      <c r="A819" s="16"/>
      <c r="B819" s="16" t="b">
        <v>0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5.75" customHeight="1">
      <c r="A820" s="16"/>
      <c r="B820" s="16" t="b">
        <v>0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5.75" customHeight="1">
      <c r="A821" s="16"/>
      <c r="B821" s="16" t="b">
        <v>0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5.75" customHeight="1">
      <c r="A822" s="16"/>
      <c r="B822" s="16" t="b">
        <v>0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5.75" customHeight="1">
      <c r="A823" s="16"/>
      <c r="B823" s="16" t="b">
        <v>0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5.75" customHeight="1">
      <c r="A824" s="16"/>
      <c r="B824" s="16" t="b">
        <v>0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5.75" customHeight="1">
      <c r="A825" s="16"/>
      <c r="B825" s="16" t="b">
        <v>0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5.75" customHeight="1">
      <c r="A826" s="16"/>
      <c r="B826" s="16" t="b">
        <v>0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5.75" customHeight="1">
      <c r="A827" s="16"/>
      <c r="B827" s="16" t="b">
        <v>0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5.75" customHeight="1">
      <c r="A828" s="16"/>
      <c r="B828" s="16" t="b">
        <v>0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5.75" customHeight="1">
      <c r="A829" s="16"/>
      <c r="B829" s="16" t="b">
        <v>0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5.75" customHeight="1">
      <c r="A830" s="16"/>
      <c r="B830" s="16" t="b">
        <v>0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5.75" customHeight="1">
      <c r="A831" s="16"/>
      <c r="B831" s="16" t="b">
        <v>0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5.75" customHeight="1">
      <c r="A832" s="16"/>
      <c r="B832" s="16" t="b">
        <v>0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5.75" customHeight="1">
      <c r="A833" s="16"/>
      <c r="B833" s="16" t="b">
        <v>0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5.75" customHeight="1">
      <c r="A834" s="16"/>
      <c r="B834" s="16" t="b">
        <v>0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5.75" customHeight="1">
      <c r="A835" s="16"/>
      <c r="B835" s="16" t="b">
        <v>0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5.75" customHeight="1">
      <c r="A836" s="16"/>
      <c r="B836" s="16" t="b">
        <v>0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5.75" customHeight="1">
      <c r="A837" s="16"/>
      <c r="B837" s="16" t="b">
        <v>0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5.75" customHeight="1">
      <c r="A838" s="16"/>
      <c r="B838" s="16" t="b">
        <v>0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5.75" customHeight="1">
      <c r="A839" s="16"/>
      <c r="B839" s="16" t="b">
        <v>0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5.75" customHeight="1">
      <c r="A840" s="16"/>
      <c r="B840" s="16" t="b">
        <v>0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5.75" customHeight="1">
      <c r="A841" s="16"/>
      <c r="B841" s="16" t="b">
        <v>0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5.75" customHeight="1">
      <c r="A842" s="16"/>
      <c r="B842" s="16" t="b">
        <v>0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5.75" customHeight="1">
      <c r="A843" s="16"/>
      <c r="B843" s="16" t="b">
        <v>0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5.75" customHeight="1">
      <c r="A844" s="16"/>
      <c r="B844" s="16" t="b">
        <v>0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5.75" customHeight="1">
      <c r="A845" s="16"/>
      <c r="B845" s="16" t="b">
        <v>0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5.75" customHeight="1">
      <c r="A846" s="16"/>
      <c r="B846" s="16" t="b">
        <v>0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5.75" customHeight="1">
      <c r="A847" s="16"/>
      <c r="B847" s="16" t="b">
        <v>0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5.75" customHeight="1">
      <c r="A848" s="16"/>
      <c r="B848" s="16" t="b">
        <v>0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5.75" customHeight="1">
      <c r="A849" s="16"/>
      <c r="B849" s="16" t="b">
        <v>0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5.75" customHeight="1">
      <c r="A850" s="16"/>
      <c r="B850" s="16" t="b">
        <v>0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5.75" customHeight="1">
      <c r="A851" s="16"/>
      <c r="B851" s="16" t="b">
        <v>0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5.75" customHeight="1">
      <c r="A852" s="16"/>
      <c r="B852" s="16" t="b">
        <v>0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5.75" customHeight="1">
      <c r="A853" s="16"/>
      <c r="B853" s="16" t="b">
        <v>0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5.75" customHeight="1">
      <c r="A854" s="16"/>
      <c r="B854" s="16" t="b">
        <v>0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5.75" customHeight="1">
      <c r="A855" s="16"/>
      <c r="B855" s="16" t="b">
        <v>0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5.75" customHeight="1">
      <c r="A856" s="16"/>
      <c r="B856" s="16" t="b">
        <v>0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5.75" customHeight="1">
      <c r="A857" s="16"/>
      <c r="B857" s="16" t="b">
        <v>0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5.75" customHeight="1">
      <c r="A858" s="16"/>
      <c r="B858" s="16" t="b">
        <v>0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5.75" customHeight="1">
      <c r="A859" s="16"/>
      <c r="B859" s="16" t="b">
        <v>0</v>
      </c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5.75" customHeight="1">
      <c r="A860" s="16"/>
      <c r="B860" s="16" t="b">
        <v>0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5.75" customHeight="1">
      <c r="A861" s="16"/>
      <c r="B861" s="16" t="b">
        <v>0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5.75" customHeight="1">
      <c r="A862" s="16"/>
      <c r="B862" s="16" t="b">
        <v>0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5.75" customHeight="1">
      <c r="A863" s="16"/>
      <c r="B863" s="16" t="b">
        <v>0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5.75" customHeight="1">
      <c r="A864" s="16"/>
      <c r="B864" s="16" t="b">
        <v>0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5.75" customHeight="1">
      <c r="A865" s="16"/>
      <c r="B865" s="16" t="b">
        <v>0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5.75" customHeight="1">
      <c r="A866" s="16"/>
      <c r="B866" s="16" t="b">
        <v>0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5.75" customHeight="1">
      <c r="A867" s="16"/>
      <c r="B867" s="16" t="b">
        <v>0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5.75" customHeight="1">
      <c r="A868" s="16"/>
      <c r="B868" s="16" t="b">
        <v>0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5.75" customHeight="1">
      <c r="A869" s="16"/>
      <c r="B869" s="16" t="b">
        <v>0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5.75" customHeight="1">
      <c r="A870" s="16"/>
      <c r="B870" s="16" t="b">
        <v>0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5.75" customHeight="1">
      <c r="A871" s="16"/>
      <c r="B871" s="16" t="b">
        <v>0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5.75" customHeight="1">
      <c r="A872" s="16"/>
      <c r="B872" s="16" t="b">
        <v>0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5.75" customHeight="1">
      <c r="A873" s="16"/>
      <c r="B873" s="16" t="b">
        <v>0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5.75" customHeight="1">
      <c r="A874" s="16"/>
      <c r="B874" s="16" t="b">
        <v>0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5.75" customHeight="1">
      <c r="A875" s="16"/>
      <c r="B875" s="16" t="b">
        <v>0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5.75" customHeight="1">
      <c r="A876" s="16"/>
      <c r="B876" s="16" t="b">
        <v>0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5.75" customHeight="1">
      <c r="A877" s="16"/>
      <c r="B877" s="16" t="b">
        <v>0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5.75" customHeight="1">
      <c r="A878" s="16"/>
      <c r="B878" s="16" t="b">
        <v>0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5.75" customHeight="1">
      <c r="A879" s="16"/>
      <c r="B879" s="16" t="b">
        <v>0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5.75" customHeight="1">
      <c r="A880" s="16"/>
      <c r="B880" s="16" t="b">
        <v>0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5.75" customHeight="1">
      <c r="A881" s="16"/>
      <c r="B881" s="16" t="b">
        <v>0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5.75" customHeight="1">
      <c r="A882" s="16"/>
      <c r="B882" s="16" t="b">
        <v>0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5.75" customHeight="1">
      <c r="A883" s="16"/>
      <c r="B883" s="16" t="b">
        <v>0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5.75" customHeight="1">
      <c r="A884" s="16"/>
      <c r="B884" s="16" t="b">
        <v>0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5.75" customHeight="1">
      <c r="A885" s="16"/>
      <c r="B885" s="16" t="b">
        <v>0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5.75" customHeight="1">
      <c r="A886" s="16"/>
      <c r="B886" s="16" t="b">
        <v>0</v>
      </c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5.75" customHeight="1">
      <c r="A887" s="16"/>
      <c r="B887" s="16" t="b">
        <v>0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5.75" customHeight="1">
      <c r="A888" s="16"/>
      <c r="B888" s="16" t="b">
        <v>0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5.75" customHeight="1">
      <c r="A889" s="16"/>
      <c r="B889" s="16" t="b">
        <v>0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5.75" customHeight="1">
      <c r="A890" s="16"/>
      <c r="B890" s="16" t="b">
        <v>0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5.75" customHeight="1">
      <c r="A891" s="16"/>
      <c r="B891" s="16" t="b">
        <v>0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5.75" customHeight="1">
      <c r="A892" s="16"/>
      <c r="B892" s="16" t="b">
        <v>0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5.75" customHeight="1">
      <c r="A893" s="16"/>
      <c r="B893" s="16" t="b">
        <v>0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5.75" customHeight="1">
      <c r="A894" s="16"/>
      <c r="B894" s="16" t="b">
        <v>0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5.75" customHeight="1">
      <c r="A895" s="16"/>
      <c r="B895" s="16" t="b">
        <v>0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5.75" customHeight="1">
      <c r="A896" s="16"/>
      <c r="B896" s="16" t="b">
        <v>0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5.75" customHeight="1">
      <c r="A897" s="16"/>
      <c r="B897" s="16" t="b">
        <v>0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5.75" customHeight="1">
      <c r="A898" s="16"/>
      <c r="B898" s="16" t="b">
        <v>0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5.75" customHeight="1">
      <c r="A899" s="16"/>
      <c r="B899" s="16" t="b">
        <v>0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5.75" customHeight="1">
      <c r="A900" s="16"/>
      <c r="B900" s="16" t="b">
        <v>0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5.75" customHeight="1">
      <c r="A901" s="16"/>
      <c r="B901" s="16" t="b">
        <v>0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5.75" customHeight="1">
      <c r="A902" s="16"/>
      <c r="B902" s="16" t="b">
        <v>0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5.75" customHeight="1">
      <c r="A903" s="16"/>
      <c r="B903" s="16" t="b">
        <v>0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5.75" customHeight="1">
      <c r="A904" s="16"/>
      <c r="B904" s="16" t="b">
        <v>0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5.75" customHeight="1">
      <c r="A905" s="16"/>
      <c r="B905" s="16" t="b">
        <v>0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5.75" customHeight="1">
      <c r="A906" s="16"/>
      <c r="B906" s="16" t="b">
        <v>0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5.75" customHeight="1">
      <c r="A907" s="16"/>
      <c r="B907" s="16" t="b">
        <v>0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5.75" customHeight="1">
      <c r="A908" s="16"/>
      <c r="B908" s="16" t="b">
        <v>0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5.75" customHeight="1">
      <c r="A909" s="16"/>
      <c r="B909" s="16" t="b">
        <v>0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5.75" customHeight="1">
      <c r="A910" s="16"/>
      <c r="B910" s="16" t="b">
        <v>0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5.75" customHeight="1">
      <c r="A911" s="16"/>
      <c r="B911" s="16" t="b">
        <v>0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5.75" customHeight="1">
      <c r="A912" s="16"/>
      <c r="B912" s="16" t="b">
        <v>0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5.75" customHeight="1">
      <c r="A913" s="16"/>
      <c r="B913" s="16" t="b">
        <v>0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5.75" customHeight="1">
      <c r="A914" s="16"/>
      <c r="B914" s="16" t="b">
        <v>0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5.75" customHeight="1">
      <c r="A915" s="16"/>
      <c r="B915" s="16" t="b">
        <v>0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5.75" customHeight="1">
      <c r="A916" s="16"/>
      <c r="B916" s="16" t="b">
        <v>0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5.75" customHeight="1">
      <c r="A917" s="16"/>
      <c r="B917" s="16" t="b">
        <v>0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5.75" customHeight="1">
      <c r="A918" s="16"/>
      <c r="B918" s="16" t="b">
        <v>0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5.75" customHeight="1">
      <c r="A919" s="16"/>
      <c r="B919" s="16" t="b">
        <v>0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5.75" customHeight="1">
      <c r="A920" s="16"/>
      <c r="B920" s="16" t="b">
        <v>0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5.75" customHeight="1">
      <c r="A921" s="16"/>
      <c r="B921" s="16" t="b">
        <v>0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5.75" customHeight="1">
      <c r="A922" s="16"/>
      <c r="B922" s="16" t="b">
        <v>0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5.75" customHeight="1">
      <c r="A923" s="16"/>
      <c r="B923" s="16" t="b">
        <v>0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5.75" customHeight="1">
      <c r="A924" s="16"/>
      <c r="B924" s="16" t="b">
        <v>0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5.75" customHeight="1">
      <c r="A925" s="16"/>
      <c r="B925" s="16" t="b">
        <v>0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5.75" customHeight="1">
      <c r="A926" s="16"/>
      <c r="B926" s="16" t="b">
        <v>0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5.75" customHeight="1">
      <c r="A927" s="16"/>
      <c r="B927" s="16" t="b">
        <v>0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5.75" customHeight="1">
      <c r="A928" s="16"/>
      <c r="B928" s="16" t="b">
        <v>0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5.75" customHeight="1">
      <c r="A929" s="16"/>
      <c r="B929" s="16" t="b">
        <v>0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5.75" customHeight="1">
      <c r="A930" s="16"/>
      <c r="B930" s="16" t="b">
        <v>0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5.75" customHeight="1">
      <c r="A931" s="16"/>
      <c r="B931" s="16" t="b">
        <v>0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5.75" customHeight="1">
      <c r="A932" s="16"/>
      <c r="B932" s="16" t="b">
        <v>0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5.75" customHeight="1">
      <c r="A933" s="16"/>
      <c r="B933" s="16" t="b">
        <v>0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5.75" customHeight="1">
      <c r="A934" s="16"/>
      <c r="B934" s="16" t="b">
        <v>0</v>
      </c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5.75" customHeight="1">
      <c r="A935" s="16"/>
      <c r="B935" s="16" t="b">
        <v>0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5.75" customHeight="1">
      <c r="A936" s="16"/>
      <c r="B936" s="16" t="b">
        <v>0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5.75" customHeight="1">
      <c r="A937" s="16"/>
      <c r="B937" s="16" t="b">
        <v>0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5.75" customHeight="1">
      <c r="A938" s="16"/>
      <c r="B938" s="16" t="b">
        <v>0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5.75" customHeight="1">
      <c r="A939" s="16"/>
      <c r="B939" s="16" t="b">
        <v>0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5.75" customHeight="1">
      <c r="A940" s="16"/>
      <c r="B940" s="16" t="b">
        <v>0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5.75" customHeight="1">
      <c r="A941" s="16"/>
      <c r="B941" s="16" t="b">
        <v>0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5.75" customHeight="1">
      <c r="A942" s="16"/>
      <c r="B942" s="16" t="b">
        <v>0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5.75" customHeight="1">
      <c r="A943" s="16"/>
      <c r="B943" s="16" t="b">
        <v>0</v>
      </c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5.75" customHeight="1">
      <c r="A944" s="16"/>
      <c r="B944" s="16" t="b">
        <v>0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5.75" customHeight="1">
      <c r="A945" s="16"/>
      <c r="B945" s="16" t="b">
        <v>0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5.75" customHeight="1">
      <c r="A946" s="16"/>
      <c r="B946" s="16" t="b">
        <v>0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5.75" customHeight="1">
      <c r="A947" s="16"/>
      <c r="B947" s="16" t="b">
        <v>0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5.75" customHeight="1">
      <c r="A948" s="16"/>
      <c r="B948" s="16" t="b">
        <v>0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5.75" customHeight="1">
      <c r="A949" s="16"/>
      <c r="B949" s="16" t="b">
        <v>0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5.75" customHeight="1">
      <c r="A950" s="16"/>
      <c r="B950" s="16" t="b">
        <v>0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5.75" customHeight="1">
      <c r="A951" s="16"/>
      <c r="B951" s="16" t="b">
        <v>0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5.75" customHeight="1">
      <c r="A952" s="16"/>
      <c r="B952" s="16" t="b">
        <v>0</v>
      </c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5.75" customHeight="1">
      <c r="A953" s="16"/>
      <c r="B953" s="16" t="b">
        <v>0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5.75" customHeight="1">
      <c r="A954" s="16"/>
      <c r="B954" s="16" t="b">
        <v>0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5.75" customHeight="1">
      <c r="A955" s="16"/>
      <c r="B955" s="16" t="b">
        <v>0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5.75" customHeight="1">
      <c r="A956" s="16"/>
      <c r="B956" s="16" t="b">
        <v>0</v>
      </c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5.75" customHeight="1">
      <c r="A957" s="16"/>
      <c r="B957" s="16" t="b">
        <v>0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5.75" customHeight="1">
      <c r="A958" s="16"/>
      <c r="B958" s="16" t="b">
        <v>0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5.75" customHeight="1">
      <c r="A959" s="16"/>
      <c r="B959" s="16" t="b">
        <v>0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5.75" customHeight="1">
      <c r="A960" s="16"/>
      <c r="B960" s="16" t="b">
        <v>0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5.75" customHeight="1">
      <c r="A961" s="16"/>
      <c r="B961" s="16" t="b">
        <v>0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5.75" customHeight="1">
      <c r="A962" s="16"/>
      <c r="B962" s="16" t="b">
        <v>0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5.75" customHeight="1">
      <c r="A963" s="16"/>
      <c r="B963" s="16" t="b">
        <v>0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5.75" customHeight="1">
      <c r="A964" s="16"/>
      <c r="B964" s="16" t="b">
        <v>0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5.75" customHeight="1">
      <c r="A965" s="16"/>
      <c r="B965" s="16" t="b">
        <v>0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5.75" customHeight="1">
      <c r="A966" s="16"/>
      <c r="B966" s="16" t="b">
        <v>0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5.75" customHeight="1">
      <c r="A967" s="16"/>
      <c r="B967" s="16" t="b">
        <v>0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5.75" customHeight="1">
      <c r="A968" s="16"/>
      <c r="B968" s="16" t="b">
        <v>0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5.75" customHeight="1">
      <c r="A969" s="16"/>
      <c r="B969" s="16" t="b">
        <v>0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5.75" customHeight="1">
      <c r="A970" s="16"/>
      <c r="B970" s="16" t="b">
        <v>0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5.75" customHeight="1">
      <c r="A971" s="16"/>
      <c r="B971" s="16" t="b">
        <v>0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5.75" customHeight="1">
      <c r="A972" s="16"/>
      <c r="B972" s="16" t="b">
        <v>0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5.75" customHeight="1">
      <c r="A973" s="16"/>
      <c r="B973" s="16" t="b">
        <v>0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5.75" customHeight="1">
      <c r="A974" s="16"/>
      <c r="B974" s="16" t="b">
        <v>0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5.75" customHeight="1">
      <c r="A975" s="16"/>
      <c r="B975" s="16" t="b">
        <v>0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5.75" customHeight="1">
      <c r="A976" s="16"/>
      <c r="B976" s="16" t="b">
        <v>0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5.75" customHeight="1">
      <c r="A977" s="16"/>
      <c r="B977" s="16" t="b">
        <v>0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5.75" customHeight="1">
      <c r="A978" s="16"/>
      <c r="B978" s="16" t="b">
        <v>0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5.75" customHeight="1">
      <c r="A979" s="16"/>
      <c r="B979" s="16" t="b">
        <v>0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5.75" customHeight="1">
      <c r="A980" s="16"/>
      <c r="B980" s="16" t="b">
        <v>0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5.75" customHeight="1">
      <c r="A981" s="16"/>
      <c r="B981" s="16" t="b">
        <v>0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5.75" customHeight="1">
      <c r="A982" s="16"/>
      <c r="B982" s="16" t="b">
        <v>0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5.75" customHeight="1">
      <c r="A983" s="16"/>
      <c r="B983" s="16" t="b">
        <v>0</v>
      </c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5.75" customHeight="1">
      <c r="A984" s="16"/>
      <c r="B984" s="16" t="b">
        <v>0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5.75" customHeight="1">
      <c r="A985" s="16"/>
      <c r="B985" s="16" t="b">
        <v>0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5.75" customHeight="1">
      <c r="A986" s="16"/>
      <c r="B986" s="16" t="b">
        <v>0</v>
      </c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5.75" customHeight="1">
      <c r="A987" s="16"/>
      <c r="B987" s="16" t="b">
        <v>0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5.75" customHeight="1">
      <c r="A988" s="16"/>
      <c r="B988" s="16" t="b">
        <v>0</v>
      </c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5.75" customHeight="1">
      <c r="A989" s="16"/>
      <c r="B989" s="16" t="b">
        <v>0</v>
      </c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5.75" customHeight="1">
      <c r="A990" s="16"/>
      <c r="B990" s="16" t="b">
        <v>0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5.75" customHeight="1">
      <c r="A991" s="16"/>
      <c r="B991" s="16" t="b">
        <v>0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5.75" customHeight="1">
      <c r="A992" s="16"/>
      <c r="B992" s="16" t="b">
        <v>0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5.75" customHeight="1">
      <c r="A993" s="16"/>
      <c r="B993" s="16" t="b">
        <v>0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5.75" customHeight="1">
      <c r="A994" s="16"/>
      <c r="B994" s="16" t="b">
        <v>0</v>
      </c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5.75" customHeight="1">
      <c r="A995" s="16"/>
      <c r="B995" s="16" t="b">
        <v>0</v>
      </c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5.75" customHeight="1">
      <c r="A996" s="16"/>
      <c r="B996" s="16" t="b">
        <v>0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5.75" customHeight="1">
      <c r="A997" s="16"/>
      <c r="B997" s="16" t="b">
        <v>0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5.75" customHeight="1">
      <c r="A998" s="16"/>
      <c r="B998" s="16" t="b">
        <v>0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5.75" customHeight="1">
      <c r="A999" s="16"/>
      <c r="B999" s="16" t="b">
        <v>0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5.75" customHeight="1">
      <c r="A1000" s="16"/>
      <c r="B1000" s="16" t="b">
        <v>0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conditionalFormatting sqref="O3">
    <cfRule type="colorScale" priority="1">
      <colorScale>
        <cfvo type="min"/>
        <cfvo type="max"/>
        <color rgb="FF57BB8A"/>
        <color rgb="FFFFFFFF"/>
      </colorScale>
    </cfRule>
  </conditionalFormatting>
  <conditionalFormatting sqref="K76:K82 M4:M82 O4">
    <cfRule type="notContainsBlanks" dxfId="9" priority="2">
      <formula>LEN(TRIM(K76))&gt;0</formula>
    </cfRule>
  </conditionalFormatting>
  <conditionalFormatting sqref="G2:G1000">
    <cfRule type="colorScale" priority="3">
      <colorScale>
        <cfvo type="min"/>
        <cfvo type="max"/>
        <color rgb="FFF4CCCC"/>
        <color rgb="FFB6D7A8"/>
      </colorScale>
    </cfRule>
  </conditionalFormatting>
  <conditionalFormatting sqref="L2:L1000">
    <cfRule type="colorScale" priority="4">
      <colorScale>
        <cfvo type="min"/>
        <cfvo type="max"/>
        <color rgb="FFCC0000"/>
        <color rgb="FF6AA84F"/>
      </colorScale>
    </cfRule>
  </conditionalFormatting>
  <conditionalFormatting sqref="I2:I1000">
    <cfRule type="colorScale" priority="5">
      <colorScale>
        <cfvo type="min"/>
        <cfvo type="max"/>
        <color rgb="FFEA9999"/>
        <color rgb="FFB6D7A8"/>
      </colorScale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14.5"/>
    <col customWidth="1" min="3" max="3" width="25.75"/>
    <col customWidth="1" min="4" max="4" width="27.5"/>
    <col customWidth="1" min="5" max="8" width="24.25"/>
  </cols>
  <sheetData>
    <row r="1" ht="22.5" customHeight="1">
      <c r="A1" s="354"/>
      <c r="B1" s="355" t="s">
        <v>1374</v>
      </c>
      <c r="C1" s="292"/>
      <c r="D1" s="292"/>
      <c r="E1" s="292"/>
      <c r="F1" s="292"/>
      <c r="G1" s="292"/>
      <c r="H1" s="292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</row>
    <row r="2" ht="22.5" customHeight="1">
      <c r="A2" s="357"/>
      <c r="B2" s="358" t="s">
        <v>1375</v>
      </c>
      <c r="C2" s="358" t="s">
        <v>270</v>
      </c>
      <c r="D2" s="358" t="s">
        <v>10</v>
      </c>
      <c r="E2" s="358" t="s">
        <v>9</v>
      </c>
      <c r="F2" s="358" t="s">
        <v>1376</v>
      </c>
      <c r="G2" s="358" t="s">
        <v>1377</v>
      </c>
      <c r="H2" s="358" t="s">
        <v>73</v>
      </c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</row>
    <row r="3">
      <c r="A3" s="360"/>
      <c r="B3" s="361">
        <v>1.0</v>
      </c>
      <c r="C3" s="362" t="s">
        <v>1378</v>
      </c>
      <c r="D3" s="362" t="s">
        <v>1379</v>
      </c>
      <c r="E3" s="362" t="s">
        <v>1380</v>
      </c>
      <c r="F3" s="362" t="s">
        <v>1381</v>
      </c>
      <c r="G3" s="362" t="s">
        <v>1382</v>
      </c>
      <c r="H3" s="362" t="s">
        <v>1383</v>
      </c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  <c r="Y3" s="356"/>
    </row>
    <row r="4">
      <c r="A4" s="360"/>
      <c r="B4" s="361">
        <v>2.0</v>
      </c>
      <c r="C4" s="362" t="s">
        <v>1384</v>
      </c>
      <c r="D4" s="362" t="s">
        <v>1385</v>
      </c>
      <c r="E4" s="362" t="s">
        <v>1386</v>
      </c>
      <c r="F4" s="362" t="s">
        <v>1387</v>
      </c>
      <c r="G4" s="362" t="s">
        <v>1388</v>
      </c>
      <c r="H4" s="362" t="s">
        <v>1389</v>
      </c>
      <c r="I4" s="356"/>
      <c r="J4" s="356"/>
      <c r="K4" s="356"/>
      <c r="L4" s="356"/>
      <c r="M4" s="356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</row>
    <row r="5">
      <c r="A5" s="360"/>
      <c r="B5" s="361">
        <v>3.0</v>
      </c>
      <c r="C5" s="362" t="s">
        <v>1390</v>
      </c>
      <c r="D5" s="362" t="s">
        <v>1387</v>
      </c>
      <c r="E5" s="362" t="s">
        <v>1391</v>
      </c>
      <c r="F5" s="362" t="s">
        <v>1392</v>
      </c>
      <c r="G5" s="362" t="s">
        <v>1393</v>
      </c>
      <c r="H5" s="362" t="s">
        <v>1394</v>
      </c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/>
    </row>
    <row r="6">
      <c r="A6" s="360"/>
      <c r="B6" s="361">
        <v>4.0</v>
      </c>
      <c r="C6" s="362" t="s">
        <v>1395</v>
      </c>
      <c r="D6" s="362" t="s">
        <v>1396</v>
      </c>
      <c r="E6" s="362" t="s">
        <v>1397</v>
      </c>
      <c r="F6" s="362" t="s">
        <v>1398</v>
      </c>
      <c r="G6" s="362" t="s">
        <v>1399</v>
      </c>
      <c r="H6" s="362" t="s">
        <v>1400</v>
      </c>
      <c r="I6" s="356"/>
      <c r="J6" s="356"/>
      <c r="K6" s="356"/>
      <c r="L6" s="356"/>
      <c r="M6" s="356"/>
      <c r="N6" s="356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</row>
    <row r="7" ht="33.75" customHeight="1">
      <c r="A7" s="360"/>
      <c r="B7" s="361">
        <v>5.0</v>
      </c>
      <c r="C7" s="362" t="s">
        <v>1401</v>
      </c>
      <c r="D7" s="362" t="s">
        <v>1402</v>
      </c>
      <c r="E7" s="362" t="s">
        <v>1403</v>
      </c>
      <c r="F7" s="362" t="s">
        <v>1404</v>
      </c>
      <c r="G7" s="362" t="s">
        <v>1405</v>
      </c>
      <c r="H7" s="362" t="s">
        <v>1406</v>
      </c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</row>
    <row r="8">
      <c r="A8" s="360"/>
      <c r="B8" s="361">
        <v>6.0</v>
      </c>
      <c r="C8" s="133" t="s">
        <v>1407</v>
      </c>
      <c r="D8" s="362" t="s">
        <v>1408</v>
      </c>
      <c r="E8" s="362" t="s">
        <v>1409</v>
      </c>
      <c r="F8" s="362" t="s">
        <v>1410</v>
      </c>
      <c r="G8" s="362" t="s">
        <v>1411</v>
      </c>
      <c r="H8" s="362" t="s">
        <v>1412</v>
      </c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</row>
    <row r="9">
      <c r="A9" s="360"/>
      <c r="B9" s="361">
        <v>7.0</v>
      </c>
      <c r="C9" s="133" t="s">
        <v>1413</v>
      </c>
      <c r="D9" s="362" t="s">
        <v>1414</v>
      </c>
      <c r="E9" s="362" t="s">
        <v>1415</v>
      </c>
      <c r="F9" s="362" t="s">
        <v>1416</v>
      </c>
      <c r="G9" s="362" t="s">
        <v>1417</v>
      </c>
      <c r="H9" s="362" t="s">
        <v>1418</v>
      </c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</row>
    <row r="10">
      <c r="A10" s="360"/>
      <c r="B10" s="361">
        <v>8.0</v>
      </c>
      <c r="C10" s="362" t="s">
        <v>1419</v>
      </c>
      <c r="D10" s="362" t="s">
        <v>1420</v>
      </c>
      <c r="E10" s="362" t="s">
        <v>1421</v>
      </c>
      <c r="F10" s="362" t="s">
        <v>1422</v>
      </c>
      <c r="G10" s="362" t="s">
        <v>1423</v>
      </c>
      <c r="H10" s="362" t="s">
        <v>1424</v>
      </c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</row>
    <row r="11">
      <c r="A11" s="360"/>
      <c r="B11" s="361">
        <v>9.0</v>
      </c>
      <c r="C11" s="362" t="s">
        <v>1425</v>
      </c>
      <c r="D11" s="362" t="s">
        <v>1426</v>
      </c>
      <c r="E11" s="362" t="s">
        <v>1427</v>
      </c>
      <c r="F11" s="362" t="s">
        <v>1428</v>
      </c>
      <c r="G11" s="362" t="s">
        <v>1429</v>
      </c>
      <c r="H11" s="362" t="s">
        <v>1430</v>
      </c>
      <c r="I11" s="356"/>
      <c r="J11" s="356"/>
      <c r="K11" s="356"/>
      <c r="L11" s="356"/>
      <c r="M11" s="356"/>
      <c r="N11" s="356"/>
      <c r="O11" s="356"/>
      <c r="P11" s="356"/>
      <c r="Q11" s="356"/>
      <c r="R11" s="356"/>
      <c r="S11" s="356"/>
      <c r="T11" s="356"/>
      <c r="U11" s="356"/>
      <c r="V11" s="356"/>
      <c r="W11" s="356"/>
      <c r="X11" s="356"/>
      <c r="Y11" s="356"/>
    </row>
    <row r="12">
      <c r="A12" s="360"/>
      <c r="B12" s="361">
        <v>10.0</v>
      </c>
      <c r="C12" s="362" t="s">
        <v>1431</v>
      </c>
      <c r="D12" s="362" t="s">
        <v>1432</v>
      </c>
      <c r="E12" s="362" t="s">
        <v>1433</v>
      </c>
      <c r="F12" s="362" t="s">
        <v>1434</v>
      </c>
      <c r="G12" s="362" t="s">
        <v>1435</v>
      </c>
      <c r="H12" s="362" t="s">
        <v>1436</v>
      </c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</row>
    <row r="13" ht="15.75" customHeight="1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</row>
    <row r="14" ht="15.75" customHeight="1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</row>
    <row r="15" ht="21.0" customHeight="1">
      <c r="A15" s="356"/>
      <c r="B15" s="363" t="s">
        <v>1437</v>
      </c>
      <c r="C15" s="364"/>
      <c r="D15" s="364"/>
      <c r="E15" s="364"/>
      <c r="F15" s="364"/>
      <c r="G15" s="364"/>
      <c r="H15" s="364"/>
      <c r="I15" s="364"/>
      <c r="J15" s="364"/>
      <c r="K15" s="364"/>
      <c r="L15" s="364"/>
      <c r="M15" s="364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</row>
    <row r="16" ht="24.0" customHeight="1">
      <c r="A16" s="359"/>
      <c r="B16" s="365" t="s">
        <v>1375</v>
      </c>
      <c r="C16" s="366" t="s">
        <v>199</v>
      </c>
      <c r="D16" s="366" t="s">
        <v>1438</v>
      </c>
      <c r="E16" s="366" t="s">
        <v>1439</v>
      </c>
      <c r="F16" s="366" t="s">
        <v>1440</v>
      </c>
      <c r="G16" s="366" t="s">
        <v>133</v>
      </c>
      <c r="H16" s="366" t="s">
        <v>196</v>
      </c>
      <c r="I16" s="366" t="s">
        <v>1403</v>
      </c>
      <c r="J16" s="366" t="s">
        <v>1441</v>
      </c>
      <c r="K16" s="366" t="s">
        <v>1442</v>
      </c>
      <c r="L16" s="366" t="s">
        <v>201</v>
      </c>
      <c r="M16" s="366" t="s">
        <v>1443</v>
      </c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</row>
    <row r="17" ht="15.75" customHeight="1">
      <c r="A17" s="356"/>
      <c r="B17" s="361">
        <v>1.0</v>
      </c>
      <c r="C17" s="367" t="s">
        <v>1444</v>
      </c>
      <c r="D17" s="367" t="s">
        <v>1445</v>
      </c>
      <c r="E17" s="367" t="s">
        <v>1446</v>
      </c>
      <c r="F17" s="367" t="s">
        <v>1447</v>
      </c>
      <c r="G17" s="367" t="s">
        <v>1447</v>
      </c>
      <c r="H17" s="367" t="s">
        <v>1447</v>
      </c>
      <c r="I17" s="367" t="s">
        <v>1447</v>
      </c>
      <c r="J17" s="367" t="s">
        <v>1447</v>
      </c>
      <c r="K17" s="367" t="s">
        <v>1447</v>
      </c>
      <c r="L17" s="367" t="s">
        <v>1447</v>
      </c>
      <c r="M17" s="367" t="s">
        <v>1447</v>
      </c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</row>
    <row r="18" ht="15.75" customHeight="1">
      <c r="A18" s="356"/>
      <c r="B18" s="361">
        <v>2.0</v>
      </c>
      <c r="C18" s="367" t="s">
        <v>1448</v>
      </c>
      <c r="D18" s="367" t="s">
        <v>1448</v>
      </c>
      <c r="E18" s="367" t="s">
        <v>1449</v>
      </c>
      <c r="F18" s="367" t="s">
        <v>1450</v>
      </c>
      <c r="G18" s="367" t="s">
        <v>1450</v>
      </c>
      <c r="H18" s="367" t="s">
        <v>1450</v>
      </c>
      <c r="I18" s="367" t="s">
        <v>1450</v>
      </c>
      <c r="J18" s="367" t="s">
        <v>1450</v>
      </c>
      <c r="K18" s="367" t="s">
        <v>1450</v>
      </c>
      <c r="L18" s="367" t="s">
        <v>1450</v>
      </c>
      <c r="M18" s="367" t="s">
        <v>1450</v>
      </c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</row>
    <row r="19" ht="15.75" customHeight="1">
      <c r="A19" s="356"/>
      <c r="B19" s="361">
        <v>3.0</v>
      </c>
      <c r="C19" s="367" t="s">
        <v>1451</v>
      </c>
      <c r="D19" s="367" t="s">
        <v>133</v>
      </c>
      <c r="E19" s="367" t="s">
        <v>1452</v>
      </c>
      <c r="F19" s="367" t="s">
        <v>1453</v>
      </c>
      <c r="G19" s="367" t="s">
        <v>1453</v>
      </c>
      <c r="H19" s="367" t="s">
        <v>1453</v>
      </c>
      <c r="I19" s="367" t="s">
        <v>1453</v>
      </c>
      <c r="J19" s="367" t="s">
        <v>1453</v>
      </c>
      <c r="K19" s="367" t="s">
        <v>1453</v>
      </c>
      <c r="L19" s="367" t="s">
        <v>1453</v>
      </c>
      <c r="M19" s="367" t="s">
        <v>1453</v>
      </c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</row>
    <row r="20" ht="15.75" customHeight="1">
      <c r="A20" s="356"/>
      <c r="B20" s="361">
        <v>4.0</v>
      </c>
      <c r="C20" s="367" t="s">
        <v>1454</v>
      </c>
      <c r="D20" s="367" t="s">
        <v>1455</v>
      </c>
      <c r="E20" s="367" t="s">
        <v>1448</v>
      </c>
      <c r="F20" s="367" t="s">
        <v>1456</v>
      </c>
      <c r="G20" s="367" t="s">
        <v>1456</v>
      </c>
      <c r="H20" s="367" t="s">
        <v>1456</v>
      </c>
      <c r="I20" s="367" t="s">
        <v>1456</v>
      </c>
      <c r="J20" s="367" t="s">
        <v>1456</v>
      </c>
      <c r="K20" s="367" t="s">
        <v>1456</v>
      </c>
      <c r="L20" s="367" t="s">
        <v>1456</v>
      </c>
      <c r="M20" s="367" t="s">
        <v>1456</v>
      </c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</row>
    <row r="21" ht="15.75" customHeight="1">
      <c r="A21" s="356"/>
      <c r="B21" s="361">
        <v>5.0</v>
      </c>
      <c r="C21" s="367" t="s">
        <v>1457</v>
      </c>
      <c r="D21" s="367" t="s">
        <v>1458</v>
      </c>
      <c r="E21" s="367" t="s">
        <v>1459</v>
      </c>
      <c r="F21" s="367" t="s">
        <v>1460</v>
      </c>
      <c r="G21" s="367" t="s">
        <v>1460</v>
      </c>
      <c r="H21" s="367" t="s">
        <v>1460</v>
      </c>
      <c r="I21" s="367" t="s">
        <v>1460</v>
      </c>
      <c r="J21" s="367" t="s">
        <v>1460</v>
      </c>
      <c r="K21" s="367" t="s">
        <v>1460</v>
      </c>
      <c r="L21" s="367" t="s">
        <v>1460</v>
      </c>
      <c r="M21" s="367" t="s">
        <v>1460</v>
      </c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</row>
    <row r="22" ht="15.75" customHeight="1">
      <c r="A22" s="356"/>
      <c r="B22" s="361">
        <v>6.0</v>
      </c>
      <c r="C22" s="367" t="s">
        <v>1461</v>
      </c>
      <c r="D22" s="367" t="s">
        <v>1462</v>
      </c>
      <c r="E22" s="367" t="s">
        <v>1463</v>
      </c>
      <c r="F22" s="367" t="s">
        <v>1464</v>
      </c>
      <c r="G22" s="367" t="s">
        <v>1464</v>
      </c>
      <c r="H22" s="367" t="s">
        <v>1464</v>
      </c>
      <c r="I22" s="367" t="s">
        <v>1464</v>
      </c>
      <c r="J22" s="367" t="s">
        <v>1464</v>
      </c>
      <c r="K22" s="367" t="s">
        <v>1464</v>
      </c>
      <c r="L22" s="367" t="s">
        <v>1464</v>
      </c>
      <c r="M22" s="367" t="s">
        <v>1464</v>
      </c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</row>
    <row r="23" ht="15.75" customHeight="1">
      <c r="A23" s="356"/>
      <c r="B23" s="361">
        <v>7.0</v>
      </c>
      <c r="C23" s="367" t="s">
        <v>1465</v>
      </c>
      <c r="D23" s="367" t="s">
        <v>1466</v>
      </c>
      <c r="E23" s="367" t="s">
        <v>1467</v>
      </c>
      <c r="F23" s="367" t="s">
        <v>1468</v>
      </c>
      <c r="G23" s="367" t="s">
        <v>1468</v>
      </c>
      <c r="H23" s="367" t="s">
        <v>1468</v>
      </c>
      <c r="I23" s="367" t="s">
        <v>1468</v>
      </c>
      <c r="J23" s="367" t="s">
        <v>1468</v>
      </c>
      <c r="K23" s="367" t="s">
        <v>1468</v>
      </c>
      <c r="L23" s="367" t="s">
        <v>1468</v>
      </c>
      <c r="M23" s="367" t="s">
        <v>1468</v>
      </c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</row>
    <row r="24" ht="15.75" customHeight="1">
      <c r="A24" s="356"/>
      <c r="B24" s="361">
        <v>8.0</v>
      </c>
      <c r="C24" s="367" t="s">
        <v>1469</v>
      </c>
      <c r="D24" s="367" t="s">
        <v>1470</v>
      </c>
      <c r="E24" s="367" t="s">
        <v>1471</v>
      </c>
      <c r="F24" s="367" t="s">
        <v>1472</v>
      </c>
      <c r="G24" s="367" t="s">
        <v>1472</v>
      </c>
      <c r="H24" s="367" t="s">
        <v>1472</v>
      </c>
      <c r="I24" s="367" t="s">
        <v>1472</v>
      </c>
      <c r="J24" s="367" t="s">
        <v>1472</v>
      </c>
      <c r="K24" s="367" t="s">
        <v>1472</v>
      </c>
      <c r="L24" s="367" t="s">
        <v>1472</v>
      </c>
      <c r="M24" s="367" t="s">
        <v>1472</v>
      </c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</row>
    <row r="25" ht="15.75" customHeight="1">
      <c r="A25" s="356"/>
      <c r="B25" s="361">
        <v>9.0</v>
      </c>
      <c r="C25" s="367" t="s">
        <v>1473</v>
      </c>
      <c r="D25" s="367" t="s">
        <v>1474</v>
      </c>
      <c r="E25" s="367" t="s">
        <v>1475</v>
      </c>
      <c r="F25" s="367" t="s">
        <v>1476</v>
      </c>
      <c r="G25" s="367" t="s">
        <v>1476</v>
      </c>
      <c r="H25" s="367" t="s">
        <v>1476</v>
      </c>
      <c r="I25" s="367" t="s">
        <v>1476</v>
      </c>
      <c r="J25" s="367" t="s">
        <v>1476</v>
      </c>
      <c r="K25" s="367" t="s">
        <v>1476</v>
      </c>
      <c r="L25" s="367" t="s">
        <v>1476</v>
      </c>
      <c r="M25" s="367" t="s">
        <v>1476</v>
      </c>
      <c r="N25" s="356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</row>
    <row r="26" ht="15.75" customHeight="1">
      <c r="A26" s="356"/>
      <c r="B26" s="361">
        <v>10.0</v>
      </c>
      <c r="C26" s="367" t="s">
        <v>1477</v>
      </c>
      <c r="D26" s="367" t="s">
        <v>1477</v>
      </c>
      <c r="E26" s="367" t="s">
        <v>1477</v>
      </c>
      <c r="F26" s="367" t="s">
        <v>1478</v>
      </c>
      <c r="G26" s="367" t="s">
        <v>1478</v>
      </c>
      <c r="H26" s="367" t="s">
        <v>1478</v>
      </c>
      <c r="I26" s="367" t="s">
        <v>1478</v>
      </c>
      <c r="J26" s="367" t="s">
        <v>1478</v>
      </c>
      <c r="K26" s="367" t="s">
        <v>1478</v>
      </c>
      <c r="L26" s="367" t="s">
        <v>1478</v>
      </c>
      <c r="M26" s="367" t="s">
        <v>1478</v>
      </c>
      <c r="N26" s="356"/>
      <c r="O26" s="356"/>
      <c r="P26" s="356"/>
      <c r="Q26" s="356"/>
      <c r="R26" s="356"/>
      <c r="S26" s="356"/>
      <c r="T26" s="356"/>
      <c r="U26" s="356"/>
      <c r="V26" s="356"/>
      <c r="W26" s="356"/>
      <c r="X26" s="356"/>
      <c r="Y26" s="356"/>
    </row>
    <row r="27" ht="15.75" customHeight="1">
      <c r="A27" s="356"/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</row>
    <row r="28" ht="15.75" customHeight="1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</row>
    <row r="29" ht="15.75" customHeight="1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</row>
    <row r="30" ht="15.75" customHeight="1">
      <c r="A30" s="356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</row>
    <row r="31" ht="15.75" customHeight="1">
      <c r="A31" s="356"/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</row>
    <row r="32" ht="15.75" customHeight="1">
      <c r="A32" s="356"/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</row>
    <row r="33" ht="15.75" customHeight="1">
      <c r="A33" s="356"/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</row>
    <row r="34" ht="15.75" customHeight="1">
      <c r="A34" s="356"/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</row>
    <row r="35" ht="15.75" customHeight="1">
      <c r="A35" s="356"/>
      <c r="B35" s="356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</row>
    <row r="36" ht="15.75" customHeight="1">
      <c r="A36" s="356"/>
      <c r="B36" s="356"/>
      <c r="C36" s="356"/>
      <c r="D36" s="356"/>
      <c r="E36" s="356"/>
      <c r="F36" s="356"/>
      <c r="G36" s="356"/>
      <c r="H36" s="356"/>
      <c r="I36" s="356"/>
      <c r="J36" s="356"/>
      <c r="K36" s="356"/>
      <c r="L36" s="356"/>
      <c r="M36" s="356"/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</row>
    <row r="37" ht="15.75" customHeight="1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6"/>
      <c r="V37" s="356"/>
      <c r="W37" s="356"/>
      <c r="X37" s="356"/>
      <c r="Y37" s="356"/>
    </row>
    <row r="38" ht="15.75" customHeight="1">
      <c r="A38" s="356"/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</row>
    <row r="39" ht="15.75" customHeight="1">
      <c r="A39" s="356"/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</row>
    <row r="40" ht="15.75" customHeight="1">
      <c r="A40" s="356"/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</row>
    <row r="41" ht="15.75" customHeight="1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</row>
    <row r="42" ht="15.75" customHeight="1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</row>
    <row r="43" ht="15.75" customHeight="1">
      <c r="A43" s="356"/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</row>
    <row r="44" ht="15.75" customHeight="1">
      <c r="A44" s="356"/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</row>
    <row r="45" ht="15.75" customHeight="1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</row>
    <row r="46" ht="15.75" customHeight="1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</row>
    <row r="47" ht="15.75" customHeight="1">
      <c r="A47" s="356"/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</row>
    <row r="48" ht="15.75" customHeight="1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</row>
    <row r="49" ht="15.75" customHeight="1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</row>
    <row r="50" ht="15.75" customHeight="1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</row>
    <row r="51" ht="15.75" customHeight="1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</row>
    <row r="52" ht="15.75" customHeight="1">
      <c r="A52" s="356"/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</row>
    <row r="53" ht="15.75" customHeight="1">
      <c r="A53" s="356"/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</row>
    <row r="54" ht="15.75" customHeight="1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</row>
    <row r="55" ht="15.75" customHeight="1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</row>
    <row r="56" ht="15.75" customHeight="1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</row>
    <row r="57" ht="15.75" customHeight="1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</row>
    <row r="58" ht="15.75" customHeight="1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</row>
    <row r="59" ht="15.75" customHeight="1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</row>
    <row r="60" ht="15.75" customHeight="1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</row>
    <row r="61" ht="15.75" customHeight="1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</row>
    <row r="62" ht="15.75" customHeight="1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</row>
    <row r="63" ht="15.75" customHeight="1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</row>
    <row r="64" ht="15.75" customHeight="1">
      <c r="A64" s="356"/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</row>
    <row r="65" ht="15.75" customHeight="1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</row>
    <row r="66" ht="15.75" customHeight="1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</row>
    <row r="67" ht="15.75" customHeight="1">
      <c r="A67" s="356"/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</row>
    <row r="68" ht="15.75" customHeight="1">
      <c r="A68" s="356"/>
      <c r="B68" s="356"/>
      <c r="C68" s="356"/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</row>
    <row r="69" ht="15.75" customHeight="1">
      <c r="A69" s="356"/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</row>
    <row r="70" ht="15.75" customHeight="1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</row>
    <row r="71" ht="15.75" customHeight="1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</row>
    <row r="72" ht="15.75" customHeight="1">
      <c r="A72" s="356"/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</row>
    <row r="73" ht="15.75" customHeight="1">
      <c r="A73" s="356"/>
      <c r="B73" s="356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</row>
    <row r="74" ht="15.75" customHeight="1">
      <c r="A74" s="356"/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</row>
    <row r="75" ht="15.75" customHeight="1">
      <c r="A75" s="356"/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</row>
    <row r="76" ht="15.75" customHeight="1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</row>
    <row r="77" ht="15.75" customHeight="1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</row>
    <row r="78" ht="15.75" customHeight="1">
      <c r="A78" s="356"/>
      <c r="B78" s="356"/>
      <c r="C78" s="356"/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</row>
    <row r="79" ht="15.75" customHeight="1">
      <c r="A79" s="356"/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</row>
    <row r="80" ht="15.75" customHeight="1">
      <c r="A80" s="356"/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</row>
    <row r="81" ht="15.75" customHeight="1">
      <c r="A81" s="356"/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</row>
    <row r="82" ht="15.75" customHeight="1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</row>
    <row r="83" ht="15.75" customHeight="1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</row>
    <row r="84" ht="15.75" customHeight="1">
      <c r="A84" s="356"/>
      <c r="B84" s="356"/>
      <c r="C84" s="356"/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</row>
    <row r="85" ht="15.75" customHeight="1">
      <c r="A85" s="356"/>
      <c r="B85" s="356"/>
      <c r="C85" s="356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</row>
    <row r="86" ht="15.75" customHeight="1">
      <c r="A86" s="356"/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</row>
    <row r="87" ht="15.75" customHeight="1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</row>
    <row r="88" ht="15.75" customHeight="1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</row>
    <row r="89" ht="15.75" customHeight="1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</row>
    <row r="90" ht="15.75" customHeight="1">
      <c r="A90" s="356"/>
      <c r="B90" s="356"/>
      <c r="C90" s="356"/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</row>
    <row r="91" ht="15.75" customHeight="1">
      <c r="A91" s="356"/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</row>
    <row r="92" ht="15.75" customHeight="1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</row>
    <row r="93" ht="15.75" customHeight="1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</row>
    <row r="94" ht="15.75" customHeight="1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</row>
    <row r="95" ht="15.75" customHeight="1">
      <c r="A95" s="356"/>
      <c r="B95" s="356"/>
      <c r="C95" s="356"/>
      <c r="D95" s="356"/>
      <c r="E95" s="356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</row>
    <row r="96" ht="15.75" customHeight="1">
      <c r="A96" s="356"/>
      <c r="B96" s="356"/>
      <c r="C96" s="356"/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</row>
    <row r="97" ht="15.75" customHeight="1">
      <c r="A97" s="356"/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</row>
    <row r="98" ht="15.75" customHeight="1">
      <c r="A98" s="356"/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</row>
    <row r="99" ht="15.75" customHeight="1">
      <c r="A99" s="356"/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</row>
    <row r="100" ht="15.75" customHeight="1">
      <c r="A100" s="356"/>
      <c r="B100" s="356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</row>
    <row r="101" ht="15.75" customHeight="1">
      <c r="A101" s="356"/>
      <c r="B101" s="356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</row>
    <row r="102" ht="15.75" customHeight="1">
      <c r="A102" s="356"/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</row>
    <row r="103" ht="15.75" customHeight="1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</row>
    <row r="104" ht="15.75" customHeight="1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</row>
    <row r="105" ht="15.75" customHeight="1">
      <c r="A105" s="356"/>
      <c r="B105" s="356"/>
      <c r="C105" s="356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</row>
    <row r="106" ht="15.75" customHeight="1">
      <c r="A106" s="356"/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</row>
    <row r="107" ht="15.75" customHeight="1">
      <c r="A107" s="356"/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</row>
    <row r="108" ht="15.75" customHeight="1">
      <c r="A108" s="356"/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</row>
    <row r="109" ht="15.75" customHeight="1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</row>
    <row r="110" ht="15.75" customHeight="1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</row>
    <row r="111" ht="15.75" customHeight="1">
      <c r="A111" s="356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</row>
    <row r="112" ht="15.75" customHeight="1">
      <c r="A112" s="356"/>
      <c r="B112" s="356"/>
      <c r="C112" s="356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</row>
    <row r="113" ht="15.75" customHeight="1">
      <c r="A113" s="356"/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</row>
    <row r="114" ht="15.75" customHeight="1">
      <c r="A114" s="356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</row>
    <row r="115" ht="15.75" customHeight="1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</row>
    <row r="116" ht="15.75" customHeight="1">
      <c r="A116" s="356"/>
      <c r="B116" s="356"/>
      <c r="C116" s="356"/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</row>
    <row r="117" ht="15.75" customHeight="1">
      <c r="A117" s="356"/>
      <c r="B117" s="356"/>
      <c r="C117" s="356"/>
      <c r="D117" s="356"/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</row>
    <row r="118" ht="15.75" customHeight="1">
      <c r="A118" s="356"/>
      <c r="B118" s="356"/>
      <c r="C118" s="356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</row>
    <row r="119" ht="15.75" customHeight="1">
      <c r="A119" s="356"/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</row>
    <row r="120" ht="15.75" customHeight="1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</row>
    <row r="121" ht="15.75" customHeight="1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</row>
    <row r="122" ht="15.75" customHeight="1">
      <c r="A122" s="356"/>
      <c r="B122" s="356"/>
      <c r="C122" s="356"/>
      <c r="D122" s="356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</row>
    <row r="123" ht="15.75" customHeight="1">
      <c r="A123" s="356"/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</row>
    <row r="124" ht="15.75" customHeight="1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</row>
    <row r="125" ht="15.75" customHeight="1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</row>
    <row r="126" ht="15.75" customHeight="1">
      <c r="A126" s="356"/>
      <c r="B126" s="356"/>
      <c r="C126" s="356"/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</row>
    <row r="127" ht="15.75" customHeight="1">
      <c r="A127" s="356"/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</row>
    <row r="128" ht="15.75" customHeight="1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</row>
    <row r="129" ht="15.75" customHeight="1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</row>
    <row r="130" ht="15.75" customHeight="1">
      <c r="A130" s="356"/>
      <c r="B130" s="356"/>
      <c r="C130" s="356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6"/>
      <c r="P130" s="356"/>
      <c r="Q130" s="356"/>
      <c r="R130" s="356"/>
      <c r="S130" s="356"/>
      <c r="T130" s="356"/>
      <c r="U130" s="356"/>
      <c r="V130" s="356"/>
      <c r="W130" s="356"/>
      <c r="X130" s="356"/>
      <c r="Y130" s="356"/>
    </row>
    <row r="131" ht="15.75" customHeight="1">
      <c r="A131" s="356"/>
      <c r="B131" s="356"/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</row>
    <row r="132" ht="15.75" customHeight="1">
      <c r="A132" s="356"/>
      <c r="B132" s="356"/>
      <c r="C132" s="356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</row>
    <row r="133" ht="15.75" customHeight="1">
      <c r="A133" s="356"/>
      <c r="B133" s="356"/>
      <c r="C133" s="356"/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6"/>
      <c r="Q133" s="356"/>
      <c r="R133" s="356"/>
      <c r="S133" s="356"/>
      <c r="T133" s="356"/>
      <c r="U133" s="356"/>
      <c r="V133" s="356"/>
      <c r="W133" s="356"/>
      <c r="X133" s="356"/>
      <c r="Y133" s="356"/>
    </row>
    <row r="134" ht="15.75" customHeight="1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</row>
    <row r="135" ht="15.75" customHeight="1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</row>
    <row r="136" ht="15.75" customHeight="1">
      <c r="A136" s="356"/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</row>
    <row r="137" ht="15.75" customHeight="1">
      <c r="A137" s="356"/>
      <c r="B137" s="356"/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</row>
    <row r="138" ht="15.75" customHeight="1">
      <c r="A138" s="356"/>
      <c r="B138" s="356"/>
      <c r="C138" s="356"/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</row>
    <row r="139" ht="15.75" customHeight="1">
      <c r="A139" s="356"/>
      <c r="B139" s="356"/>
      <c r="C139" s="356"/>
      <c r="D139" s="356"/>
      <c r="E139" s="356"/>
      <c r="F139" s="356"/>
      <c r="G139" s="356"/>
      <c r="H139" s="356"/>
      <c r="I139" s="356"/>
      <c r="J139" s="356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</row>
    <row r="140" ht="15.75" customHeight="1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</row>
    <row r="141" ht="15.75" customHeight="1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6"/>
      <c r="V141" s="356"/>
      <c r="W141" s="356"/>
      <c r="X141" s="356"/>
      <c r="Y141" s="356"/>
    </row>
    <row r="142" ht="15.75" customHeight="1">
      <c r="A142" s="356"/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</row>
    <row r="143" ht="15.75" customHeight="1">
      <c r="A143" s="356"/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</row>
    <row r="144" ht="15.75" customHeight="1">
      <c r="A144" s="356"/>
      <c r="B144" s="356"/>
      <c r="C144" s="356"/>
      <c r="D144" s="356"/>
      <c r="E144" s="356"/>
      <c r="F144" s="356"/>
      <c r="G144" s="356"/>
      <c r="H144" s="356"/>
      <c r="I144" s="356"/>
      <c r="J144" s="356"/>
      <c r="K144" s="356"/>
      <c r="L144" s="356"/>
      <c r="M144" s="356"/>
      <c r="N144" s="356"/>
      <c r="O144" s="356"/>
      <c r="P144" s="356"/>
      <c r="Q144" s="356"/>
      <c r="R144" s="356"/>
      <c r="S144" s="356"/>
      <c r="T144" s="356"/>
      <c r="U144" s="356"/>
      <c r="V144" s="356"/>
      <c r="W144" s="356"/>
      <c r="X144" s="356"/>
      <c r="Y144" s="356"/>
    </row>
    <row r="145" ht="15.75" customHeight="1">
      <c r="A145" s="356"/>
      <c r="B145" s="356"/>
      <c r="C145" s="356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</row>
    <row r="146" ht="15.75" customHeight="1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</row>
    <row r="147" ht="15.75" customHeight="1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</row>
    <row r="148" ht="15.75" customHeight="1">
      <c r="A148" s="356"/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</row>
    <row r="149" ht="15.75" customHeight="1">
      <c r="A149" s="356"/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</row>
    <row r="150" ht="15.75" customHeight="1">
      <c r="A150" s="356"/>
      <c r="B150" s="356"/>
      <c r="C150" s="356"/>
      <c r="D150" s="356"/>
      <c r="E150" s="356"/>
      <c r="F150" s="356"/>
      <c r="G150" s="356"/>
      <c r="H150" s="356"/>
      <c r="I150" s="356"/>
      <c r="J150" s="356"/>
      <c r="K150" s="356"/>
      <c r="L150" s="356"/>
      <c r="M150" s="356"/>
      <c r="N150" s="356"/>
      <c r="O150" s="356"/>
      <c r="P150" s="356"/>
      <c r="Q150" s="356"/>
      <c r="R150" s="356"/>
      <c r="S150" s="356"/>
      <c r="T150" s="356"/>
      <c r="U150" s="356"/>
      <c r="V150" s="356"/>
      <c r="W150" s="356"/>
      <c r="X150" s="356"/>
      <c r="Y150" s="356"/>
    </row>
    <row r="151" ht="15.75" customHeight="1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</row>
    <row r="152" ht="15.75" customHeight="1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6"/>
      <c r="P152" s="356"/>
      <c r="Q152" s="356"/>
      <c r="R152" s="356"/>
      <c r="S152" s="356"/>
      <c r="T152" s="356"/>
      <c r="U152" s="356"/>
      <c r="V152" s="356"/>
      <c r="W152" s="356"/>
      <c r="X152" s="356"/>
      <c r="Y152" s="356"/>
    </row>
    <row r="153" ht="15.75" customHeight="1">
      <c r="A153" s="356"/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</row>
    <row r="154" ht="15.75" customHeight="1">
      <c r="A154" s="356"/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</row>
    <row r="155" ht="15.75" customHeight="1">
      <c r="A155" s="356"/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</row>
    <row r="156" ht="15.75" customHeight="1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6"/>
      <c r="P156" s="356"/>
      <c r="Q156" s="356"/>
      <c r="R156" s="356"/>
      <c r="S156" s="356"/>
      <c r="T156" s="356"/>
      <c r="U156" s="356"/>
      <c r="V156" s="356"/>
      <c r="W156" s="356"/>
      <c r="X156" s="356"/>
      <c r="Y156" s="356"/>
    </row>
    <row r="157" ht="15.75" customHeight="1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</row>
    <row r="158" ht="15.75" customHeight="1">
      <c r="A158" s="356"/>
      <c r="B158" s="356"/>
      <c r="C158" s="356"/>
      <c r="D158" s="356"/>
      <c r="E158" s="356"/>
      <c r="F158" s="356"/>
      <c r="G158" s="356"/>
      <c r="H158" s="356"/>
      <c r="I158" s="356"/>
      <c r="J158" s="356"/>
      <c r="K158" s="356"/>
      <c r="L158" s="356"/>
      <c r="M158" s="356"/>
      <c r="N158" s="356"/>
      <c r="O158" s="356"/>
      <c r="P158" s="356"/>
      <c r="Q158" s="356"/>
      <c r="R158" s="356"/>
      <c r="S158" s="356"/>
      <c r="T158" s="356"/>
      <c r="U158" s="356"/>
      <c r="V158" s="356"/>
      <c r="W158" s="356"/>
      <c r="X158" s="356"/>
      <c r="Y158" s="356"/>
    </row>
    <row r="159" ht="15.75" customHeight="1">
      <c r="A159" s="356"/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</row>
    <row r="160" ht="15.75" customHeight="1">
      <c r="A160" s="356"/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</row>
    <row r="161" ht="15.75" customHeight="1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</row>
    <row r="162" ht="15.75" customHeight="1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6"/>
      <c r="P162" s="356"/>
      <c r="Q162" s="356"/>
      <c r="R162" s="356"/>
      <c r="S162" s="356"/>
      <c r="T162" s="356"/>
      <c r="U162" s="356"/>
      <c r="V162" s="356"/>
      <c r="W162" s="356"/>
      <c r="X162" s="356"/>
      <c r="Y162" s="356"/>
    </row>
    <row r="163" ht="15.75" customHeight="1">
      <c r="A163" s="356"/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</row>
    <row r="164" ht="15.75" customHeight="1">
      <c r="A164" s="356"/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6"/>
      <c r="P164" s="356"/>
      <c r="Q164" s="356"/>
      <c r="R164" s="356"/>
      <c r="S164" s="356"/>
      <c r="T164" s="356"/>
      <c r="U164" s="356"/>
      <c r="V164" s="356"/>
      <c r="W164" s="356"/>
      <c r="X164" s="356"/>
      <c r="Y164" s="356"/>
    </row>
    <row r="165" ht="15.75" customHeight="1">
      <c r="A165" s="356"/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</row>
    <row r="166" ht="15.75" customHeight="1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</row>
    <row r="167" ht="15.75" customHeight="1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6"/>
      <c r="P167" s="356"/>
      <c r="Q167" s="356"/>
      <c r="R167" s="356"/>
      <c r="S167" s="356"/>
      <c r="T167" s="356"/>
      <c r="U167" s="356"/>
      <c r="V167" s="356"/>
      <c r="W167" s="356"/>
      <c r="X167" s="356"/>
      <c r="Y167" s="356"/>
    </row>
    <row r="168" ht="15.75" customHeight="1">
      <c r="A168" s="356"/>
      <c r="B168" s="356"/>
      <c r="C168" s="356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</row>
    <row r="169" ht="15.75" customHeight="1">
      <c r="A169" s="356"/>
      <c r="B169" s="356"/>
      <c r="C169" s="356"/>
      <c r="D169" s="356"/>
      <c r="E169" s="356"/>
      <c r="F169" s="356"/>
      <c r="G169" s="356"/>
      <c r="H169" s="356"/>
      <c r="I169" s="356"/>
      <c r="J169" s="356"/>
      <c r="K169" s="356"/>
      <c r="L169" s="356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</row>
    <row r="170" ht="15.75" customHeight="1">
      <c r="A170" s="356"/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</row>
    <row r="171" ht="15.75" customHeight="1">
      <c r="A171" s="356"/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</row>
    <row r="172" ht="15.75" customHeight="1">
      <c r="A172" s="356"/>
      <c r="B172" s="356"/>
      <c r="C172" s="356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</row>
    <row r="173" ht="15.75" customHeight="1">
      <c r="A173" s="356"/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6"/>
      <c r="P173" s="356"/>
      <c r="Q173" s="356"/>
      <c r="R173" s="356"/>
      <c r="S173" s="356"/>
      <c r="T173" s="356"/>
      <c r="U173" s="356"/>
      <c r="V173" s="356"/>
      <c r="W173" s="356"/>
      <c r="X173" s="356"/>
      <c r="Y173" s="356"/>
    </row>
    <row r="174" ht="15.75" customHeight="1">
      <c r="A174" s="356"/>
      <c r="B174" s="356"/>
      <c r="C174" s="356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6"/>
      <c r="P174" s="356"/>
      <c r="Q174" s="356"/>
      <c r="R174" s="356"/>
      <c r="S174" s="356"/>
      <c r="T174" s="356"/>
      <c r="U174" s="356"/>
      <c r="V174" s="356"/>
      <c r="W174" s="356"/>
      <c r="X174" s="356"/>
      <c r="Y174" s="356"/>
    </row>
    <row r="175" ht="15.75" customHeight="1">
      <c r="A175" s="356"/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</row>
    <row r="176" ht="15.75" customHeight="1">
      <c r="A176" s="356"/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</row>
    <row r="177" ht="15.75" customHeight="1">
      <c r="A177" s="356"/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</row>
    <row r="178" ht="15.75" customHeight="1">
      <c r="A178" s="356"/>
      <c r="B178" s="356"/>
      <c r="C178" s="356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6"/>
      <c r="V178" s="356"/>
      <c r="W178" s="356"/>
      <c r="X178" s="356"/>
      <c r="Y178" s="356"/>
    </row>
    <row r="179" ht="15.75" customHeight="1">
      <c r="A179" s="356"/>
      <c r="B179" s="356"/>
      <c r="C179" s="356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</row>
    <row r="180" ht="15.75" customHeight="1">
      <c r="A180" s="356"/>
      <c r="B180" s="356"/>
      <c r="C180" s="356"/>
      <c r="D180" s="356"/>
      <c r="E180" s="356"/>
      <c r="F180" s="356"/>
      <c r="G180" s="356"/>
      <c r="H180" s="356"/>
      <c r="I180" s="356"/>
      <c r="J180" s="356"/>
      <c r="K180" s="356"/>
      <c r="L180" s="356"/>
      <c r="M180" s="356"/>
      <c r="N180" s="356"/>
      <c r="O180" s="356"/>
      <c r="P180" s="356"/>
      <c r="Q180" s="356"/>
      <c r="R180" s="356"/>
      <c r="S180" s="356"/>
      <c r="T180" s="356"/>
      <c r="U180" s="356"/>
      <c r="V180" s="356"/>
      <c r="W180" s="356"/>
      <c r="X180" s="356"/>
      <c r="Y180" s="356"/>
    </row>
    <row r="181" ht="15.75" customHeight="1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</row>
    <row r="182" ht="15.75" customHeight="1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</row>
    <row r="183" ht="15.75" customHeight="1">
      <c r="A183" s="356"/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</row>
    <row r="184" ht="15.75" customHeight="1">
      <c r="A184" s="356"/>
      <c r="B184" s="356"/>
      <c r="C184" s="356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</row>
    <row r="185" ht="15.75" customHeight="1">
      <c r="A185" s="356"/>
      <c r="B185" s="356"/>
      <c r="C185" s="356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6"/>
      <c r="P185" s="356"/>
      <c r="Q185" s="356"/>
      <c r="R185" s="356"/>
      <c r="S185" s="356"/>
      <c r="T185" s="356"/>
      <c r="U185" s="356"/>
      <c r="V185" s="356"/>
      <c r="W185" s="356"/>
      <c r="X185" s="356"/>
      <c r="Y185" s="356"/>
    </row>
    <row r="186" ht="15.75" customHeight="1">
      <c r="A186" s="356"/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</row>
    <row r="187" ht="15.75" customHeight="1">
      <c r="A187" s="356"/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</row>
    <row r="188" ht="15.75" customHeight="1">
      <c r="A188" s="356"/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</row>
    <row r="189" ht="15.75" customHeight="1">
      <c r="A189" s="356"/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</row>
    <row r="190" ht="15.75" customHeight="1">
      <c r="A190" s="356"/>
      <c r="B190" s="356"/>
      <c r="C190" s="356"/>
      <c r="D190" s="356"/>
      <c r="E190" s="356"/>
      <c r="F190" s="356"/>
      <c r="G190" s="356"/>
      <c r="H190" s="356"/>
      <c r="I190" s="356"/>
      <c r="J190" s="356"/>
      <c r="K190" s="356"/>
      <c r="L190" s="356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</row>
    <row r="191" ht="15.75" customHeight="1">
      <c r="A191" s="356"/>
      <c r="B191" s="356"/>
      <c r="C191" s="356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6"/>
      <c r="P191" s="356"/>
      <c r="Q191" s="356"/>
      <c r="R191" s="356"/>
      <c r="S191" s="356"/>
      <c r="T191" s="356"/>
      <c r="U191" s="356"/>
      <c r="V191" s="356"/>
      <c r="W191" s="356"/>
      <c r="X191" s="356"/>
      <c r="Y191" s="356"/>
    </row>
    <row r="192" ht="15.75" customHeight="1">
      <c r="A192" s="356"/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</row>
    <row r="193" ht="15.75" customHeight="1">
      <c r="A193" s="356"/>
      <c r="B193" s="356"/>
      <c r="C193" s="356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6"/>
      <c r="P193" s="356"/>
      <c r="Q193" s="356"/>
      <c r="R193" s="356"/>
      <c r="S193" s="356"/>
      <c r="T193" s="356"/>
      <c r="U193" s="356"/>
      <c r="V193" s="356"/>
      <c r="W193" s="356"/>
      <c r="X193" s="356"/>
      <c r="Y193" s="356"/>
    </row>
    <row r="194" ht="15.75" customHeight="1">
      <c r="A194" s="356"/>
      <c r="B194" s="356"/>
      <c r="C194" s="356"/>
      <c r="D194" s="356"/>
      <c r="E194" s="356"/>
      <c r="F194" s="356"/>
      <c r="G194" s="356"/>
      <c r="H194" s="356"/>
      <c r="I194" s="356"/>
      <c r="J194" s="356"/>
      <c r="K194" s="356"/>
      <c r="L194" s="356"/>
      <c r="M194" s="356"/>
      <c r="N194" s="356"/>
      <c r="O194" s="356"/>
      <c r="P194" s="356"/>
      <c r="Q194" s="356"/>
      <c r="R194" s="356"/>
      <c r="S194" s="356"/>
      <c r="T194" s="356"/>
      <c r="U194" s="356"/>
      <c r="V194" s="356"/>
      <c r="W194" s="356"/>
      <c r="X194" s="356"/>
      <c r="Y194" s="356"/>
    </row>
    <row r="195" ht="15.75" customHeight="1">
      <c r="A195" s="356"/>
      <c r="B195" s="356"/>
      <c r="C195" s="356"/>
      <c r="D195" s="356"/>
      <c r="E195" s="356"/>
      <c r="F195" s="356"/>
      <c r="G195" s="356"/>
      <c r="H195" s="356"/>
      <c r="I195" s="356"/>
      <c r="J195" s="356"/>
      <c r="K195" s="356"/>
      <c r="L195" s="356"/>
      <c r="M195" s="356"/>
      <c r="N195" s="356"/>
      <c r="O195" s="356"/>
      <c r="P195" s="356"/>
      <c r="Q195" s="356"/>
      <c r="R195" s="356"/>
      <c r="S195" s="356"/>
      <c r="T195" s="356"/>
      <c r="U195" s="356"/>
      <c r="V195" s="356"/>
      <c r="W195" s="356"/>
      <c r="X195" s="356"/>
      <c r="Y195" s="356"/>
    </row>
    <row r="196" ht="15.75" customHeight="1">
      <c r="A196" s="356"/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</row>
    <row r="197" ht="15.75" customHeight="1">
      <c r="A197" s="356"/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</row>
    <row r="198" ht="15.75" customHeight="1">
      <c r="A198" s="356"/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</row>
    <row r="199" ht="15.75" customHeight="1">
      <c r="A199" s="356"/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  <c r="P199" s="356"/>
      <c r="Q199" s="356"/>
      <c r="R199" s="356"/>
      <c r="S199" s="356"/>
      <c r="T199" s="356"/>
      <c r="U199" s="356"/>
      <c r="V199" s="356"/>
      <c r="W199" s="356"/>
      <c r="X199" s="356"/>
      <c r="Y199" s="356"/>
    </row>
    <row r="200" ht="15.75" customHeight="1">
      <c r="A200" s="356"/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6"/>
      <c r="P200" s="356"/>
      <c r="Q200" s="356"/>
      <c r="R200" s="356"/>
      <c r="S200" s="356"/>
      <c r="T200" s="356"/>
      <c r="U200" s="356"/>
      <c r="V200" s="356"/>
      <c r="W200" s="356"/>
      <c r="X200" s="356"/>
      <c r="Y200" s="356"/>
    </row>
    <row r="201" ht="15.75" customHeight="1">
      <c r="A201" s="356"/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6"/>
      <c r="P201" s="356"/>
      <c r="Q201" s="356"/>
      <c r="R201" s="356"/>
      <c r="S201" s="356"/>
      <c r="T201" s="356"/>
      <c r="U201" s="356"/>
      <c r="V201" s="356"/>
      <c r="W201" s="356"/>
      <c r="X201" s="356"/>
      <c r="Y201" s="356"/>
    </row>
    <row r="202" ht="15.75" customHeight="1">
      <c r="A202" s="356"/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</row>
    <row r="203" ht="15.75" customHeight="1">
      <c r="A203" s="356"/>
      <c r="B203" s="356"/>
      <c r="C203" s="356"/>
      <c r="D203" s="356"/>
      <c r="E203" s="356"/>
      <c r="F203" s="356"/>
      <c r="G203" s="356"/>
      <c r="H203" s="356"/>
      <c r="I203" s="356"/>
      <c r="J203" s="356"/>
      <c r="K203" s="356"/>
      <c r="L203" s="356"/>
      <c r="M203" s="356"/>
      <c r="N203" s="356"/>
      <c r="O203" s="356"/>
      <c r="P203" s="356"/>
      <c r="Q203" s="356"/>
      <c r="R203" s="356"/>
      <c r="S203" s="356"/>
      <c r="T203" s="356"/>
      <c r="U203" s="356"/>
      <c r="V203" s="356"/>
      <c r="W203" s="356"/>
      <c r="X203" s="356"/>
      <c r="Y203" s="356"/>
    </row>
    <row r="204" ht="15.75" customHeight="1">
      <c r="A204" s="356"/>
      <c r="B204" s="356"/>
      <c r="C204" s="356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</row>
    <row r="205" ht="15.75" customHeight="1">
      <c r="A205" s="356"/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56"/>
      <c r="S205" s="356"/>
      <c r="T205" s="356"/>
      <c r="U205" s="356"/>
      <c r="V205" s="356"/>
      <c r="W205" s="356"/>
      <c r="X205" s="356"/>
      <c r="Y205" s="356"/>
    </row>
    <row r="206" ht="15.75" customHeight="1">
      <c r="A206" s="356"/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6"/>
      <c r="P206" s="356"/>
      <c r="Q206" s="356"/>
      <c r="R206" s="356"/>
      <c r="S206" s="356"/>
      <c r="T206" s="356"/>
      <c r="U206" s="356"/>
      <c r="V206" s="356"/>
      <c r="W206" s="356"/>
      <c r="X206" s="356"/>
      <c r="Y206" s="356"/>
    </row>
    <row r="207" ht="15.75" customHeight="1">
      <c r="A207" s="356"/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</row>
    <row r="208" ht="15.75" customHeight="1">
      <c r="A208" s="356"/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</row>
    <row r="209" ht="15.75" customHeight="1">
      <c r="A209" s="356"/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6"/>
      <c r="P209" s="356"/>
      <c r="Q209" s="356"/>
      <c r="R209" s="356"/>
      <c r="S209" s="356"/>
      <c r="T209" s="356"/>
      <c r="U209" s="356"/>
      <c r="V209" s="356"/>
      <c r="W209" s="356"/>
      <c r="X209" s="356"/>
      <c r="Y209" s="356"/>
    </row>
    <row r="210" ht="15.75" customHeight="1">
      <c r="A210" s="356"/>
      <c r="B210" s="356"/>
      <c r="C210" s="356"/>
      <c r="D210" s="356"/>
      <c r="E210" s="356"/>
      <c r="F210" s="356"/>
      <c r="G210" s="356"/>
      <c r="H210" s="356"/>
      <c r="I210" s="356"/>
      <c r="J210" s="356"/>
      <c r="K210" s="356"/>
      <c r="L210" s="356"/>
      <c r="M210" s="356"/>
      <c r="N210" s="356"/>
      <c r="O210" s="356"/>
      <c r="P210" s="356"/>
      <c r="Q210" s="356"/>
      <c r="R210" s="356"/>
      <c r="S210" s="356"/>
      <c r="T210" s="356"/>
      <c r="U210" s="356"/>
      <c r="V210" s="356"/>
      <c r="W210" s="356"/>
      <c r="X210" s="356"/>
      <c r="Y210" s="356"/>
    </row>
    <row r="211" ht="15.75" customHeight="1">
      <c r="A211" s="356"/>
      <c r="B211" s="356"/>
      <c r="C211" s="356"/>
      <c r="D211" s="356"/>
      <c r="E211" s="356"/>
      <c r="F211" s="356"/>
      <c r="G211" s="356"/>
      <c r="H211" s="356"/>
      <c r="I211" s="356"/>
      <c r="J211" s="356"/>
      <c r="K211" s="356"/>
      <c r="L211" s="356"/>
      <c r="M211" s="356"/>
      <c r="N211" s="356"/>
      <c r="O211" s="356"/>
      <c r="P211" s="356"/>
      <c r="Q211" s="356"/>
      <c r="R211" s="356"/>
      <c r="S211" s="356"/>
      <c r="T211" s="356"/>
      <c r="U211" s="356"/>
      <c r="V211" s="356"/>
      <c r="W211" s="356"/>
      <c r="X211" s="356"/>
      <c r="Y211" s="356"/>
    </row>
    <row r="212" ht="15.75" customHeight="1">
      <c r="A212" s="356"/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6"/>
      <c r="P212" s="356"/>
      <c r="Q212" s="356"/>
      <c r="R212" s="356"/>
      <c r="S212" s="356"/>
      <c r="T212" s="356"/>
      <c r="U212" s="356"/>
      <c r="V212" s="356"/>
      <c r="W212" s="356"/>
      <c r="X212" s="356"/>
      <c r="Y212" s="356"/>
    </row>
    <row r="213" ht="15.75" customHeight="1">
      <c r="A213" s="356"/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6"/>
      <c r="P213" s="356"/>
      <c r="Q213" s="356"/>
      <c r="R213" s="356"/>
      <c r="S213" s="356"/>
      <c r="T213" s="356"/>
      <c r="U213" s="356"/>
      <c r="V213" s="356"/>
      <c r="W213" s="356"/>
      <c r="X213" s="356"/>
      <c r="Y213" s="356"/>
    </row>
    <row r="214" ht="15.75" customHeight="1">
      <c r="A214" s="356"/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</row>
    <row r="215" ht="15.75" customHeight="1">
      <c r="A215" s="356"/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</row>
    <row r="216" ht="15.75" customHeight="1">
      <c r="A216" s="356"/>
      <c r="B216" s="356"/>
      <c r="C216" s="356"/>
      <c r="D216" s="356"/>
      <c r="E216" s="356"/>
      <c r="F216" s="356"/>
      <c r="G216" s="356"/>
      <c r="H216" s="356"/>
      <c r="I216" s="356"/>
      <c r="J216" s="356"/>
      <c r="K216" s="356"/>
      <c r="L216" s="356"/>
      <c r="M216" s="356"/>
      <c r="N216" s="356"/>
      <c r="O216" s="356"/>
      <c r="P216" s="356"/>
      <c r="Q216" s="356"/>
      <c r="R216" s="356"/>
      <c r="S216" s="356"/>
      <c r="T216" s="356"/>
      <c r="U216" s="356"/>
      <c r="V216" s="356"/>
      <c r="W216" s="356"/>
      <c r="X216" s="356"/>
      <c r="Y216" s="356"/>
    </row>
    <row r="217" ht="15.75" customHeight="1">
      <c r="A217" s="356"/>
      <c r="B217" s="356"/>
      <c r="C217" s="356"/>
      <c r="D217" s="356"/>
      <c r="E217" s="356"/>
      <c r="F217" s="356"/>
      <c r="G217" s="356"/>
      <c r="H217" s="356"/>
      <c r="I217" s="356"/>
      <c r="J217" s="356"/>
      <c r="K217" s="356"/>
      <c r="L217" s="356"/>
      <c r="M217" s="356"/>
      <c r="N217" s="356"/>
      <c r="O217" s="356"/>
      <c r="P217" s="356"/>
      <c r="Q217" s="356"/>
      <c r="R217" s="356"/>
      <c r="S217" s="356"/>
      <c r="T217" s="356"/>
      <c r="U217" s="356"/>
      <c r="V217" s="356"/>
      <c r="W217" s="356"/>
      <c r="X217" s="356"/>
      <c r="Y217" s="356"/>
    </row>
    <row r="218" ht="15.75" customHeight="1">
      <c r="A218" s="356"/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</row>
    <row r="219" ht="15.75" customHeight="1">
      <c r="A219" s="356"/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</row>
    <row r="220" ht="15.75" customHeight="1">
      <c r="A220" s="356"/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6"/>
      <c r="P220" s="356"/>
      <c r="Q220" s="356"/>
      <c r="R220" s="356"/>
      <c r="S220" s="356"/>
      <c r="T220" s="356"/>
      <c r="U220" s="356"/>
      <c r="V220" s="356"/>
      <c r="W220" s="356"/>
      <c r="X220" s="356"/>
      <c r="Y220" s="356"/>
    </row>
    <row r="221" ht="15.75" customHeight="1">
      <c r="A221" s="356"/>
      <c r="B221" s="356"/>
      <c r="C221" s="356"/>
      <c r="D221" s="356"/>
      <c r="E221" s="356"/>
      <c r="F221" s="356"/>
      <c r="G221" s="356"/>
      <c r="H221" s="356"/>
      <c r="I221" s="356"/>
      <c r="J221" s="356"/>
      <c r="K221" s="356"/>
      <c r="L221" s="356"/>
      <c r="M221" s="356"/>
      <c r="N221" s="356"/>
      <c r="O221" s="356"/>
      <c r="P221" s="356"/>
      <c r="Q221" s="356"/>
      <c r="R221" s="356"/>
      <c r="S221" s="356"/>
      <c r="T221" s="356"/>
      <c r="U221" s="356"/>
      <c r="V221" s="356"/>
      <c r="W221" s="356"/>
      <c r="X221" s="356"/>
      <c r="Y221" s="356"/>
    </row>
    <row r="222" ht="15.75" customHeight="1">
      <c r="A222" s="356"/>
      <c r="B222" s="356"/>
      <c r="C222" s="356"/>
      <c r="D222" s="356"/>
      <c r="E222" s="356"/>
      <c r="F222" s="356"/>
      <c r="G222" s="356"/>
      <c r="H222" s="356"/>
      <c r="I222" s="356"/>
      <c r="J222" s="356"/>
      <c r="K222" s="356"/>
      <c r="L222" s="356"/>
      <c r="M222" s="356"/>
      <c r="N222" s="356"/>
      <c r="O222" s="356"/>
      <c r="P222" s="356"/>
      <c r="Q222" s="356"/>
      <c r="R222" s="356"/>
      <c r="S222" s="356"/>
      <c r="T222" s="356"/>
      <c r="U222" s="356"/>
      <c r="V222" s="356"/>
      <c r="W222" s="356"/>
      <c r="X222" s="356"/>
      <c r="Y222" s="356"/>
    </row>
    <row r="223" ht="15.75" customHeight="1">
      <c r="A223" s="356"/>
      <c r="B223" s="356"/>
      <c r="C223" s="356"/>
      <c r="D223" s="356"/>
      <c r="E223" s="356"/>
      <c r="F223" s="356"/>
      <c r="G223" s="356"/>
      <c r="H223" s="356"/>
      <c r="I223" s="356"/>
      <c r="J223" s="356"/>
      <c r="K223" s="356"/>
      <c r="L223" s="356"/>
      <c r="M223" s="356"/>
      <c r="N223" s="356"/>
      <c r="O223" s="356"/>
      <c r="P223" s="356"/>
      <c r="Q223" s="356"/>
      <c r="R223" s="356"/>
      <c r="S223" s="356"/>
      <c r="T223" s="356"/>
      <c r="U223" s="356"/>
      <c r="V223" s="356"/>
      <c r="W223" s="356"/>
      <c r="X223" s="356"/>
      <c r="Y223" s="356"/>
    </row>
    <row r="224" ht="15.75" customHeight="1">
      <c r="A224" s="356"/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</row>
    <row r="225" ht="15.75" customHeight="1">
      <c r="A225" s="356"/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</row>
    <row r="226" ht="15.75" customHeight="1">
      <c r="A226" s="356"/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B15:M1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58.88"/>
    <col customWidth="1" min="3" max="3" width="43.13"/>
    <col customWidth="1" min="4" max="4" width="34.88"/>
    <col customWidth="1" min="5" max="5" width="17.5"/>
    <col customWidth="1" min="6" max="6" width="22.25"/>
    <col customWidth="1" min="7" max="7" width="15.25"/>
    <col customWidth="1" min="8" max="8" width="15.5"/>
    <col customWidth="1" min="9" max="9" width="16.63"/>
    <col customWidth="1" min="10" max="12" width="20.63"/>
  </cols>
  <sheetData>
    <row r="1" ht="36.0" customHeight="1">
      <c r="A1" s="368" t="s">
        <v>1479</v>
      </c>
      <c r="B1" s="369" t="s">
        <v>1480</v>
      </c>
      <c r="C1" s="369" t="s">
        <v>1481</v>
      </c>
      <c r="D1" s="369" t="s">
        <v>1482</v>
      </c>
      <c r="E1" s="369" t="s">
        <v>1483</v>
      </c>
      <c r="F1" s="369" t="s">
        <v>1484</v>
      </c>
      <c r="G1" s="369" t="s">
        <v>1485</v>
      </c>
      <c r="H1" s="369" t="s">
        <v>1486</v>
      </c>
      <c r="I1" s="369" t="s">
        <v>48</v>
      </c>
      <c r="J1" s="369" t="s">
        <v>1487</v>
      </c>
      <c r="K1" s="369" t="s">
        <v>1488</v>
      </c>
      <c r="L1" s="369" t="s">
        <v>1489</v>
      </c>
    </row>
    <row r="2" ht="15.75" customHeight="1">
      <c r="A2" s="370">
        <v>46133.0</v>
      </c>
      <c r="B2" s="371" t="s">
        <v>1490</v>
      </c>
      <c r="C2" s="371" t="s">
        <v>1491</v>
      </c>
      <c r="D2" s="372" t="s">
        <v>1492</v>
      </c>
      <c r="E2" s="373">
        <v>2.68</v>
      </c>
      <c r="G2" s="371">
        <v>28.0</v>
      </c>
      <c r="H2" s="371">
        <v>0.0</v>
      </c>
      <c r="I2" s="371"/>
      <c r="K2" s="374"/>
      <c r="L2" s="269" t="str">
        <f t="shared" ref="L2:L3925" si="1">IFERROR((midb(D2,1,(SEARCH(" ",D2,1)-1))),"")</f>
        <v/>
      </c>
    </row>
    <row r="3" ht="15.75" customHeight="1">
      <c r="A3" s="370">
        <v>46133.0</v>
      </c>
      <c r="B3" s="371" t="s">
        <v>1490</v>
      </c>
      <c r="C3" s="371" t="s">
        <v>1493</v>
      </c>
      <c r="D3" s="372" t="s">
        <v>1494</v>
      </c>
      <c r="E3" s="373">
        <v>2.22</v>
      </c>
      <c r="G3" s="371">
        <v>250.0</v>
      </c>
      <c r="H3" s="371">
        <v>7.0</v>
      </c>
      <c r="I3" s="371"/>
      <c r="K3" s="374"/>
      <c r="L3" s="269" t="str">
        <f t="shared" si="1"/>
        <v>V</v>
      </c>
    </row>
    <row r="4" ht="15.75" customHeight="1">
      <c r="A4" s="370">
        <v>46133.0</v>
      </c>
      <c r="B4" s="371" t="s">
        <v>1495</v>
      </c>
      <c r="C4" s="371" t="s">
        <v>1496</v>
      </c>
      <c r="D4" s="371" t="s">
        <v>1497</v>
      </c>
      <c r="E4" s="373">
        <v>0.47</v>
      </c>
      <c r="G4" s="371">
        <v>140.0</v>
      </c>
      <c r="H4" s="371">
        <v>5.0</v>
      </c>
      <c r="I4" s="371"/>
      <c r="K4" s="374"/>
      <c r="L4" s="269" t="str">
        <f t="shared" si="1"/>
        <v>AD</v>
      </c>
    </row>
    <row r="5" ht="15.75" customHeight="1">
      <c r="A5" s="370">
        <v>46132.0</v>
      </c>
      <c r="B5" s="371" t="s">
        <v>1490</v>
      </c>
      <c r="C5" s="371" t="s">
        <v>1491</v>
      </c>
      <c r="D5" s="371" t="s">
        <v>1492</v>
      </c>
      <c r="E5" s="373">
        <v>29.96</v>
      </c>
      <c r="G5" s="371">
        <v>323.0</v>
      </c>
      <c r="H5" s="371">
        <v>8.0</v>
      </c>
      <c r="I5" s="371"/>
      <c r="K5" s="374">
        <v>1.0</v>
      </c>
      <c r="L5" s="269" t="str">
        <f t="shared" si="1"/>
        <v/>
      </c>
    </row>
    <row r="6" ht="15.75" customHeight="1">
      <c r="A6" s="370">
        <v>46132.0</v>
      </c>
      <c r="B6" s="371" t="s">
        <v>1490</v>
      </c>
      <c r="C6" s="371" t="s">
        <v>1493</v>
      </c>
      <c r="D6" s="371" t="s">
        <v>1494</v>
      </c>
      <c r="E6" s="373">
        <v>21.83</v>
      </c>
      <c r="G6" s="371">
        <v>1762.0</v>
      </c>
      <c r="H6" s="371">
        <v>46.0</v>
      </c>
      <c r="I6" s="371"/>
      <c r="K6" s="374"/>
      <c r="L6" s="269" t="str">
        <f t="shared" si="1"/>
        <v>V</v>
      </c>
    </row>
    <row r="7" ht="15.75" customHeight="1">
      <c r="A7" s="370">
        <v>46132.0</v>
      </c>
      <c r="B7" s="371" t="s">
        <v>1490</v>
      </c>
      <c r="C7" s="371" t="s">
        <v>1493</v>
      </c>
      <c r="D7" s="371" t="s">
        <v>1498</v>
      </c>
      <c r="E7" s="373">
        <v>0.04</v>
      </c>
      <c r="G7" s="371">
        <v>10.0</v>
      </c>
      <c r="H7" s="371">
        <v>0.0</v>
      </c>
      <c r="I7" s="371"/>
      <c r="K7" s="374"/>
      <c r="L7" s="269" t="str">
        <f t="shared" si="1"/>
        <v>V</v>
      </c>
    </row>
    <row r="8" ht="15.75" customHeight="1">
      <c r="A8" s="370">
        <v>46132.0</v>
      </c>
      <c r="B8" s="371" t="s">
        <v>1490</v>
      </c>
      <c r="C8" s="371" t="s">
        <v>1493</v>
      </c>
      <c r="D8" s="371" t="s">
        <v>1499</v>
      </c>
      <c r="E8" s="373">
        <v>0.04</v>
      </c>
      <c r="G8" s="371">
        <v>7.0</v>
      </c>
      <c r="H8" s="371">
        <v>0.0</v>
      </c>
      <c r="I8" s="371"/>
      <c r="K8" s="374"/>
      <c r="L8" s="269" t="str">
        <f t="shared" si="1"/>
        <v>V</v>
      </c>
    </row>
    <row r="9" ht="15.75" customHeight="1">
      <c r="A9" s="370">
        <v>46132.0</v>
      </c>
      <c r="B9" s="371" t="s">
        <v>1490</v>
      </c>
      <c r="C9" s="371" t="s">
        <v>1493</v>
      </c>
      <c r="D9" s="371" t="s">
        <v>1500</v>
      </c>
      <c r="E9" s="373">
        <v>2.95</v>
      </c>
      <c r="G9" s="371">
        <v>222.0</v>
      </c>
      <c r="H9" s="371">
        <v>8.0</v>
      </c>
      <c r="I9" s="371"/>
      <c r="K9" s="374"/>
      <c r="L9" s="269" t="str">
        <f t="shared" si="1"/>
        <v>V</v>
      </c>
    </row>
    <row r="10" ht="15.75" customHeight="1">
      <c r="A10" s="370">
        <v>46132.0</v>
      </c>
      <c r="B10" s="371" t="s">
        <v>1495</v>
      </c>
      <c r="C10" s="371" t="s">
        <v>1496</v>
      </c>
      <c r="D10" s="371" t="s">
        <v>1497</v>
      </c>
      <c r="E10" s="373">
        <v>10.25</v>
      </c>
      <c r="G10" s="371">
        <v>2976.0</v>
      </c>
      <c r="H10" s="371">
        <v>101.0</v>
      </c>
      <c r="I10" s="371"/>
      <c r="K10" s="374"/>
      <c r="L10" s="269" t="str">
        <f t="shared" si="1"/>
        <v>AD</v>
      </c>
    </row>
    <row r="11" ht="15.75" customHeight="1">
      <c r="A11" s="370">
        <v>46131.0</v>
      </c>
      <c r="B11" s="371" t="s">
        <v>1490</v>
      </c>
      <c r="C11" s="371" t="s">
        <v>1491</v>
      </c>
      <c r="D11" s="371" t="s">
        <v>1492</v>
      </c>
      <c r="E11" s="373">
        <v>29.93</v>
      </c>
      <c r="G11" s="371">
        <v>276.0</v>
      </c>
      <c r="H11" s="371">
        <v>5.0</v>
      </c>
      <c r="I11" s="371"/>
      <c r="K11" s="374"/>
      <c r="L11" s="269" t="str">
        <f t="shared" si="1"/>
        <v/>
      </c>
    </row>
    <row r="12" ht="15.75" customHeight="1">
      <c r="A12" s="370">
        <v>46131.0</v>
      </c>
      <c r="B12" s="371" t="s">
        <v>1490</v>
      </c>
      <c r="C12" s="371" t="s">
        <v>1493</v>
      </c>
      <c r="D12" s="371" t="s">
        <v>1494</v>
      </c>
      <c r="E12" s="373">
        <v>23.53</v>
      </c>
      <c r="G12" s="371">
        <v>1830.0</v>
      </c>
      <c r="H12" s="371">
        <v>32.0</v>
      </c>
      <c r="I12" s="371"/>
      <c r="K12" s="374">
        <v>1.0</v>
      </c>
      <c r="L12" s="269" t="str">
        <f t="shared" si="1"/>
        <v>V</v>
      </c>
    </row>
    <row r="13" ht="15.75" customHeight="1">
      <c r="A13" s="370">
        <v>46131.0</v>
      </c>
      <c r="B13" s="371" t="s">
        <v>1490</v>
      </c>
      <c r="C13" s="371" t="s">
        <v>1493</v>
      </c>
      <c r="D13" s="371" t="s">
        <v>1499</v>
      </c>
      <c r="E13" s="373">
        <v>0.03</v>
      </c>
      <c r="G13" s="371">
        <v>2.0</v>
      </c>
      <c r="H13" s="371">
        <v>0.0</v>
      </c>
      <c r="I13" s="371"/>
      <c r="K13" s="374"/>
      <c r="L13" s="269" t="str">
        <f t="shared" si="1"/>
        <v>V</v>
      </c>
    </row>
    <row r="14" ht="15.75" customHeight="1">
      <c r="A14" s="370">
        <v>46131.0</v>
      </c>
      <c r="B14" s="371" t="s">
        <v>1490</v>
      </c>
      <c r="C14" s="371" t="s">
        <v>1493</v>
      </c>
      <c r="D14" s="371" t="s">
        <v>1501</v>
      </c>
      <c r="E14" s="373">
        <v>1.9</v>
      </c>
      <c r="G14" s="371">
        <v>207.0</v>
      </c>
      <c r="H14" s="371">
        <v>1.0</v>
      </c>
      <c r="I14" s="371"/>
      <c r="K14" s="374"/>
      <c r="L14" s="269" t="str">
        <f t="shared" si="1"/>
        <v>V</v>
      </c>
    </row>
    <row r="15" ht="15.75" customHeight="1">
      <c r="A15" s="370">
        <v>46131.0</v>
      </c>
      <c r="B15" s="371" t="s">
        <v>1495</v>
      </c>
      <c r="C15" s="371" t="s">
        <v>1496</v>
      </c>
      <c r="D15" s="371" t="s">
        <v>1497</v>
      </c>
      <c r="E15" s="373">
        <v>11.14</v>
      </c>
      <c r="G15" s="371">
        <v>3160.0</v>
      </c>
      <c r="H15" s="371">
        <v>98.0</v>
      </c>
      <c r="I15" s="371"/>
      <c r="K15" s="374">
        <v>1.0</v>
      </c>
      <c r="L15" s="269" t="str">
        <f t="shared" si="1"/>
        <v>AD</v>
      </c>
    </row>
    <row r="16" ht="15.75" customHeight="1">
      <c r="A16" s="370">
        <v>46130.0</v>
      </c>
      <c r="B16" s="371" t="s">
        <v>1490</v>
      </c>
      <c r="C16" s="371" t="s">
        <v>1491</v>
      </c>
      <c r="D16" s="371" t="s">
        <v>1492</v>
      </c>
      <c r="E16" s="373">
        <v>25.69</v>
      </c>
      <c r="G16" s="371">
        <v>282.0</v>
      </c>
      <c r="H16" s="371">
        <v>5.0</v>
      </c>
      <c r="I16" s="371"/>
      <c r="K16" s="374">
        <v>1.0</v>
      </c>
      <c r="L16" s="269" t="str">
        <f t="shared" si="1"/>
        <v/>
      </c>
    </row>
    <row r="17" ht="15.75" customHeight="1">
      <c r="A17" s="370">
        <v>46130.0</v>
      </c>
      <c r="B17" s="371" t="s">
        <v>1490</v>
      </c>
      <c r="C17" s="371" t="s">
        <v>1493</v>
      </c>
      <c r="D17" s="371" t="s">
        <v>1494</v>
      </c>
      <c r="E17" s="373">
        <v>15.05</v>
      </c>
      <c r="G17" s="371">
        <v>1323.0</v>
      </c>
      <c r="H17" s="371">
        <v>34.0</v>
      </c>
      <c r="I17" s="371"/>
      <c r="K17" s="374">
        <v>2.0</v>
      </c>
      <c r="L17" s="269" t="str">
        <f t="shared" si="1"/>
        <v>V</v>
      </c>
    </row>
    <row r="18" ht="15.75" customHeight="1">
      <c r="A18" s="370">
        <v>46130.0</v>
      </c>
      <c r="B18" s="371" t="s">
        <v>1490</v>
      </c>
      <c r="C18" s="371" t="s">
        <v>1493</v>
      </c>
      <c r="D18" s="371" t="s">
        <v>1498</v>
      </c>
      <c r="E18" s="373">
        <v>1.68</v>
      </c>
      <c r="G18" s="371">
        <v>115.0</v>
      </c>
      <c r="H18" s="371">
        <v>0.0</v>
      </c>
      <c r="I18" s="371"/>
      <c r="K18" s="374"/>
      <c r="L18" s="269" t="str">
        <f t="shared" si="1"/>
        <v>V</v>
      </c>
    </row>
    <row r="19" ht="15.75" customHeight="1">
      <c r="A19" s="370">
        <v>46130.0</v>
      </c>
      <c r="B19" s="371" t="s">
        <v>1490</v>
      </c>
      <c r="C19" s="371" t="s">
        <v>1493</v>
      </c>
      <c r="D19" s="371" t="s">
        <v>1499</v>
      </c>
      <c r="E19" s="373">
        <v>0.4</v>
      </c>
      <c r="G19" s="371">
        <v>9.0</v>
      </c>
      <c r="H19" s="371">
        <v>1.0</v>
      </c>
      <c r="I19" s="371"/>
      <c r="K19" s="374"/>
      <c r="L19" s="269" t="str">
        <f t="shared" si="1"/>
        <v>V</v>
      </c>
    </row>
    <row r="20" ht="15.75" customHeight="1">
      <c r="A20" s="370">
        <v>46130.0</v>
      </c>
      <c r="B20" s="371" t="s">
        <v>1490</v>
      </c>
      <c r="C20" s="371" t="s">
        <v>1493</v>
      </c>
      <c r="D20" s="371" t="s">
        <v>1500</v>
      </c>
      <c r="E20" s="373">
        <v>2.2</v>
      </c>
      <c r="G20" s="371">
        <v>170.0</v>
      </c>
      <c r="H20" s="371">
        <v>3.0</v>
      </c>
      <c r="I20" s="371"/>
      <c r="K20" s="374">
        <v>1.0</v>
      </c>
      <c r="L20" s="269" t="str">
        <f t="shared" si="1"/>
        <v>V</v>
      </c>
    </row>
    <row r="21" ht="15.75" customHeight="1">
      <c r="A21" s="370">
        <v>46130.0</v>
      </c>
      <c r="B21" s="371" t="s">
        <v>1490</v>
      </c>
      <c r="C21" s="371" t="s">
        <v>1493</v>
      </c>
      <c r="D21" s="371" t="s">
        <v>1501</v>
      </c>
      <c r="E21" s="373">
        <v>0.08</v>
      </c>
      <c r="G21" s="371">
        <v>5.0</v>
      </c>
      <c r="H21" s="371">
        <v>0.0</v>
      </c>
      <c r="I21" s="371"/>
      <c r="K21" s="374"/>
      <c r="L21" s="269" t="str">
        <f t="shared" si="1"/>
        <v>V</v>
      </c>
    </row>
    <row r="22" ht="15.75" customHeight="1">
      <c r="A22" s="370">
        <v>46130.0</v>
      </c>
      <c r="B22" s="371" t="s">
        <v>1495</v>
      </c>
      <c r="C22" s="371" t="s">
        <v>1496</v>
      </c>
      <c r="D22" s="371" t="s">
        <v>1497</v>
      </c>
      <c r="E22" s="373">
        <v>10.65</v>
      </c>
      <c r="G22" s="371">
        <v>2763.0</v>
      </c>
      <c r="H22" s="371">
        <v>82.0</v>
      </c>
      <c r="I22" s="371"/>
      <c r="K22" s="374"/>
      <c r="L22" s="269" t="str">
        <f t="shared" si="1"/>
        <v>AD</v>
      </c>
    </row>
    <row r="23" ht="15.75" customHeight="1">
      <c r="A23" s="370">
        <v>46129.0</v>
      </c>
      <c r="B23" s="371" t="s">
        <v>1490</v>
      </c>
      <c r="C23" s="371" t="s">
        <v>1491</v>
      </c>
      <c r="D23" s="371" t="s">
        <v>1492</v>
      </c>
      <c r="E23" s="373">
        <v>30.29</v>
      </c>
      <c r="G23" s="371">
        <v>302.0</v>
      </c>
      <c r="H23" s="371">
        <v>4.0</v>
      </c>
      <c r="I23" s="371"/>
      <c r="K23" s="374"/>
      <c r="L23" s="269" t="str">
        <f t="shared" si="1"/>
        <v/>
      </c>
    </row>
    <row r="24" ht="15.75" customHeight="1">
      <c r="A24" s="370">
        <v>46129.0</v>
      </c>
      <c r="B24" s="371" t="s">
        <v>1490</v>
      </c>
      <c r="C24" s="371" t="s">
        <v>1493</v>
      </c>
      <c r="D24" s="371" t="s">
        <v>1494</v>
      </c>
      <c r="E24" s="373">
        <v>17.48</v>
      </c>
      <c r="G24" s="371">
        <v>1342.0</v>
      </c>
      <c r="H24" s="371">
        <v>32.0</v>
      </c>
      <c r="I24" s="371">
        <v>1.0</v>
      </c>
      <c r="K24" s="374">
        <v>3.0</v>
      </c>
      <c r="L24" s="269" t="str">
        <f t="shared" si="1"/>
        <v>V</v>
      </c>
    </row>
    <row r="25" ht="15.75" customHeight="1">
      <c r="A25" s="370">
        <v>46129.0</v>
      </c>
      <c r="B25" s="371" t="s">
        <v>1490</v>
      </c>
      <c r="C25" s="371" t="s">
        <v>1493</v>
      </c>
      <c r="D25" s="371" t="s">
        <v>1500</v>
      </c>
      <c r="E25" s="373">
        <v>0.6</v>
      </c>
      <c r="G25" s="371">
        <v>65.0</v>
      </c>
      <c r="H25" s="371">
        <v>0.0</v>
      </c>
      <c r="I25" s="371"/>
      <c r="K25" s="374"/>
      <c r="L25" s="269" t="str">
        <f t="shared" si="1"/>
        <v>V</v>
      </c>
    </row>
    <row r="26" ht="15.75" customHeight="1">
      <c r="A26" s="370">
        <v>46129.0</v>
      </c>
      <c r="B26" s="371" t="s">
        <v>1495</v>
      </c>
      <c r="C26" s="371" t="s">
        <v>1496</v>
      </c>
      <c r="D26" s="371" t="s">
        <v>1497</v>
      </c>
      <c r="E26" s="373">
        <v>9.8</v>
      </c>
      <c r="G26" s="371">
        <v>2641.0</v>
      </c>
      <c r="H26" s="371">
        <v>88.0</v>
      </c>
      <c r="I26" s="371"/>
      <c r="K26" s="374"/>
      <c r="L26" s="269" t="str">
        <f t="shared" si="1"/>
        <v>AD</v>
      </c>
    </row>
    <row r="27" ht="15.75" customHeight="1">
      <c r="A27" s="370">
        <v>46128.0</v>
      </c>
      <c r="B27" s="371" t="s">
        <v>1490</v>
      </c>
      <c r="C27" s="371" t="s">
        <v>1491</v>
      </c>
      <c r="D27" s="371" t="s">
        <v>1492</v>
      </c>
      <c r="E27" s="373">
        <v>29.79</v>
      </c>
      <c r="G27" s="371">
        <v>317.0</v>
      </c>
      <c r="H27" s="371">
        <v>1.0</v>
      </c>
      <c r="I27" s="371"/>
      <c r="K27" s="374"/>
      <c r="L27" s="269" t="str">
        <f t="shared" si="1"/>
        <v/>
      </c>
    </row>
    <row r="28" ht="15.75" customHeight="1">
      <c r="A28" s="370">
        <v>46128.0</v>
      </c>
      <c r="B28" s="371" t="s">
        <v>1490</v>
      </c>
      <c r="C28" s="371" t="s">
        <v>1493</v>
      </c>
      <c r="D28" s="371" t="s">
        <v>1494</v>
      </c>
      <c r="E28" s="373">
        <v>9.91</v>
      </c>
      <c r="G28" s="371">
        <v>814.0</v>
      </c>
      <c r="H28" s="371">
        <v>23.0</v>
      </c>
      <c r="I28" s="371"/>
      <c r="K28" s="374">
        <v>1.0</v>
      </c>
      <c r="L28" s="269" t="str">
        <f t="shared" si="1"/>
        <v>V</v>
      </c>
    </row>
    <row r="29" ht="15.75" customHeight="1">
      <c r="A29" s="370">
        <v>46128.0</v>
      </c>
      <c r="B29" s="371" t="s">
        <v>1490</v>
      </c>
      <c r="C29" s="371" t="s">
        <v>1493</v>
      </c>
      <c r="D29" s="371" t="s">
        <v>1498</v>
      </c>
      <c r="E29" s="373">
        <v>1.26</v>
      </c>
      <c r="G29" s="371">
        <v>111.0</v>
      </c>
      <c r="H29" s="371">
        <v>2.0</v>
      </c>
      <c r="I29" s="371"/>
      <c r="K29" s="374"/>
      <c r="L29" s="269" t="str">
        <f t="shared" si="1"/>
        <v>V</v>
      </c>
    </row>
    <row r="30" ht="15.75" customHeight="1">
      <c r="A30" s="370">
        <v>46128.0</v>
      </c>
      <c r="B30" s="371" t="s">
        <v>1490</v>
      </c>
      <c r="C30" s="371" t="s">
        <v>1493</v>
      </c>
      <c r="D30" s="371" t="s">
        <v>1499</v>
      </c>
      <c r="E30" s="373">
        <v>0.52</v>
      </c>
      <c r="G30" s="371">
        <v>29.0</v>
      </c>
      <c r="H30" s="371">
        <v>0.0</v>
      </c>
      <c r="I30" s="371"/>
      <c r="K30" s="374"/>
      <c r="L30" s="269" t="str">
        <f t="shared" si="1"/>
        <v>V</v>
      </c>
    </row>
    <row r="31" ht="15.75" customHeight="1">
      <c r="A31" s="370">
        <v>46128.0</v>
      </c>
      <c r="B31" s="371" t="s">
        <v>1490</v>
      </c>
      <c r="C31" s="371" t="s">
        <v>1493</v>
      </c>
      <c r="D31" s="371" t="s">
        <v>1500</v>
      </c>
      <c r="E31" s="373">
        <v>0.4</v>
      </c>
      <c r="G31" s="371">
        <v>49.0</v>
      </c>
      <c r="H31" s="371">
        <v>0.0</v>
      </c>
      <c r="I31" s="371"/>
      <c r="K31" s="374"/>
      <c r="L31" s="269" t="str">
        <f t="shared" si="1"/>
        <v>V</v>
      </c>
    </row>
    <row r="32" ht="15.75" customHeight="1">
      <c r="A32" s="370">
        <v>46128.0</v>
      </c>
      <c r="B32" s="371" t="s">
        <v>1490</v>
      </c>
      <c r="C32" s="371" t="s">
        <v>1493</v>
      </c>
      <c r="D32" s="371" t="s">
        <v>1501</v>
      </c>
      <c r="E32" s="373">
        <v>5.18</v>
      </c>
      <c r="G32" s="371">
        <v>413.0</v>
      </c>
      <c r="H32" s="371">
        <v>10.0</v>
      </c>
      <c r="I32" s="371"/>
      <c r="K32" s="374">
        <v>1.0</v>
      </c>
      <c r="L32" s="269" t="str">
        <f t="shared" si="1"/>
        <v>V</v>
      </c>
    </row>
    <row r="33" ht="15.75" customHeight="1">
      <c r="A33" s="370">
        <v>46128.0</v>
      </c>
      <c r="B33" s="371" t="s">
        <v>1495</v>
      </c>
      <c r="C33" s="371" t="s">
        <v>1496</v>
      </c>
      <c r="D33" s="371" t="s">
        <v>1497</v>
      </c>
      <c r="E33" s="373">
        <v>9.5</v>
      </c>
      <c r="G33" s="371">
        <v>2430.0</v>
      </c>
      <c r="H33" s="371">
        <v>82.0</v>
      </c>
      <c r="I33" s="371"/>
      <c r="K33" s="374"/>
      <c r="L33" s="269" t="str">
        <f t="shared" si="1"/>
        <v>AD</v>
      </c>
    </row>
    <row r="34" ht="15.75" customHeight="1">
      <c r="A34" s="370">
        <v>46127.0</v>
      </c>
      <c r="B34" s="371" t="s">
        <v>1490</v>
      </c>
      <c r="C34" s="371" t="s">
        <v>1491</v>
      </c>
      <c r="D34" s="371" t="s">
        <v>1492</v>
      </c>
      <c r="E34" s="373">
        <v>32.64</v>
      </c>
      <c r="G34" s="371">
        <v>318.0</v>
      </c>
      <c r="H34" s="371">
        <v>8.0</v>
      </c>
      <c r="I34" s="371"/>
      <c r="K34" s="374"/>
      <c r="L34" s="269" t="str">
        <f t="shared" si="1"/>
        <v/>
      </c>
    </row>
    <row r="35" ht="15.75" customHeight="1">
      <c r="A35" s="370">
        <v>46127.0</v>
      </c>
      <c r="B35" s="371" t="s">
        <v>1490</v>
      </c>
      <c r="C35" s="371" t="s">
        <v>1493</v>
      </c>
      <c r="D35" s="371" t="s">
        <v>1494</v>
      </c>
      <c r="E35" s="373">
        <v>16.01</v>
      </c>
      <c r="G35" s="371">
        <v>1650.0</v>
      </c>
      <c r="H35" s="371">
        <v>57.0</v>
      </c>
      <c r="I35" s="371">
        <v>1.0</v>
      </c>
      <c r="K35" s="374"/>
      <c r="L35" s="269" t="str">
        <f t="shared" si="1"/>
        <v>V</v>
      </c>
    </row>
    <row r="36" ht="15.75" customHeight="1">
      <c r="A36" s="370">
        <v>46127.0</v>
      </c>
      <c r="B36" s="371" t="s">
        <v>1490</v>
      </c>
      <c r="C36" s="371" t="s">
        <v>1493</v>
      </c>
      <c r="D36" s="371" t="s">
        <v>1499</v>
      </c>
      <c r="E36" s="373">
        <v>0.35</v>
      </c>
      <c r="G36" s="371">
        <v>35.0</v>
      </c>
      <c r="H36" s="371">
        <v>1.0</v>
      </c>
      <c r="I36" s="371"/>
      <c r="K36" s="374"/>
      <c r="L36" s="269" t="str">
        <f t="shared" si="1"/>
        <v>V</v>
      </c>
    </row>
    <row r="37" ht="15.75" customHeight="1">
      <c r="A37" s="370">
        <v>46127.0</v>
      </c>
      <c r="B37" s="371" t="s">
        <v>1490</v>
      </c>
      <c r="C37" s="371" t="s">
        <v>1493</v>
      </c>
      <c r="D37" s="371" t="s">
        <v>1500</v>
      </c>
      <c r="E37" s="373">
        <v>6.68</v>
      </c>
      <c r="G37" s="371">
        <v>460.0</v>
      </c>
      <c r="H37" s="371">
        <v>7.0</v>
      </c>
      <c r="I37" s="371"/>
      <c r="K37" s="374"/>
      <c r="L37" s="269" t="str">
        <f t="shared" si="1"/>
        <v>V</v>
      </c>
    </row>
    <row r="38" ht="15.75" customHeight="1">
      <c r="A38" s="370">
        <v>46127.0</v>
      </c>
      <c r="B38" s="371" t="s">
        <v>1495</v>
      </c>
      <c r="C38" s="371" t="s">
        <v>1496</v>
      </c>
      <c r="D38" s="371" t="s">
        <v>1497</v>
      </c>
      <c r="E38" s="373">
        <v>9.29</v>
      </c>
      <c r="G38" s="371">
        <v>2410.0</v>
      </c>
      <c r="H38" s="371">
        <v>62.0</v>
      </c>
      <c r="I38" s="371"/>
      <c r="K38" s="374"/>
      <c r="L38" s="269" t="str">
        <f t="shared" si="1"/>
        <v>AD</v>
      </c>
    </row>
    <row r="39" ht="15.75" customHeight="1">
      <c r="A39" s="370">
        <v>46126.0</v>
      </c>
      <c r="B39" s="371" t="s">
        <v>1490</v>
      </c>
      <c r="C39" s="371" t="s">
        <v>1491</v>
      </c>
      <c r="D39" s="371" t="s">
        <v>1492</v>
      </c>
      <c r="E39" s="373">
        <v>44.24</v>
      </c>
      <c r="G39" s="371">
        <v>414.0</v>
      </c>
      <c r="H39" s="371">
        <v>8.0</v>
      </c>
      <c r="I39" s="371"/>
      <c r="K39" s="374">
        <v>1.0</v>
      </c>
      <c r="L39" s="269" t="str">
        <f t="shared" si="1"/>
        <v/>
      </c>
    </row>
    <row r="40" ht="15.75" customHeight="1">
      <c r="A40" s="370">
        <v>46126.0</v>
      </c>
      <c r="B40" s="371" t="s">
        <v>1490</v>
      </c>
      <c r="C40" s="371" t="s">
        <v>1493</v>
      </c>
      <c r="D40" s="371" t="s">
        <v>1494</v>
      </c>
      <c r="E40" s="373">
        <v>21.02</v>
      </c>
      <c r="G40" s="371">
        <v>2236.0</v>
      </c>
      <c r="H40" s="371">
        <v>60.0</v>
      </c>
      <c r="I40" s="371"/>
      <c r="K40" s="374">
        <v>2.0</v>
      </c>
      <c r="L40" s="269" t="str">
        <f t="shared" si="1"/>
        <v>V</v>
      </c>
    </row>
    <row r="41" ht="15.75" customHeight="1">
      <c r="A41" s="370">
        <v>46126.0</v>
      </c>
      <c r="B41" s="371" t="s">
        <v>1490</v>
      </c>
      <c r="C41" s="371" t="s">
        <v>1493</v>
      </c>
      <c r="D41" s="371" t="s">
        <v>1499</v>
      </c>
      <c r="E41" s="373">
        <v>0.07</v>
      </c>
      <c r="G41" s="371">
        <v>3.0</v>
      </c>
      <c r="H41" s="371">
        <v>0.0</v>
      </c>
      <c r="I41" s="371"/>
      <c r="K41" s="374"/>
      <c r="L41" s="269" t="str">
        <f t="shared" si="1"/>
        <v>V</v>
      </c>
    </row>
    <row r="42" ht="15.75" customHeight="1">
      <c r="A42" s="370">
        <v>46126.0</v>
      </c>
      <c r="B42" s="371" t="s">
        <v>1490</v>
      </c>
      <c r="C42" s="371" t="s">
        <v>1493</v>
      </c>
      <c r="D42" s="371" t="s">
        <v>1500</v>
      </c>
      <c r="E42" s="373">
        <v>1.79</v>
      </c>
      <c r="G42" s="371">
        <v>179.0</v>
      </c>
      <c r="H42" s="371">
        <v>6.0</v>
      </c>
      <c r="I42" s="371"/>
      <c r="K42" s="374"/>
      <c r="L42" s="269" t="str">
        <f t="shared" si="1"/>
        <v>V</v>
      </c>
    </row>
    <row r="43" ht="15.75" customHeight="1">
      <c r="A43" s="370">
        <v>46126.0</v>
      </c>
      <c r="B43" s="371" t="s">
        <v>1490</v>
      </c>
      <c r="C43" s="371" t="s">
        <v>1493</v>
      </c>
      <c r="D43" s="371" t="s">
        <v>1501</v>
      </c>
      <c r="E43" s="373">
        <v>1.33</v>
      </c>
      <c r="G43" s="371">
        <v>112.0</v>
      </c>
      <c r="H43" s="371">
        <v>3.0</v>
      </c>
      <c r="I43" s="371"/>
      <c r="K43" s="374"/>
      <c r="L43" s="269" t="str">
        <f t="shared" si="1"/>
        <v>V</v>
      </c>
    </row>
    <row r="44" ht="15.75" customHeight="1">
      <c r="A44" s="370">
        <v>46126.0</v>
      </c>
      <c r="B44" s="371" t="s">
        <v>1495</v>
      </c>
      <c r="C44" s="371" t="s">
        <v>1496</v>
      </c>
      <c r="D44" s="371" t="s">
        <v>1497</v>
      </c>
      <c r="E44" s="373">
        <v>9.87</v>
      </c>
      <c r="G44" s="371">
        <v>3008.0</v>
      </c>
      <c r="H44" s="371">
        <v>79.0</v>
      </c>
      <c r="I44" s="371"/>
      <c r="K44" s="374"/>
      <c r="L44" s="269" t="str">
        <f t="shared" si="1"/>
        <v>AD</v>
      </c>
    </row>
    <row r="45" ht="15.75" customHeight="1">
      <c r="A45" s="370">
        <v>46125.0</v>
      </c>
      <c r="B45" s="371" t="s">
        <v>1490</v>
      </c>
      <c r="C45" s="371" t="s">
        <v>1491</v>
      </c>
      <c r="D45" s="371" t="s">
        <v>1492</v>
      </c>
      <c r="E45" s="373">
        <v>44.23</v>
      </c>
      <c r="G45" s="371">
        <v>379.0</v>
      </c>
      <c r="H45" s="371">
        <v>7.0</v>
      </c>
      <c r="I45" s="371"/>
      <c r="K45" s="374"/>
      <c r="L45" s="269" t="str">
        <f t="shared" si="1"/>
        <v/>
      </c>
    </row>
    <row r="46" ht="15.75" customHeight="1">
      <c r="A46" s="370">
        <v>46125.0</v>
      </c>
      <c r="B46" s="371" t="s">
        <v>1490</v>
      </c>
      <c r="C46" s="371" t="s">
        <v>1493</v>
      </c>
      <c r="D46" s="371" t="s">
        <v>1494</v>
      </c>
      <c r="E46" s="373">
        <v>15.7</v>
      </c>
      <c r="G46" s="371">
        <v>1656.0</v>
      </c>
      <c r="H46" s="371">
        <v>45.0</v>
      </c>
      <c r="I46" s="371"/>
      <c r="K46" s="374">
        <v>1.0</v>
      </c>
      <c r="L46" s="269" t="str">
        <f t="shared" si="1"/>
        <v>V</v>
      </c>
    </row>
    <row r="47" ht="15.75" customHeight="1">
      <c r="A47" s="370">
        <v>46125.0</v>
      </c>
      <c r="B47" s="371" t="s">
        <v>1490</v>
      </c>
      <c r="C47" s="371" t="s">
        <v>1493</v>
      </c>
      <c r="D47" s="371" t="s">
        <v>1499</v>
      </c>
      <c r="E47" s="373">
        <v>2.55</v>
      </c>
      <c r="G47" s="371">
        <v>123.0</v>
      </c>
      <c r="H47" s="371">
        <v>1.0</v>
      </c>
      <c r="I47" s="371"/>
      <c r="K47" s="374"/>
      <c r="L47" s="269" t="str">
        <f t="shared" si="1"/>
        <v>V</v>
      </c>
    </row>
    <row r="48" ht="15.75" customHeight="1">
      <c r="A48" s="370">
        <v>46125.0</v>
      </c>
      <c r="B48" s="371" t="s">
        <v>1490</v>
      </c>
      <c r="C48" s="371" t="s">
        <v>1493</v>
      </c>
      <c r="D48" s="371" t="s">
        <v>1500</v>
      </c>
      <c r="E48" s="373">
        <v>6.88</v>
      </c>
      <c r="G48" s="371">
        <v>581.0</v>
      </c>
      <c r="H48" s="371">
        <v>9.0</v>
      </c>
      <c r="I48" s="371"/>
      <c r="K48" s="374">
        <v>1.0</v>
      </c>
      <c r="L48" s="269" t="str">
        <f t="shared" si="1"/>
        <v>V</v>
      </c>
    </row>
    <row r="49" ht="15.75" customHeight="1">
      <c r="A49" s="370">
        <v>46125.0</v>
      </c>
      <c r="B49" s="371" t="s">
        <v>1490</v>
      </c>
      <c r="C49" s="371" t="s">
        <v>1493</v>
      </c>
      <c r="D49" s="371" t="s">
        <v>1501</v>
      </c>
      <c r="E49" s="373">
        <v>0.98</v>
      </c>
      <c r="G49" s="371">
        <v>70.0</v>
      </c>
      <c r="H49" s="371">
        <v>1.0</v>
      </c>
      <c r="I49" s="371"/>
      <c r="K49" s="374"/>
      <c r="L49" s="269" t="str">
        <f t="shared" si="1"/>
        <v>V</v>
      </c>
    </row>
    <row r="50" ht="15.75" customHeight="1">
      <c r="A50" s="370">
        <v>46125.0</v>
      </c>
      <c r="B50" s="371" t="s">
        <v>1495</v>
      </c>
      <c r="C50" s="371" t="s">
        <v>1496</v>
      </c>
      <c r="D50" s="371" t="s">
        <v>1497</v>
      </c>
      <c r="E50" s="373">
        <v>9.92</v>
      </c>
      <c r="G50" s="371">
        <v>3010.0</v>
      </c>
      <c r="H50" s="371">
        <v>106.0</v>
      </c>
      <c r="I50" s="371"/>
      <c r="K50" s="374"/>
      <c r="L50" s="269" t="str">
        <f t="shared" si="1"/>
        <v>AD</v>
      </c>
    </row>
    <row r="51" ht="15.75" customHeight="1">
      <c r="A51" s="370">
        <v>46124.0</v>
      </c>
      <c r="B51" s="371" t="s">
        <v>1490</v>
      </c>
      <c r="C51" s="371" t="s">
        <v>1491</v>
      </c>
      <c r="D51" s="371" t="s">
        <v>1492</v>
      </c>
      <c r="E51" s="373">
        <v>29.41</v>
      </c>
      <c r="G51" s="371">
        <v>302.0</v>
      </c>
      <c r="H51" s="371">
        <v>5.0</v>
      </c>
      <c r="I51" s="371"/>
      <c r="K51" s="374"/>
      <c r="L51" s="269" t="str">
        <f t="shared" si="1"/>
        <v/>
      </c>
    </row>
    <row r="52" ht="15.75" customHeight="1">
      <c r="A52" s="370">
        <v>46124.0</v>
      </c>
      <c r="B52" s="371" t="s">
        <v>1490</v>
      </c>
      <c r="C52" s="371" t="s">
        <v>1493</v>
      </c>
      <c r="D52" s="371" t="s">
        <v>1494</v>
      </c>
      <c r="E52" s="373">
        <v>19.09</v>
      </c>
      <c r="G52" s="371">
        <v>1153.0</v>
      </c>
      <c r="H52" s="371">
        <v>31.0</v>
      </c>
      <c r="I52" s="371"/>
      <c r="K52" s="374">
        <v>1.0</v>
      </c>
      <c r="L52" s="269" t="str">
        <f t="shared" si="1"/>
        <v>V</v>
      </c>
    </row>
    <row r="53" ht="15.75" customHeight="1">
      <c r="A53" s="370">
        <v>46124.0</v>
      </c>
      <c r="B53" s="371" t="s">
        <v>1490</v>
      </c>
      <c r="C53" s="371" t="s">
        <v>1493</v>
      </c>
      <c r="D53" s="371" t="s">
        <v>1500</v>
      </c>
      <c r="E53" s="373">
        <v>1.12</v>
      </c>
      <c r="G53" s="371">
        <v>59.0</v>
      </c>
      <c r="H53" s="371">
        <v>1.0</v>
      </c>
      <c r="I53" s="371"/>
      <c r="K53" s="374"/>
      <c r="L53" s="269" t="str">
        <f t="shared" si="1"/>
        <v>V</v>
      </c>
    </row>
    <row r="54" ht="15.75" customHeight="1">
      <c r="A54" s="370">
        <v>46124.0</v>
      </c>
      <c r="B54" s="371" t="s">
        <v>1495</v>
      </c>
      <c r="C54" s="371" t="s">
        <v>1496</v>
      </c>
      <c r="D54" s="371" t="s">
        <v>1497</v>
      </c>
      <c r="E54" s="373">
        <v>10.94</v>
      </c>
      <c r="G54" s="371">
        <v>3157.0</v>
      </c>
      <c r="H54" s="371">
        <v>96.0</v>
      </c>
      <c r="I54" s="371"/>
      <c r="K54" s="374"/>
      <c r="L54" s="269" t="str">
        <f t="shared" si="1"/>
        <v>AD</v>
      </c>
    </row>
    <row r="55" ht="15.75" customHeight="1">
      <c r="A55" s="370">
        <v>46123.0</v>
      </c>
      <c r="B55" s="371" t="s">
        <v>1490</v>
      </c>
      <c r="C55" s="371" t="s">
        <v>1491</v>
      </c>
      <c r="D55" s="371" t="s">
        <v>1492</v>
      </c>
      <c r="E55" s="373">
        <v>30.68</v>
      </c>
      <c r="G55" s="371">
        <v>293.0</v>
      </c>
      <c r="H55" s="371">
        <v>11.0</v>
      </c>
      <c r="I55" s="371"/>
      <c r="K55" s="374"/>
      <c r="L55" s="269" t="str">
        <f t="shared" si="1"/>
        <v/>
      </c>
    </row>
    <row r="56" ht="15.75" customHeight="1">
      <c r="A56" s="370">
        <v>46123.0</v>
      </c>
      <c r="B56" s="371" t="s">
        <v>1490</v>
      </c>
      <c r="C56" s="371" t="s">
        <v>1493</v>
      </c>
      <c r="D56" s="371" t="s">
        <v>1494</v>
      </c>
      <c r="E56" s="373">
        <v>13.51</v>
      </c>
      <c r="G56" s="371">
        <v>959.0</v>
      </c>
      <c r="H56" s="371">
        <v>20.0</v>
      </c>
      <c r="I56" s="371"/>
      <c r="K56" s="374">
        <v>2.0</v>
      </c>
      <c r="L56" s="269" t="str">
        <f t="shared" si="1"/>
        <v>V</v>
      </c>
    </row>
    <row r="57" ht="15.75" customHeight="1">
      <c r="A57" s="370">
        <v>46123.0</v>
      </c>
      <c r="B57" s="371" t="s">
        <v>1490</v>
      </c>
      <c r="C57" s="371" t="s">
        <v>1493</v>
      </c>
      <c r="D57" s="371" t="s">
        <v>1498</v>
      </c>
      <c r="E57" s="373">
        <v>0.55</v>
      </c>
      <c r="G57" s="371">
        <v>44.0</v>
      </c>
      <c r="H57" s="371">
        <v>0.0</v>
      </c>
      <c r="I57" s="371"/>
      <c r="K57" s="374"/>
      <c r="L57" s="269" t="str">
        <f t="shared" si="1"/>
        <v>V</v>
      </c>
    </row>
    <row r="58" ht="15.75" customHeight="1">
      <c r="A58" s="370">
        <v>46123.0</v>
      </c>
      <c r="B58" s="371" t="s">
        <v>1490</v>
      </c>
      <c r="C58" s="371" t="s">
        <v>1493</v>
      </c>
      <c r="D58" s="371" t="s">
        <v>1499</v>
      </c>
      <c r="E58" s="373">
        <v>1.65</v>
      </c>
      <c r="G58" s="371">
        <v>85.0</v>
      </c>
      <c r="H58" s="371">
        <v>3.0</v>
      </c>
      <c r="I58" s="371"/>
      <c r="K58" s="374"/>
      <c r="L58" s="269" t="str">
        <f t="shared" si="1"/>
        <v>V</v>
      </c>
    </row>
    <row r="59" ht="15.75" customHeight="1">
      <c r="A59" s="370">
        <v>46123.0</v>
      </c>
      <c r="B59" s="371" t="s">
        <v>1490</v>
      </c>
      <c r="C59" s="371" t="s">
        <v>1493</v>
      </c>
      <c r="D59" s="371" t="s">
        <v>1500</v>
      </c>
      <c r="E59" s="373">
        <v>0.34</v>
      </c>
      <c r="G59" s="371">
        <v>32.0</v>
      </c>
      <c r="H59" s="371">
        <v>0.0</v>
      </c>
      <c r="I59" s="371"/>
      <c r="K59" s="374"/>
      <c r="L59" s="269" t="str">
        <f t="shared" si="1"/>
        <v>V</v>
      </c>
    </row>
    <row r="60" ht="15.75" customHeight="1">
      <c r="A60" s="370">
        <v>46123.0</v>
      </c>
      <c r="B60" s="371" t="s">
        <v>1490</v>
      </c>
      <c r="C60" s="371" t="s">
        <v>1493</v>
      </c>
      <c r="D60" s="371" t="s">
        <v>1501</v>
      </c>
      <c r="E60" s="373">
        <v>3.98</v>
      </c>
      <c r="G60" s="371">
        <v>380.0</v>
      </c>
      <c r="H60" s="371">
        <v>6.0</v>
      </c>
      <c r="I60" s="371"/>
      <c r="K60" s="374"/>
      <c r="L60" s="269" t="str">
        <f t="shared" si="1"/>
        <v>V</v>
      </c>
    </row>
    <row r="61" ht="15.75" customHeight="1">
      <c r="A61" s="370">
        <v>46123.0</v>
      </c>
      <c r="B61" s="371" t="s">
        <v>1495</v>
      </c>
      <c r="C61" s="371" t="s">
        <v>1496</v>
      </c>
      <c r="D61" s="371" t="s">
        <v>1497</v>
      </c>
      <c r="E61" s="373">
        <v>10.15</v>
      </c>
      <c r="G61" s="371">
        <v>2958.0</v>
      </c>
      <c r="H61" s="371">
        <v>85.0</v>
      </c>
      <c r="I61" s="371"/>
      <c r="K61" s="374"/>
      <c r="L61" s="269" t="str">
        <f t="shared" si="1"/>
        <v>AD</v>
      </c>
    </row>
    <row r="62" ht="15.75" customHeight="1">
      <c r="A62" s="370">
        <v>46122.0</v>
      </c>
      <c r="B62" s="371" t="s">
        <v>1490</v>
      </c>
      <c r="C62" s="371" t="s">
        <v>1491</v>
      </c>
      <c r="D62" s="371" t="s">
        <v>1492</v>
      </c>
      <c r="E62" s="373">
        <v>32.17</v>
      </c>
      <c r="G62" s="371">
        <v>298.0</v>
      </c>
      <c r="H62" s="371">
        <v>6.0</v>
      </c>
      <c r="I62" s="371"/>
      <c r="K62" s="374">
        <v>1.0</v>
      </c>
      <c r="L62" s="269" t="str">
        <f t="shared" si="1"/>
        <v/>
      </c>
    </row>
    <row r="63" ht="15.75" customHeight="1">
      <c r="A63" s="370">
        <v>46122.0</v>
      </c>
      <c r="B63" s="371" t="s">
        <v>1490</v>
      </c>
      <c r="C63" s="371" t="s">
        <v>1493</v>
      </c>
      <c r="D63" s="371" t="s">
        <v>1494</v>
      </c>
      <c r="E63" s="373">
        <v>15.26</v>
      </c>
      <c r="G63" s="371">
        <v>1747.0</v>
      </c>
      <c r="H63" s="371">
        <v>49.0</v>
      </c>
      <c r="I63" s="371">
        <v>1.0</v>
      </c>
      <c r="K63" s="374">
        <v>2.0</v>
      </c>
      <c r="L63" s="269" t="str">
        <f t="shared" si="1"/>
        <v>V</v>
      </c>
    </row>
    <row r="64" ht="15.75" customHeight="1">
      <c r="A64" s="370">
        <v>46122.0</v>
      </c>
      <c r="B64" s="371" t="s">
        <v>1490</v>
      </c>
      <c r="C64" s="371" t="s">
        <v>1493</v>
      </c>
      <c r="D64" s="371" t="s">
        <v>1498</v>
      </c>
      <c r="E64" s="373">
        <v>0.04</v>
      </c>
      <c r="G64" s="371">
        <v>4.0</v>
      </c>
      <c r="H64" s="371">
        <v>0.0</v>
      </c>
      <c r="I64" s="371"/>
      <c r="K64" s="374"/>
      <c r="L64" s="269" t="str">
        <f t="shared" si="1"/>
        <v>V</v>
      </c>
    </row>
    <row r="65" ht="15.75" customHeight="1">
      <c r="A65" s="370">
        <v>46122.0</v>
      </c>
      <c r="B65" s="371" t="s">
        <v>1490</v>
      </c>
      <c r="C65" s="371" t="s">
        <v>1493</v>
      </c>
      <c r="D65" s="371" t="s">
        <v>1499</v>
      </c>
      <c r="E65" s="373">
        <v>0.48</v>
      </c>
      <c r="G65" s="371">
        <v>44.0</v>
      </c>
      <c r="H65" s="371">
        <v>2.0</v>
      </c>
      <c r="I65" s="371"/>
      <c r="K65" s="374"/>
      <c r="L65" s="269" t="str">
        <f t="shared" si="1"/>
        <v>V</v>
      </c>
    </row>
    <row r="66" ht="15.75" customHeight="1">
      <c r="A66" s="370">
        <v>46122.0</v>
      </c>
      <c r="B66" s="371" t="s">
        <v>1490</v>
      </c>
      <c r="C66" s="371" t="s">
        <v>1493</v>
      </c>
      <c r="D66" s="371" t="s">
        <v>1500</v>
      </c>
      <c r="E66" s="373">
        <v>5.25</v>
      </c>
      <c r="G66" s="371">
        <v>396.0</v>
      </c>
      <c r="H66" s="371">
        <v>4.0</v>
      </c>
      <c r="I66" s="371"/>
      <c r="K66" s="374"/>
      <c r="L66" s="269" t="str">
        <f t="shared" si="1"/>
        <v>V</v>
      </c>
    </row>
    <row r="67" ht="15.75" customHeight="1">
      <c r="A67" s="370">
        <v>46122.0</v>
      </c>
      <c r="B67" s="371" t="s">
        <v>1495</v>
      </c>
      <c r="C67" s="371" t="s">
        <v>1496</v>
      </c>
      <c r="D67" s="371" t="s">
        <v>1497</v>
      </c>
      <c r="E67" s="373">
        <v>9.8</v>
      </c>
      <c r="G67" s="371">
        <v>2787.0</v>
      </c>
      <c r="H67" s="371">
        <v>90.0</v>
      </c>
      <c r="I67" s="371"/>
      <c r="K67" s="374"/>
      <c r="L67" s="269" t="str">
        <f t="shared" si="1"/>
        <v>AD</v>
      </c>
    </row>
    <row r="68" ht="15.75" customHeight="1">
      <c r="A68" s="370">
        <v>46121.0</v>
      </c>
      <c r="B68" s="371" t="s">
        <v>1490</v>
      </c>
      <c r="C68" s="371" t="s">
        <v>1491</v>
      </c>
      <c r="D68" s="371" t="s">
        <v>1492</v>
      </c>
      <c r="E68" s="373">
        <v>31.2</v>
      </c>
      <c r="G68" s="371">
        <v>334.0</v>
      </c>
      <c r="H68" s="371">
        <v>9.0</v>
      </c>
      <c r="I68" s="371"/>
      <c r="K68" s="374"/>
      <c r="L68" s="269" t="str">
        <f t="shared" si="1"/>
        <v/>
      </c>
    </row>
    <row r="69" ht="15.75" customHeight="1">
      <c r="A69" s="370">
        <v>46121.0</v>
      </c>
      <c r="B69" s="371" t="s">
        <v>1490</v>
      </c>
      <c r="C69" s="371" t="s">
        <v>1493</v>
      </c>
      <c r="D69" s="371" t="s">
        <v>1494</v>
      </c>
      <c r="E69" s="373">
        <v>22.9</v>
      </c>
      <c r="G69" s="371">
        <v>1936.0</v>
      </c>
      <c r="H69" s="371">
        <v>52.0</v>
      </c>
      <c r="I69" s="371">
        <v>2.0</v>
      </c>
      <c r="K69" s="374">
        <v>5.0</v>
      </c>
      <c r="L69" s="269" t="str">
        <f t="shared" si="1"/>
        <v>V</v>
      </c>
    </row>
    <row r="70" ht="15.75" customHeight="1">
      <c r="A70" s="370">
        <v>46121.0</v>
      </c>
      <c r="B70" s="371" t="s">
        <v>1490</v>
      </c>
      <c r="C70" s="371" t="s">
        <v>1493</v>
      </c>
      <c r="D70" s="371" t="s">
        <v>1499</v>
      </c>
      <c r="E70" s="373">
        <v>0.0</v>
      </c>
      <c r="G70" s="371">
        <v>1.0</v>
      </c>
      <c r="H70" s="371">
        <v>0.0</v>
      </c>
      <c r="I70" s="371"/>
      <c r="K70" s="374"/>
      <c r="L70" s="269" t="str">
        <f t="shared" si="1"/>
        <v>V</v>
      </c>
    </row>
    <row r="71" ht="15.75" customHeight="1">
      <c r="A71" s="370">
        <v>46121.0</v>
      </c>
      <c r="B71" s="371" t="s">
        <v>1490</v>
      </c>
      <c r="C71" s="371" t="s">
        <v>1493</v>
      </c>
      <c r="D71" s="371" t="s">
        <v>1500</v>
      </c>
      <c r="E71" s="373">
        <v>0.01</v>
      </c>
      <c r="G71" s="371">
        <v>2.0</v>
      </c>
      <c r="H71" s="371">
        <v>0.0</v>
      </c>
      <c r="I71" s="371"/>
      <c r="K71" s="374"/>
      <c r="L71" s="269" t="str">
        <f t="shared" si="1"/>
        <v>V</v>
      </c>
    </row>
    <row r="72" ht="15.75" customHeight="1">
      <c r="A72" s="370">
        <v>46121.0</v>
      </c>
      <c r="B72" s="371" t="s">
        <v>1490</v>
      </c>
      <c r="C72" s="371" t="s">
        <v>1493</v>
      </c>
      <c r="D72" s="371" t="s">
        <v>1501</v>
      </c>
      <c r="E72" s="373">
        <v>0.85</v>
      </c>
      <c r="G72" s="371">
        <v>75.0</v>
      </c>
      <c r="H72" s="371">
        <v>3.0</v>
      </c>
      <c r="I72" s="371">
        <v>1.0</v>
      </c>
      <c r="K72" s="374">
        <v>1.0</v>
      </c>
      <c r="L72" s="269" t="str">
        <f t="shared" si="1"/>
        <v>V</v>
      </c>
    </row>
    <row r="73" ht="15.75" customHeight="1">
      <c r="A73" s="370">
        <v>46121.0</v>
      </c>
      <c r="B73" s="371" t="s">
        <v>1495</v>
      </c>
      <c r="C73" s="371" t="s">
        <v>1496</v>
      </c>
      <c r="D73" s="371" t="s">
        <v>1497</v>
      </c>
      <c r="E73" s="373">
        <v>9.88</v>
      </c>
      <c r="G73" s="371">
        <v>2627.0</v>
      </c>
      <c r="H73" s="371">
        <v>92.0</v>
      </c>
      <c r="I73" s="371"/>
      <c r="K73" s="374"/>
      <c r="L73" s="269" t="str">
        <f t="shared" si="1"/>
        <v>AD</v>
      </c>
    </row>
    <row r="74" ht="15.75" customHeight="1">
      <c r="A74" s="370">
        <v>46120.0</v>
      </c>
      <c r="B74" s="371" t="s">
        <v>1490</v>
      </c>
      <c r="C74" s="371" t="s">
        <v>1491</v>
      </c>
      <c r="D74" s="371" t="s">
        <v>1492</v>
      </c>
      <c r="E74" s="373">
        <v>30.88</v>
      </c>
      <c r="G74" s="371">
        <v>294.0</v>
      </c>
      <c r="H74" s="371">
        <v>9.0</v>
      </c>
      <c r="I74" s="371"/>
      <c r="K74" s="374">
        <v>3.0</v>
      </c>
      <c r="L74" s="269" t="str">
        <f t="shared" si="1"/>
        <v/>
      </c>
    </row>
    <row r="75" ht="15.75" customHeight="1">
      <c r="A75" s="370">
        <v>46120.0</v>
      </c>
      <c r="B75" s="371" t="s">
        <v>1490</v>
      </c>
      <c r="C75" s="371" t="s">
        <v>1493</v>
      </c>
      <c r="D75" s="371" t="s">
        <v>1494</v>
      </c>
      <c r="E75" s="373">
        <v>15.33</v>
      </c>
      <c r="G75" s="371">
        <v>1448.0</v>
      </c>
      <c r="H75" s="371">
        <v>30.0</v>
      </c>
      <c r="I75" s="371"/>
      <c r="K75" s="374">
        <v>3.0</v>
      </c>
      <c r="L75" s="269" t="str">
        <f t="shared" si="1"/>
        <v>V</v>
      </c>
    </row>
    <row r="76" ht="15.75" customHeight="1">
      <c r="A76" s="370">
        <v>46120.0</v>
      </c>
      <c r="B76" s="371" t="s">
        <v>1490</v>
      </c>
      <c r="C76" s="371" t="s">
        <v>1493</v>
      </c>
      <c r="D76" s="371" t="s">
        <v>1499</v>
      </c>
      <c r="E76" s="373">
        <v>4.54</v>
      </c>
      <c r="G76" s="371">
        <v>211.0</v>
      </c>
      <c r="H76" s="371">
        <v>4.0</v>
      </c>
      <c r="I76" s="371"/>
      <c r="K76" s="374"/>
      <c r="L76" s="269" t="str">
        <f t="shared" si="1"/>
        <v>V</v>
      </c>
    </row>
    <row r="77" ht="15.75" customHeight="1">
      <c r="A77" s="370">
        <v>46120.0</v>
      </c>
      <c r="B77" s="371" t="s">
        <v>1490</v>
      </c>
      <c r="C77" s="371" t="s">
        <v>1493</v>
      </c>
      <c r="D77" s="371" t="s">
        <v>1500</v>
      </c>
      <c r="E77" s="373">
        <v>2.84</v>
      </c>
      <c r="G77" s="371">
        <v>283.0</v>
      </c>
      <c r="H77" s="371">
        <v>2.0</v>
      </c>
      <c r="I77" s="371"/>
      <c r="K77" s="374"/>
      <c r="L77" s="269" t="str">
        <f t="shared" si="1"/>
        <v>V</v>
      </c>
    </row>
    <row r="78" ht="15.75" customHeight="1">
      <c r="A78" s="370">
        <v>46120.0</v>
      </c>
      <c r="B78" s="371" t="s">
        <v>1490</v>
      </c>
      <c r="C78" s="371" t="s">
        <v>1493</v>
      </c>
      <c r="D78" s="371" t="s">
        <v>1501</v>
      </c>
      <c r="E78" s="373">
        <v>0.86</v>
      </c>
      <c r="G78" s="371">
        <v>67.0</v>
      </c>
      <c r="H78" s="371">
        <v>1.0</v>
      </c>
      <c r="I78" s="371"/>
      <c r="K78" s="374"/>
      <c r="L78" s="269" t="str">
        <f t="shared" si="1"/>
        <v>V</v>
      </c>
    </row>
    <row r="79" ht="15.75" customHeight="1">
      <c r="A79" s="370">
        <v>46120.0</v>
      </c>
      <c r="B79" s="371" t="s">
        <v>1495</v>
      </c>
      <c r="C79" s="371" t="s">
        <v>1496</v>
      </c>
      <c r="D79" s="371" t="s">
        <v>1497</v>
      </c>
      <c r="E79" s="373">
        <v>9.89</v>
      </c>
      <c r="G79" s="371">
        <v>2703.0</v>
      </c>
      <c r="H79" s="371">
        <v>74.0</v>
      </c>
      <c r="I79" s="371"/>
      <c r="K79" s="374"/>
      <c r="L79" s="269" t="str">
        <f t="shared" si="1"/>
        <v>AD</v>
      </c>
    </row>
    <row r="80" ht="15.75" customHeight="1">
      <c r="A80" s="370">
        <v>46119.0</v>
      </c>
      <c r="B80" s="371" t="s">
        <v>1490</v>
      </c>
      <c r="C80" s="371" t="s">
        <v>1491</v>
      </c>
      <c r="D80" s="371" t="s">
        <v>1492</v>
      </c>
      <c r="E80" s="373">
        <v>29.38</v>
      </c>
      <c r="G80" s="371">
        <v>323.0</v>
      </c>
      <c r="H80" s="371">
        <v>9.0</v>
      </c>
      <c r="I80" s="371"/>
      <c r="K80" s="374"/>
      <c r="L80" s="269" t="str">
        <f t="shared" si="1"/>
        <v/>
      </c>
    </row>
    <row r="81" ht="15.75" customHeight="1">
      <c r="A81" s="370">
        <v>46119.0</v>
      </c>
      <c r="B81" s="371" t="s">
        <v>1490</v>
      </c>
      <c r="C81" s="371" t="s">
        <v>1493</v>
      </c>
      <c r="D81" s="371" t="s">
        <v>1494</v>
      </c>
      <c r="E81" s="373">
        <v>10.97</v>
      </c>
      <c r="G81" s="371">
        <v>1211.0</v>
      </c>
      <c r="H81" s="371">
        <v>40.0</v>
      </c>
      <c r="I81" s="371">
        <v>1.0</v>
      </c>
      <c r="K81" s="374">
        <v>2.0</v>
      </c>
      <c r="L81" s="269" t="str">
        <f t="shared" si="1"/>
        <v>V</v>
      </c>
    </row>
    <row r="82" ht="15.75" customHeight="1">
      <c r="A82" s="370">
        <v>46119.0</v>
      </c>
      <c r="B82" s="371" t="s">
        <v>1490</v>
      </c>
      <c r="C82" s="371" t="s">
        <v>1493</v>
      </c>
      <c r="D82" s="371" t="s">
        <v>1500</v>
      </c>
      <c r="E82" s="373">
        <v>13.07</v>
      </c>
      <c r="G82" s="371">
        <v>1147.0</v>
      </c>
      <c r="H82" s="371">
        <v>24.0</v>
      </c>
      <c r="I82" s="371"/>
      <c r="K82" s="374">
        <v>2.0</v>
      </c>
      <c r="L82" s="269" t="str">
        <f t="shared" si="1"/>
        <v>V</v>
      </c>
    </row>
    <row r="83" ht="15.75" customHeight="1">
      <c r="A83" s="370">
        <v>46119.0</v>
      </c>
      <c r="B83" s="371" t="s">
        <v>1495</v>
      </c>
      <c r="C83" s="371" t="s">
        <v>1496</v>
      </c>
      <c r="D83" s="371" t="s">
        <v>1497</v>
      </c>
      <c r="E83" s="373">
        <v>9.32</v>
      </c>
      <c r="G83" s="371">
        <v>2912.0</v>
      </c>
      <c r="H83" s="371">
        <v>86.0</v>
      </c>
      <c r="I83" s="371"/>
      <c r="K83" s="374"/>
      <c r="L83" s="269" t="str">
        <f t="shared" si="1"/>
        <v>AD</v>
      </c>
    </row>
    <row r="84" ht="15.75" customHeight="1">
      <c r="A84" s="370">
        <v>46118.0</v>
      </c>
      <c r="B84" s="371" t="s">
        <v>1490</v>
      </c>
      <c r="C84" s="371" t="s">
        <v>1491</v>
      </c>
      <c r="D84" s="371" t="s">
        <v>1492</v>
      </c>
      <c r="E84" s="373">
        <v>31.93</v>
      </c>
      <c r="G84" s="371">
        <v>329.0</v>
      </c>
      <c r="H84" s="371">
        <v>13.0</v>
      </c>
      <c r="I84" s="371"/>
      <c r="K84" s="374">
        <v>2.0</v>
      </c>
      <c r="L84" s="269" t="str">
        <f t="shared" si="1"/>
        <v/>
      </c>
    </row>
    <row r="85" ht="15.75" customHeight="1">
      <c r="A85" s="370">
        <v>46118.0</v>
      </c>
      <c r="B85" s="371" t="s">
        <v>1490</v>
      </c>
      <c r="C85" s="371" t="s">
        <v>1493</v>
      </c>
      <c r="D85" s="371" t="s">
        <v>1494</v>
      </c>
      <c r="E85" s="373">
        <v>12.52</v>
      </c>
      <c r="G85" s="371">
        <v>1582.0</v>
      </c>
      <c r="H85" s="371">
        <v>45.0</v>
      </c>
      <c r="I85" s="371">
        <v>1.0</v>
      </c>
      <c r="K85" s="374">
        <v>3.0</v>
      </c>
      <c r="L85" s="269" t="str">
        <f t="shared" si="1"/>
        <v>V</v>
      </c>
    </row>
    <row r="86" ht="15.75" customHeight="1">
      <c r="A86" s="370">
        <v>46118.0</v>
      </c>
      <c r="B86" s="371" t="s">
        <v>1490</v>
      </c>
      <c r="C86" s="371" t="s">
        <v>1493</v>
      </c>
      <c r="D86" s="371" t="s">
        <v>1498</v>
      </c>
      <c r="E86" s="373">
        <v>0.03</v>
      </c>
      <c r="G86" s="371">
        <v>8.0</v>
      </c>
      <c r="H86" s="371">
        <v>0.0</v>
      </c>
      <c r="I86" s="371"/>
      <c r="K86" s="374"/>
      <c r="L86" s="269" t="str">
        <f t="shared" si="1"/>
        <v>V</v>
      </c>
    </row>
    <row r="87" ht="15.75" customHeight="1">
      <c r="A87" s="370">
        <v>46118.0</v>
      </c>
      <c r="B87" s="371" t="s">
        <v>1490</v>
      </c>
      <c r="C87" s="371" t="s">
        <v>1493</v>
      </c>
      <c r="D87" s="371" t="s">
        <v>1499</v>
      </c>
      <c r="E87" s="373">
        <v>3.69</v>
      </c>
      <c r="G87" s="371">
        <v>278.0</v>
      </c>
      <c r="H87" s="371">
        <v>7.0</v>
      </c>
      <c r="I87" s="371"/>
      <c r="K87" s="374">
        <v>2.0</v>
      </c>
      <c r="L87" s="269" t="str">
        <f t="shared" si="1"/>
        <v>V</v>
      </c>
    </row>
    <row r="88" ht="15.75" customHeight="1">
      <c r="A88" s="370">
        <v>46118.0</v>
      </c>
      <c r="B88" s="371" t="s">
        <v>1490</v>
      </c>
      <c r="C88" s="371" t="s">
        <v>1493</v>
      </c>
      <c r="D88" s="371" t="s">
        <v>1500</v>
      </c>
      <c r="E88" s="373">
        <v>8.31</v>
      </c>
      <c r="G88" s="371">
        <v>797.0</v>
      </c>
      <c r="H88" s="371">
        <v>14.0</v>
      </c>
      <c r="I88" s="371"/>
      <c r="K88" s="374">
        <v>4.0</v>
      </c>
      <c r="L88" s="269" t="str">
        <f t="shared" si="1"/>
        <v>V</v>
      </c>
    </row>
    <row r="89" ht="15.75" customHeight="1">
      <c r="A89" s="370">
        <v>46118.0</v>
      </c>
      <c r="B89" s="371" t="s">
        <v>1490</v>
      </c>
      <c r="C89" s="371" t="s">
        <v>1493</v>
      </c>
      <c r="D89" s="371" t="s">
        <v>1501</v>
      </c>
      <c r="E89" s="373">
        <v>0.22</v>
      </c>
      <c r="G89" s="371">
        <v>27.0</v>
      </c>
      <c r="H89" s="371">
        <v>0.0</v>
      </c>
      <c r="I89" s="371"/>
      <c r="K89" s="374"/>
      <c r="L89" s="269" t="str">
        <f t="shared" si="1"/>
        <v>V</v>
      </c>
    </row>
    <row r="90" ht="15.75" customHeight="1">
      <c r="A90" s="370">
        <v>46118.0</v>
      </c>
      <c r="B90" s="371" t="s">
        <v>1495</v>
      </c>
      <c r="C90" s="371" t="s">
        <v>1496</v>
      </c>
      <c r="D90" s="371" t="s">
        <v>1497</v>
      </c>
      <c r="E90" s="373">
        <v>9.93</v>
      </c>
      <c r="G90" s="371">
        <v>3231.0</v>
      </c>
      <c r="H90" s="371">
        <v>84.0</v>
      </c>
      <c r="I90" s="371"/>
      <c r="K90" s="374"/>
      <c r="L90" s="269" t="str">
        <f t="shared" si="1"/>
        <v>AD</v>
      </c>
    </row>
    <row r="91" ht="15.75" customHeight="1">
      <c r="A91" s="370">
        <v>46117.0</v>
      </c>
      <c r="B91" s="371" t="s">
        <v>1490</v>
      </c>
      <c r="C91" s="371" t="s">
        <v>1491</v>
      </c>
      <c r="D91" s="371" t="s">
        <v>1492</v>
      </c>
      <c r="E91" s="373">
        <v>30.85</v>
      </c>
      <c r="G91" s="371">
        <v>343.0</v>
      </c>
      <c r="H91" s="371">
        <v>12.0</v>
      </c>
      <c r="I91" s="371"/>
      <c r="K91" s="374">
        <v>1.0</v>
      </c>
      <c r="L91" s="269" t="str">
        <f t="shared" si="1"/>
        <v/>
      </c>
    </row>
    <row r="92" ht="15.75" customHeight="1">
      <c r="A92" s="370">
        <v>46117.0</v>
      </c>
      <c r="B92" s="371" t="s">
        <v>1490</v>
      </c>
      <c r="C92" s="371" t="s">
        <v>1493</v>
      </c>
      <c r="D92" s="371" t="s">
        <v>1494</v>
      </c>
      <c r="E92" s="373">
        <v>15.37</v>
      </c>
      <c r="G92" s="371">
        <v>2184.0</v>
      </c>
      <c r="H92" s="371">
        <v>56.0</v>
      </c>
      <c r="I92" s="371">
        <v>2.0</v>
      </c>
      <c r="K92" s="374">
        <v>3.0</v>
      </c>
      <c r="L92" s="269" t="str">
        <f t="shared" si="1"/>
        <v>V</v>
      </c>
    </row>
    <row r="93" ht="15.75" customHeight="1">
      <c r="A93" s="370">
        <v>46117.0</v>
      </c>
      <c r="B93" s="371" t="s">
        <v>1490</v>
      </c>
      <c r="C93" s="371" t="s">
        <v>1493</v>
      </c>
      <c r="D93" s="371" t="s">
        <v>1498</v>
      </c>
      <c r="E93" s="373">
        <v>0.65</v>
      </c>
      <c r="G93" s="371">
        <v>46.0</v>
      </c>
      <c r="H93" s="371">
        <v>1.0</v>
      </c>
      <c r="I93" s="371"/>
      <c r="K93" s="374"/>
      <c r="L93" s="269" t="str">
        <f t="shared" si="1"/>
        <v>V</v>
      </c>
    </row>
    <row r="94" ht="15.75" customHeight="1">
      <c r="A94" s="370">
        <v>46117.0</v>
      </c>
      <c r="B94" s="371" t="s">
        <v>1490</v>
      </c>
      <c r="C94" s="371" t="s">
        <v>1493</v>
      </c>
      <c r="D94" s="371" t="s">
        <v>1499</v>
      </c>
      <c r="E94" s="373">
        <v>0.07</v>
      </c>
      <c r="G94" s="371">
        <v>9.0</v>
      </c>
      <c r="H94" s="371">
        <v>0.0</v>
      </c>
      <c r="I94" s="371"/>
      <c r="K94" s="374"/>
      <c r="L94" s="269" t="str">
        <f t="shared" si="1"/>
        <v>V</v>
      </c>
    </row>
    <row r="95" ht="15.75" customHeight="1">
      <c r="A95" s="370">
        <v>46117.0</v>
      </c>
      <c r="B95" s="371" t="s">
        <v>1490</v>
      </c>
      <c r="C95" s="371" t="s">
        <v>1493</v>
      </c>
      <c r="D95" s="371" t="s">
        <v>1500</v>
      </c>
      <c r="E95" s="373">
        <v>9.11</v>
      </c>
      <c r="G95" s="371">
        <v>895.0</v>
      </c>
      <c r="H95" s="371">
        <v>16.0</v>
      </c>
      <c r="I95" s="371"/>
      <c r="K95" s="374">
        <v>3.0</v>
      </c>
      <c r="L95" s="269" t="str">
        <f t="shared" si="1"/>
        <v>V</v>
      </c>
    </row>
    <row r="96" ht="15.75" customHeight="1">
      <c r="A96" s="370">
        <v>46117.0</v>
      </c>
      <c r="B96" s="371" t="s">
        <v>1495</v>
      </c>
      <c r="C96" s="371" t="s">
        <v>1496</v>
      </c>
      <c r="D96" s="371" t="s">
        <v>1497</v>
      </c>
      <c r="E96" s="373">
        <v>10.92</v>
      </c>
      <c r="G96" s="371">
        <v>3877.0</v>
      </c>
      <c r="H96" s="371">
        <v>99.0</v>
      </c>
      <c r="I96" s="371"/>
      <c r="K96" s="374"/>
      <c r="L96" s="269" t="str">
        <f t="shared" si="1"/>
        <v>AD</v>
      </c>
    </row>
    <row r="97" ht="15.75" customHeight="1">
      <c r="A97" s="370">
        <v>46116.0</v>
      </c>
      <c r="B97" s="371" t="s">
        <v>1490</v>
      </c>
      <c r="C97" s="371" t="s">
        <v>1491</v>
      </c>
      <c r="D97" s="371" t="s">
        <v>1492</v>
      </c>
      <c r="E97" s="373">
        <v>26.09</v>
      </c>
      <c r="G97" s="371">
        <v>356.0</v>
      </c>
      <c r="H97" s="371">
        <v>4.0</v>
      </c>
      <c r="I97" s="371"/>
      <c r="K97" s="374"/>
      <c r="L97" s="269" t="str">
        <f t="shared" si="1"/>
        <v/>
      </c>
    </row>
    <row r="98" ht="15.75" customHeight="1">
      <c r="A98" s="370">
        <v>46116.0</v>
      </c>
      <c r="B98" s="371" t="s">
        <v>1490</v>
      </c>
      <c r="C98" s="371" t="s">
        <v>1493</v>
      </c>
      <c r="D98" s="371" t="s">
        <v>1494</v>
      </c>
      <c r="E98" s="373">
        <v>15.1</v>
      </c>
      <c r="G98" s="371">
        <v>1800.0</v>
      </c>
      <c r="H98" s="371">
        <v>55.0</v>
      </c>
      <c r="I98" s="371"/>
      <c r="K98" s="374">
        <v>5.0</v>
      </c>
      <c r="L98" s="269" t="str">
        <f t="shared" si="1"/>
        <v>V</v>
      </c>
    </row>
    <row r="99" ht="15.75" customHeight="1">
      <c r="A99" s="370">
        <v>46116.0</v>
      </c>
      <c r="B99" s="371" t="s">
        <v>1490</v>
      </c>
      <c r="C99" s="371" t="s">
        <v>1493</v>
      </c>
      <c r="D99" s="371" t="s">
        <v>1499</v>
      </c>
      <c r="E99" s="373">
        <v>0.54</v>
      </c>
      <c r="G99" s="371">
        <v>22.0</v>
      </c>
      <c r="H99" s="371">
        <v>0.0</v>
      </c>
      <c r="I99" s="371"/>
      <c r="K99" s="374"/>
      <c r="L99" s="269" t="str">
        <f t="shared" si="1"/>
        <v>V</v>
      </c>
    </row>
    <row r="100" ht="15.75" customHeight="1">
      <c r="A100" s="370">
        <v>46116.0</v>
      </c>
      <c r="B100" s="371" t="s">
        <v>1490</v>
      </c>
      <c r="C100" s="371" t="s">
        <v>1493</v>
      </c>
      <c r="D100" s="371" t="s">
        <v>1500</v>
      </c>
      <c r="E100" s="373">
        <v>3.74</v>
      </c>
      <c r="G100" s="371">
        <v>269.0</v>
      </c>
      <c r="H100" s="371">
        <v>5.0</v>
      </c>
      <c r="I100" s="371"/>
      <c r="K100" s="374"/>
      <c r="L100" s="269" t="str">
        <f t="shared" si="1"/>
        <v>V</v>
      </c>
    </row>
    <row r="101" ht="15.75" customHeight="1">
      <c r="A101" s="370">
        <v>46116.0</v>
      </c>
      <c r="B101" s="371" t="s">
        <v>1490</v>
      </c>
      <c r="C101" s="371" t="s">
        <v>1493</v>
      </c>
      <c r="D101" s="371" t="s">
        <v>1501</v>
      </c>
      <c r="E101" s="373">
        <v>0.5</v>
      </c>
      <c r="G101" s="371">
        <v>57.0</v>
      </c>
      <c r="H101" s="371">
        <v>0.0</v>
      </c>
      <c r="I101" s="371"/>
      <c r="K101" s="374"/>
      <c r="L101" s="269" t="str">
        <f t="shared" si="1"/>
        <v>V</v>
      </c>
    </row>
    <row r="102" ht="15.75" customHeight="1">
      <c r="A102" s="370">
        <v>46116.0</v>
      </c>
      <c r="B102" s="371" t="s">
        <v>1495</v>
      </c>
      <c r="C102" s="371" t="s">
        <v>1496</v>
      </c>
      <c r="D102" s="371" t="s">
        <v>1497</v>
      </c>
      <c r="E102" s="373">
        <v>10.03</v>
      </c>
      <c r="G102" s="371">
        <v>3180.0</v>
      </c>
      <c r="H102" s="371">
        <v>94.0</v>
      </c>
      <c r="I102" s="371"/>
      <c r="K102" s="374"/>
      <c r="L102" s="269" t="str">
        <f t="shared" si="1"/>
        <v>AD</v>
      </c>
    </row>
    <row r="103" ht="15.75" customHeight="1">
      <c r="A103" s="370">
        <v>46115.0</v>
      </c>
      <c r="B103" s="371" t="s">
        <v>1490</v>
      </c>
      <c r="C103" s="371" t="s">
        <v>1491</v>
      </c>
      <c r="D103" s="371" t="s">
        <v>1492</v>
      </c>
      <c r="E103" s="373">
        <v>29.65</v>
      </c>
      <c r="G103" s="371">
        <v>277.0</v>
      </c>
      <c r="H103" s="371">
        <v>3.0</v>
      </c>
      <c r="I103" s="371"/>
      <c r="K103" s="374"/>
      <c r="L103" s="269" t="str">
        <f t="shared" si="1"/>
        <v/>
      </c>
    </row>
    <row r="104" ht="15.75" customHeight="1">
      <c r="A104" s="370">
        <v>46115.0</v>
      </c>
      <c r="B104" s="371" t="s">
        <v>1490</v>
      </c>
      <c r="C104" s="371" t="s">
        <v>1493</v>
      </c>
      <c r="D104" s="371" t="s">
        <v>1494</v>
      </c>
      <c r="E104" s="373">
        <v>7.14</v>
      </c>
      <c r="G104" s="371">
        <v>952.0</v>
      </c>
      <c r="H104" s="371">
        <v>36.0</v>
      </c>
      <c r="I104" s="371"/>
      <c r="K104" s="374">
        <v>3.0</v>
      </c>
      <c r="L104" s="269" t="str">
        <f t="shared" si="1"/>
        <v>V</v>
      </c>
    </row>
    <row r="105" ht="15.75" customHeight="1">
      <c r="A105" s="370">
        <v>46115.0</v>
      </c>
      <c r="B105" s="371" t="s">
        <v>1490</v>
      </c>
      <c r="C105" s="371" t="s">
        <v>1493</v>
      </c>
      <c r="D105" s="371" t="s">
        <v>1498</v>
      </c>
      <c r="E105" s="373">
        <v>3.04</v>
      </c>
      <c r="G105" s="371">
        <v>227.0</v>
      </c>
      <c r="H105" s="371">
        <v>1.0</v>
      </c>
      <c r="I105" s="371"/>
      <c r="K105" s="374"/>
      <c r="L105" s="269" t="str">
        <f t="shared" si="1"/>
        <v>V</v>
      </c>
    </row>
    <row r="106" ht="15.75" customHeight="1">
      <c r="A106" s="370">
        <v>46115.0</v>
      </c>
      <c r="B106" s="371" t="s">
        <v>1490</v>
      </c>
      <c r="C106" s="371" t="s">
        <v>1493</v>
      </c>
      <c r="D106" s="371" t="s">
        <v>1499</v>
      </c>
      <c r="E106" s="373">
        <v>3.96</v>
      </c>
      <c r="G106" s="371">
        <v>228.0</v>
      </c>
      <c r="H106" s="371">
        <v>9.0</v>
      </c>
      <c r="I106" s="371"/>
      <c r="K106" s="374">
        <v>1.0</v>
      </c>
      <c r="L106" s="269" t="str">
        <f t="shared" si="1"/>
        <v>V</v>
      </c>
    </row>
    <row r="107" ht="15.75" customHeight="1">
      <c r="A107" s="370">
        <v>46115.0</v>
      </c>
      <c r="B107" s="371" t="s">
        <v>1490</v>
      </c>
      <c r="C107" s="371" t="s">
        <v>1493</v>
      </c>
      <c r="D107" s="371" t="s">
        <v>1500</v>
      </c>
      <c r="E107" s="373">
        <v>8.03</v>
      </c>
      <c r="G107" s="371">
        <v>787.0</v>
      </c>
      <c r="H107" s="371">
        <v>17.0</v>
      </c>
      <c r="I107" s="371"/>
      <c r="K107" s="374">
        <v>1.0</v>
      </c>
      <c r="L107" s="269" t="str">
        <f t="shared" si="1"/>
        <v>V</v>
      </c>
    </row>
    <row r="108" ht="15.75" customHeight="1">
      <c r="A108" s="370">
        <v>46115.0</v>
      </c>
      <c r="B108" s="371" t="s">
        <v>1490</v>
      </c>
      <c r="C108" s="371" t="s">
        <v>1493</v>
      </c>
      <c r="D108" s="371" t="s">
        <v>1501</v>
      </c>
      <c r="E108" s="373">
        <v>0.69</v>
      </c>
      <c r="G108" s="371">
        <v>59.0</v>
      </c>
      <c r="H108" s="371">
        <v>3.0</v>
      </c>
      <c r="I108" s="371"/>
      <c r="K108" s="374">
        <v>1.0</v>
      </c>
      <c r="L108" s="269" t="str">
        <f t="shared" si="1"/>
        <v>V</v>
      </c>
    </row>
    <row r="109" ht="15.75" customHeight="1">
      <c r="A109" s="370">
        <v>46115.0</v>
      </c>
      <c r="B109" s="371" t="s">
        <v>1495</v>
      </c>
      <c r="C109" s="371" t="s">
        <v>1496</v>
      </c>
      <c r="D109" s="371" t="s">
        <v>1497</v>
      </c>
      <c r="E109" s="373">
        <v>9.25</v>
      </c>
      <c r="G109" s="371">
        <v>3127.0</v>
      </c>
      <c r="H109" s="371">
        <v>96.0</v>
      </c>
      <c r="I109" s="371"/>
      <c r="K109" s="374"/>
      <c r="L109" s="269" t="str">
        <f t="shared" si="1"/>
        <v>AD</v>
      </c>
    </row>
    <row r="110" ht="15.75" customHeight="1">
      <c r="A110" s="370">
        <v>46114.0</v>
      </c>
      <c r="B110" s="371" t="s">
        <v>1490</v>
      </c>
      <c r="C110" s="371" t="s">
        <v>1491</v>
      </c>
      <c r="D110" s="371" t="s">
        <v>1492</v>
      </c>
      <c r="E110" s="373">
        <v>29.83</v>
      </c>
      <c r="G110" s="371">
        <v>283.0</v>
      </c>
      <c r="H110" s="371">
        <v>2.0</v>
      </c>
      <c r="I110" s="371"/>
      <c r="K110" s="374"/>
      <c r="L110" s="269" t="str">
        <f t="shared" si="1"/>
        <v/>
      </c>
    </row>
    <row r="111" ht="15.75" customHeight="1">
      <c r="A111" s="370">
        <v>46114.0</v>
      </c>
      <c r="B111" s="371" t="s">
        <v>1490</v>
      </c>
      <c r="C111" s="371" t="s">
        <v>1493</v>
      </c>
      <c r="D111" s="371" t="s">
        <v>1494</v>
      </c>
      <c r="E111" s="373">
        <v>17.62</v>
      </c>
      <c r="G111" s="371">
        <v>2146.0</v>
      </c>
      <c r="H111" s="371">
        <v>53.0</v>
      </c>
      <c r="I111" s="371">
        <v>1.0</v>
      </c>
      <c r="K111" s="374">
        <v>2.0</v>
      </c>
      <c r="L111" s="269" t="str">
        <f t="shared" si="1"/>
        <v>V</v>
      </c>
    </row>
    <row r="112" ht="15.75" customHeight="1">
      <c r="A112" s="370">
        <v>46114.0</v>
      </c>
      <c r="B112" s="371" t="s">
        <v>1490</v>
      </c>
      <c r="C112" s="371" t="s">
        <v>1493</v>
      </c>
      <c r="D112" s="371" t="s">
        <v>1498</v>
      </c>
      <c r="E112" s="373">
        <v>0.01</v>
      </c>
      <c r="G112" s="371">
        <v>2.0</v>
      </c>
      <c r="H112" s="371">
        <v>0.0</v>
      </c>
      <c r="I112" s="371"/>
      <c r="K112" s="374"/>
      <c r="L112" s="269" t="str">
        <f t="shared" si="1"/>
        <v>V</v>
      </c>
    </row>
    <row r="113" ht="15.75" customHeight="1">
      <c r="A113" s="370">
        <v>46114.0</v>
      </c>
      <c r="B113" s="371" t="s">
        <v>1490</v>
      </c>
      <c r="C113" s="371" t="s">
        <v>1493</v>
      </c>
      <c r="D113" s="371" t="s">
        <v>1500</v>
      </c>
      <c r="E113" s="373">
        <v>2.86</v>
      </c>
      <c r="G113" s="371">
        <v>267.0</v>
      </c>
      <c r="H113" s="371">
        <v>5.0</v>
      </c>
      <c r="I113" s="371"/>
      <c r="K113" s="374">
        <v>1.0</v>
      </c>
      <c r="L113" s="269" t="str">
        <f t="shared" si="1"/>
        <v>V</v>
      </c>
    </row>
    <row r="114" ht="15.75" customHeight="1">
      <c r="A114" s="370">
        <v>46114.0</v>
      </c>
      <c r="B114" s="371" t="s">
        <v>1490</v>
      </c>
      <c r="C114" s="371" t="s">
        <v>1493</v>
      </c>
      <c r="D114" s="371" t="s">
        <v>1501</v>
      </c>
      <c r="E114" s="373">
        <v>2.32</v>
      </c>
      <c r="G114" s="371">
        <v>142.0</v>
      </c>
      <c r="H114" s="371">
        <v>1.0</v>
      </c>
      <c r="I114" s="371"/>
      <c r="K114" s="374"/>
      <c r="L114" s="269" t="str">
        <f t="shared" si="1"/>
        <v>V</v>
      </c>
    </row>
    <row r="115" ht="15.75" customHeight="1">
      <c r="A115" s="370">
        <v>46114.0</v>
      </c>
      <c r="B115" s="371" t="s">
        <v>1495</v>
      </c>
      <c r="C115" s="371" t="s">
        <v>1496</v>
      </c>
      <c r="D115" s="371" t="s">
        <v>1497</v>
      </c>
      <c r="E115" s="373">
        <v>9.87</v>
      </c>
      <c r="G115" s="371">
        <v>3031.0</v>
      </c>
      <c r="H115" s="371">
        <v>93.0</v>
      </c>
      <c r="I115" s="371"/>
      <c r="K115" s="374"/>
      <c r="L115" s="269" t="str">
        <f t="shared" si="1"/>
        <v>AD</v>
      </c>
    </row>
    <row r="116" ht="15.75" customHeight="1">
      <c r="A116" s="370">
        <v>46113.0</v>
      </c>
      <c r="B116" s="371" t="s">
        <v>1490</v>
      </c>
      <c r="C116" s="371" t="s">
        <v>1491</v>
      </c>
      <c r="D116" s="371" t="s">
        <v>1492</v>
      </c>
      <c r="E116" s="373">
        <v>34.75</v>
      </c>
      <c r="G116" s="371">
        <v>349.0</v>
      </c>
      <c r="H116" s="371">
        <v>8.0</v>
      </c>
      <c r="I116" s="371"/>
      <c r="K116" s="374"/>
      <c r="L116" s="269" t="str">
        <f t="shared" si="1"/>
        <v/>
      </c>
    </row>
    <row r="117" ht="15.75" customHeight="1">
      <c r="A117" s="370">
        <v>46113.0</v>
      </c>
      <c r="B117" s="371" t="s">
        <v>1490</v>
      </c>
      <c r="C117" s="371" t="s">
        <v>1493</v>
      </c>
      <c r="D117" s="371" t="s">
        <v>1494</v>
      </c>
      <c r="E117" s="373">
        <v>18.47</v>
      </c>
      <c r="G117" s="371">
        <v>2339.0</v>
      </c>
      <c r="H117" s="371">
        <v>65.0</v>
      </c>
      <c r="I117" s="371">
        <v>2.0</v>
      </c>
      <c r="K117" s="374">
        <v>4.0</v>
      </c>
      <c r="L117" s="269" t="str">
        <f t="shared" si="1"/>
        <v>V</v>
      </c>
    </row>
    <row r="118" ht="15.75" customHeight="1">
      <c r="A118" s="370">
        <v>46113.0</v>
      </c>
      <c r="B118" s="371" t="s">
        <v>1490</v>
      </c>
      <c r="C118" s="371" t="s">
        <v>1493</v>
      </c>
      <c r="D118" s="371" t="s">
        <v>1498</v>
      </c>
      <c r="E118" s="373">
        <v>2.55</v>
      </c>
      <c r="G118" s="371">
        <v>261.0</v>
      </c>
      <c r="H118" s="371">
        <v>3.0</v>
      </c>
      <c r="I118" s="371"/>
      <c r="K118" s="374">
        <v>1.0</v>
      </c>
      <c r="L118" s="269" t="str">
        <f t="shared" si="1"/>
        <v>V</v>
      </c>
    </row>
    <row r="119" ht="15.75" customHeight="1">
      <c r="A119" s="370">
        <v>46113.0</v>
      </c>
      <c r="B119" s="371" t="s">
        <v>1490</v>
      </c>
      <c r="C119" s="371" t="s">
        <v>1493</v>
      </c>
      <c r="D119" s="371" t="s">
        <v>1499</v>
      </c>
      <c r="E119" s="373">
        <v>0.0</v>
      </c>
      <c r="G119" s="371">
        <v>0.0</v>
      </c>
      <c r="H119" s="371">
        <v>0.0</v>
      </c>
      <c r="I119" s="371"/>
      <c r="K119" s="374"/>
      <c r="L119" s="269" t="str">
        <f t="shared" si="1"/>
        <v>V</v>
      </c>
    </row>
    <row r="120" ht="15.75" customHeight="1">
      <c r="A120" s="370">
        <v>46113.0</v>
      </c>
      <c r="B120" s="371" t="s">
        <v>1490</v>
      </c>
      <c r="C120" s="371" t="s">
        <v>1493</v>
      </c>
      <c r="D120" s="371" t="s">
        <v>1500</v>
      </c>
      <c r="E120" s="373">
        <v>1.62</v>
      </c>
      <c r="G120" s="371">
        <v>170.0</v>
      </c>
      <c r="H120" s="371">
        <v>0.0</v>
      </c>
      <c r="I120" s="371"/>
      <c r="K120" s="374"/>
      <c r="L120" s="269" t="str">
        <f t="shared" si="1"/>
        <v>V</v>
      </c>
    </row>
    <row r="121" ht="15.75" customHeight="1">
      <c r="A121" s="370">
        <v>46113.0</v>
      </c>
      <c r="B121" s="371" t="s">
        <v>1490</v>
      </c>
      <c r="C121" s="371" t="s">
        <v>1493</v>
      </c>
      <c r="D121" s="371" t="s">
        <v>1501</v>
      </c>
      <c r="E121" s="373">
        <v>0.2</v>
      </c>
      <c r="G121" s="371">
        <v>28.0</v>
      </c>
      <c r="H121" s="371">
        <v>0.0</v>
      </c>
      <c r="I121" s="371"/>
      <c r="K121" s="374"/>
      <c r="L121" s="269" t="str">
        <f t="shared" si="1"/>
        <v>V</v>
      </c>
    </row>
    <row r="122" ht="15.75" customHeight="1">
      <c r="A122" s="370">
        <v>46113.0</v>
      </c>
      <c r="B122" s="371" t="s">
        <v>1495</v>
      </c>
      <c r="C122" s="371" t="s">
        <v>1496</v>
      </c>
      <c r="D122" s="371" t="s">
        <v>1497</v>
      </c>
      <c r="E122" s="373">
        <v>9.6</v>
      </c>
      <c r="G122" s="371">
        <v>2719.0</v>
      </c>
      <c r="H122" s="371">
        <v>89.0</v>
      </c>
      <c r="I122" s="371"/>
      <c r="K122" s="374"/>
      <c r="L122" s="269" t="str">
        <f t="shared" si="1"/>
        <v>AD</v>
      </c>
    </row>
    <row r="123" ht="15.75" customHeight="1">
      <c r="A123" s="370">
        <v>46112.0</v>
      </c>
      <c r="B123" s="371" t="s">
        <v>1490</v>
      </c>
      <c r="C123" s="371" t="s">
        <v>1491</v>
      </c>
      <c r="D123" s="371" t="s">
        <v>1492</v>
      </c>
      <c r="E123" s="373">
        <v>32.68</v>
      </c>
      <c r="G123" s="371">
        <v>294.0</v>
      </c>
      <c r="H123" s="371">
        <v>7.0</v>
      </c>
      <c r="I123" s="371"/>
      <c r="K123" s="374">
        <v>1.0</v>
      </c>
      <c r="L123" s="269" t="str">
        <f t="shared" si="1"/>
        <v/>
      </c>
    </row>
    <row r="124" ht="15.75" customHeight="1">
      <c r="A124" s="370">
        <v>46112.0</v>
      </c>
      <c r="B124" s="371" t="s">
        <v>1490</v>
      </c>
      <c r="C124" s="371" t="s">
        <v>1493</v>
      </c>
      <c r="D124" s="371" t="s">
        <v>1494</v>
      </c>
      <c r="E124" s="373">
        <v>0.01</v>
      </c>
      <c r="G124" s="371">
        <v>4.0</v>
      </c>
      <c r="H124" s="371">
        <v>0.0</v>
      </c>
      <c r="I124" s="371"/>
      <c r="K124" s="374"/>
      <c r="L124" s="269" t="str">
        <f t="shared" si="1"/>
        <v>V</v>
      </c>
    </row>
    <row r="125" ht="15.75" customHeight="1">
      <c r="A125" s="370">
        <v>46112.0</v>
      </c>
      <c r="B125" s="371" t="s">
        <v>1490</v>
      </c>
      <c r="C125" s="371" t="s">
        <v>1493</v>
      </c>
      <c r="D125" s="371" t="s">
        <v>1498</v>
      </c>
      <c r="E125" s="373">
        <v>0.13</v>
      </c>
      <c r="G125" s="371">
        <v>12.0</v>
      </c>
      <c r="H125" s="371">
        <v>0.0</v>
      </c>
      <c r="I125" s="371"/>
      <c r="K125" s="374"/>
      <c r="L125" s="269" t="str">
        <f t="shared" si="1"/>
        <v>V</v>
      </c>
    </row>
    <row r="126" ht="15.75" customHeight="1">
      <c r="A126" s="370">
        <v>46112.0</v>
      </c>
      <c r="B126" s="371" t="s">
        <v>1490</v>
      </c>
      <c r="C126" s="371" t="s">
        <v>1493</v>
      </c>
      <c r="D126" s="371" t="s">
        <v>1499</v>
      </c>
      <c r="E126" s="373">
        <v>6.05</v>
      </c>
      <c r="G126" s="371">
        <v>313.0</v>
      </c>
      <c r="H126" s="371">
        <v>5.0</v>
      </c>
      <c r="I126" s="371"/>
      <c r="K126" s="374"/>
      <c r="L126" s="269" t="str">
        <f t="shared" si="1"/>
        <v>V</v>
      </c>
    </row>
    <row r="127" ht="15.75" customHeight="1">
      <c r="A127" s="370">
        <v>46112.0</v>
      </c>
      <c r="B127" s="371" t="s">
        <v>1490</v>
      </c>
      <c r="C127" s="371" t="s">
        <v>1493</v>
      </c>
      <c r="D127" s="371" t="s">
        <v>1501</v>
      </c>
      <c r="E127" s="373">
        <v>17.65</v>
      </c>
      <c r="G127" s="371">
        <v>1827.0</v>
      </c>
      <c r="H127" s="371">
        <v>44.0</v>
      </c>
      <c r="I127" s="371"/>
      <c r="K127" s="374">
        <v>2.0</v>
      </c>
      <c r="L127" s="269" t="str">
        <f t="shared" si="1"/>
        <v>V</v>
      </c>
    </row>
    <row r="128" ht="15.75" customHeight="1">
      <c r="A128" s="370">
        <v>46112.0</v>
      </c>
      <c r="B128" s="371" t="s">
        <v>1495</v>
      </c>
      <c r="C128" s="371" t="s">
        <v>1496</v>
      </c>
      <c r="D128" s="371" t="s">
        <v>1497</v>
      </c>
      <c r="E128" s="373">
        <v>10.18</v>
      </c>
      <c r="G128" s="371">
        <v>2635.0</v>
      </c>
      <c r="H128" s="371">
        <v>97.0</v>
      </c>
      <c r="I128" s="371"/>
      <c r="K128" s="374"/>
      <c r="L128" s="269" t="str">
        <f t="shared" si="1"/>
        <v>AD</v>
      </c>
    </row>
    <row r="129" ht="15.75" customHeight="1">
      <c r="A129" s="370">
        <v>46111.0</v>
      </c>
      <c r="B129" s="371" t="s">
        <v>1490</v>
      </c>
      <c r="C129" s="371" t="s">
        <v>1491</v>
      </c>
      <c r="D129" s="371" t="s">
        <v>1492</v>
      </c>
      <c r="E129" s="373">
        <v>35.77</v>
      </c>
      <c r="G129" s="371">
        <v>386.0</v>
      </c>
      <c r="H129" s="371">
        <v>9.0</v>
      </c>
      <c r="I129" s="371">
        <v>1.0</v>
      </c>
      <c r="K129" s="374"/>
      <c r="L129" s="269" t="str">
        <f t="shared" si="1"/>
        <v/>
      </c>
    </row>
    <row r="130" ht="15.75" customHeight="1">
      <c r="A130" s="370">
        <v>46111.0</v>
      </c>
      <c r="B130" s="371" t="s">
        <v>1490</v>
      </c>
      <c r="C130" s="371" t="s">
        <v>1493</v>
      </c>
      <c r="D130" s="371" t="s">
        <v>1494</v>
      </c>
      <c r="E130" s="373">
        <v>9.06</v>
      </c>
      <c r="G130" s="371">
        <v>914.0</v>
      </c>
      <c r="H130" s="371">
        <v>26.0</v>
      </c>
      <c r="I130" s="371"/>
      <c r="K130" s="374"/>
      <c r="L130" s="269" t="str">
        <f t="shared" si="1"/>
        <v>V</v>
      </c>
    </row>
    <row r="131" ht="15.75" customHeight="1">
      <c r="A131" s="370">
        <v>46111.0</v>
      </c>
      <c r="B131" s="371" t="s">
        <v>1490</v>
      </c>
      <c r="C131" s="371" t="s">
        <v>1493</v>
      </c>
      <c r="D131" s="371" t="s">
        <v>1499</v>
      </c>
      <c r="E131" s="373">
        <v>11.8</v>
      </c>
      <c r="G131" s="371">
        <v>873.0</v>
      </c>
      <c r="H131" s="371">
        <v>19.0</v>
      </c>
      <c r="I131" s="371"/>
      <c r="K131" s="374"/>
      <c r="L131" s="269" t="str">
        <f t="shared" si="1"/>
        <v>V</v>
      </c>
    </row>
    <row r="132" ht="15.75" customHeight="1">
      <c r="A132" s="370">
        <v>46111.0</v>
      </c>
      <c r="B132" s="371" t="s">
        <v>1490</v>
      </c>
      <c r="C132" s="371" t="s">
        <v>1493</v>
      </c>
      <c r="D132" s="371" t="s">
        <v>1501</v>
      </c>
      <c r="E132" s="373">
        <v>4.46</v>
      </c>
      <c r="G132" s="371">
        <v>443.0</v>
      </c>
      <c r="H132" s="371">
        <v>11.0</v>
      </c>
      <c r="I132" s="371"/>
      <c r="K132" s="374">
        <v>2.0</v>
      </c>
      <c r="L132" s="269" t="str">
        <f t="shared" si="1"/>
        <v>V</v>
      </c>
    </row>
    <row r="133" ht="15.75" customHeight="1">
      <c r="A133" s="370">
        <v>46111.0</v>
      </c>
      <c r="B133" s="371" t="s">
        <v>1495</v>
      </c>
      <c r="C133" s="371" t="s">
        <v>1496</v>
      </c>
      <c r="D133" s="371" t="s">
        <v>1497</v>
      </c>
      <c r="E133" s="373">
        <v>9.84</v>
      </c>
      <c r="G133" s="371">
        <v>2623.0</v>
      </c>
      <c r="H133" s="371">
        <v>81.0</v>
      </c>
      <c r="I133" s="371"/>
      <c r="K133" s="374"/>
      <c r="L133" s="269" t="str">
        <f t="shared" si="1"/>
        <v>AD</v>
      </c>
    </row>
    <row r="134" ht="15.75" customHeight="1">
      <c r="A134" s="370">
        <v>46110.0</v>
      </c>
      <c r="B134" s="371" t="s">
        <v>1490</v>
      </c>
      <c r="C134" s="371" t="s">
        <v>1491</v>
      </c>
      <c r="D134" s="371" t="s">
        <v>1492</v>
      </c>
      <c r="E134" s="373">
        <v>32.11</v>
      </c>
      <c r="G134" s="371">
        <v>405.0</v>
      </c>
      <c r="H134" s="371">
        <v>19.0</v>
      </c>
      <c r="I134" s="371"/>
      <c r="K134" s="374"/>
      <c r="L134" s="269" t="str">
        <f t="shared" si="1"/>
        <v/>
      </c>
    </row>
    <row r="135" ht="15.75" customHeight="1">
      <c r="A135" s="370">
        <v>46110.0</v>
      </c>
      <c r="B135" s="371" t="s">
        <v>1490</v>
      </c>
      <c r="C135" s="371" t="s">
        <v>1493</v>
      </c>
      <c r="D135" s="371" t="s">
        <v>1494</v>
      </c>
      <c r="E135" s="373">
        <v>10.64</v>
      </c>
      <c r="G135" s="371">
        <v>1487.0</v>
      </c>
      <c r="H135" s="371">
        <v>50.0</v>
      </c>
      <c r="I135" s="371"/>
      <c r="K135" s="374"/>
      <c r="L135" s="269" t="str">
        <f t="shared" si="1"/>
        <v>V</v>
      </c>
    </row>
    <row r="136" ht="15.75" customHeight="1">
      <c r="A136" s="370">
        <v>46110.0</v>
      </c>
      <c r="B136" s="371" t="s">
        <v>1490</v>
      </c>
      <c r="C136" s="371" t="s">
        <v>1493</v>
      </c>
      <c r="D136" s="371" t="s">
        <v>1499</v>
      </c>
      <c r="E136" s="373">
        <v>9.32</v>
      </c>
      <c r="G136" s="371">
        <v>793.0</v>
      </c>
      <c r="H136" s="371">
        <v>26.0</v>
      </c>
      <c r="I136" s="371"/>
      <c r="K136" s="374">
        <v>4.0</v>
      </c>
      <c r="L136" s="269" t="str">
        <f t="shared" si="1"/>
        <v>V</v>
      </c>
    </row>
    <row r="137" ht="15.75" customHeight="1">
      <c r="A137" s="370">
        <v>46110.0</v>
      </c>
      <c r="B137" s="371" t="s">
        <v>1490</v>
      </c>
      <c r="C137" s="371" t="s">
        <v>1493</v>
      </c>
      <c r="D137" s="371" t="s">
        <v>1500</v>
      </c>
      <c r="E137" s="373">
        <v>4.82</v>
      </c>
      <c r="G137" s="371">
        <v>475.0</v>
      </c>
      <c r="H137" s="371">
        <v>7.0</v>
      </c>
      <c r="I137" s="371"/>
      <c r="K137" s="374">
        <v>1.0</v>
      </c>
      <c r="L137" s="269" t="str">
        <f t="shared" si="1"/>
        <v>V</v>
      </c>
    </row>
    <row r="138" ht="15.75" customHeight="1">
      <c r="A138" s="370">
        <v>46110.0</v>
      </c>
      <c r="B138" s="371" t="s">
        <v>1490</v>
      </c>
      <c r="C138" s="371" t="s">
        <v>1493</v>
      </c>
      <c r="D138" s="371" t="s">
        <v>1501</v>
      </c>
      <c r="E138" s="373">
        <v>0.72</v>
      </c>
      <c r="G138" s="371">
        <v>68.0</v>
      </c>
      <c r="H138" s="371">
        <v>1.0</v>
      </c>
      <c r="I138" s="371"/>
      <c r="K138" s="374"/>
      <c r="L138" s="269" t="str">
        <f t="shared" si="1"/>
        <v>V</v>
      </c>
    </row>
    <row r="139" ht="15.75" customHeight="1">
      <c r="A139" s="370">
        <v>46110.0</v>
      </c>
      <c r="B139" s="371" t="s">
        <v>1495</v>
      </c>
      <c r="C139" s="371" t="s">
        <v>1496</v>
      </c>
      <c r="D139" s="371" t="s">
        <v>1497</v>
      </c>
      <c r="E139" s="373">
        <v>11.17</v>
      </c>
      <c r="G139" s="371">
        <v>2946.0</v>
      </c>
      <c r="H139" s="371">
        <v>102.0</v>
      </c>
      <c r="I139" s="371"/>
      <c r="K139" s="374"/>
      <c r="L139" s="269" t="str">
        <f t="shared" si="1"/>
        <v>AD</v>
      </c>
    </row>
    <row r="140" ht="15.75" customHeight="1">
      <c r="A140" s="370">
        <v>46109.0</v>
      </c>
      <c r="B140" s="371" t="s">
        <v>1490</v>
      </c>
      <c r="C140" s="371" t="s">
        <v>1491</v>
      </c>
      <c r="D140" s="371" t="s">
        <v>1492</v>
      </c>
      <c r="E140" s="373">
        <v>26.07</v>
      </c>
      <c r="G140" s="371">
        <v>287.0</v>
      </c>
      <c r="H140" s="371">
        <v>13.0</v>
      </c>
      <c r="I140" s="371"/>
      <c r="K140" s="374"/>
      <c r="L140" s="269" t="str">
        <f t="shared" si="1"/>
        <v/>
      </c>
    </row>
    <row r="141" ht="15.75" customHeight="1">
      <c r="A141" s="370">
        <v>46109.0</v>
      </c>
      <c r="B141" s="371" t="s">
        <v>1490</v>
      </c>
      <c r="C141" s="371" t="s">
        <v>1493</v>
      </c>
      <c r="D141" s="371" t="s">
        <v>1494</v>
      </c>
      <c r="E141" s="373">
        <v>15.56</v>
      </c>
      <c r="G141" s="371">
        <v>2267.0</v>
      </c>
      <c r="H141" s="371">
        <v>85.0</v>
      </c>
      <c r="I141" s="371">
        <v>1.0</v>
      </c>
      <c r="K141" s="374">
        <v>3.0</v>
      </c>
      <c r="L141" s="269" t="str">
        <f t="shared" si="1"/>
        <v>V</v>
      </c>
    </row>
    <row r="142" ht="15.75" customHeight="1">
      <c r="A142" s="370">
        <v>46109.0</v>
      </c>
      <c r="B142" s="371" t="s">
        <v>1490</v>
      </c>
      <c r="C142" s="371" t="s">
        <v>1493</v>
      </c>
      <c r="D142" s="371" t="s">
        <v>1500</v>
      </c>
      <c r="E142" s="373">
        <v>3.89</v>
      </c>
      <c r="G142" s="371">
        <v>374.0</v>
      </c>
      <c r="H142" s="371">
        <v>7.0</v>
      </c>
      <c r="I142" s="371"/>
      <c r="K142" s="374"/>
      <c r="L142" s="269" t="str">
        <f t="shared" si="1"/>
        <v>V</v>
      </c>
    </row>
    <row r="143" ht="15.75" customHeight="1">
      <c r="A143" s="370">
        <v>46109.0</v>
      </c>
      <c r="B143" s="371" t="s">
        <v>1495</v>
      </c>
      <c r="C143" s="371" t="s">
        <v>1496</v>
      </c>
      <c r="D143" s="371" t="s">
        <v>1497</v>
      </c>
      <c r="E143" s="373">
        <v>9.69</v>
      </c>
      <c r="G143" s="371">
        <v>2198.0</v>
      </c>
      <c r="H143" s="371">
        <v>54.0</v>
      </c>
      <c r="I143" s="371"/>
      <c r="K143" s="374"/>
      <c r="L143" s="269" t="str">
        <f t="shared" si="1"/>
        <v>AD</v>
      </c>
    </row>
    <row r="144" ht="15.75" customHeight="1">
      <c r="A144" s="370">
        <v>46108.0</v>
      </c>
      <c r="B144" s="371" t="s">
        <v>1490</v>
      </c>
      <c r="C144" s="371" t="s">
        <v>1491</v>
      </c>
      <c r="D144" s="371" t="s">
        <v>1492</v>
      </c>
      <c r="E144" s="373">
        <v>34.57</v>
      </c>
      <c r="G144" s="371">
        <v>334.0</v>
      </c>
      <c r="H144" s="371">
        <v>11.0</v>
      </c>
      <c r="I144" s="371"/>
      <c r="K144" s="374">
        <v>1.0</v>
      </c>
      <c r="L144" s="269" t="str">
        <f t="shared" si="1"/>
        <v/>
      </c>
    </row>
    <row r="145" ht="15.75" customHeight="1">
      <c r="A145" s="370">
        <v>46108.0</v>
      </c>
      <c r="B145" s="371" t="s">
        <v>1490</v>
      </c>
      <c r="C145" s="371" t="s">
        <v>1493</v>
      </c>
      <c r="D145" s="371" t="s">
        <v>1494</v>
      </c>
      <c r="E145" s="373">
        <v>21.1</v>
      </c>
      <c r="G145" s="371">
        <v>2517.0</v>
      </c>
      <c r="H145" s="371">
        <v>83.0</v>
      </c>
      <c r="I145" s="371"/>
      <c r="K145" s="374">
        <v>4.0</v>
      </c>
      <c r="L145" s="269" t="str">
        <f t="shared" si="1"/>
        <v>V</v>
      </c>
    </row>
    <row r="146" ht="15.75" customHeight="1">
      <c r="A146" s="370">
        <v>46108.0</v>
      </c>
      <c r="B146" s="371" t="s">
        <v>1490</v>
      </c>
      <c r="C146" s="371" t="s">
        <v>1493</v>
      </c>
      <c r="D146" s="371" t="s">
        <v>1498</v>
      </c>
      <c r="E146" s="373">
        <v>0.87</v>
      </c>
      <c r="G146" s="371">
        <v>101.0</v>
      </c>
      <c r="H146" s="371">
        <v>6.0</v>
      </c>
      <c r="I146" s="371"/>
      <c r="K146" s="374">
        <v>1.0</v>
      </c>
      <c r="L146" s="269" t="str">
        <f t="shared" si="1"/>
        <v>V</v>
      </c>
    </row>
    <row r="147" ht="15.75" customHeight="1">
      <c r="A147" s="370">
        <v>46108.0</v>
      </c>
      <c r="B147" s="371" t="s">
        <v>1490</v>
      </c>
      <c r="C147" s="371" t="s">
        <v>1493</v>
      </c>
      <c r="D147" s="371" t="s">
        <v>1499</v>
      </c>
      <c r="E147" s="373">
        <v>0.0</v>
      </c>
      <c r="G147" s="371">
        <v>1.0</v>
      </c>
      <c r="H147" s="371">
        <v>0.0</v>
      </c>
      <c r="I147" s="371"/>
      <c r="K147" s="374"/>
      <c r="L147" s="269" t="str">
        <f t="shared" si="1"/>
        <v>V</v>
      </c>
    </row>
    <row r="148" ht="15.75" customHeight="1">
      <c r="A148" s="370">
        <v>46108.0</v>
      </c>
      <c r="B148" s="371" t="s">
        <v>1490</v>
      </c>
      <c r="C148" s="371" t="s">
        <v>1493</v>
      </c>
      <c r="D148" s="371" t="s">
        <v>1500</v>
      </c>
      <c r="E148" s="373">
        <v>0.18</v>
      </c>
      <c r="G148" s="371">
        <v>17.0</v>
      </c>
      <c r="H148" s="371">
        <v>0.0</v>
      </c>
      <c r="I148" s="371"/>
      <c r="K148" s="374"/>
      <c r="L148" s="269" t="str">
        <f t="shared" si="1"/>
        <v>V</v>
      </c>
    </row>
    <row r="149" ht="15.75" customHeight="1">
      <c r="A149" s="370">
        <v>46108.0</v>
      </c>
      <c r="B149" s="371" t="s">
        <v>1490</v>
      </c>
      <c r="C149" s="371" t="s">
        <v>1493</v>
      </c>
      <c r="D149" s="371" t="s">
        <v>1501</v>
      </c>
      <c r="E149" s="373">
        <v>1.9</v>
      </c>
      <c r="G149" s="371">
        <v>159.0</v>
      </c>
      <c r="H149" s="371">
        <v>5.0</v>
      </c>
      <c r="I149" s="371"/>
      <c r="K149" s="374"/>
      <c r="L149" s="269" t="str">
        <f t="shared" si="1"/>
        <v>V</v>
      </c>
    </row>
    <row r="150" ht="15.75" customHeight="1">
      <c r="A150" s="370">
        <v>46108.0</v>
      </c>
      <c r="B150" s="371" t="s">
        <v>1495</v>
      </c>
      <c r="C150" s="371" t="s">
        <v>1496</v>
      </c>
      <c r="D150" s="371" t="s">
        <v>1497</v>
      </c>
      <c r="E150" s="373">
        <v>9.53</v>
      </c>
      <c r="G150" s="371">
        <v>2327.0</v>
      </c>
      <c r="H150" s="371">
        <v>66.0</v>
      </c>
      <c r="I150" s="371"/>
      <c r="K150" s="374"/>
      <c r="L150" s="269" t="str">
        <f t="shared" si="1"/>
        <v>AD</v>
      </c>
    </row>
    <row r="151" ht="15.75" customHeight="1">
      <c r="A151" s="370">
        <v>46107.0</v>
      </c>
      <c r="B151" s="371" t="s">
        <v>1490</v>
      </c>
      <c r="C151" s="371" t="s">
        <v>1491</v>
      </c>
      <c r="D151" s="371" t="s">
        <v>1492</v>
      </c>
      <c r="E151" s="373">
        <v>29.86</v>
      </c>
      <c r="G151" s="371">
        <v>359.0</v>
      </c>
      <c r="H151" s="371">
        <v>7.0</v>
      </c>
      <c r="I151" s="371"/>
      <c r="K151" s="374"/>
      <c r="L151" s="269" t="str">
        <f t="shared" si="1"/>
        <v/>
      </c>
    </row>
    <row r="152" ht="15.75" customHeight="1">
      <c r="A152" s="370">
        <v>46107.0</v>
      </c>
      <c r="B152" s="371" t="s">
        <v>1490</v>
      </c>
      <c r="C152" s="371" t="s">
        <v>1493</v>
      </c>
      <c r="D152" s="371" t="s">
        <v>1494</v>
      </c>
      <c r="E152" s="373">
        <v>22.35</v>
      </c>
      <c r="G152" s="371">
        <v>2464.0</v>
      </c>
      <c r="H152" s="371">
        <v>63.0</v>
      </c>
      <c r="I152" s="371">
        <v>1.0</v>
      </c>
      <c r="K152" s="374">
        <v>7.0</v>
      </c>
      <c r="L152" s="269" t="str">
        <f t="shared" si="1"/>
        <v>V</v>
      </c>
    </row>
    <row r="153" ht="15.75" customHeight="1">
      <c r="A153" s="370">
        <v>46107.0</v>
      </c>
      <c r="B153" s="371" t="s">
        <v>1490</v>
      </c>
      <c r="C153" s="371" t="s">
        <v>1493</v>
      </c>
      <c r="D153" s="371" t="s">
        <v>1498</v>
      </c>
      <c r="E153" s="373">
        <v>0.04</v>
      </c>
      <c r="G153" s="371">
        <v>4.0</v>
      </c>
      <c r="H153" s="371">
        <v>0.0</v>
      </c>
      <c r="I153" s="371"/>
      <c r="K153" s="374"/>
      <c r="L153" s="269" t="str">
        <f t="shared" si="1"/>
        <v>V</v>
      </c>
    </row>
    <row r="154" ht="15.75" customHeight="1">
      <c r="A154" s="370">
        <v>46107.0</v>
      </c>
      <c r="B154" s="371" t="s">
        <v>1490</v>
      </c>
      <c r="C154" s="371" t="s">
        <v>1493</v>
      </c>
      <c r="D154" s="371" t="s">
        <v>1499</v>
      </c>
      <c r="E154" s="373">
        <v>0.15</v>
      </c>
      <c r="G154" s="371">
        <v>3.0</v>
      </c>
      <c r="H154" s="371">
        <v>0.0</v>
      </c>
      <c r="I154" s="371"/>
      <c r="K154" s="374"/>
      <c r="L154" s="269" t="str">
        <f t="shared" si="1"/>
        <v>V</v>
      </c>
    </row>
    <row r="155" ht="15.75" customHeight="1">
      <c r="A155" s="370">
        <v>46107.0</v>
      </c>
      <c r="B155" s="371" t="s">
        <v>1490</v>
      </c>
      <c r="C155" s="371" t="s">
        <v>1493</v>
      </c>
      <c r="D155" s="371" t="s">
        <v>1500</v>
      </c>
      <c r="E155" s="373">
        <v>1.04</v>
      </c>
      <c r="G155" s="371">
        <v>67.0</v>
      </c>
      <c r="H155" s="371">
        <v>0.0</v>
      </c>
      <c r="I155" s="371"/>
      <c r="K155" s="374"/>
      <c r="L155" s="269" t="str">
        <f t="shared" si="1"/>
        <v>V</v>
      </c>
    </row>
    <row r="156" ht="15.75" customHeight="1">
      <c r="A156" s="370">
        <v>46107.0</v>
      </c>
      <c r="B156" s="371" t="s">
        <v>1495</v>
      </c>
      <c r="C156" s="371" t="s">
        <v>1496</v>
      </c>
      <c r="D156" s="371" t="s">
        <v>1497</v>
      </c>
      <c r="E156" s="373">
        <v>9.78</v>
      </c>
      <c r="G156" s="371">
        <v>2471.0</v>
      </c>
      <c r="H156" s="371">
        <v>70.0</v>
      </c>
      <c r="I156" s="371"/>
      <c r="K156" s="374"/>
      <c r="L156" s="269" t="str">
        <f t="shared" si="1"/>
        <v>AD</v>
      </c>
    </row>
    <row r="157" ht="15.75" customHeight="1">
      <c r="A157" s="370">
        <v>46106.0</v>
      </c>
      <c r="B157" s="371" t="s">
        <v>1490</v>
      </c>
      <c r="C157" s="371" t="s">
        <v>1491</v>
      </c>
      <c r="D157" s="371" t="s">
        <v>1492</v>
      </c>
      <c r="E157" s="373">
        <v>31.88</v>
      </c>
      <c r="G157" s="371">
        <v>334.0</v>
      </c>
      <c r="H157" s="371">
        <v>7.0</v>
      </c>
      <c r="I157" s="371"/>
      <c r="K157" s="374"/>
      <c r="L157" s="269" t="str">
        <f t="shared" si="1"/>
        <v/>
      </c>
    </row>
    <row r="158" ht="15.75" customHeight="1">
      <c r="A158" s="370">
        <v>46106.0</v>
      </c>
      <c r="B158" s="371" t="s">
        <v>1490</v>
      </c>
      <c r="C158" s="371" t="s">
        <v>1493</v>
      </c>
      <c r="D158" s="371" t="s">
        <v>1494</v>
      </c>
      <c r="E158" s="373">
        <v>22.88</v>
      </c>
      <c r="G158" s="371">
        <v>2423.0</v>
      </c>
      <c r="H158" s="371">
        <v>76.0</v>
      </c>
      <c r="I158" s="371">
        <v>1.0</v>
      </c>
      <c r="K158" s="374">
        <v>5.0</v>
      </c>
      <c r="L158" s="269" t="str">
        <f t="shared" si="1"/>
        <v>V</v>
      </c>
    </row>
    <row r="159" ht="15.75" customHeight="1">
      <c r="A159" s="370">
        <v>46106.0</v>
      </c>
      <c r="B159" s="371" t="s">
        <v>1490</v>
      </c>
      <c r="C159" s="371" t="s">
        <v>1493</v>
      </c>
      <c r="D159" s="371" t="s">
        <v>1499</v>
      </c>
      <c r="E159" s="373">
        <v>0.01</v>
      </c>
      <c r="G159" s="371">
        <v>2.0</v>
      </c>
      <c r="H159" s="371">
        <v>0.0</v>
      </c>
      <c r="I159" s="371"/>
      <c r="K159" s="374"/>
      <c r="L159" s="269" t="str">
        <f t="shared" si="1"/>
        <v>V</v>
      </c>
    </row>
    <row r="160" ht="15.75" customHeight="1">
      <c r="A160" s="370">
        <v>46106.0</v>
      </c>
      <c r="B160" s="371" t="s">
        <v>1490</v>
      </c>
      <c r="C160" s="371" t="s">
        <v>1493</v>
      </c>
      <c r="D160" s="371" t="s">
        <v>1501</v>
      </c>
      <c r="E160" s="373">
        <v>0.79</v>
      </c>
      <c r="G160" s="371">
        <v>116.0</v>
      </c>
      <c r="H160" s="371">
        <v>1.0</v>
      </c>
      <c r="I160" s="371"/>
      <c r="K160" s="374"/>
      <c r="L160" s="269" t="str">
        <f t="shared" si="1"/>
        <v>V</v>
      </c>
    </row>
    <row r="161" ht="15.75" customHeight="1">
      <c r="A161" s="370">
        <v>46106.0</v>
      </c>
      <c r="B161" s="371" t="s">
        <v>1495</v>
      </c>
      <c r="C161" s="371" t="s">
        <v>1496</v>
      </c>
      <c r="D161" s="371" t="s">
        <v>1497</v>
      </c>
      <c r="E161" s="373">
        <v>9.88</v>
      </c>
      <c r="G161" s="371">
        <v>2566.0</v>
      </c>
      <c r="H161" s="371">
        <v>79.0</v>
      </c>
      <c r="I161" s="371"/>
      <c r="K161" s="374"/>
      <c r="L161" s="269" t="str">
        <f t="shared" si="1"/>
        <v>AD</v>
      </c>
    </row>
    <row r="162" ht="15.75" customHeight="1">
      <c r="A162" s="370">
        <v>46105.0</v>
      </c>
      <c r="B162" s="371" t="s">
        <v>1490</v>
      </c>
      <c r="C162" s="371" t="s">
        <v>1491</v>
      </c>
      <c r="D162" s="371" t="s">
        <v>1492</v>
      </c>
      <c r="E162" s="373">
        <v>30.2</v>
      </c>
      <c r="G162" s="371">
        <v>294.0</v>
      </c>
      <c r="H162" s="371">
        <v>10.0</v>
      </c>
      <c r="I162" s="371"/>
      <c r="K162" s="374">
        <v>2.0</v>
      </c>
      <c r="L162" s="269" t="str">
        <f t="shared" si="1"/>
        <v/>
      </c>
    </row>
    <row r="163" ht="15.75" customHeight="1">
      <c r="A163" s="370">
        <v>46105.0</v>
      </c>
      <c r="B163" s="371" t="s">
        <v>1490</v>
      </c>
      <c r="C163" s="371" t="s">
        <v>1493</v>
      </c>
      <c r="D163" s="371" t="s">
        <v>1494</v>
      </c>
      <c r="E163" s="373">
        <v>21.39</v>
      </c>
      <c r="G163" s="371">
        <v>2166.0</v>
      </c>
      <c r="H163" s="371">
        <v>79.0</v>
      </c>
      <c r="I163" s="371">
        <v>2.0</v>
      </c>
      <c r="K163" s="374">
        <v>6.0</v>
      </c>
      <c r="L163" s="269" t="str">
        <f t="shared" si="1"/>
        <v>V</v>
      </c>
    </row>
    <row r="164" ht="15.75" customHeight="1">
      <c r="A164" s="370">
        <v>46105.0</v>
      </c>
      <c r="B164" s="371" t="s">
        <v>1490</v>
      </c>
      <c r="C164" s="371" t="s">
        <v>1493</v>
      </c>
      <c r="D164" s="371" t="s">
        <v>1498</v>
      </c>
      <c r="E164" s="373">
        <v>1.35</v>
      </c>
      <c r="G164" s="371">
        <v>97.0</v>
      </c>
      <c r="H164" s="371">
        <v>3.0</v>
      </c>
      <c r="I164" s="371"/>
      <c r="K164" s="374"/>
      <c r="L164" s="269" t="str">
        <f t="shared" si="1"/>
        <v>V</v>
      </c>
    </row>
    <row r="165" ht="15.75" customHeight="1">
      <c r="A165" s="370">
        <v>46105.0</v>
      </c>
      <c r="B165" s="371" t="s">
        <v>1490</v>
      </c>
      <c r="C165" s="371" t="s">
        <v>1493</v>
      </c>
      <c r="D165" s="371" t="s">
        <v>1499</v>
      </c>
      <c r="E165" s="373">
        <v>0.16</v>
      </c>
      <c r="G165" s="371">
        <v>14.0</v>
      </c>
      <c r="H165" s="371">
        <v>2.0</v>
      </c>
      <c r="I165" s="371"/>
      <c r="K165" s="374"/>
      <c r="L165" s="269" t="str">
        <f t="shared" si="1"/>
        <v>V</v>
      </c>
    </row>
    <row r="166" ht="15.75" customHeight="1">
      <c r="A166" s="370">
        <v>46105.0</v>
      </c>
      <c r="B166" s="371" t="s">
        <v>1490</v>
      </c>
      <c r="C166" s="371" t="s">
        <v>1493</v>
      </c>
      <c r="D166" s="371" t="s">
        <v>1500</v>
      </c>
      <c r="E166" s="373">
        <v>1.4</v>
      </c>
      <c r="G166" s="371">
        <v>169.0</v>
      </c>
      <c r="H166" s="371">
        <v>1.0</v>
      </c>
      <c r="I166" s="371"/>
      <c r="K166" s="374"/>
      <c r="L166" s="269" t="str">
        <f t="shared" si="1"/>
        <v>V</v>
      </c>
    </row>
    <row r="167" ht="15.75" customHeight="1">
      <c r="A167" s="370">
        <v>46105.0</v>
      </c>
      <c r="B167" s="371" t="s">
        <v>1490</v>
      </c>
      <c r="C167" s="371" t="s">
        <v>1493</v>
      </c>
      <c r="D167" s="371" t="s">
        <v>1501</v>
      </c>
      <c r="E167" s="373">
        <v>0.1</v>
      </c>
      <c r="G167" s="371">
        <v>6.0</v>
      </c>
      <c r="H167" s="371">
        <v>0.0</v>
      </c>
      <c r="I167" s="371"/>
      <c r="K167" s="374"/>
      <c r="L167" s="269" t="str">
        <f t="shared" si="1"/>
        <v>V</v>
      </c>
    </row>
    <row r="168" ht="15.75" customHeight="1">
      <c r="A168" s="370">
        <v>46105.0</v>
      </c>
      <c r="B168" s="371" t="s">
        <v>1495</v>
      </c>
      <c r="C168" s="371" t="s">
        <v>1496</v>
      </c>
      <c r="D168" s="371" t="s">
        <v>1497</v>
      </c>
      <c r="E168" s="373">
        <v>9.86</v>
      </c>
      <c r="G168" s="371">
        <v>2340.0</v>
      </c>
      <c r="H168" s="371">
        <v>70.0</v>
      </c>
      <c r="I168" s="371"/>
      <c r="K168" s="374"/>
      <c r="L168" s="269" t="str">
        <f t="shared" si="1"/>
        <v>AD</v>
      </c>
    </row>
    <row r="169" ht="15.75" customHeight="1">
      <c r="A169" s="370">
        <v>46104.0</v>
      </c>
      <c r="B169" s="371" t="s">
        <v>1490</v>
      </c>
      <c r="C169" s="371" t="s">
        <v>1491</v>
      </c>
      <c r="D169" s="371" t="s">
        <v>1492</v>
      </c>
      <c r="E169" s="373">
        <v>26.92</v>
      </c>
      <c r="G169" s="371">
        <v>298.0</v>
      </c>
      <c r="H169" s="371">
        <v>8.0</v>
      </c>
      <c r="I169" s="371"/>
      <c r="K169" s="374"/>
      <c r="L169" s="269" t="str">
        <f t="shared" si="1"/>
        <v/>
      </c>
    </row>
    <row r="170" ht="15.75" customHeight="1">
      <c r="A170" s="370">
        <v>46104.0</v>
      </c>
      <c r="B170" s="371" t="s">
        <v>1490</v>
      </c>
      <c r="C170" s="371" t="s">
        <v>1491</v>
      </c>
      <c r="D170" s="371" t="s">
        <v>1502</v>
      </c>
      <c r="E170" s="373">
        <v>0.21</v>
      </c>
      <c r="G170" s="371">
        <v>2.0</v>
      </c>
      <c r="H170" s="371">
        <v>0.0</v>
      </c>
      <c r="I170" s="371"/>
      <c r="K170" s="374"/>
      <c r="L170" s="269" t="str">
        <f t="shared" si="1"/>
        <v/>
      </c>
    </row>
    <row r="171" ht="15.75" customHeight="1">
      <c r="A171" s="370">
        <v>46104.0</v>
      </c>
      <c r="B171" s="371" t="s">
        <v>1490</v>
      </c>
      <c r="C171" s="371" t="s">
        <v>1493</v>
      </c>
      <c r="D171" s="371" t="s">
        <v>1494</v>
      </c>
      <c r="E171" s="373">
        <v>16.82</v>
      </c>
      <c r="G171" s="371">
        <v>2479.0</v>
      </c>
      <c r="H171" s="371">
        <v>87.0</v>
      </c>
      <c r="I171" s="371"/>
      <c r="K171" s="374">
        <v>8.0</v>
      </c>
      <c r="L171" s="269" t="str">
        <f t="shared" si="1"/>
        <v>V</v>
      </c>
    </row>
    <row r="172" ht="15.75" customHeight="1">
      <c r="A172" s="370">
        <v>46104.0</v>
      </c>
      <c r="B172" s="371" t="s">
        <v>1490</v>
      </c>
      <c r="C172" s="371" t="s">
        <v>1503</v>
      </c>
      <c r="D172" s="371" t="s">
        <v>1498</v>
      </c>
      <c r="E172" s="373">
        <v>0.22</v>
      </c>
      <c r="G172" s="371">
        <v>10.0</v>
      </c>
      <c r="H172" s="371">
        <v>1.0</v>
      </c>
      <c r="I172" s="371"/>
      <c r="K172" s="374"/>
      <c r="L172" s="269" t="str">
        <f t="shared" si="1"/>
        <v>V</v>
      </c>
    </row>
    <row r="173" ht="15.75" customHeight="1">
      <c r="A173" s="370">
        <v>46104.0</v>
      </c>
      <c r="B173" s="371" t="s">
        <v>1490</v>
      </c>
      <c r="C173" s="371" t="s">
        <v>1504</v>
      </c>
      <c r="D173" s="371" t="s">
        <v>1498</v>
      </c>
      <c r="E173" s="373">
        <v>0.12</v>
      </c>
      <c r="G173" s="371">
        <v>7.0</v>
      </c>
      <c r="H173" s="371">
        <v>0.0</v>
      </c>
      <c r="I173" s="371"/>
      <c r="K173" s="374"/>
      <c r="L173" s="269" t="str">
        <f t="shared" si="1"/>
        <v>V</v>
      </c>
    </row>
    <row r="174" ht="15.75" customHeight="1">
      <c r="A174" s="370">
        <v>46104.0</v>
      </c>
      <c r="B174" s="371" t="s">
        <v>1490</v>
      </c>
      <c r="C174" s="371" t="s">
        <v>1503</v>
      </c>
      <c r="D174" s="371" t="s">
        <v>1505</v>
      </c>
      <c r="E174" s="373">
        <v>0.2</v>
      </c>
      <c r="G174" s="371">
        <v>7.0</v>
      </c>
      <c r="H174" s="371">
        <v>0.0</v>
      </c>
      <c r="I174" s="371"/>
      <c r="K174" s="374"/>
      <c r="L174" s="269" t="str">
        <f t="shared" si="1"/>
        <v>V-video</v>
      </c>
    </row>
    <row r="175" ht="15.75" customHeight="1">
      <c r="A175" s="370">
        <v>46104.0</v>
      </c>
      <c r="B175" s="371" t="s">
        <v>1490</v>
      </c>
      <c r="C175" s="371" t="s">
        <v>1504</v>
      </c>
      <c r="D175" s="371" t="s">
        <v>1506</v>
      </c>
      <c r="E175" s="373">
        <v>0.01</v>
      </c>
      <c r="G175" s="371">
        <v>1.0</v>
      </c>
      <c r="H175" s="371">
        <v>0.0</v>
      </c>
      <c r="I175" s="371"/>
      <c r="K175" s="374"/>
      <c r="L175" s="269" t="str">
        <f t="shared" si="1"/>
        <v>V</v>
      </c>
    </row>
    <row r="176" ht="15.75" customHeight="1">
      <c r="A176" s="370">
        <v>46104.0</v>
      </c>
      <c r="B176" s="371" t="s">
        <v>1490</v>
      </c>
      <c r="C176" s="371" t="s">
        <v>1503</v>
      </c>
      <c r="D176" s="371" t="s">
        <v>1507</v>
      </c>
      <c r="E176" s="373">
        <v>3.71</v>
      </c>
      <c r="G176" s="371">
        <v>270.0</v>
      </c>
      <c r="H176" s="371">
        <v>6.0</v>
      </c>
      <c r="I176" s="371"/>
      <c r="K176" s="374"/>
      <c r="L176" s="269" t="str">
        <f t="shared" si="1"/>
        <v>V</v>
      </c>
    </row>
    <row r="177" ht="15.75" customHeight="1">
      <c r="A177" s="370">
        <v>46104.0</v>
      </c>
      <c r="B177" s="371" t="s">
        <v>1490</v>
      </c>
      <c r="C177" s="371" t="s">
        <v>1504</v>
      </c>
      <c r="D177" s="371" t="s">
        <v>1507</v>
      </c>
      <c r="E177" s="373">
        <v>0.15</v>
      </c>
      <c r="G177" s="371">
        <v>13.0</v>
      </c>
      <c r="H177" s="371">
        <v>2.0</v>
      </c>
      <c r="I177" s="371"/>
      <c r="K177" s="374"/>
      <c r="L177" s="269" t="str">
        <f t="shared" si="1"/>
        <v>V</v>
      </c>
    </row>
    <row r="178" ht="15.75" customHeight="1">
      <c r="A178" s="370">
        <v>46104.0</v>
      </c>
      <c r="B178" s="371" t="s">
        <v>1490</v>
      </c>
      <c r="C178" s="371" t="s">
        <v>1493</v>
      </c>
      <c r="D178" s="371" t="s">
        <v>1500</v>
      </c>
      <c r="E178" s="373">
        <v>0.51</v>
      </c>
      <c r="G178" s="371">
        <v>92.0</v>
      </c>
      <c r="H178" s="371">
        <v>1.0</v>
      </c>
      <c r="I178" s="371"/>
      <c r="K178" s="374"/>
      <c r="L178" s="269" t="str">
        <f t="shared" si="1"/>
        <v>V</v>
      </c>
    </row>
    <row r="179" ht="15.75" customHeight="1">
      <c r="A179" s="370">
        <v>46104.0</v>
      </c>
      <c r="B179" s="371" t="s">
        <v>1490</v>
      </c>
      <c r="C179" s="371" t="s">
        <v>1504</v>
      </c>
      <c r="D179" s="371" t="s">
        <v>1494</v>
      </c>
      <c r="E179" s="373">
        <v>9.16</v>
      </c>
      <c r="G179" s="371">
        <v>748.0</v>
      </c>
      <c r="H179" s="371">
        <v>28.0</v>
      </c>
      <c r="I179" s="371"/>
      <c r="K179" s="374">
        <v>3.0</v>
      </c>
      <c r="L179" s="269" t="str">
        <f t="shared" si="1"/>
        <v>V</v>
      </c>
    </row>
    <row r="180" ht="15.75" customHeight="1">
      <c r="A180" s="370">
        <v>46104.0</v>
      </c>
      <c r="B180" s="371" t="s">
        <v>1490</v>
      </c>
      <c r="C180" s="371" t="s">
        <v>1503</v>
      </c>
      <c r="D180" s="371" t="s">
        <v>1494</v>
      </c>
      <c r="E180" s="373">
        <v>3.42</v>
      </c>
      <c r="G180" s="371">
        <v>287.0</v>
      </c>
      <c r="H180" s="371">
        <v>9.0</v>
      </c>
      <c r="I180" s="371"/>
      <c r="K180" s="374"/>
      <c r="L180" s="269" t="str">
        <f t="shared" si="1"/>
        <v>V</v>
      </c>
    </row>
    <row r="181" ht="15.75" customHeight="1">
      <c r="A181" s="370">
        <v>46104.0</v>
      </c>
      <c r="B181" s="371" t="s">
        <v>1495</v>
      </c>
      <c r="C181" s="371" t="s">
        <v>1496</v>
      </c>
      <c r="D181" s="371" t="s">
        <v>1497</v>
      </c>
      <c r="E181" s="373">
        <v>10.3</v>
      </c>
      <c r="G181" s="371">
        <v>2314.0</v>
      </c>
      <c r="H181" s="371">
        <v>56.0</v>
      </c>
      <c r="I181" s="371"/>
      <c r="K181" s="374"/>
      <c r="L181" s="269" t="str">
        <f t="shared" si="1"/>
        <v>AD</v>
      </c>
    </row>
    <row r="182" ht="15.75" customHeight="1">
      <c r="A182" s="370">
        <v>46103.0</v>
      </c>
      <c r="B182" s="371" t="s">
        <v>1490</v>
      </c>
      <c r="C182" s="371" t="s">
        <v>1491</v>
      </c>
      <c r="D182" s="371" t="s">
        <v>1492</v>
      </c>
      <c r="E182" s="373">
        <v>20.35</v>
      </c>
      <c r="G182" s="371">
        <v>282.0</v>
      </c>
      <c r="H182" s="371">
        <v>6.0</v>
      </c>
      <c r="I182" s="371"/>
      <c r="K182" s="374"/>
      <c r="L182" s="269" t="str">
        <f t="shared" si="1"/>
        <v/>
      </c>
    </row>
    <row r="183" ht="15.75" customHeight="1">
      <c r="A183" s="370">
        <v>46103.0</v>
      </c>
      <c r="B183" s="371" t="s">
        <v>1490</v>
      </c>
      <c r="C183" s="371" t="s">
        <v>1493</v>
      </c>
      <c r="D183" s="371" t="s">
        <v>1494</v>
      </c>
      <c r="E183" s="373">
        <v>7.44</v>
      </c>
      <c r="G183" s="371">
        <v>805.0</v>
      </c>
      <c r="H183" s="371">
        <v>26.0</v>
      </c>
      <c r="I183" s="371"/>
      <c r="K183" s="374">
        <v>2.0</v>
      </c>
      <c r="L183" s="269" t="str">
        <f t="shared" si="1"/>
        <v>V</v>
      </c>
    </row>
    <row r="184" ht="15.75" customHeight="1">
      <c r="A184" s="370">
        <v>46103.0</v>
      </c>
      <c r="B184" s="371" t="s">
        <v>1490</v>
      </c>
      <c r="C184" s="371" t="s">
        <v>1503</v>
      </c>
      <c r="D184" s="371" t="s">
        <v>1498</v>
      </c>
      <c r="E184" s="373">
        <v>0.0</v>
      </c>
      <c r="G184" s="371">
        <v>1.0</v>
      </c>
      <c r="H184" s="371">
        <v>0.0</v>
      </c>
      <c r="I184" s="371"/>
      <c r="K184" s="374"/>
      <c r="L184" s="269" t="str">
        <f t="shared" si="1"/>
        <v>V</v>
      </c>
    </row>
    <row r="185" ht="15.75" customHeight="1">
      <c r="A185" s="370">
        <v>46103.0</v>
      </c>
      <c r="B185" s="371" t="s">
        <v>1490</v>
      </c>
      <c r="C185" s="371" t="s">
        <v>1493</v>
      </c>
      <c r="D185" s="371" t="s">
        <v>1498</v>
      </c>
      <c r="E185" s="373">
        <v>0.55</v>
      </c>
      <c r="G185" s="371">
        <v>108.0</v>
      </c>
      <c r="H185" s="371">
        <v>2.0</v>
      </c>
      <c r="I185" s="371"/>
      <c r="K185" s="374"/>
      <c r="L185" s="269" t="str">
        <f t="shared" si="1"/>
        <v>V</v>
      </c>
    </row>
    <row r="186" ht="15.75" customHeight="1">
      <c r="A186" s="370">
        <v>46103.0</v>
      </c>
      <c r="B186" s="371" t="s">
        <v>1490</v>
      </c>
      <c r="C186" s="371" t="s">
        <v>1493</v>
      </c>
      <c r="D186" s="371" t="s">
        <v>1499</v>
      </c>
      <c r="E186" s="373">
        <v>0.05</v>
      </c>
      <c r="G186" s="371">
        <v>7.0</v>
      </c>
      <c r="H186" s="371">
        <v>0.0</v>
      </c>
      <c r="I186" s="371"/>
      <c r="K186" s="374"/>
      <c r="L186" s="269" t="str">
        <f t="shared" si="1"/>
        <v>V</v>
      </c>
    </row>
    <row r="187" ht="15.75" customHeight="1">
      <c r="A187" s="370">
        <v>46103.0</v>
      </c>
      <c r="B187" s="371" t="s">
        <v>1490</v>
      </c>
      <c r="C187" s="371" t="s">
        <v>1504</v>
      </c>
      <c r="D187" s="371" t="s">
        <v>1508</v>
      </c>
      <c r="E187" s="373">
        <v>1.73</v>
      </c>
      <c r="G187" s="371">
        <v>87.0</v>
      </c>
      <c r="H187" s="371">
        <v>3.0</v>
      </c>
      <c r="I187" s="371"/>
      <c r="K187" s="374"/>
      <c r="L187" s="269" t="str">
        <f t="shared" si="1"/>
        <v>V</v>
      </c>
    </row>
    <row r="188" ht="15.75" customHeight="1">
      <c r="A188" s="370">
        <v>46103.0</v>
      </c>
      <c r="B188" s="371" t="s">
        <v>1490</v>
      </c>
      <c r="C188" s="371" t="s">
        <v>1504</v>
      </c>
      <c r="D188" s="371" t="s">
        <v>1507</v>
      </c>
      <c r="E188" s="373">
        <v>1.11</v>
      </c>
      <c r="G188" s="371">
        <v>84.0</v>
      </c>
      <c r="H188" s="371">
        <v>1.0</v>
      </c>
      <c r="I188" s="371"/>
      <c r="K188" s="374"/>
      <c r="L188" s="269" t="str">
        <f t="shared" si="1"/>
        <v>V</v>
      </c>
    </row>
    <row r="189" ht="15.75" customHeight="1">
      <c r="A189" s="370">
        <v>46103.0</v>
      </c>
      <c r="B189" s="371" t="s">
        <v>1490</v>
      </c>
      <c r="C189" s="371" t="s">
        <v>1493</v>
      </c>
      <c r="D189" s="371" t="s">
        <v>1500</v>
      </c>
      <c r="E189" s="373">
        <v>0.1</v>
      </c>
      <c r="G189" s="371">
        <v>30.0</v>
      </c>
      <c r="H189" s="371">
        <v>0.0</v>
      </c>
      <c r="I189" s="371"/>
      <c r="K189" s="374"/>
      <c r="L189" s="269" t="str">
        <f t="shared" si="1"/>
        <v>V</v>
      </c>
    </row>
    <row r="190" ht="15.75" customHeight="1">
      <c r="A190" s="370">
        <v>46103.0</v>
      </c>
      <c r="B190" s="371" t="s">
        <v>1490</v>
      </c>
      <c r="C190" s="371" t="s">
        <v>1493</v>
      </c>
      <c r="D190" s="371" t="s">
        <v>1501</v>
      </c>
      <c r="E190" s="373">
        <v>0.63</v>
      </c>
      <c r="G190" s="371">
        <v>82.0</v>
      </c>
      <c r="H190" s="371">
        <v>0.0</v>
      </c>
      <c r="I190" s="371"/>
      <c r="K190" s="374"/>
      <c r="L190" s="269" t="str">
        <f t="shared" si="1"/>
        <v>V</v>
      </c>
    </row>
    <row r="191" ht="15.75" customHeight="1">
      <c r="A191" s="370">
        <v>46103.0</v>
      </c>
      <c r="B191" s="371" t="s">
        <v>1490</v>
      </c>
      <c r="C191" s="371" t="s">
        <v>1504</v>
      </c>
      <c r="D191" s="371" t="s">
        <v>1494</v>
      </c>
      <c r="E191" s="373">
        <v>9.95</v>
      </c>
      <c r="G191" s="371">
        <v>977.0</v>
      </c>
      <c r="H191" s="371">
        <v>42.0</v>
      </c>
      <c r="I191" s="371"/>
      <c r="K191" s="374">
        <v>3.0</v>
      </c>
      <c r="L191" s="269" t="str">
        <f t="shared" si="1"/>
        <v>V</v>
      </c>
    </row>
    <row r="192" ht="15.75" customHeight="1">
      <c r="A192" s="370">
        <v>46103.0</v>
      </c>
      <c r="B192" s="371" t="s">
        <v>1490</v>
      </c>
      <c r="C192" s="371" t="s">
        <v>1503</v>
      </c>
      <c r="D192" s="371" t="s">
        <v>1494</v>
      </c>
      <c r="E192" s="373">
        <v>11.71</v>
      </c>
      <c r="G192" s="371">
        <v>974.0</v>
      </c>
      <c r="H192" s="371">
        <v>35.0</v>
      </c>
      <c r="I192" s="371"/>
      <c r="K192" s="374">
        <v>1.0</v>
      </c>
      <c r="L192" s="269" t="str">
        <f t="shared" si="1"/>
        <v>V</v>
      </c>
    </row>
    <row r="193" ht="15.75" customHeight="1">
      <c r="A193" s="370">
        <v>46103.0</v>
      </c>
      <c r="B193" s="371" t="s">
        <v>1495</v>
      </c>
      <c r="C193" s="371" t="s">
        <v>1496</v>
      </c>
      <c r="D193" s="371" t="s">
        <v>1497</v>
      </c>
      <c r="E193" s="373">
        <v>10.94</v>
      </c>
      <c r="G193" s="371">
        <v>2641.0</v>
      </c>
      <c r="H193" s="371">
        <v>69.0</v>
      </c>
      <c r="I193" s="371"/>
      <c r="K193" s="374"/>
      <c r="L193" s="269" t="str">
        <f t="shared" si="1"/>
        <v>AD</v>
      </c>
    </row>
    <row r="194" ht="15.75" customHeight="1">
      <c r="A194" s="370">
        <v>46102.0</v>
      </c>
      <c r="B194" s="371" t="s">
        <v>1490</v>
      </c>
      <c r="C194" s="371" t="s">
        <v>1491</v>
      </c>
      <c r="D194" s="371" t="s">
        <v>1492</v>
      </c>
      <c r="E194" s="373">
        <v>18.34</v>
      </c>
      <c r="G194" s="371">
        <v>231.0</v>
      </c>
      <c r="H194" s="371">
        <v>9.0</v>
      </c>
      <c r="I194" s="371"/>
      <c r="K194" s="374">
        <v>1.0</v>
      </c>
      <c r="L194" s="269" t="str">
        <f t="shared" si="1"/>
        <v/>
      </c>
    </row>
    <row r="195" ht="15.75" customHeight="1">
      <c r="A195" s="370">
        <v>46102.0</v>
      </c>
      <c r="B195" s="371" t="s">
        <v>1490</v>
      </c>
      <c r="C195" s="371" t="s">
        <v>1491</v>
      </c>
      <c r="D195" s="371" t="s">
        <v>1502</v>
      </c>
      <c r="E195" s="373">
        <v>1.23</v>
      </c>
      <c r="G195" s="371">
        <v>10.0</v>
      </c>
      <c r="H195" s="371">
        <v>0.0</v>
      </c>
      <c r="I195" s="371"/>
      <c r="K195" s="374"/>
      <c r="L195" s="269" t="str">
        <f t="shared" si="1"/>
        <v/>
      </c>
    </row>
    <row r="196" ht="15.75" customHeight="1">
      <c r="A196" s="370">
        <v>46102.0</v>
      </c>
      <c r="B196" s="371" t="s">
        <v>1490</v>
      </c>
      <c r="C196" s="371" t="s">
        <v>1493</v>
      </c>
      <c r="D196" s="371" t="s">
        <v>1494</v>
      </c>
      <c r="E196" s="373">
        <v>7.44</v>
      </c>
      <c r="G196" s="371">
        <v>710.0</v>
      </c>
      <c r="H196" s="371">
        <v>15.0</v>
      </c>
      <c r="I196" s="371"/>
      <c r="K196" s="374">
        <v>1.0</v>
      </c>
      <c r="L196" s="269" t="str">
        <f t="shared" si="1"/>
        <v>V</v>
      </c>
    </row>
    <row r="197" ht="15.75" customHeight="1">
      <c r="A197" s="370">
        <v>46102.0</v>
      </c>
      <c r="B197" s="371" t="s">
        <v>1490</v>
      </c>
      <c r="C197" s="371" t="s">
        <v>1503</v>
      </c>
      <c r="D197" s="371" t="s">
        <v>1498</v>
      </c>
      <c r="E197" s="373">
        <v>0.15</v>
      </c>
      <c r="G197" s="371">
        <v>19.0</v>
      </c>
      <c r="H197" s="371">
        <v>0.0</v>
      </c>
      <c r="I197" s="371"/>
      <c r="K197" s="374"/>
      <c r="L197" s="269" t="str">
        <f t="shared" si="1"/>
        <v>V</v>
      </c>
    </row>
    <row r="198" ht="15.75" customHeight="1">
      <c r="A198" s="370">
        <v>46102.0</v>
      </c>
      <c r="B198" s="371" t="s">
        <v>1490</v>
      </c>
      <c r="C198" s="371" t="s">
        <v>1504</v>
      </c>
      <c r="D198" s="371" t="s">
        <v>1498</v>
      </c>
      <c r="E198" s="373">
        <v>1.01</v>
      </c>
      <c r="G198" s="371">
        <v>44.0</v>
      </c>
      <c r="H198" s="371">
        <v>2.0</v>
      </c>
      <c r="I198" s="371"/>
      <c r="K198" s="374"/>
      <c r="L198" s="269" t="str">
        <f t="shared" si="1"/>
        <v>V</v>
      </c>
    </row>
    <row r="199" ht="15.75" customHeight="1">
      <c r="A199" s="370">
        <v>46102.0</v>
      </c>
      <c r="B199" s="371" t="s">
        <v>1490</v>
      </c>
      <c r="C199" s="371" t="s">
        <v>1493</v>
      </c>
      <c r="D199" s="371" t="s">
        <v>1498</v>
      </c>
      <c r="E199" s="373">
        <v>0.02</v>
      </c>
      <c r="G199" s="371">
        <v>3.0</v>
      </c>
      <c r="H199" s="371">
        <v>0.0</v>
      </c>
      <c r="I199" s="371"/>
      <c r="K199" s="374"/>
      <c r="L199" s="269" t="str">
        <f t="shared" si="1"/>
        <v>V</v>
      </c>
    </row>
    <row r="200" ht="15.75" customHeight="1">
      <c r="A200" s="370">
        <v>46102.0</v>
      </c>
      <c r="B200" s="371" t="s">
        <v>1490</v>
      </c>
      <c r="C200" s="371" t="s">
        <v>1503</v>
      </c>
      <c r="D200" s="371" t="s">
        <v>1505</v>
      </c>
      <c r="E200" s="373">
        <v>0.05</v>
      </c>
      <c r="G200" s="371">
        <v>6.0</v>
      </c>
      <c r="H200" s="371">
        <v>0.0</v>
      </c>
      <c r="I200" s="371"/>
      <c r="K200" s="374"/>
      <c r="L200" s="269" t="str">
        <f t="shared" si="1"/>
        <v>V-video</v>
      </c>
    </row>
    <row r="201" ht="15.75" customHeight="1">
      <c r="A201" s="370">
        <v>46102.0</v>
      </c>
      <c r="B201" s="371" t="s">
        <v>1490</v>
      </c>
      <c r="C201" s="371" t="s">
        <v>1504</v>
      </c>
      <c r="D201" s="371" t="s">
        <v>1506</v>
      </c>
      <c r="E201" s="373">
        <v>0.28</v>
      </c>
      <c r="G201" s="371">
        <v>12.0</v>
      </c>
      <c r="H201" s="371">
        <v>0.0</v>
      </c>
      <c r="I201" s="371"/>
      <c r="K201" s="374"/>
      <c r="L201" s="269" t="str">
        <f t="shared" si="1"/>
        <v>V</v>
      </c>
    </row>
    <row r="202" ht="15.75" customHeight="1">
      <c r="A202" s="370">
        <v>46102.0</v>
      </c>
      <c r="B202" s="371" t="s">
        <v>1490</v>
      </c>
      <c r="C202" s="371" t="s">
        <v>1503</v>
      </c>
      <c r="D202" s="371" t="s">
        <v>1508</v>
      </c>
      <c r="E202" s="373">
        <v>0.07</v>
      </c>
      <c r="G202" s="371">
        <v>9.0</v>
      </c>
      <c r="H202" s="371">
        <v>1.0</v>
      </c>
      <c r="I202" s="371"/>
      <c r="K202" s="374"/>
      <c r="L202" s="269" t="str">
        <f t="shared" si="1"/>
        <v>V</v>
      </c>
    </row>
    <row r="203" ht="15.75" customHeight="1">
      <c r="A203" s="370">
        <v>46102.0</v>
      </c>
      <c r="B203" s="371" t="s">
        <v>1490</v>
      </c>
      <c r="C203" s="371" t="s">
        <v>1503</v>
      </c>
      <c r="D203" s="371" t="s">
        <v>1507</v>
      </c>
      <c r="E203" s="373">
        <v>1.99</v>
      </c>
      <c r="G203" s="371">
        <v>223.0</v>
      </c>
      <c r="H203" s="371">
        <v>4.0</v>
      </c>
      <c r="I203" s="371"/>
      <c r="K203" s="374"/>
      <c r="L203" s="269" t="str">
        <f t="shared" si="1"/>
        <v>V</v>
      </c>
    </row>
    <row r="204" ht="15.75" customHeight="1">
      <c r="A204" s="370">
        <v>46102.0</v>
      </c>
      <c r="B204" s="371" t="s">
        <v>1490</v>
      </c>
      <c r="C204" s="371" t="s">
        <v>1493</v>
      </c>
      <c r="D204" s="371" t="s">
        <v>1500</v>
      </c>
      <c r="E204" s="373">
        <v>1.36</v>
      </c>
      <c r="G204" s="371">
        <v>128.0</v>
      </c>
      <c r="H204" s="371">
        <v>0.0</v>
      </c>
      <c r="I204" s="371"/>
      <c r="K204" s="374"/>
      <c r="L204" s="269" t="str">
        <f t="shared" si="1"/>
        <v>V</v>
      </c>
    </row>
    <row r="205" ht="15.75" customHeight="1">
      <c r="A205" s="370">
        <v>46102.0</v>
      </c>
      <c r="B205" s="371" t="s">
        <v>1490</v>
      </c>
      <c r="C205" s="371" t="s">
        <v>1504</v>
      </c>
      <c r="D205" s="371" t="s">
        <v>1494</v>
      </c>
      <c r="E205" s="373">
        <v>9.66</v>
      </c>
      <c r="G205" s="371">
        <v>749.0</v>
      </c>
      <c r="H205" s="371">
        <v>26.0</v>
      </c>
      <c r="I205" s="371"/>
      <c r="K205" s="374">
        <v>4.0</v>
      </c>
      <c r="L205" s="269" t="str">
        <f t="shared" si="1"/>
        <v>V</v>
      </c>
    </row>
    <row r="206" ht="15.75" customHeight="1">
      <c r="A206" s="370">
        <v>46102.0</v>
      </c>
      <c r="B206" s="371" t="s">
        <v>1490</v>
      </c>
      <c r="C206" s="371" t="s">
        <v>1503</v>
      </c>
      <c r="D206" s="371" t="s">
        <v>1494</v>
      </c>
      <c r="E206" s="373">
        <v>7.47</v>
      </c>
      <c r="G206" s="371">
        <v>619.0</v>
      </c>
      <c r="H206" s="371">
        <v>19.0</v>
      </c>
      <c r="I206" s="371"/>
      <c r="K206" s="374">
        <v>1.0</v>
      </c>
      <c r="L206" s="269" t="str">
        <f t="shared" si="1"/>
        <v>V</v>
      </c>
    </row>
    <row r="207" ht="15.75" customHeight="1">
      <c r="A207" s="370">
        <v>46102.0</v>
      </c>
      <c r="B207" s="371" t="s">
        <v>1495</v>
      </c>
      <c r="C207" s="371" t="s">
        <v>1496</v>
      </c>
      <c r="D207" s="371" t="s">
        <v>1497</v>
      </c>
      <c r="E207" s="373">
        <v>9.36</v>
      </c>
      <c r="G207" s="371">
        <v>2176.0</v>
      </c>
      <c r="H207" s="371">
        <v>65.0</v>
      </c>
      <c r="I207" s="371"/>
      <c r="K207" s="374"/>
      <c r="L207" s="269" t="str">
        <f t="shared" si="1"/>
        <v>AD</v>
      </c>
    </row>
    <row r="208" ht="15.75" customHeight="1">
      <c r="A208" s="370">
        <v>46101.0</v>
      </c>
      <c r="B208" s="371" t="s">
        <v>1490</v>
      </c>
      <c r="C208" s="371" t="s">
        <v>1491</v>
      </c>
      <c r="D208" s="371" t="s">
        <v>1492</v>
      </c>
      <c r="E208" s="373">
        <v>20.86</v>
      </c>
      <c r="G208" s="371">
        <v>240.0</v>
      </c>
      <c r="H208" s="371">
        <v>4.0</v>
      </c>
      <c r="I208" s="371"/>
      <c r="K208" s="374"/>
      <c r="L208" s="269" t="str">
        <f t="shared" si="1"/>
        <v/>
      </c>
    </row>
    <row r="209" ht="15.75" customHeight="1">
      <c r="A209" s="370">
        <v>46101.0</v>
      </c>
      <c r="B209" s="371" t="s">
        <v>1490</v>
      </c>
      <c r="C209" s="371" t="s">
        <v>1493</v>
      </c>
      <c r="D209" s="371" t="s">
        <v>1494</v>
      </c>
      <c r="E209" s="373">
        <v>7.87</v>
      </c>
      <c r="G209" s="371">
        <v>611.0</v>
      </c>
      <c r="H209" s="371">
        <v>8.0</v>
      </c>
      <c r="I209" s="371"/>
      <c r="K209" s="374"/>
      <c r="L209" s="269" t="str">
        <f t="shared" si="1"/>
        <v>V</v>
      </c>
    </row>
    <row r="210" ht="15.75" customHeight="1">
      <c r="A210" s="370">
        <v>46101.0</v>
      </c>
      <c r="B210" s="371" t="s">
        <v>1490</v>
      </c>
      <c r="C210" s="371" t="s">
        <v>1503</v>
      </c>
      <c r="D210" s="371" t="s">
        <v>1505</v>
      </c>
      <c r="E210" s="373">
        <v>0.05</v>
      </c>
      <c r="G210" s="371">
        <v>2.0</v>
      </c>
      <c r="H210" s="371">
        <v>0.0</v>
      </c>
      <c r="I210" s="371"/>
      <c r="K210" s="374"/>
      <c r="L210" s="269" t="str">
        <f t="shared" si="1"/>
        <v>V-video</v>
      </c>
    </row>
    <row r="211" ht="15.75" customHeight="1">
      <c r="A211" s="370">
        <v>46101.0</v>
      </c>
      <c r="B211" s="371" t="s">
        <v>1490</v>
      </c>
      <c r="C211" s="371" t="s">
        <v>1503</v>
      </c>
      <c r="D211" s="371" t="s">
        <v>1508</v>
      </c>
      <c r="E211" s="373">
        <v>0.06</v>
      </c>
      <c r="G211" s="371">
        <v>8.0</v>
      </c>
      <c r="H211" s="371">
        <v>0.0</v>
      </c>
      <c r="I211" s="371"/>
      <c r="K211" s="374"/>
      <c r="L211" s="269" t="str">
        <f t="shared" si="1"/>
        <v>V</v>
      </c>
    </row>
    <row r="212" ht="15.75" customHeight="1">
      <c r="A212" s="370">
        <v>46101.0</v>
      </c>
      <c r="B212" s="371" t="s">
        <v>1490</v>
      </c>
      <c r="C212" s="371" t="s">
        <v>1503</v>
      </c>
      <c r="D212" s="371" t="s">
        <v>1507</v>
      </c>
      <c r="E212" s="373">
        <v>0.13</v>
      </c>
      <c r="G212" s="371">
        <v>9.0</v>
      </c>
      <c r="H212" s="371">
        <v>1.0</v>
      </c>
      <c r="I212" s="371"/>
      <c r="K212" s="374"/>
      <c r="L212" s="269" t="str">
        <f t="shared" si="1"/>
        <v>V</v>
      </c>
    </row>
    <row r="213" ht="15.75" customHeight="1">
      <c r="A213" s="370">
        <v>46101.0</v>
      </c>
      <c r="B213" s="371" t="s">
        <v>1490</v>
      </c>
      <c r="C213" s="371" t="s">
        <v>1504</v>
      </c>
      <c r="D213" s="371" t="s">
        <v>1508</v>
      </c>
      <c r="E213" s="373">
        <v>1.44</v>
      </c>
      <c r="G213" s="371">
        <v>84.0</v>
      </c>
      <c r="H213" s="371">
        <v>5.0</v>
      </c>
      <c r="I213" s="371"/>
      <c r="K213" s="374">
        <v>2.0</v>
      </c>
      <c r="L213" s="269" t="str">
        <f t="shared" si="1"/>
        <v>V</v>
      </c>
    </row>
    <row r="214" ht="15.75" customHeight="1">
      <c r="A214" s="370">
        <v>46101.0</v>
      </c>
      <c r="B214" s="371" t="s">
        <v>1490</v>
      </c>
      <c r="C214" s="371" t="s">
        <v>1504</v>
      </c>
      <c r="D214" s="371" t="s">
        <v>1507</v>
      </c>
      <c r="E214" s="373">
        <v>1.21</v>
      </c>
      <c r="G214" s="371">
        <v>64.0</v>
      </c>
      <c r="H214" s="371">
        <v>1.0</v>
      </c>
      <c r="I214" s="371"/>
      <c r="K214" s="374"/>
      <c r="L214" s="269" t="str">
        <f t="shared" si="1"/>
        <v>V</v>
      </c>
    </row>
    <row r="215" ht="15.75" customHeight="1">
      <c r="A215" s="370">
        <v>46101.0</v>
      </c>
      <c r="B215" s="371" t="s">
        <v>1490</v>
      </c>
      <c r="C215" s="371" t="s">
        <v>1493</v>
      </c>
      <c r="D215" s="371" t="s">
        <v>1501</v>
      </c>
      <c r="E215" s="373">
        <v>2.21</v>
      </c>
      <c r="G215" s="371">
        <v>267.0</v>
      </c>
      <c r="H215" s="371">
        <v>4.0</v>
      </c>
      <c r="I215" s="371"/>
      <c r="K215" s="374"/>
      <c r="L215" s="269" t="str">
        <f t="shared" si="1"/>
        <v>V</v>
      </c>
    </row>
    <row r="216" ht="15.75" customHeight="1">
      <c r="A216" s="370">
        <v>46101.0</v>
      </c>
      <c r="B216" s="371" t="s">
        <v>1490</v>
      </c>
      <c r="C216" s="371" t="s">
        <v>1504</v>
      </c>
      <c r="D216" s="371" t="s">
        <v>1494</v>
      </c>
      <c r="E216" s="373">
        <v>9.23</v>
      </c>
      <c r="G216" s="371">
        <v>674.0</v>
      </c>
      <c r="H216" s="371">
        <v>38.0</v>
      </c>
      <c r="I216" s="371"/>
      <c r="K216" s="374">
        <v>3.0</v>
      </c>
      <c r="L216" s="269" t="str">
        <f t="shared" si="1"/>
        <v>V</v>
      </c>
    </row>
    <row r="217" ht="15.75" customHeight="1">
      <c r="A217" s="370">
        <v>46101.0</v>
      </c>
      <c r="B217" s="371" t="s">
        <v>1490</v>
      </c>
      <c r="C217" s="371" t="s">
        <v>1503</v>
      </c>
      <c r="D217" s="371" t="s">
        <v>1494</v>
      </c>
      <c r="E217" s="373">
        <v>10.16</v>
      </c>
      <c r="G217" s="371">
        <v>755.0</v>
      </c>
      <c r="H217" s="371">
        <v>20.0</v>
      </c>
      <c r="I217" s="371"/>
      <c r="K217" s="374">
        <v>1.0</v>
      </c>
      <c r="L217" s="269" t="str">
        <f t="shared" si="1"/>
        <v>V</v>
      </c>
    </row>
    <row r="218" ht="15.75" customHeight="1">
      <c r="A218" s="370">
        <v>46101.0</v>
      </c>
      <c r="B218" s="371" t="s">
        <v>1495</v>
      </c>
      <c r="C218" s="371" t="s">
        <v>1496</v>
      </c>
      <c r="D218" s="371" t="s">
        <v>1497</v>
      </c>
      <c r="E218" s="373">
        <v>9.53</v>
      </c>
      <c r="G218" s="371">
        <v>1917.0</v>
      </c>
      <c r="H218" s="371">
        <v>58.0</v>
      </c>
      <c r="I218" s="371"/>
      <c r="K218" s="374"/>
      <c r="L218" s="269" t="str">
        <f t="shared" si="1"/>
        <v>AD</v>
      </c>
    </row>
    <row r="219" ht="15.75" customHeight="1">
      <c r="A219" s="370">
        <v>46100.0</v>
      </c>
      <c r="B219" s="371" t="s">
        <v>1490</v>
      </c>
      <c r="C219" s="371" t="s">
        <v>1491</v>
      </c>
      <c r="D219" s="371" t="s">
        <v>1492</v>
      </c>
      <c r="E219" s="373">
        <v>20.18</v>
      </c>
      <c r="G219" s="371">
        <v>207.0</v>
      </c>
      <c r="H219" s="371">
        <v>6.0</v>
      </c>
      <c r="I219" s="371"/>
      <c r="K219" s="374"/>
      <c r="L219" s="269" t="str">
        <f t="shared" si="1"/>
        <v/>
      </c>
    </row>
    <row r="220" ht="15.75" customHeight="1">
      <c r="A220" s="370">
        <v>46100.0</v>
      </c>
      <c r="B220" s="371" t="s">
        <v>1490</v>
      </c>
      <c r="C220" s="371" t="s">
        <v>1491</v>
      </c>
      <c r="D220" s="371" t="s">
        <v>1502</v>
      </c>
      <c r="E220" s="373">
        <v>2.44</v>
      </c>
      <c r="G220" s="371">
        <v>25.0</v>
      </c>
      <c r="H220" s="371">
        <v>2.0</v>
      </c>
      <c r="I220" s="371"/>
      <c r="K220" s="374"/>
      <c r="L220" s="269" t="str">
        <f t="shared" si="1"/>
        <v/>
      </c>
    </row>
    <row r="221" ht="15.75" customHeight="1">
      <c r="A221" s="370">
        <v>46100.0</v>
      </c>
      <c r="B221" s="371" t="s">
        <v>1490</v>
      </c>
      <c r="C221" s="371" t="s">
        <v>1493</v>
      </c>
      <c r="D221" s="371" t="s">
        <v>1494</v>
      </c>
      <c r="E221" s="373">
        <v>8.35</v>
      </c>
      <c r="G221" s="371">
        <v>816.0</v>
      </c>
      <c r="H221" s="371">
        <v>25.0</v>
      </c>
      <c r="I221" s="371"/>
      <c r="K221" s="374">
        <v>1.0</v>
      </c>
      <c r="L221" s="269" t="str">
        <f t="shared" si="1"/>
        <v>V</v>
      </c>
    </row>
    <row r="222" ht="15.75" customHeight="1">
      <c r="A222" s="370">
        <v>46100.0</v>
      </c>
      <c r="B222" s="371" t="s">
        <v>1490</v>
      </c>
      <c r="C222" s="371" t="s">
        <v>1503</v>
      </c>
      <c r="D222" s="371" t="s">
        <v>1498</v>
      </c>
      <c r="E222" s="373">
        <v>0.56</v>
      </c>
      <c r="G222" s="371">
        <v>47.0</v>
      </c>
      <c r="H222" s="371">
        <v>0.0</v>
      </c>
      <c r="I222" s="371"/>
      <c r="K222" s="374"/>
      <c r="L222" s="269" t="str">
        <f t="shared" si="1"/>
        <v>V</v>
      </c>
    </row>
    <row r="223" ht="15.75" customHeight="1">
      <c r="A223" s="370">
        <v>46100.0</v>
      </c>
      <c r="B223" s="371" t="s">
        <v>1490</v>
      </c>
      <c r="C223" s="371" t="s">
        <v>1504</v>
      </c>
      <c r="D223" s="371" t="s">
        <v>1498</v>
      </c>
      <c r="E223" s="373">
        <v>0.03</v>
      </c>
      <c r="G223" s="371">
        <v>5.0</v>
      </c>
      <c r="H223" s="371">
        <v>0.0</v>
      </c>
      <c r="I223" s="371"/>
      <c r="K223" s="374"/>
      <c r="L223" s="269" t="str">
        <f t="shared" si="1"/>
        <v>V</v>
      </c>
    </row>
    <row r="224" ht="15.75" customHeight="1">
      <c r="A224" s="370">
        <v>46100.0</v>
      </c>
      <c r="B224" s="371" t="s">
        <v>1490</v>
      </c>
      <c r="C224" s="371" t="s">
        <v>1493</v>
      </c>
      <c r="D224" s="371" t="s">
        <v>1498</v>
      </c>
      <c r="E224" s="373">
        <v>0.02</v>
      </c>
      <c r="G224" s="371">
        <v>2.0</v>
      </c>
      <c r="H224" s="371">
        <v>0.0</v>
      </c>
      <c r="I224" s="371"/>
      <c r="K224" s="374"/>
      <c r="L224" s="269" t="str">
        <f t="shared" si="1"/>
        <v>V</v>
      </c>
    </row>
    <row r="225" ht="15.75" customHeight="1">
      <c r="A225" s="370">
        <v>46100.0</v>
      </c>
      <c r="B225" s="371" t="s">
        <v>1490</v>
      </c>
      <c r="C225" s="371" t="s">
        <v>1503</v>
      </c>
      <c r="D225" s="371" t="s">
        <v>1505</v>
      </c>
      <c r="E225" s="373">
        <v>0.01</v>
      </c>
      <c r="G225" s="371">
        <v>2.0</v>
      </c>
      <c r="H225" s="371">
        <v>0.0</v>
      </c>
      <c r="I225" s="371"/>
      <c r="K225" s="374"/>
      <c r="L225" s="269" t="str">
        <f t="shared" si="1"/>
        <v>V-video</v>
      </c>
    </row>
    <row r="226" ht="15.75" customHeight="1">
      <c r="A226" s="370">
        <v>46100.0</v>
      </c>
      <c r="B226" s="371" t="s">
        <v>1490</v>
      </c>
      <c r="C226" s="371" t="s">
        <v>1504</v>
      </c>
      <c r="D226" s="371" t="s">
        <v>1506</v>
      </c>
      <c r="E226" s="373">
        <v>0.08</v>
      </c>
      <c r="G226" s="371">
        <v>6.0</v>
      </c>
      <c r="H226" s="371">
        <v>0.0</v>
      </c>
      <c r="I226" s="371"/>
      <c r="K226" s="374"/>
      <c r="L226" s="269" t="str">
        <f t="shared" si="1"/>
        <v>V</v>
      </c>
    </row>
    <row r="227" ht="15.75" customHeight="1">
      <c r="A227" s="370">
        <v>46100.0</v>
      </c>
      <c r="B227" s="371" t="s">
        <v>1490</v>
      </c>
      <c r="C227" s="371" t="s">
        <v>1493</v>
      </c>
      <c r="D227" s="371" t="s">
        <v>1499</v>
      </c>
      <c r="E227" s="373">
        <v>0.06</v>
      </c>
      <c r="G227" s="371">
        <v>6.0</v>
      </c>
      <c r="H227" s="371">
        <v>0.0</v>
      </c>
      <c r="I227" s="371"/>
      <c r="K227" s="374"/>
      <c r="L227" s="269" t="str">
        <f t="shared" si="1"/>
        <v>V</v>
      </c>
    </row>
    <row r="228" ht="15.75" customHeight="1">
      <c r="A228" s="370">
        <v>46100.0</v>
      </c>
      <c r="B228" s="371" t="s">
        <v>1490</v>
      </c>
      <c r="C228" s="371" t="s">
        <v>1504</v>
      </c>
      <c r="D228" s="371" t="s">
        <v>1508</v>
      </c>
      <c r="E228" s="373">
        <v>0.98</v>
      </c>
      <c r="G228" s="371">
        <v>50.0</v>
      </c>
      <c r="H228" s="371">
        <v>1.0</v>
      </c>
      <c r="I228" s="371"/>
      <c r="K228" s="374"/>
      <c r="L228" s="269" t="str">
        <f t="shared" si="1"/>
        <v>V</v>
      </c>
    </row>
    <row r="229" ht="15.75" customHeight="1">
      <c r="A229" s="370">
        <v>46100.0</v>
      </c>
      <c r="B229" s="371" t="s">
        <v>1490</v>
      </c>
      <c r="C229" s="371" t="s">
        <v>1493</v>
      </c>
      <c r="D229" s="371" t="s">
        <v>1500</v>
      </c>
      <c r="E229" s="373">
        <v>1.37</v>
      </c>
      <c r="G229" s="371">
        <v>236.0</v>
      </c>
      <c r="H229" s="371">
        <v>5.0</v>
      </c>
      <c r="I229" s="371"/>
      <c r="K229" s="374"/>
      <c r="L229" s="269" t="str">
        <f t="shared" si="1"/>
        <v>V</v>
      </c>
    </row>
    <row r="230" ht="15.75" customHeight="1">
      <c r="A230" s="370">
        <v>46100.0</v>
      </c>
      <c r="B230" s="371" t="s">
        <v>1490</v>
      </c>
      <c r="C230" s="371" t="s">
        <v>1493</v>
      </c>
      <c r="D230" s="371" t="s">
        <v>1501</v>
      </c>
      <c r="E230" s="373">
        <v>0.17</v>
      </c>
      <c r="G230" s="371">
        <v>14.0</v>
      </c>
      <c r="H230" s="371">
        <v>0.0</v>
      </c>
      <c r="I230" s="371"/>
      <c r="K230" s="374"/>
      <c r="L230" s="269" t="str">
        <f t="shared" si="1"/>
        <v>V</v>
      </c>
    </row>
    <row r="231" ht="15.75" customHeight="1">
      <c r="A231" s="370">
        <v>46100.0</v>
      </c>
      <c r="B231" s="371" t="s">
        <v>1490</v>
      </c>
      <c r="C231" s="371" t="s">
        <v>1504</v>
      </c>
      <c r="D231" s="371" t="s">
        <v>1494</v>
      </c>
      <c r="E231" s="373">
        <v>10.34</v>
      </c>
      <c r="G231" s="371">
        <v>753.0</v>
      </c>
      <c r="H231" s="371">
        <v>34.0</v>
      </c>
      <c r="I231" s="371"/>
      <c r="K231" s="374">
        <v>2.0</v>
      </c>
      <c r="L231" s="269" t="str">
        <f t="shared" si="1"/>
        <v>V</v>
      </c>
    </row>
    <row r="232" ht="15.75" customHeight="1">
      <c r="A232" s="370">
        <v>46100.0</v>
      </c>
      <c r="B232" s="371" t="s">
        <v>1490</v>
      </c>
      <c r="C232" s="371" t="s">
        <v>1503</v>
      </c>
      <c r="D232" s="371" t="s">
        <v>1494</v>
      </c>
      <c r="E232" s="373">
        <v>9.82</v>
      </c>
      <c r="G232" s="371">
        <v>739.0</v>
      </c>
      <c r="H232" s="371">
        <v>25.0</v>
      </c>
      <c r="I232" s="371">
        <v>1.0</v>
      </c>
      <c r="K232" s="374">
        <v>2.0</v>
      </c>
      <c r="L232" s="269" t="str">
        <f t="shared" si="1"/>
        <v>V</v>
      </c>
    </row>
    <row r="233" ht="15.75" customHeight="1">
      <c r="A233" s="370">
        <v>46100.0</v>
      </c>
      <c r="B233" s="371" t="s">
        <v>1495</v>
      </c>
      <c r="C233" s="371" t="s">
        <v>1496</v>
      </c>
      <c r="D233" s="371" t="s">
        <v>1497</v>
      </c>
      <c r="E233" s="373">
        <v>9.47</v>
      </c>
      <c r="G233" s="371">
        <v>2122.0</v>
      </c>
      <c r="H233" s="371">
        <v>37.0</v>
      </c>
      <c r="I233" s="371"/>
      <c r="K233" s="374"/>
      <c r="L233" s="269" t="str">
        <f t="shared" si="1"/>
        <v>AD</v>
      </c>
    </row>
    <row r="234" ht="15.75" customHeight="1">
      <c r="A234" s="370">
        <v>46099.0</v>
      </c>
      <c r="B234" s="371" t="s">
        <v>1490</v>
      </c>
      <c r="C234" s="371" t="s">
        <v>1491</v>
      </c>
      <c r="D234" s="371" t="s">
        <v>1492</v>
      </c>
      <c r="E234" s="373">
        <v>21.16</v>
      </c>
      <c r="G234" s="371">
        <v>267.0</v>
      </c>
      <c r="H234" s="371">
        <v>9.0</v>
      </c>
      <c r="I234" s="371"/>
      <c r="K234" s="374">
        <v>1.0</v>
      </c>
      <c r="L234" s="269" t="str">
        <f t="shared" si="1"/>
        <v/>
      </c>
    </row>
    <row r="235" ht="15.75" customHeight="1">
      <c r="A235" s="370">
        <v>46099.0</v>
      </c>
      <c r="B235" s="371" t="s">
        <v>1490</v>
      </c>
      <c r="C235" s="371" t="s">
        <v>1491</v>
      </c>
      <c r="D235" s="371" t="s">
        <v>1502</v>
      </c>
      <c r="E235" s="373">
        <v>0.17</v>
      </c>
      <c r="G235" s="371">
        <v>3.0</v>
      </c>
      <c r="H235" s="371">
        <v>0.0</v>
      </c>
      <c r="I235" s="371"/>
      <c r="K235" s="374"/>
      <c r="L235" s="269" t="str">
        <f t="shared" si="1"/>
        <v/>
      </c>
    </row>
    <row r="236" ht="15.75" customHeight="1">
      <c r="A236" s="370">
        <v>46099.0</v>
      </c>
      <c r="B236" s="371" t="s">
        <v>1490</v>
      </c>
      <c r="C236" s="371" t="s">
        <v>1493</v>
      </c>
      <c r="D236" s="371" t="s">
        <v>1494</v>
      </c>
      <c r="E236" s="373">
        <v>10.98</v>
      </c>
      <c r="G236" s="371">
        <v>900.0</v>
      </c>
      <c r="H236" s="371">
        <v>23.0</v>
      </c>
      <c r="I236" s="371"/>
      <c r="K236" s="374">
        <v>1.0</v>
      </c>
      <c r="L236" s="269" t="str">
        <f t="shared" si="1"/>
        <v>V</v>
      </c>
    </row>
    <row r="237" ht="15.75" customHeight="1">
      <c r="A237" s="370">
        <v>46099.0</v>
      </c>
      <c r="B237" s="371" t="s">
        <v>1490</v>
      </c>
      <c r="C237" s="371" t="s">
        <v>1503</v>
      </c>
      <c r="D237" s="371" t="s">
        <v>1498</v>
      </c>
      <c r="E237" s="373">
        <v>0.1</v>
      </c>
      <c r="G237" s="371">
        <v>6.0</v>
      </c>
      <c r="H237" s="371">
        <v>0.0</v>
      </c>
      <c r="I237" s="371"/>
      <c r="K237" s="374"/>
      <c r="L237" s="269" t="str">
        <f t="shared" si="1"/>
        <v>V</v>
      </c>
    </row>
    <row r="238" ht="15.75" customHeight="1">
      <c r="A238" s="370">
        <v>46099.0</v>
      </c>
      <c r="B238" s="371" t="s">
        <v>1490</v>
      </c>
      <c r="C238" s="371" t="s">
        <v>1504</v>
      </c>
      <c r="D238" s="371" t="s">
        <v>1498</v>
      </c>
      <c r="E238" s="373">
        <v>0.05</v>
      </c>
      <c r="G238" s="371">
        <v>4.0</v>
      </c>
      <c r="H238" s="371">
        <v>0.0</v>
      </c>
      <c r="I238" s="371"/>
      <c r="K238" s="374"/>
      <c r="L238" s="269" t="str">
        <f t="shared" si="1"/>
        <v>V</v>
      </c>
    </row>
    <row r="239" ht="15.75" customHeight="1">
      <c r="A239" s="370">
        <v>46099.0</v>
      </c>
      <c r="B239" s="371" t="s">
        <v>1490</v>
      </c>
      <c r="C239" s="371" t="s">
        <v>1503</v>
      </c>
      <c r="D239" s="371" t="s">
        <v>1505</v>
      </c>
      <c r="E239" s="373">
        <v>0.05</v>
      </c>
      <c r="G239" s="371">
        <v>8.0</v>
      </c>
      <c r="H239" s="371">
        <v>0.0</v>
      </c>
      <c r="I239" s="371"/>
      <c r="K239" s="374"/>
      <c r="L239" s="269" t="str">
        <f t="shared" si="1"/>
        <v>V-video</v>
      </c>
    </row>
    <row r="240" ht="15.75" customHeight="1">
      <c r="A240" s="370">
        <v>46099.0</v>
      </c>
      <c r="B240" s="371" t="s">
        <v>1490</v>
      </c>
      <c r="C240" s="371" t="s">
        <v>1504</v>
      </c>
      <c r="D240" s="371" t="s">
        <v>1506</v>
      </c>
      <c r="E240" s="373">
        <v>0.0</v>
      </c>
      <c r="G240" s="371">
        <v>1.0</v>
      </c>
      <c r="H240" s="371">
        <v>0.0</v>
      </c>
      <c r="I240" s="371"/>
      <c r="K240" s="374"/>
      <c r="L240" s="269" t="str">
        <f t="shared" si="1"/>
        <v>V</v>
      </c>
    </row>
    <row r="241" ht="15.75" customHeight="1">
      <c r="A241" s="370">
        <v>46099.0</v>
      </c>
      <c r="B241" s="371" t="s">
        <v>1490</v>
      </c>
      <c r="C241" s="371" t="s">
        <v>1503</v>
      </c>
      <c r="D241" s="371" t="s">
        <v>1508</v>
      </c>
      <c r="E241" s="373">
        <v>1.28</v>
      </c>
      <c r="G241" s="371">
        <v>94.0</v>
      </c>
      <c r="H241" s="371">
        <v>3.0</v>
      </c>
      <c r="I241" s="371"/>
      <c r="K241" s="374"/>
      <c r="L241" s="269" t="str">
        <f t="shared" si="1"/>
        <v>V</v>
      </c>
    </row>
    <row r="242" ht="15.75" customHeight="1">
      <c r="A242" s="370">
        <v>46099.0</v>
      </c>
      <c r="B242" s="371" t="s">
        <v>1490</v>
      </c>
      <c r="C242" s="371" t="s">
        <v>1503</v>
      </c>
      <c r="D242" s="371" t="s">
        <v>1507</v>
      </c>
      <c r="E242" s="373">
        <v>0.55</v>
      </c>
      <c r="G242" s="371">
        <v>28.0</v>
      </c>
      <c r="H242" s="371">
        <v>2.0</v>
      </c>
      <c r="I242" s="371"/>
      <c r="K242" s="374"/>
      <c r="L242" s="269" t="str">
        <f t="shared" si="1"/>
        <v>V</v>
      </c>
    </row>
    <row r="243" ht="15.75" customHeight="1">
      <c r="A243" s="370">
        <v>46099.0</v>
      </c>
      <c r="B243" s="371" t="s">
        <v>1490</v>
      </c>
      <c r="C243" s="371" t="s">
        <v>1504</v>
      </c>
      <c r="D243" s="371" t="s">
        <v>1508</v>
      </c>
      <c r="E243" s="373">
        <v>0.01</v>
      </c>
      <c r="G243" s="371">
        <v>2.0</v>
      </c>
      <c r="H243" s="371">
        <v>0.0</v>
      </c>
      <c r="I243" s="371"/>
      <c r="K243" s="374"/>
      <c r="L243" s="269" t="str">
        <f t="shared" si="1"/>
        <v>V</v>
      </c>
    </row>
    <row r="244" ht="15.75" customHeight="1">
      <c r="A244" s="370">
        <v>46099.0</v>
      </c>
      <c r="B244" s="371" t="s">
        <v>1490</v>
      </c>
      <c r="C244" s="371" t="s">
        <v>1504</v>
      </c>
      <c r="D244" s="371" t="s">
        <v>1507</v>
      </c>
      <c r="E244" s="373">
        <v>1.71</v>
      </c>
      <c r="G244" s="371">
        <v>81.0</v>
      </c>
      <c r="H244" s="371">
        <v>3.0</v>
      </c>
      <c r="I244" s="371"/>
      <c r="K244" s="374"/>
      <c r="L244" s="269" t="str">
        <f t="shared" si="1"/>
        <v>V</v>
      </c>
    </row>
    <row r="245" ht="15.75" customHeight="1">
      <c r="A245" s="370">
        <v>46099.0</v>
      </c>
      <c r="B245" s="371" t="s">
        <v>1490</v>
      </c>
      <c r="C245" s="371" t="s">
        <v>1493</v>
      </c>
      <c r="D245" s="371" t="s">
        <v>1500</v>
      </c>
      <c r="E245" s="373">
        <v>0.49</v>
      </c>
      <c r="G245" s="371">
        <v>57.0</v>
      </c>
      <c r="H245" s="371">
        <v>2.0</v>
      </c>
      <c r="I245" s="371"/>
      <c r="K245" s="374"/>
      <c r="L245" s="269" t="str">
        <f t="shared" si="1"/>
        <v>V</v>
      </c>
    </row>
    <row r="246" ht="15.75" customHeight="1">
      <c r="A246" s="370">
        <v>46099.0</v>
      </c>
      <c r="B246" s="371" t="s">
        <v>1490</v>
      </c>
      <c r="C246" s="371" t="s">
        <v>1504</v>
      </c>
      <c r="D246" s="371" t="s">
        <v>1494</v>
      </c>
      <c r="E246" s="373">
        <v>9.73</v>
      </c>
      <c r="G246" s="371">
        <v>739.0</v>
      </c>
      <c r="H246" s="371">
        <v>33.0</v>
      </c>
      <c r="I246" s="371"/>
      <c r="K246" s="374">
        <v>3.0</v>
      </c>
      <c r="L246" s="269" t="str">
        <f t="shared" si="1"/>
        <v>V</v>
      </c>
    </row>
    <row r="247" ht="15.75" customHeight="1">
      <c r="A247" s="370">
        <v>46099.0</v>
      </c>
      <c r="B247" s="371" t="s">
        <v>1490</v>
      </c>
      <c r="C247" s="371" t="s">
        <v>1503</v>
      </c>
      <c r="D247" s="371" t="s">
        <v>1494</v>
      </c>
      <c r="E247" s="373">
        <v>9.27</v>
      </c>
      <c r="G247" s="371">
        <v>631.0</v>
      </c>
      <c r="H247" s="371">
        <v>17.0</v>
      </c>
      <c r="I247" s="371"/>
      <c r="K247" s="374">
        <v>1.0</v>
      </c>
      <c r="L247" s="269" t="str">
        <f t="shared" si="1"/>
        <v>V</v>
      </c>
    </row>
    <row r="248" ht="15.75" customHeight="1">
      <c r="A248" s="370">
        <v>46099.0</v>
      </c>
      <c r="B248" s="371" t="s">
        <v>1495</v>
      </c>
      <c r="C248" s="371" t="s">
        <v>1496</v>
      </c>
      <c r="D248" s="371" t="s">
        <v>1497</v>
      </c>
      <c r="E248" s="373">
        <v>9.58</v>
      </c>
      <c r="G248" s="371">
        <v>2170.0</v>
      </c>
      <c r="H248" s="371">
        <v>47.0</v>
      </c>
      <c r="I248" s="371"/>
      <c r="K248" s="374"/>
      <c r="L248" s="269" t="str">
        <f t="shared" si="1"/>
        <v>AD</v>
      </c>
    </row>
    <row r="249" ht="15.75" customHeight="1">
      <c r="A249" s="370">
        <v>46098.0</v>
      </c>
      <c r="B249" s="371" t="s">
        <v>1490</v>
      </c>
      <c r="C249" s="371" t="s">
        <v>1491</v>
      </c>
      <c r="D249" s="371" t="s">
        <v>1492</v>
      </c>
      <c r="E249" s="373">
        <v>21.49</v>
      </c>
      <c r="G249" s="371">
        <v>238.0</v>
      </c>
      <c r="H249" s="371">
        <v>11.0</v>
      </c>
      <c r="I249" s="371"/>
      <c r="K249" s="374"/>
      <c r="L249" s="269" t="str">
        <f t="shared" si="1"/>
        <v/>
      </c>
    </row>
    <row r="250" ht="15.75" customHeight="1">
      <c r="A250" s="370">
        <v>46098.0</v>
      </c>
      <c r="B250" s="371" t="s">
        <v>1490</v>
      </c>
      <c r="C250" s="371" t="s">
        <v>1493</v>
      </c>
      <c r="D250" s="371" t="s">
        <v>1494</v>
      </c>
      <c r="E250" s="373">
        <v>8.43</v>
      </c>
      <c r="G250" s="371">
        <v>661.0</v>
      </c>
      <c r="H250" s="371">
        <v>18.0</v>
      </c>
      <c r="I250" s="371"/>
      <c r="K250" s="374">
        <v>1.0</v>
      </c>
      <c r="L250" s="269" t="str">
        <f t="shared" si="1"/>
        <v>V</v>
      </c>
    </row>
    <row r="251" ht="15.75" customHeight="1">
      <c r="A251" s="370">
        <v>46098.0</v>
      </c>
      <c r="B251" s="371" t="s">
        <v>1490</v>
      </c>
      <c r="C251" s="371" t="s">
        <v>1503</v>
      </c>
      <c r="D251" s="371" t="s">
        <v>1498</v>
      </c>
      <c r="E251" s="373">
        <v>0.01</v>
      </c>
      <c r="G251" s="371">
        <v>1.0</v>
      </c>
      <c r="H251" s="371">
        <v>0.0</v>
      </c>
      <c r="I251" s="371"/>
      <c r="K251" s="374"/>
      <c r="L251" s="269" t="str">
        <f t="shared" si="1"/>
        <v>V</v>
      </c>
    </row>
    <row r="252" ht="15.75" customHeight="1">
      <c r="A252" s="370">
        <v>46098.0</v>
      </c>
      <c r="B252" s="371" t="s">
        <v>1490</v>
      </c>
      <c r="C252" s="371" t="s">
        <v>1493</v>
      </c>
      <c r="D252" s="371" t="s">
        <v>1498</v>
      </c>
      <c r="E252" s="373">
        <v>0.11</v>
      </c>
      <c r="G252" s="371">
        <v>10.0</v>
      </c>
      <c r="H252" s="371">
        <v>1.0</v>
      </c>
      <c r="I252" s="371"/>
      <c r="K252" s="374">
        <v>1.0</v>
      </c>
      <c r="L252" s="269" t="str">
        <f t="shared" si="1"/>
        <v>V</v>
      </c>
    </row>
    <row r="253" ht="15.75" customHeight="1">
      <c r="A253" s="370">
        <v>46098.0</v>
      </c>
      <c r="B253" s="371" t="s">
        <v>1490</v>
      </c>
      <c r="C253" s="371" t="s">
        <v>1504</v>
      </c>
      <c r="D253" s="371" t="s">
        <v>1508</v>
      </c>
      <c r="E253" s="373">
        <v>2.15</v>
      </c>
      <c r="G253" s="371">
        <v>104.0</v>
      </c>
      <c r="H253" s="371">
        <v>2.0</v>
      </c>
      <c r="I253" s="371"/>
      <c r="K253" s="374"/>
      <c r="L253" s="269" t="str">
        <f t="shared" si="1"/>
        <v>V</v>
      </c>
    </row>
    <row r="254" ht="15.75" customHeight="1">
      <c r="A254" s="370">
        <v>46098.0</v>
      </c>
      <c r="B254" s="371" t="s">
        <v>1490</v>
      </c>
      <c r="C254" s="371" t="s">
        <v>1504</v>
      </c>
      <c r="D254" s="371" t="s">
        <v>1507</v>
      </c>
      <c r="E254" s="373">
        <v>0.24</v>
      </c>
      <c r="G254" s="371">
        <v>16.0</v>
      </c>
      <c r="H254" s="371">
        <v>0.0</v>
      </c>
      <c r="I254" s="371"/>
      <c r="K254" s="374"/>
      <c r="L254" s="269" t="str">
        <f t="shared" si="1"/>
        <v>V</v>
      </c>
    </row>
    <row r="255" ht="15.75" customHeight="1">
      <c r="A255" s="370">
        <v>46098.0</v>
      </c>
      <c r="B255" s="371" t="s">
        <v>1490</v>
      </c>
      <c r="C255" s="371" t="s">
        <v>1493</v>
      </c>
      <c r="D255" s="371" t="s">
        <v>1500</v>
      </c>
      <c r="E255" s="373">
        <v>0.08</v>
      </c>
      <c r="G255" s="371">
        <v>10.0</v>
      </c>
      <c r="H255" s="371">
        <v>0.0</v>
      </c>
      <c r="I255" s="371"/>
      <c r="K255" s="374"/>
      <c r="L255" s="269" t="str">
        <f t="shared" si="1"/>
        <v>V</v>
      </c>
    </row>
    <row r="256" ht="15.75" customHeight="1">
      <c r="A256" s="370">
        <v>46098.0</v>
      </c>
      <c r="B256" s="371" t="s">
        <v>1490</v>
      </c>
      <c r="C256" s="371" t="s">
        <v>1493</v>
      </c>
      <c r="D256" s="371" t="s">
        <v>1501</v>
      </c>
      <c r="E256" s="373">
        <v>0.66</v>
      </c>
      <c r="G256" s="371">
        <v>62.0</v>
      </c>
      <c r="H256" s="371">
        <v>1.0</v>
      </c>
      <c r="I256" s="371"/>
      <c r="K256" s="374"/>
      <c r="L256" s="269" t="str">
        <f t="shared" si="1"/>
        <v>V</v>
      </c>
    </row>
    <row r="257" ht="15.75" customHeight="1">
      <c r="A257" s="370">
        <v>46098.0</v>
      </c>
      <c r="B257" s="371" t="s">
        <v>1490</v>
      </c>
      <c r="C257" s="371" t="s">
        <v>1504</v>
      </c>
      <c r="D257" s="371" t="s">
        <v>1494</v>
      </c>
      <c r="E257" s="373">
        <v>9.72</v>
      </c>
      <c r="G257" s="371">
        <v>833.0</v>
      </c>
      <c r="H257" s="371">
        <v>45.0</v>
      </c>
      <c r="I257" s="371"/>
      <c r="K257" s="374">
        <v>4.0</v>
      </c>
      <c r="L257" s="269" t="str">
        <f t="shared" si="1"/>
        <v>V</v>
      </c>
    </row>
    <row r="258" ht="15.75" customHeight="1">
      <c r="A258" s="370">
        <v>46098.0</v>
      </c>
      <c r="B258" s="371" t="s">
        <v>1490</v>
      </c>
      <c r="C258" s="371" t="s">
        <v>1503</v>
      </c>
      <c r="D258" s="371" t="s">
        <v>1494</v>
      </c>
      <c r="E258" s="373">
        <v>11.76</v>
      </c>
      <c r="G258" s="371">
        <v>1024.0</v>
      </c>
      <c r="H258" s="371">
        <v>32.0</v>
      </c>
      <c r="I258" s="371"/>
      <c r="K258" s="374">
        <v>2.0</v>
      </c>
      <c r="L258" s="269" t="str">
        <f t="shared" si="1"/>
        <v>V</v>
      </c>
    </row>
    <row r="259" ht="15.75" customHeight="1">
      <c r="A259" s="370">
        <v>46098.0</v>
      </c>
      <c r="B259" s="371" t="s">
        <v>1495</v>
      </c>
      <c r="C259" s="371" t="s">
        <v>1496</v>
      </c>
      <c r="D259" s="371" t="s">
        <v>1497</v>
      </c>
      <c r="E259" s="373">
        <v>10.31</v>
      </c>
      <c r="G259" s="371">
        <v>1838.0</v>
      </c>
      <c r="H259" s="371">
        <v>53.0</v>
      </c>
      <c r="I259" s="371"/>
      <c r="K259" s="374"/>
      <c r="L259" s="269" t="str">
        <f t="shared" si="1"/>
        <v>AD</v>
      </c>
    </row>
    <row r="260" ht="15.75" customHeight="1">
      <c r="A260" s="370">
        <v>46097.0</v>
      </c>
      <c r="B260" s="371" t="s">
        <v>1490</v>
      </c>
      <c r="C260" s="371" t="s">
        <v>1491</v>
      </c>
      <c r="D260" s="371" t="s">
        <v>1492</v>
      </c>
      <c r="E260" s="373">
        <v>19.56</v>
      </c>
      <c r="G260" s="371">
        <v>241.0</v>
      </c>
      <c r="H260" s="371">
        <v>6.0</v>
      </c>
      <c r="I260" s="371"/>
      <c r="K260" s="374"/>
      <c r="L260" s="269" t="str">
        <f t="shared" si="1"/>
        <v/>
      </c>
    </row>
    <row r="261" ht="15.75" customHeight="1">
      <c r="A261" s="370">
        <v>46097.0</v>
      </c>
      <c r="B261" s="371" t="s">
        <v>1490</v>
      </c>
      <c r="C261" s="371" t="s">
        <v>1491</v>
      </c>
      <c r="D261" s="371" t="s">
        <v>1502</v>
      </c>
      <c r="E261" s="373">
        <v>0.65</v>
      </c>
      <c r="G261" s="371">
        <v>12.0</v>
      </c>
      <c r="H261" s="371">
        <v>0.0</v>
      </c>
      <c r="I261" s="371"/>
      <c r="K261" s="374"/>
      <c r="L261" s="269" t="str">
        <f t="shared" si="1"/>
        <v/>
      </c>
    </row>
    <row r="262" ht="15.75" customHeight="1">
      <c r="A262" s="370">
        <v>46097.0</v>
      </c>
      <c r="B262" s="371" t="s">
        <v>1490</v>
      </c>
      <c r="C262" s="371" t="s">
        <v>1493</v>
      </c>
      <c r="D262" s="371" t="s">
        <v>1494</v>
      </c>
      <c r="E262" s="373">
        <v>11.3</v>
      </c>
      <c r="G262" s="371">
        <v>1454.0</v>
      </c>
      <c r="H262" s="371">
        <v>43.0</v>
      </c>
      <c r="I262" s="371"/>
      <c r="K262" s="374">
        <v>3.0</v>
      </c>
      <c r="L262" s="269" t="str">
        <f t="shared" si="1"/>
        <v>V</v>
      </c>
    </row>
    <row r="263" ht="15.75" customHeight="1">
      <c r="A263" s="370">
        <v>46097.0</v>
      </c>
      <c r="B263" s="371" t="s">
        <v>1490</v>
      </c>
      <c r="C263" s="371" t="s">
        <v>1503</v>
      </c>
      <c r="D263" s="371" t="s">
        <v>1498</v>
      </c>
      <c r="E263" s="373">
        <v>1.11</v>
      </c>
      <c r="G263" s="371">
        <v>53.0</v>
      </c>
      <c r="H263" s="371">
        <v>4.0</v>
      </c>
      <c r="I263" s="371"/>
      <c r="K263" s="374"/>
      <c r="L263" s="269" t="str">
        <f t="shared" si="1"/>
        <v>V</v>
      </c>
    </row>
    <row r="264" ht="15.75" customHeight="1">
      <c r="A264" s="370">
        <v>46097.0</v>
      </c>
      <c r="B264" s="371" t="s">
        <v>1490</v>
      </c>
      <c r="C264" s="371" t="s">
        <v>1504</v>
      </c>
      <c r="D264" s="371" t="s">
        <v>1498</v>
      </c>
      <c r="E264" s="373">
        <v>0.06</v>
      </c>
      <c r="G264" s="371">
        <v>10.0</v>
      </c>
      <c r="H264" s="371">
        <v>0.0</v>
      </c>
      <c r="I264" s="371"/>
      <c r="K264" s="374"/>
      <c r="L264" s="269" t="str">
        <f t="shared" si="1"/>
        <v>V</v>
      </c>
    </row>
    <row r="265" ht="15.75" customHeight="1">
      <c r="A265" s="370">
        <v>46097.0</v>
      </c>
      <c r="B265" s="371" t="s">
        <v>1490</v>
      </c>
      <c r="C265" s="371" t="s">
        <v>1493</v>
      </c>
      <c r="D265" s="371" t="s">
        <v>1498</v>
      </c>
      <c r="E265" s="373">
        <v>0.0</v>
      </c>
      <c r="G265" s="371">
        <v>1.0</v>
      </c>
      <c r="H265" s="371">
        <v>0.0</v>
      </c>
      <c r="I265" s="371"/>
      <c r="K265" s="374"/>
      <c r="L265" s="269" t="str">
        <f t="shared" si="1"/>
        <v>V</v>
      </c>
    </row>
    <row r="266" ht="15.75" customHeight="1">
      <c r="A266" s="370">
        <v>46097.0</v>
      </c>
      <c r="B266" s="371" t="s">
        <v>1490</v>
      </c>
      <c r="C266" s="371" t="s">
        <v>1503</v>
      </c>
      <c r="D266" s="371" t="s">
        <v>1505</v>
      </c>
      <c r="E266" s="373">
        <v>0.06</v>
      </c>
      <c r="G266" s="371">
        <v>4.0</v>
      </c>
      <c r="H266" s="371">
        <v>0.0</v>
      </c>
      <c r="I266" s="371"/>
      <c r="K266" s="374"/>
      <c r="L266" s="269" t="str">
        <f t="shared" si="1"/>
        <v>V-video</v>
      </c>
    </row>
    <row r="267" ht="15.75" customHeight="1">
      <c r="A267" s="370">
        <v>46097.0</v>
      </c>
      <c r="B267" s="371" t="s">
        <v>1490</v>
      </c>
      <c r="C267" s="371" t="s">
        <v>1504</v>
      </c>
      <c r="D267" s="371" t="s">
        <v>1506</v>
      </c>
      <c r="E267" s="373">
        <v>0.03</v>
      </c>
      <c r="G267" s="371">
        <v>2.0</v>
      </c>
      <c r="H267" s="371">
        <v>0.0</v>
      </c>
      <c r="I267" s="371"/>
      <c r="K267" s="374"/>
      <c r="L267" s="269" t="str">
        <f t="shared" si="1"/>
        <v>V</v>
      </c>
    </row>
    <row r="268" ht="15.75" customHeight="1">
      <c r="A268" s="370">
        <v>46097.0</v>
      </c>
      <c r="B268" s="371" t="s">
        <v>1490</v>
      </c>
      <c r="C268" s="371" t="s">
        <v>1503</v>
      </c>
      <c r="D268" s="371" t="s">
        <v>1508</v>
      </c>
      <c r="E268" s="373">
        <v>2.33</v>
      </c>
      <c r="G268" s="371">
        <v>254.0</v>
      </c>
      <c r="H268" s="371">
        <v>7.0</v>
      </c>
      <c r="I268" s="371"/>
      <c r="K268" s="374">
        <v>1.0</v>
      </c>
      <c r="L268" s="269" t="str">
        <f t="shared" si="1"/>
        <v>V</v>
      </c>
    </row>
    <row r="269" ht="15.75" customHeight="1">
      <c r="A269" s="370">
        <v>46097.0</v>
      </c>
      <c r="B269" s="371" t="s">
        <v>1490</v>
      </c>
      <c r="C269" s="371" t="s">
        <v>1493</v>
      </c>
      <c r="D269" s="371" t="s">
        <v>1500</v>
      </c>
      <c r="E269" s="373">
        <v>0.96</v>
      </c>
      <c r="G269" s="371">
        <v>129.0</v>
      </c>
      <c r="H269" s="371">
        <v>1.0</v>
      </c>
      <c r="I269" s="371"/>
      <c r="K269" s="374"/>
      <c r="L269" s="269" t="str">
        <f t="shared" si="1"/>
        <v>V</v>
      </c>
    </row>
    <row r="270" ht="15.75" customHeight="1">
      <c r="A270" s="370">
        <v>46097.0</v>
      </c>
      <c r="B270" s="371" t="s">
        <v>1490</v>
      </c>
      <c r="C270" s="371" t="s">
        <v>1504</v>
      </c>
      <c r="D270" s="371" t="s">
        <v>1494</v>
      </c>
      <c r="E270" s="373">
        <v>12.11</v>
      </c>
      <c r="G270" s="371">
        <v>1183.0</v>
      </c>
      <c r="H270" s="371">
        <v>54.0</v>
      </c>
      <c r="I270" s="371"/>
      <c r="K270" s="374">
        <v>1.0</v>
      </c>
      <c r="L270" s="269" t="str">
        <f t="shared" si="1"/>
        <v>V</v>
      </c>
    </row>
    <row r="271" ht="15.75" customHeight="1">
      <c r="A271" s="370">
        <v>46097.0</v>
      </c>
      <c r="B271" s="371" t="s">
        <v>1490</v>
      </c>
      <c r="C271" s="371" t="s">
        <v>1503</v>
      </c>
      <c r="D271" s="371" t="s">
        <v>1494</v>
      </c>
      <c r="E271" s="373">
        <v>9.28</v>
      </c>
      <c r="G271" s="371">
        <v>783.0</v>
      </c>
      <c r="H271" s="371">
        <v>28.0</v>
      </c>
      <c r="I271" s="371"/>
      <c r="K271" s="374"/>
      <c r="L271" s="269" t="str">
        <f t="shared" si="1"/>
        <v>V</v>
      </c>
    </row>
    <row r="272" ht="15.75" customHeight="1">
      <c r="A272" s="370">
        <v>46097.0</v>
      </c>
      <c r="B272" s="371" t="s">
        <v>1495</v>
      </c>
      <c r="C272" s="371" t="s">
        <v>1496</v>
      </c>
      <c r="D272" s="371" t="s">
        <v>1497</v>
      </c>
      <c r="E272" s="373">
        <v>9.82</v>
      </c>
      <c r="G272" s="371">
        <v>2332.0</v>
      </c>
      <c r="H272" s="371">
        <v>43.0</v>
      </c>
      <c r="I272" s="371"/>
      <c r="K272" s="374"/>
      <c r="L272" s="269" t="str">
        <f t="shared" si="1"/>
        <v>AD</v>
      </c>
    </row>
    <row r="273" ht="15.75" customHeight="1">
      <c r="A273" s="370">
        <v>46096.0</v>
      </c>
      <c r="B273" s="371" t="s">
        <v>1490</v>
      </c>
      <c r="C273" s="371" t="s">
        <v>1491</v>
      </c>
      <c r="D273" s="371" t="s">
        <v>1492</v>
      </c>
      <c r="E273" s="373">
        <v>21.46</v>
      </c>
      <c r="G273" s="371">
        <v>287.0</v>
      </c>
      <c r="H273" s="371">
        <v>12.0</v>
      </c>
      <c r="I273" s="371"/>
      <c r="K273" s="374"/>
      <c r="L273" s="269" t="str">
        <f t="shared" si="1"/>
        <v/>
      </c>
    </row>
    <row r="274" ht="15.75" customHeight="1">
      <c r="A274" s="370">
        <v>46096.0</v>
      </c>
      <c r="B274" s="371" t="s">
        <v>1490</v>
      </c>
      <c r="C274" s="371" t="s">
        <v>1493</v>
      </c>
      <c r="D274" s="371" t="s">
        <v>1494</v>
      </c>
      <c r="E274" s="373">
        <v>11.78</v>
      </c>
      <c r="G274" s="371">
        <v>1165.0</v>
      </c>
      <c r="H274" s="371">
        <v>16.0</v>
      </c>
      <c r="I274" s="371"/>
      <c r="K274" s="374">
        <v>1.0</v>
      </c>
      <c r="L274" s="269" t="str">
        <f t="shared" si="1"/>
        <v>V</v>
      </c>
    </row>
    <row r="275" ht="15.75" customHeight="1">
      <c r="A275" s="370">
        <v>46096.0</v>
      </c>
      <c r="B275" s="371" t="s">
        <v>1490</v>
      </c>
      <c r="C275" s="371" t="s">
        <v>1503</v>
      </c>
      <c r="D275" s="371" t="s">
        <v>1505</v>
      </c>
      <c r="E275" s="373">
        <v>0.02</v>
      </c>
      <c r="G275" s="371">
        <v>3.0</v>
      </c>
      <c r="H275" s="371">
        <v>0.0</v>
      </c>
      <c r="I275" s="371"/>
      <c r="K275" s="374"/>
      <c r="L275" s="269" t="str">
        <f t="shared" si="1"/>
        <v>V-video</v>
      </c>
    </row>
    <row r="276" ht="15.75" customHeight="1">
      <c r="A276" s="370">
        <v>46096.0</v>
      </c>
      <c r="B276" s="371" t="s">
        <v>1490</v>
      </c>
      <c r="C276" s="371" t="s">
        <v>1503</v>
      </c>
      <c r="D276" s="371" t="s">
        <v>1507</v>
      </c>
      <c r="E276" s="373">
        <v>0.91</v>
      </c>
      <c r="G276" s="371">
        <v>36.0</v>
      </c>
      <c r="H276" s="371">
        <v>0.0</v>
      </c>
      <c r="I276" s="371"/>
      <c r="K276" s="374"/>
      <c r="L276" s="269" t="str">
        <f t="shared" si="1"/>
        <v>V</v>
      </c>
    </row>
    <row r="277" ht="15.75" customHeight="1">
      <c r="A277" s="370">
        <v>46096.0</v>
      </c>
      <c r="B277" s="371" t="s">
        <v>1490</v>
      </c>
      <c r="C277" s="371" t="s">
        <v>1504</v>
      </c>
      <c r="D277" s="371" t="s">
        <v>1508</v>
      </c>
      <c r="E277" s="373">
        <v>1.86</v>
      </c>
      <c r="G277" s="371">
        <v>106.0</v>
      </c>
      <c r="H277" s="371">
        <v>5.0</v>
      </c>
      <c r="I277" s="371"/>
      <c r="K277" s="374">
        <v>1.0</v>
      </c>
      <c r="L277" s="269" t="str">
        <f t="shared" si="1"/>
        <v>V</v>
      </c>
    </row>
    <row r="278" ht="15.75" customHeight="1">
      <c r="A278" s="370">
        <v>46096.0</v>
      </c>
      <c r="B278" s="371" t="s">
        <v>1490</v>
      </c>
      <c r="C278" s="371" t="s">
        <v>1504</v>
      </c>
      <c r="D278" s="371" t="s">
        <v>1507</v>
      </c>
      <c r="E278" s="373">
        <v>2.49</v>
      </c>
      <c r="G278" s="371">
        <v>69.0</v>
      </c>
      <c r="H278" s="371">
        <v>6.0</v>
      </c>
      <c r="I278" s="371"/>
      <c r="K278" s="374">
        <v>1.0</v>
      </c>
      <c r="L278" s="269" t="str">
        <f t="shared" si="1"/>
        <v>V</v>
      </c>
    </row>
    <row r="279" ht="15.75" customHeight="1">
      <c r="A279" s="370">
        <v>46096.0</v>
      </c>
      <c r="B279" s="371" t="s">
        <v>1490</v>
      </c>
      <c r="C279" s="371" t="s">
        <v>1493</v>
      </c>
      <c r="D279" s="371" t="s">
        <v>1501</v>
      </c>
      <c r="E279" s="373">
        <v>0.42</v>
      </c>
      <c r="G279" s="371">
        <v>50.0</v>
      </c>
      <c r="H279" s="371">
        <v>0.0</v>
      </c>
      <c r="I279" s="371"/>
      <c r="K279" s="374"/>
      <c r="L279" s="269" t="str">
        <f t="shared" si="1"/>
        <v>V</v>
      </c>
    </row>
    <row r="280" ht="15.75" customHeight="1">
      <c r="A280" s="370">
        <v>46096.0</v>
      </c>
      <c r="B280" s="371" t="s">
        <v>1490</v>
      </c>
      <c r="C280" s="371" t="s">
        <v>1504</v>
      </c>
      <c r="D280" s="371" t="s">
        <v>1494</v>
      </c>
      <c r="E280" s="373">
        <v>8.91</v>
      </c>
      <c r="G280" s="371">
        <v>704.0</v>
      </c>
      <c r="H280" s="371">
        <v>33.0</v>
      </c>
      <c r="I280" s="371"/>
      <c r="K280" s="374">
        <v>2.0</v>
      </c>
      <c r="L280" s="269" t="str">
        <f t="shared" si="1"/>
        <v>V</v>
      </c>
    </row>
    <row r="281" ht="15.75" customHeight="1">
      <c r="A281" s="370">
        <v>46096.0</v>
      </c>
      <c r="B281" s="371" t="s">
        <v>1490</v>
      </c>
      <c r="C281" s="371" t="s">
        <v>1503</v>
      </c>
      <c r="D281" s="371" t="s">
        <v>1494</v>
      </c>
      <c r="E281" s="373">
        <v>11.67</v>
      </c>
      <c r="G281" s="371">
        <v>907.0</v>
      </c>
      <c r="H281" s="371">
        <v>32.0</v>
      </c>
      <c r="I281" s="371"/>
      <c r="K281" s="374">
        <v>1.0</v>
      </c>
      <c r="L281" s="269" t="str">
        <f t="shared" si="1"/>
        <v>V</v>
      </c>
    </row>
    <row r="282" ht="15.75" customHeight="1">
      <c r="A282" s="370">
        <v>46096.0</v>
      </c>
      <c r="B282" s="371" t="s">
        <v>1495</v>
      </c>
      <c r="C282" s="371" t="s">
        <v>1496</v>
      </c>
      <c r="D282" s="371" t="s">
        <v>1497</v>
      </c>
      <c r="E282" s="373">
        <v>11.91</v>
      </c>
      <c r="G282" s="371">
        <v>2660.0</v>
      </c>
      <c r="H282" s="371">
        <v>48.0</v>
      </c>
      <c r="I282" s="371"/>
      <c r="K282" s="374"/>
      <c r="L282" s="269" t="str">
        <f t="shared" si="1"/>
        <v>AD</v>
      </c>
    </row>
    <row r="283" ht="15.75" customHeight="1">
      <c r="A283" s="370">
        <v>46095.0</v>
      </c>
      <c r="B283" s="371" t="s">
        <v>1490</v>
      </c>
      <c r="C283" s="371" t="s">
        <v>1491</v>
      </c>
      <c r="D283" s="371" t="s">
        <v>1492</v>
      </c>
      <c r="E283" s="373">
        <v>16.75</v>
      </c>
      <c r="G283" s="371">
        <v>204.0</v>
      </c>
      <c r="H283" s="371">
        <v>3.0</v>
      </c>
      <c r="I283" s="371"/>
      <c r="K283" s="374"/>
      <c r="L283" s="269" t="str">
        <f t="shared" si="1"/>
        <v/>
      </c>
    </row>
    <row r="284" ht="15.75" customHeight="1">
      <c r="A284" s="370">
        <v>46095.0</v>
      </c>
      <c r="B284" s="371" t="s">
        <v>1490</v>
      </c>
      <c r="C284" s="371" t="s">
        <v>1491</v>
      </c>
      <c r="D284" s="371" t="s">
        <v>1502</v>
      </c>
      <c r="E284" s="373">
        <v>0.6</v>
      </c>
      <c r="G284" s="371">
        <v>11.0</v>
      </c>
      <c r="H284" s="371">
        <v>1.0</v>
      </c>
      <c r="I284" s="371"/>
      <c r="K284" s="374"/>
      <c r="L284" s="269" t="str">
        <f t="shared" si="1"/>
        <v/>
      </c>
    </row>
    <row r="285" ht="15.75" customHeight="1">
      <c r="A285" s="370">
        <v>46095.0</v>
      </c>
      <c r="B285" s="371" t="s">
        <v>1490</v>
      </c>
      <c r="C285" s="371" t="s">
        <v>1493</v>
      </c>
      <c r="D285" s="371" t="s">
        <v>1494</v>
      </c>
      <c r="E285" s="373">
        <v>8.58</v>
      </c>
      <c r="G285" s="371">
        <v>776.0</v>
      </c>
      <c r="H285" s="371">
        <v>16.0</v>
      </c>
      <c r="I285" s="371"/>
      <c r="K285" s="374">
        <v>2.0</v>
      </c>
      <c r="L285" s="269" t="str">
        <f t="shared" si="1"/>
        <v>V</v>
      </c>
    </row>
    <row r="286" ht="15.75" customHeight="1">
      <c r="A286" s="370">
        <v>46095.0</v>
      </c>
      <c r="B286" s="371" t="s">
        <v>1490</v>
      </c>
      <c r="C286" s="371" t="s">
        <v>1503</v>
      </c>
      <c r="D286" s="371" t="s">
        <v>1498</v>
      </c>
      <c r="E286" s="373">
        <v>0.97</v>
      </c>
      <c r="G286" s="371">
        <v>42.0</v>
      </c>
      <c r="H286" s="371">
        <v>2.0</v>
      </c>
      <c r="I286" s="371"/>
      <c r="K286" s="374"/>
      <c r="L286" s="269" t="str">
        <f t="shared" si="1"/>
        <v>V</v>
      </c>
    </row>
    <row r="287" ht="15.75" customHeight="1">
      <c r="A287" s="370">
        <v>46095.0</v>
      </c>
      <c r="B287" s="371" t="s">
        <v>1490</v>
      </c>
      <c r="C287" s="371" t="s">
        <v>1504</v>
      </c>
      <c r="D287" s="371" t="s">
        <v>1498</v>
      </c>
      <c r="E287" s="373">
        <v>0.16</v>
      </c>
      <c r="G287" s="371">
        <v>26.0</v>
      </c>
      <c r="H287" s="371">
        <v>1.0</v>
      </c>
      <c r="I287" s="371"/>
      <c r="K287" s="374"/>
      <c r="L287" s="269" t="str">
        <f t="shared" si="1"/>
        <v>V</v>
      </c>
    </row>
    <row r="288" ht="15.75" customHeight="1">
      <c r="A288" s="370">
        <v>46095.0</v>
      </c>
      <c r="B288" s="371" t="s">
        <v>1490</v>
      </c>
      <c r="C288" s="371" t="s">
        <v>1493</v>
      </c>
      <c r="D288" s="371" t="s">
        <v>1498</v>
      </c>
      <c r="E288" s="373">
        <v>0.65</v>
      </c>
      <c r="G288" s="371">
        <v>56.0</v>
      </c>
      <c r="H288" s="371">
        <v>0.0</v>
      </c>
      <c r="I288" s="371"/>
      <c r="K288" s="374"/>
      <c r="L288" s="269" t="str">
        <f t="shared" si="1"/>
        <v>V</v>
      </c>
    </row>
    <row r="289" ht="15.75" customHeight="1">
      <c r="A289" s="370">
        <v>46095.0</v>
      </c>
      <c r="B289" s="371" t="s">
        <v>1490</v>
      </c>
      <c r="C289" s="371" t="s">
        <v>1504</v>
      </c>
      <c r="D289" s="371" t="s">
        <v>1506</v>
      </c>
      <c r="E289" s="373">
        <v>0.01</v>
      </c>
      <c r="G289" s="371">
        <v>3.0</v>
      </c>
      <c r="H289" s="371">
        <v>0.0</v>
      </c>
      <c r="I289" s="371"/>
      <c r="K289" s="374"/>
      <c r="L289" s="269" t="str">
        <f t="shared" si="1"/>
        <v>V</v>
      </c>
    </row>
    <row r="290" ht="15.75" customHeight="1">
      <c r="A290" s="370">
        <v>46095.0</v>
      </c>
      <c r="B290" s="371" t="s">
        <v>1490</v>
      </c>
      <c r="C290" s="371" t="s">
        <v>1493</v>
      </c>
      <c r="D290" s="371" t="s">
        <v>1499</v>
      </c>
      <c r="E290" s="373">
        <v>0.03</v>
      </c>
      <c r="G290" s="371">
        <v>2.0</v>
      </c>
      <c r="H290" s="371">
        <v>0.0</v>
      </c>
      <c r="I290" s="371"/>
      <c r="K290" s="374"/>
      <c r="L290" s="269" t="str">
        <f t="shared" si="1"/>
        <v>V</v>
      </c>
    </row>
    <row r="291" ht="15.75" customHeight="1">
      <c r="A291" s="370">
        <v>46095.0</v>
      </c>
      <c r="B291" s="371" t="s">
        <v>1490</v>
      </c>
      <c r="C291" s="371" t="s">
        <v>1504</v>
      </c>
      <c r="D291" s="371" t="s">
        <v>1508</v>
      </c>
      <c r="E291" s="373">
        <v>0.3</v>
      </c>
      <c r="G291" s="371">
        <v>28.0</v>
      </c>
      <c r="H291" s="371">
        <v>1.0</v>
      </c>
      <c r="I291" s="371"/>
      <c r="K291" s="374"/>
      <c r="L291" s="269" t="str">
        <f t="shared" si="1"/>
        <v>V</v>
      </c>
    </row>
    <row r="292" ht="15.75" customHeight="1">
      <c r="A292" s="370">
        <v>46095.0</v>
      </c>
      <c r="B292" s="371" t="s">
        <v>1490</v>
      </c>
      <c r="C292" s="371" t="s">
        <v>1493</v>
      </c>
      <c r="D292" s="371" t="s">
        <v>1500</v>
      </c>
      <c r="E292" s="373">
        <v>2.18</v>
      </c>
      <c r="G292" s="371">
        <v>210.0</v>
      </c>
      <c r="H292" s="371">
        <v>4.0</v>
      </c>
      <c r="I292" s="371"/>
      <c r="K292" s="374"/>
      <c r="L292" s="269" t="str">
        <f t="shared" si="1"/>
        <v>V</v>
      </c>
    </row>
    <row r="293" ht="15.75" customHeight="1">
      <c r="A293" s="370">
        <v>46095.0</v>
      </c>
      <c r="B293" s="371" t="s">
        <v>1490</v>
      </c>
      <c r="C293" s="371" t="s">
        <v>1493</v>
      </c>
      <c r="D293" s="371" t="s">
        <v>1501</v>
      </c>
      <c r="E293" s="373">
        <v>0.1</v>
      </c>
      <c r="G293" s="371">
        <v>7.0</v>
      </c>
      <c r="H293" s="371">
        <v>0.0</v>
      </c>
      <c r="I293" s="371"/>
      <c r="K293" s="374"/>
      <c r="L293" s="269" t="str">
        <f t="shared" si="1"/>
        <v>V</v>
      </c>
    </row>
    <row r="294" ht="15.75" customHeight="1">
      <c r="A294" s="370">
        <v>46095.0</v>
      </c>
      <c r="B294" s="371" t="s">
        <v>1490</v>
      </c>
      <c r="C294" s="371" t="s">
        <v>1504</v>
      </c>
      <c r="D294" s="371" t="s">
        <v>1494</v>
      </c>
      <c r="E294" s="373">
        <v>10.82</v>
      </c>
      <c r="G294" s="371">
        <v>824.0</v>
      </c>
      <c r="H294" s="371">
        <v>33.0</v>
      </c>
      <c r="I294" s="371"/>
      <c r="K294" s="374">
        <v>2.0</v>
      </c>
      <c r="L294" s="269" t="str">
        <f t="shared" si="1"/>
        <v>V</v>
      </c>
    </row>
    <row r="295" ht="15.75" customHeight="1">
      <c r="A295" s="370">
        <v>46095.0</v>
      </c>
      <c r="B295" s="371" t="s">
        <v>1490</v>
      </c>
      <c r="C295" s="371" t="s">
        <v>1503</v>
      </c>
      <c r="D295" s="371" t="s">
        <v>1494</v>
      </c>
      <c r="E295" s="373">
        <v>8.85</v>
      </c>
      <c r="G295" s="371">
        <v>718.0</v>
      </c>
      <c r="H295" s="371">
        <v>24.0</v>
      </c>
      <c r="I295" s="371"/>
      <c r="K295" s="374">
        <v>2.0</v>
      </c>
      <c r="L295" s="269" t="str">
        <f t="shared" si="1"/>
        <v>V</v>
      </c>
    </row>
    <row r="296" ht="15.75" customHeight="1">
      <c r="A296" s="370">
        <v>46095.0</v>
      </c>
      <c r="B296" s="371" t="s">
        <v>1495</v>
      </c>
      <c r="C296" s="371" t="s">
        <v>1496</v>
      </c>
      <c r="D296" s="371" t="s">
        <v>1497</v>
      </c>
      <c r="E296" s="373">
        <v>8.33</v>
      </c>
      <c r="G296" s="371">
        <v>2383.0</v>
      </c>
      <c r="H296" s="371">
        <v>41.0</v>
      </c>
      <c r="I296" s="371"/>
      <c r="K296" s="374"/>
      <c r="L296" s="269" t="str">
        <f t="shared" si="1"/>
        <v>AD</v>
      </c>
    </row>
    <row r="297" ht="15.75" customHeight="1">
      <c r="A297" s="370">
        <v>46094.0</v>
      </c>
      <c r="B297" s="371" t="s">
        <v>1490</v>
      </c>
      <c r="C297" s="371" t="s">
        <v>1491</v>
      </c>
      <c r="D297" s="371" t="s">
        <v>1492</v>
      </c>
      <c r="E297" s="373">
        <v>20.87</v>
      </c>
      <c r="G297" s="371">
        <v>284.0</v>
      </c>
      <c r="H297" s="371">
        <v>9.0</v>
      </c>
      <c r="I297" s="371"/>
      <c r="K297" s="374"/>
      <c r="L297" s="269" t="str">
        <f t="shared" si="1"/>
        <v/>
      </c>
    </row>
    <row r="298" ht="15.75" customHeight="1">
      <c r="A298" s="370">
        <v>46094.0</v>
      </c>
      <c r="B298" s="371" t="s">
        <v>1490</v>
      </c>
      <c r="C298" s="371" t="s">
        <v>1491</v>
      </c>
      <c r="D298" s="371" t="s">
        <v>1502</v>
      </c>
      <c r="E298" s="373">
        <v>0.31</v>
      </c>
      <c r="G298" s="371">
        <v>3.0</v>
      </c>
      <c r="H298" s="371">
        <v>0.0</v>
      </c>
      <c r="I298" s="371"/>
      <c r="K298" s="374"/>
      <c r="L298" s="269" t="str">
        <f t="shared" si="1"/>
        <v/>
      </c>
    </row>
    <row r="299" ht="15.75" customHeight="1">
      <c r="A299" s="370">
        <v>46094.0</v>
      </c>
      <c r="B299" s="371" t="s">
        <v>1490</v>
      </c>
      <c r="C299" s="371" t="s">
        <v>1493</v>
      </c>
      <c r="D299" s="371" t="s">
        <v>1494</v>
      </c>
      <c r="E299" s="373">
        <v>9.88</v>
      </c>
      <c r="G299" s="371">
        <v>1108.0</v>
      </c>
      <c r="H299" s="371">
        <v>28.0</v>
      </c>
      <c r="I299" s="371"/>
      <c r="K299" s="374">
        <v>1.0</v>
      </c>
      <c r="L299" s="269" t="str">
        <f t="shared" si="1"/>
        <v>V</v>
      </c>
    </row>
    <row r="300" ht="15.75" customHeight="1">
      <c r="A300" s="370">
        <v>46094.0</v>
      </c>
      <c r="B300" s="371" t="s">
        <v>1490</v>
      </c>
      <c r="C300" s="371" t="s">
        <v>1503</v>
      </c>
      <c r="D300" s="371" t="s">
        <v>1498</v>
      </c>
      <c r="E300" s="373">
        <v>0.48</v>
      </c>
      <c r="G300" s="371">
        <v>8.0</v>
      </c>
      <c r="H300" s="371">
        <v>1.0</v>
      </c>
      <c r="I300" s="371"/>
      <c r="K300" s="374"/>
      <c r="L300" s="269" t="str">
        <f t="shared" si="1"/>
        <v>V</v>
      </c>
    </row>
    <row r="301" ht="15.75" customHeight="1">
      <c r="A301" s="370">
        <v>46094.0</v>
      </c>
      <c r="B301" s="371" t="s">
        <v>1490</v>
      </c>
      <c r="C301" s="371" t="s">
        <v>1504</v>
      </c>
      <c r="D301" s="371" t="s">
        <v>1498</v>
      </c>
      <c r="E301" s="373">
        <v>0.11</v>
      </c>
      <c r="G301" s="371">
        <v>8.0</v>
      </c>
      <c r="H301" s="371">
        <v>0.0</v>
      </c>
      <c r="I301" s="371"/>
      <c r="K301" s="374"/>
      <c r="L301" s="269" t="str">
        <f t="shared" si="1"/>
        <v>V</v>
      </c>
    </row>
    <row r="302" ht="15.75" customHeight="1">
      <c r="A302" s="370">
        <v>46094.0</v>
      </c>
      <c r="B302" s="371" t="s">
        <v>1490</v>
      </c>
      <c r="C302" s="371" t="s">
        <v>1503</v>
      </c>
      <c r="D302" s="371" t="s">
        <v>1505</v>
      </c>
      <c r="E302" s="373">
        <v>0.11</v>
      </c>
      <c r="G302" s="371">
        <v>1.0</v>
      </c>
      <c r="H302" s="371">
        <v>0.0</v>
      </c>
      <c r="I302" s="371"/>
      <c r="K302" s="374"/>
      <c r="L302" s="269" t="str">
        <f t="shared" si="1"/>
        <v>V-video</v>
      </c>
    </row>
    <row r="303" ht="15.75" customHeight="1">
      <c r="A303" s="370">
        <v>46094.0</v>
      </c>
      <c r="B303" s="371" t="s">
        <v>1490</v>
      </c>
      <c r="C303" s="371" t="s">
        <v>1503</v>
      </c>
      <c r="D303" s="371" t="s">
        <v>1508</v>
      </c>
      <c r="E303" s="373">
        <v>1.2</v>
      </c>
      <c r="G303" s="371">
        <v>116.0</v>
      </c>
      <c r="H303" s="371">
        <v>5.0</v>
      </c>
      <c r="I303" s="371"/>
      <c r="K303" s="374">
        <v>1.0</v>
      </c>
      <c r="L303" s="269" t="str">
        <f t="shared" si="1"/>
        <v>V</v>
      </c>
    </row>
    <row r="304" ht="15.75" customHeight="1">
      <c r="A304" s="370">
        <v>46094.0</v>
      </c>
      <c r="B304" s="371" t="s">
        <v>1490</v>
      </c>
      <c r="C304" s="371" t="s">
        <v>1504</v>
      </c>
      <c r="D304" s="371" t="s">
        <v>1507</v>
      </c>
      <c r="E304" s="373">
        <v>2.57</v>
      </c>
      <c r="G304" s="371">
        <v>166.0</v>
      </c>
      <c r="H304" s="371">
        <v>9.0</v>
      </c>
      <c r="I304" s="371"/>
      <c r="K304" s="374"/>
      <c r="L304" s="269" t="str">
        <f t="shared" si="1"/>
        <v>V</v>
      </c>
    </row>
    <row r="305" ht="15.75" customHeight="1">
      <c r="A305" s="370">
        <v>46094.0</v>
      </c>
      <c r="B305" s="371" t="s">
        <v>1490</v>
      </c>
      <c r="C305" s="371" t="s">
        <v>1493</v>
      </c>
      <c r="D305" s="371" t="s">
        <v>1500</v>
      </c>
      <c r="E305" s="373">
        <v>0.31</v>
      </c>
      <c r="G305" s="371">
        <v>40.0</v>
      </c>
      <c r="H305" s="371">
        <v>1.0</v>
      </c>
      <c r="I305" s="371"/>
      <c r="K305" s="374"/>
      <c r="L305" s="269" t="str">
        <f t="shared" si="1"/>
        <v>V</v>
      </c>
    </row>
    <row r="306" ht="15.75" customHeight="1">
      <c r="A306" s="370">
        <v>46094.0</v>
      </c>
      <c r="B306" s="371" t="s">
        <v>1490</v>
      </c>
      <c r="C306" s="371" t="s">
        <v>1504</v>
      </c>
      <c r="D306" s="371" t="s">
        <v>1494</v>
      </c>
      <c r="E306" s="373">
        <v>8.77</v>
      </c>
      <c r="G306" s="371">
        <v>681.0</v>
      </c>
      <c r="H306" s="371">
        <v>38.0</v>
      </c>
      <c r="I306" s="371"/>
      <c r="K306" s="374">
        <v>2.0</v>
      </c>
      <c r="L306" s="269" t="str">
        <f t="shared" si="1"/>
        <v>V</v>
      </c>
    </row>
    <row r="307" ht="15.75" customHeight="1">
      <c r="A307" s="370">
        <v>46094.0</v>
      </c>
      <c r="B307" s="371" t="s">
        <v>1490</v>
      </c>
      <c r="C307" s="371" t="s">
        <v>1503</v>
      </c>
      <c r="D307" s="371" t="s">
        <v>1494</v>
      </c>
      <c r="E307" s="373">
        <v>7.53</v>
      </c>
      <c r="G307" s="371">
        <v>640.0</v>
      </c>
      <c r="H307" s="371">
        <v>14.0</v>
      </c>
      <c r="I307" s="371"/>
      <c r="K307" s="374"/>
      <c r="L307" s="269" t="str">
        <f t="shared" si="1"/>
        <v>V</v>
      </c>
    </row>
    <row r="308" ht="15.75" customHeight="1">
      <c r="A308" s="370">
        <v>46094.0</v>
      </c>
      <c r="B308" s="371" t="s">
        <v>1495</v>
      </c>
      <c r="C308" s="371" t="s">
        <v>1496</v>
      </c>
      <c r="D308" s="371" t="s">
        <v>1497</v>
      </c>
      <c r="E308" s="373">
        <v>10.89</v>
      </c>
      <c r="G308" s="371">
        <v>2359.0</v>
      </c>
      <c r="H308" s="371">
        <v>45.0</v>
      </c>
      <c r="I308" s="371"/>
      <c r="K308" s="374">
        <v>1.0</v>
      </c>
      <c r="L308" s="269" t="str">
        <f t="shared" si="1"/>
        <v>AD</v>
      </c>
    </row>
    <row r="309" ht="15.75" customHeight="1">
      <c r="A309" s="370">
        <v>46093.0</v>
      </c>
      <c r="B309" s="371" t="s">
        <v>1490</v>
      </c>
      <c r="C309" s="371" t="s">
        <v>1491</v>
      </c>
      <c r="D309" s="371" t="s">
        <v>1492</v>
      </c>
      <c r="E309" s="373">
        <v>20.68</v>
      </c>
      <c r="G309" s="371">
        <v>279.0</v>
      </c>
      <c r="H309" s="371">
        <v>14.0</v>
      </c>
      <c r="I309" s="371"/>
      <c r="K309" s="374"/>
      <c r="L309" s="269" t="str">
        <f t="shared" si="1"/>
        <v/>
      </c>
    </row>
    <row r="310" ht="15.75" customHeight="1">
      <c r="A310" s="370">
        <v>46093.0</v>
      </c>
      <c r="B310" s="371" t="s">
        <v>1490</v>
      </c>
      <c r="C310" s="371" t="s">
        <v>1493</v>
      </c>
      <c r="D310" s="371" t="s">
        <v>1494</v>
      </c>
      <c r="E310" s="373">
        <v>7.27</v>
      </c>
      <c r="G310" s="371">
        <v>646.0</v>
      </c>
      <c r="H310" s="371">
        <v>17.0</v>
      </c>
      <c r="I310" s="371">
        <v>1.0</v>
      </c>
      <c r="K310" s="374">
        <v>1.0</v>
      </c>
      <c r="L310" s="269" t="str">
        <f t="shared" si="1"/>
        <v>V</v>
      </c>
    </row>
    <row r="311" ht="15.75" customHeight="1">
      <c r="A311" s="370">
        <v>46093.0</v>
      </c>
      <c r="B311" s="371" t="s">
        <v>1490</v>
      </c>
      <c r="C311" s="371" t="s">
        <v>1503</v>
      </c>
      <c r="D311" s="371" t="s">
        <v>1498</v>
      </c>
      <c r="E311" s="373">
        <v>0.02</v>
      </c>
      <c r="G311" s="371">
        <v>2.0</v>
      </c>
      <c r="H311" s="371">
        <v>0.0</v>
      </c>
      <c r="I311" s="371"/>
      <c r="K311" s="374"/>
      <c r="L311" s="269" t="str">
        <f t="shared" si="1"/>
        <v>V</v>
      </c>
    </row>
    <row r="312" ht="15.75" customHeight="1">
      <c r="A312" s="370">
        <v>46093.0</v>
      </c>
      <c r="B312" s="371" t="s">
        <v>1490</v>
      </c>
      <c r="C312" s="371" t="s">
        <v>1493</v>
      </c>
      <c r="D312" s="371" t="s">
        <v>1498</v>
      </c>
      <c r="E312" s="373">
        <v>0.27</v>
      </c>
      <c r="G312" s="371">
        <v>15.0</v>
      </c>
      <c r="H312" s="371">
        <v>0.0</v>
      </c>
      <c r="I312" s="371"/>
      <c r="K312" s="374"/>
      <c r="L312" s="269" t="str">
        <f t="shared" si="1"/>
        <v>V</v>
      </c>
    </row>
    <row r="313" ht="15.75" customHeight="1">
      <c r="A313" s="370">
        <v>46093.0</v>
      </c>
      <c r="B313" s="371" t="s">
        <v>1490</v>
      </c>
      <c r="C313" s="371" t="s">
        <v>1504</v>
      </c>
      <c r="D313" s="371" t="s">
        <v>1508</v>
      </c>
      <c r="E313" s="373">
        <v>1.49</v>
      </c>
      <c r="G313" s="371">
        <v>42.0</v>
      </c>
      <c r="H313" s="371">
        <v>3.0</v>
      </c>
      <c r="I313" s="371"/>
      <c r="K313" s="374">
        <v>1.0</v>
      </c>
      <c r="L313" s="269" t="str">
        <f t="shared" si="1"/>
        <v>V</v>
      </c>
    </row>
    <row r="314" ht="15.75" customHeight="1">
      <c r="A314" s="370">
        <v>46093.0</v>
      </c>
      <c r="B314" s="371" t="s">
        <v>1490</v>
      </c>
      <c r="C314" s="371" t="s">
        <v>1504</v>
      </c>
      <c r="D314" s="371" t="s">
        <v>1507</v>
      </c>
      <c r="E314" s="373">
        <v>0.35</v>
      </c>
      <c r="G314" s="371">
        <v>20.0</v>
      </c>
      <c r="H314" s="371">
        <v>2.0</v>
      </c>
      <c r="I314" s="371"/>
      <c r="K314" s="374">
        <v>1.0</v>
      </c>
      <c r="L314" s="269" t="str">
        <f t="shared" si="1"/>
        <v>V</v>
      </c>
    </row>
    <row r="315" ht="15.75" customHeight="1">
      <c r="A315" s="370">
        <v>46093.0</v>
      </c>
      <c r="B315" s="371" t="s">
        <v>1490</v>
      </c>
      <c r="C315" s="371" t="s">
        <v>1493</v>
      </c>
      <c r="D315" s="371" t="s">
        <v>1500</v>
      </c>
      <c r="E315" s="373">
        <v>0.24</v>
      </c>
      <c r="G315" s="371">
        <v>27.0</v>
      </c>
      <c r="H315" s="371">
        <v>1.0</v>
      </c>
      <c r="I315" s="371"/>
      <c r="K315" s="374"/>
      <c r="L315" s="269" t="str">
        <f t="shared" si="1"/>
        <v>V</v>
      </c>
    </row>
    <row r="316" ht="15.75" customHeight="1">
      <c r="A316" s="370">
        <v>46093.0</v>
      </c>
      <c r="B316" s="371" t="s">
        <v>1490</v>
      </c>
      <c r="C316" s="371" t="s">
        <v>1493</v>
      </c>
      <c r="D316" s="371" t="s">
        <v>1501</v>
      </c>
      <c r="E316" s="373">
        <v>1.07</v>
      </c>
      <c r="G316" s="371">
        <v>75.0</v>
      </c>
      <c r="H316" s="371">
        <v>2.0</v>
      </c>
      <c r="I316" s="371"/>
      <c r="K316" s="374"/>
      <c r="L316" s="269" t="str">
        <f t="shared" si="1"/>
        <v>V</v>
      </c>
    </row>
    <row r="317" ht="15.75" customHeight="1">
      <c r="A317" s="370">
        <v>46093.0</v>
      </c>
      <c r="B317" s="371" t="s">
        <v>1490</v>
      </c>
      <c r="C317" s="371" t="s">
        <v>1504</v>
      </c>
      <c r="D317" s="371" t="s">
        <v>1494</v>
      </c>
      <c r="E317" s="373">
        <v>9.35</v>
      </c>
      <c r="G317" s="371">
        <v>523.0</v>
      </c>
      <c r="H317" s="371">
        <v>29.0</v>
      </c>
      <c r="I317" s="371"/>
      <c r="K317" s="374">
        <v>1.0</v>
      </c>
      <c r="L317" s="269" t="str">
        <f t="shared" si="1"/>
        <v>V</v>
      </c>
    </row>
    <row r="318" ht="15.75" customHeight="1">
      <c r="A318" s="370">
        <v>46093.0</v>
      </c>
      <c r="B318" s="371" t="s">
        <v>1490</v>
      </c>
      <c r="C318" s="371" t="s">
        <v>1503</v>
      </c>
      <c r="D318" s="371" t="s">
        <v>1494</v>
      </c>
      <c r="E318" s="373">
        <v>10.25</v>
      </c>
      <c r="G318" s="371">
        <v>766.0</v>
      </c>
      <c r="H318" s="371">
        <v>44.0</v>
      </c>
      <c r="I318" s="371"/>
      <c r="K318" s="374"/>
      <c r="L318" s="269" t="str">
        <f t="shared" si="1"/>
        <v>V</v>
      </c>
    </row>
    <row r="319" ht="15.75" customHeight="1">
      <c r="A319" s="370">
        <v>46093.0</v>
      </c>
      <c r="B319" s="371" t="s">
        <v>1495</v>
      </c>
      <c r="C319" s="371" t="s">
        <v>1496</v>
      </c>
      <c r="D319" s="371" t="s">
        <v>1497</v>
      </c>
      <c r="E319" s="373">
        <v>9.56</v>
      </c>
      <c r="G319" s="371">
        <v>2105.0</v>
      </c>
      <c r="H319" s="371">
        <v>49.0</v>
      </c>
      <c r="I319" s="371"/>
      <c r="K319" s="374"/>
      <c r="L319" s="269" t="str">
        <f t="shared" si="1"/>
        <v>AD</v>
      </c>
    </row>
    <row r="320" ht="15.75" customHeight="1">
      <c r="A320" s="370">
        <v>46092.0</v>
      </c>
      <c r="B320" s="371" t="s">
        <v>1490</v>
      </c>
      <c r="C320" s="371" t="s">
        <v>1491</v>
      </c>
      <c r="D320" s="371" t="s">
        <v>1492</v>
      </c>
      <c r="E320" s="373">
        <v>18.33</v>
      </c>
      <c r="G320" s="371">
        <v>237.0</v>
      </c>
      <c r="H320" s="371">
        <v>6.0</v>
      </c>
      <c r="I320" s="371"/>
      <c r="K320" s="374"/>
      <c r="L320" s="269" t="str">
        <f t="shared" si="1"/>
        <v/>
      </c>
    </row>
    <row r="321" ht="15.75" customHeight="1">
      <c r="A321" s="370">
        <v>46092.0</v>
      </c>
      <c r="B321" s="371" t="s">
        <v>1490</v>
      </c>
      <c r="C321" s="371" t="s">
        <v>1491</v>
      </c>
      <c r="D321" s="371" t="s">
        <v>1502</v>
      </c>
      <c r="E321" s="373">
        <v>2.41</v>
      </c>
      <c r="G321" s="371">
        <v>23.0</v>
      </c>
      <c r="H321" s="371">
        <v>0.0</v>
      </c>
      <c r="I321" s="371"/>
      <c r="K321" s="374"/>
      <c r="L321" s="269" t="str">
        <f t="shared" si="1"/>
        <v/>
      </c>
    </row>
    <row r="322" ht="15.75" customHeight="1">
      <c r="A322" s="370">
        <v>46092.0</v>
      </c>
      <c r="B322" s="371" t="s">
        <v>1490</v>
      </c>
      <c r="C322" s="371" t="s">
        <v>1493</v>
      </c>
      <c r="D322" s="371" t="s">
        <v>1494</v>
      </c>
      <c r="E322" s="373">
        <v>10.52</v>
      </c>
      <c r="G322" s="371">
        <v>856.0</v>
      </c>
      <c r="H322" s="371">
        <v>24.0</v>
      </c>
      <c r="I322" s="371">
        <v>1.0</v>
      </c>
      <c r="K322" s="374">
        <v>1.0</v>
      </c>
      <c r="L322" s="269" t="str">
        <f t="shared" si="1"/>
        <v>V</v>
      </c>
    </row>
    <row r="323" ht="15.75" customHeight="1">
      <c r="A323" s="370">
        <v>46092.0</v>
      </c>
      <c r="B323" s="371" t="s">
        <v>1490</v>
      </c>
      <c r="C323" s="371" t="s">
        <v>1503</v>
      </c>
      <c r="D323" s="371" t="s">
        <v>1498</v>
      </c>
      <c r="E323" s="373">
        <v>0.62</v>
      </c>
      <c r="G323" s="371">
        <v>36.0</v>
      </c>
      <c r="H323" s="371">
        <v>0.0</v>
      </c>
      <c r="I323" s="371"/>
      <c r="K323" s="374"/>
      <c r="L323" s="269" t="str">
        <f t="shared" si="1"/>
        <v>V</v>
      </c>
    </row>
    <row r="324" ht="15.75" customHeight="1">
      <c r="A324" s="370">
        <v>46092.0</v>
      </c>
      <c r="B324" s="371" t="s">
        <v>1490</v>
      </c>
      <c r="C324" s="371" t="s">
        <v>1504</v>
      </c>
      <c r="D324" s="371" t="s">
        <v>1498</v>
      </c>
      <c r="E324" s="373">
        <v>0.74</v>
      </c>
      <c r="G324" s="371">
        <v>27.0</v>
      </c>
      <c r="H324" s="371">
        <v>1.0</v>
      </c>
      <c r="I324" s="371"/>
      <c r="K324" s="374"/>
      <c r="L324" s="269" t="str">
        <f t="shared" si="1"/>
        <v>V</v>
      </c>
    </row>
    <row r="325" ht="15.75" customHeight="1">
      <c r="A325" s="370">
        <v>46092.0</v>
      </c>
      <c r="B325" s="371" t="s">
        <v>1490</v>
      </c>
      <c r="C325" s="371" t="s">
        <v>1493</v>
      </c>
      <c r="D325" s="371" t="s">
        <v>1498</v>
      </c>
      <c r="E325" s="373">
        <v>0.01</v>
      </c>
      <c r="G325" s="371">
        <v>1.0</v>
      </c>
      <c r="H325" s="371">
        <v>0.0</v>
      </c>
      <c r="I325" s="371"/>
      <c r="K325" s="374"/>
      <c r="L325" s="269" t="str">
        <f t="shared" si="1"/>
        <v>V</v>
      </c>
    </row>
    <row r="326" ht="15.75" customHeight="1">
      <c r="A326" s="370">
        <v>46092.0</v>
      </c>
      <c r="B326" s="371" t="s">
        <v>1490</v>
      </c>
      <c r="C326" s="371" t="s">
        <v>1503</v>
      </c>
      <c r="D326" s="371" t="s">
        <v>1505</v>
      </c>
      <c r="E326" s="373">
        <v>0.02</v>
      </c>
      <c r="G326" s="371">
        <v>3.0</v>
      </c>
      <c r="H326" s="371">
        <v>0.0</v>
      </c>
      <c r="I326" s="371"/>
      <c r="K326" s="374"/>
      <c r="L326" s="269" t="str">
        <f t="shared" si="1"/>
        <v>V-video</v>
      </c>
    </row>
    <row r="327" ht="15.75" customHeight="1">
      <c r="A327" s="370">
        <v>46092.0</v>
      </c>
      <c r="B327" s="371" t="s">
        <v>1490</v>
      </c>
      <c r="C327" s="371" t="s">
        <v>1504</v>
      </c>
      <c r="D327" s="371" t="s">
        <v>1506</v>
      </c>
      <c r="E327" s="373">
        <v>0.03</v>
      </c>
      <c r="G327" s="371">
        <v>4.0</v>
      </c>
      <c r="H327" s="371">
        <v>0.0</v>
      </c>
      <c r="I327" s="371"/>
      <c r="K327" s="374"/>
      <c r="L327" s="269" t="str">
        <f t="shared" si="1"/>
        <v>V</v>
      </c>
    </row>
    <row r="328" ht="15.75" customHeight="1">
      <c r="A328" s="370">
        <v>46092.0</v>
      </c>
      <c r="B328" s="371" t="s">
        <v>1490</v>
      </c>
      <c r="C328" s="371" t="s">
        <v>1493</v>
      </c>
      <c r="D328" s="371" t="s">
        <v>1499</v>
      </c>
      <c r="E328" s="373">
        <v>0.0</v>
      </c>
      <c r="G328" s="371">
        <v>2.0</v>
      </c>
      <c r="H328" s="371">
        <v>0.0</v>
      </c>
      <c r="I328" s="371"/>
      <c r="K328" s="374"/>
      <c r="L328" s="269" t="str">
        <f t="shared" si="1"/>
        <v>V</v>
      </c>
    </row>
    <row r="329" ht="15.75" customHeight="1">
      <c r="A329" s="370">
        <v>46092.0</v>
      </c>
      <c r="B329" s="371" t="s">
        <v>1490</v>
      </c>
      <c r="C329" s="371" t="s">
        <v>1503</v>
      </c>
      <c r="D329" s="371" t="s">
        <v>1508</v>
      </c>
      <c r="E329" s="373">
        <v>2.05</v>
      </c>
      <c r="G329" s="371">
        <v>193.0</v>
      </c>
      <c r="H329" s="371">
        <v>4.0</v>
      </c>
      <c r="I329" s="371"/>
      <c r="K329" s="374"/>
      <c r="L329" s="269" t="str">
        <f t="shared" si="1"/>
        <v>V</v>
      </c>
    </row>
    <row r="330" ht="15.75" customHeight="1">
      <c r="A330" s="370">
        <v>46092.0</v>
      </c>
      <c r="B330" s="371" t="s">
        <v>1490</v>
      </c>
      <c r="C330" s="371" t="s">
        <v>1493</v>
      </c>
      <c r="D330" s="371" t="s">
        <v>1500</v>
      </c>
      <c r="E330" s="373">
        <v>0.75</v>
      </c>
      <c r="G330" s="371">
        <v>89.0</v>
      </c>
      <c r="H330" s="371">
        <v>1.0</v>
      </c>
      <c r="I330" s="371"/>
      <c r="K330" s="374"/>
      <c r="L330" s="269" t="str">
        <f t="shared" si="1"/>
        <v>V</v>
      </c>
    </row>
    <row r="331" ht="15.75" customHeight="1">
      <c r="A331" s="370">
        <v>46092.0</v>
      </c>
      <c r="B331" s="371" t="s">
        <v>1490</v>
      </c>
      <c r="C331" s="371" t="s">
        <v>1504</v>
      </c>
      <c r="D331" s="371" t="s">
        <v>1494</v>
      </c>
      <c r="E331" s="373">
        <v>12.09</v>
      </c>
      <c r="G331" s="371">
        <v>879.0</v>
      </c>
      <c r="H331" s="371">
        <v>41.0</v>
      </c>
      <c r="I331" s="371"/>
      <c r="K331" s="374">
        <v>1.0</v>
      </c>
      <c r="L331" s="269" t="str">
        <f t="shared" si="1"/>
        <v>V</v>
      </c>
    </row>
    <row r="332" ht="15.75" customHeight="1">
      <c r="A332" s="370">
        <v>46092.0</v>
      </c>
      <c r="B332" s="371" t="s">
        <v>1490</v>
      </c>
      <c r="C332" s="371" t="s">
        <v>1503</v>
      </c>
      <c r="D332" s="371" t="s">
        <v>1494</v>
      </c>
      <c r="E332" s="373">
        <v>7.08</v>
      </c>
      <c r="G332" s="371">
        <v>529.0</v>
      </c>
      <c r="H332" s="371">
        <v>18.0</v>
      </c>
      <c r="I332" s="371"/>
      <c r="K332" s="374">
        <v>1.0</v>
      </c>
      <c r="L332" s="269" t="str">
        <f t="shared" si="1"/>
        <v>V</v>
      </c>
    </row>
    <row r="333" ht="15.75" customHeight="1">
      <c r="A333" s="370">
        <v>46092.0</v>
      </c>
      <c r="B333" s="371" t="s">
        <v>1495</v>
      </c>
      <c r="C333" s="371" t="s">
        <v>1496</v>
      </c>
      <c r="D333" s="371" t="s">
        <v>1497</v>
      </c>
      <c r="E333" s="373">
        <v>10.22</v>
      </c>
      <c r="G333" s="371">
        <v>3024.0</v>
      </c>
      <c r="H333" s="371">
        <v>46.0</v>
      </c>
      <c r="I333" s="371"/>
      <c r="K333" s="374"/>
      <c r="L333" s="269" t="str">
        <f t="shared" si="1"/>
        <v>AD</v>
      </c>
    </row>
    <row r="334" ht="15.75" customHeight="1">
      <c r="A334" s="370">
        <v>46091.0</v>
      </c>
      <c r="B334" s="371" t="s">
        <v>1490</v>
      </c>
      <c r="C334" s="371" t="s">
        <v>1491</v>
      </c>
      <c r="D334" s="371" t="s">
        <v>1492</v>
      </c>
      <c r="E334" s="373">
        <v>22.77</v>
      </c>
      <c r="G334" s="371">
        <v>256.0</v>
      </c>
      <c r="H334" s="371">
        <v>10.0</v>
      </c>
      <c r="I334" s="371"/>
      <c r="K334" s="374">
        <v>2.0</v>
      </c>
      <c r="L334" s="269" t="str">
        <f t="shared" si="1"/>
        <v/>
      </c>
    </row>
    <row r="335" ht="15.75" customHeight="1">
      <c r="A335" s="370">
        <v>46091.0</v>
      </c>
      <c r="B335" s="371" t="s">
        <v>1490</v>
      </c>
      <c r="C335" s="371" t="s">
        <v>1493</v>
      </c>
      <c r="D335" s="371" t="s">
        <v>1494</v>
      </c>
      <c r="E335" s="373">
        <v>10.86</v>
      </c>
      <c r="G335" s="371">
        <v>1020.0</v>
      </c>
      <c r="H335" s="371">
        <v>25.0</v>
      </c>
      <c r="I335" s="371"/>
      <c r="K335" s="374">
        <v>2.0</v>
      </c>
      <c r="L335" s="269" t="str">
        <f t="shared" si="1"/>
        <v>V</v>
      </c>
    </row>
    <row r="336" ht="15.75" customHeight="1">
      <c r="A336" s="370">
        <v>46091.0</v>
      </c>
      <c r="B336" s="371" t="s">
        <v>1490</v>
      </c>
      <c r="C336" s="371" t="s">
        <v>1503</v>
      </c>
      <c r="D336" s="371" t="s">
        <v>1505</v>
      </c>
      <c r="E336" s="373">
        <v>0.01</v>
      </c>
      <c r="G336" s="371">
        <v>1.0</v>
      </c>
      <c r="H336" s="371">
        <v>0.0</v>
      </c>
      <c r="I336" s="371"/>
      <c r="K336" s="374"/>
      <c r="L336" s="269" t="str">
        <f t="shared" si="1"/>
        <v>V-video</v>
      </c>
    </row>
    <row r="337" ht="15.75" customHeight="1">
      <c r="A337" s="370">
        <v>46091.0</v>
      </c>
      <c r="B337" s="371" t="s">
        <v>1490</v>
      </c>
      <c r="C337" s="371" t="s">
        <v>1503</v>
      </c>
      <c r="D337" s="371" t="s">
        <v>1507</v>
      </c>
      <c r="E337" s="373">
        <v>0.76</v>
      </c>
      <c r="G337" s="371">
        <v>50.0</v>
      </c>
      <c r="H337" s="371">
        <v>0.0</v>
      </c>
      <c r="I337" s="371"/>
      <c r="K337" s="374"/>
      <c r="L337" s="269" t="str">
        <f t="shared" si="1"/>
        <v>V</v>
      </c>
    </row>
    <row r="338" ht="15.75" customHeight="1">
      <c r="A338" s="370">
        <v>46091.0</v>
      </c>
      <c r="B338" s="371" t="s">
        <v>1490</v>
      </c>
      <c r="C338" s="371" t="s">
        <v>1504</v>
      </c>
      <c r="D338" s="371" t="s">
        <v>1508</v>
      </c>
      <c r="E338" s="373">
        <v>1.39</v>
      </c>
      <c r="G338" s="371">
        <v>91.0</v>
      </c>
      <c r="H338" s="371">
        <v>9.0</v>
      </c>
      <c r="I338" s="371"/>
      <c r="K338" s="374"/>
      <c r="L338" s="269" t="str">
        <f t="shared" si="1"/>
        <v>V</v>
      </c>
    </row>
    <row r="339" ht="15.75" customHeight="1">
      <c r="A339" s="370">
        <v>46091.0</v>
      </c>
      <c r="B339" s="371" t="s">
        <v>1490</v>
      </c>
      <c r="C339" s="371" t="s">
        <v>1504</v>
      </c>
      <c r="D339" s="371" t="s">
        <v>1507</v>
      </c>
      <c r="E339" s="373">
        <v>2.74</v>
      </c>
      <c r="G339" s="371">
        <v>125.0</v>
      </c>
      <c r="H339" s="371">
        <v>10.0</v>
      </c>
      <c r="I339" s="371"/>
      <c r="K339" s="374"/>
      <c r="L339" s="269" t="str">
        <f t="shared" si="1"/>
        <v>V</v>
      </c>
    </row>
    <row r="340" ht="15.75" customHeight="1">
      <c r="A340" s="370">
        <v>46091.0</v>
      </c>
      <c r="B340" s="371" t="s">
        <v>1490</v>
      </c>
      <c r="C340" s="371" t="s">
        <v>1493</v>
      </c>
      <c r="D340" s="371" t="s">
        <v>1501</v>
      </c>
      <c r="E340" s="373">
        <v>0.56</v>
      </c>
      <c r="G340" s="371">
        <v>55.0</v>
      </c>
      <c r="H340" s="371">
        <v>2.0</v>
      </c>
      <c r="I340" s="371"/>
      <c r="K340" s="374"/>
      <c r="L340" s="269" t="str">
        <f t="shared" si="1"/>
        <v>V</v>
      </c>
    </row>
    <row r="341" ht="15.75" customHeight="1">
      <c r="A341" s="370">
        <v>46091.0</v>
      </c>
      <c r="B341" s="371" t="s">
        <v>1490</v>
      </c>
      <c r="C341" s="371" t="s">
        <v>1504</v>
      </c>
      <c r="D341" s="371" t="s">
        <v>1494</v>
      </c>
      <c r="E341" s="373">
        <v>8.01</v>
      </c>
      <c r="G341" s="371">
        <v>676.0</v>
      </c>
      <c r="H341" s="371">
        <v>34.0</v>
      </c>
      <c r="I341" s="371"/>
      <c r="K341" s="374">
        <v>4.0</v>
      </c>
      <c r="L341" s="269" t="str">
        <f t="shared" si="1"/>
        <v>V</v>
      </c>
    </row>
    <row r="342" ht="15.75" customHeight="1">
      <c r="A342" s="370">
        <v>46091.0</v>
      </c>
      <c r="B342" s="371" t="s">
        <v>1490</v>
      </c>
      <c r="C342" s="371" t="s">
        <v>1503</v>
      </c>
      <c r="D342" s="371" t="s">
        <v>1494</v>
      </c>
      <c r="E342" s="373">
        <v>10.88</v>
      </c>
      <c r="G342" s="371">
        <v>866.0</v>
      </c>
      <c r="H342" s="371">
        <v>37.0</v>
      </c>
      <c r="I342" s="371"/>
      <c r="K342" s="374">
        <v>1.0</v>
      </c>
      <c r="L342" s="269" t="str">
        <f t="shared" si="1"/>
        <v>V</v>
      </c>
    </row>
    <row r="343" ht="15.75" customHeight="1">
      <c r="A343" s="370">
        <v>46091.0</v>
      </c>
      <c r="B343" s="371" t="s">
        <v>1495</v>
      </c>
      <c r="C343" s="371" t="s">
        <v>1496</v>
      </c>
      <c r="D343" s="371" t="s">
        <v>1497</v>
      </c>
      <c r="E343" s="373">
        <v>10.22</v>
      </c>
      <c r="G343" s="371">
        <v>3900.0</v>
      </c>
      <c r="H343" s="371">
        <v>46.0</v>
      </c>
      <c r="I343" s="371"/>
      <c r="K343" s="374"/>
      <c r="L343" s="269" t="str">
        <f t="shared" si="1"/>
        <v>AD</v>
      </c>
    </row>
    <row r="344" ht="15.75" customHeight="1">
      <c r="A344" s="370">
        <v>46090.0</v>
      </c>
      <c r="B344" s="371" t="s">
        <v>1490</v>
      </c>
      <c r="C344" s="371" t="s">
        <v>1491</v>
      </c>
      <c r="D344" s="371" t="s">
        <v>1492</v>
      </c>
      <c r="E344" s="373">
        <v>17.93</v>
      </c>
      <c r="G344" s="371">
        <v>252.0</v>
      </c>
      <c r="H344" s="371">
        <v>3.0</v>
      </c>
      <c r="I344" s="371"/>
      <c r="K344" s="374"/>
      <c r="L344" s="269" t="str">
        <f t="shared" si="1"/>
        <v/>
      </c>
    </row>
    <row r="345" ht="15.75" customHeight="1">
      <c r="A345" s="370">
        <v>46090.0</v>
      </c>
      <c r="B345" s="371" t="s">
        <v>1490</v>
      </c>
      <c r="C345" s="371" t="s">
        <v>1491</v>
      </c>
      <c r="D345" s="371" t="s">
        <v>1502</v>
      </c>
      <c r="E345" s="373">
        <v>3.13</v>
      </c>
      <c r="G345" s="371">
        <v>36.0</v>
      </c>
      <c r="H345" s="371">
        <v>0.0</v>
      </c>
      <c r="I345" s="371"/>
      <c r="K345" s="374"/>
      <c r="L345" s="269" t="str">
        <f t="shared" si="1"/>
        <v/>
      </c>
    </row>
    <row r="346" ht="15.75" customHeight="1">
      <c r="A346" s="370">
        <v>46090.0</v>
      </c>
      <c r="B346" s="371" t="s">
        <v>1490</v>
      </c>
      <c r="C346" s="371" t="s">
        <v>1493</v>
      </c>
      <c r="D346" s="371" t="s">
        <v>1494</v>
      </c>
      <c r="E346" s="373">
        <v>9.62</v>
      </c>
      <c r="G346" s="371">
        <v>775.0</v>
      </c>
      <c r="H346" s="371">
        <v>24.0</v>
      </c>
      <c r="I346" s="371">
        <v>1.0</v>
      </c>
      <c r="K346" s="374">
        <v>2.0</v>
      </c>
      <c r="L346" s="269" t="str">
        <f t="shared" si="1"/>
        <v>V</v>
      </c>
    </row>
    <row r="347" ht="15.75" customHeight="1">
      <c r="A347" s="370">
        <v>46090.0</v>
      </c>
      <c r="B347" s="371" t="s">
        <v>1490</v>
      </c>
      <c r="C347" s="371" t="s">
        <v>1503</v>
      </c>
      <c r="D347" s="371" t="s">
        <v>1498</v>
      </c>
      <c r="E347" s="373">
        <v>0.29</v>
      </c>
      <c r="G347" s="371">
        <v>18.0</v>
      </c>
      <c r="H347" s="371">
        <v>1.0</v>
      </c>
      <c r="I347" s="371"/>
      <c r="K347" s="374"/>
      <c r="L347" s="269" t="str">
        <f t="shared" si="1"/>
        <v>V</v>
      </c>
    </row>
    <row r="348" ht="15.75" customHeight="1">
      <c r="A348" s="370">
        <v>46090.0</v>
      </c>
      <c r="B348" s="371" t="s">
        <v>1490</v>
      </c>
      <c r="C348" s="371" t="s">
        <v>1504</v>
      </c>
      <c r="D348" s="371" t="s">
        <v>1498</v>
      </c>
      <c r="E348" s="373">
        <v>0.08</v>
      </c>
      <c r="G348" s="371">
        <v>11.0</v>
      </c>
      <c r="H348" s="371">
        <v>0.0</v>
      </c>
      <c r="I348" s="371"/>
      <c r="K348" s="374"/>
      <c r="L348" s="269" t="str">
        <f t="shared" si="1"/>
        <v>V</v>
      </c>
    </row>
    <row r="349" ht="15.75" customHeight="1">
      <c r="A349" s="370">
        <v>46090.0</v>
      </c>
      <c r="B349" s="371" t="s">
        <v>1490</v>
      </c>
      <c r="C349" s="371" t="s">
        <v>1493</v>
      </c>
      <c r="D349" s="371" t="s">
        <v>1498</v>
      </c>
      <c r="E349" s="373">
        <v>0.69</v>
      </c>
      <c r="G349" s="371">
        <v>62.0</v>
      </c>
      <c r="H349" s="371">
        <v>0.0</v>
      </c>
      <c r="I349" s="371"/>
      <c r="K349" s="374"/>
      <c r="L349" s="269" t="str">
        <f t="shared" si="1"/>
        <v>V</v>
      </c>
    </row>
    <row r="350" ht="15.75" customHeight="1">
      <c r="A350" s="370">
        <v>46090.0</v>
      </c>
      <c r="B350" s="371" t="s">
        <v>1490</v>
      </c>
      <c r="C350" s="371" t="s">
        <v>1504</v>
      </c>
      <c r="D350" s="371" t="s">
        <v>1506</v>
      </c>
      <c r="E350" s="373">
        <v>0.08</v>
      </c>
      <c r="G350" s="371">
        <v>3.0</v>
      </c>
      <c r="H350" s="371">
        <v>0.0</v>
      </c>
      <c r="I350" s="371"/>
      <c r="K350" s="374"/>
      <c r="L350" s="269" t="str">
        <f t="shared" si="1"/>
        <v>V</v>
      </c>
    </row>
    <row r="351" ht="15.75" customHeight="1">
      <c r="A351" s="370">
        <v>46090.0</v>
      </c>
      <c r="B351" s="371" t="s">
        <v>1490</v>
      </c>
      <c r="C351" s="371" t="s">
        <v>1504</v>
      </c>
      <c r="D351" s="371" t="s">
        <v>1508</v>
      </c>
      <c r="E351" s="373">
        <v>0.45</v>
      </c>
      <c r="G351" s="371">
        <v>21.0</v>
      </c>
      <c r="H351" s="371">
        <v>0.0</v>
      </c>
      <c r="I351" s="371"/>
      <c r="K351" s="374"/>
      <c r="L351" s="269" t="str">
        <f t="shared" si="1"/>
        <v>V</v>
      </c>
    </row>
    <row r="352" ht="15.75" customHeight="1">
      <c r="A352" s="370">
        <v>46090.0</v>
      </c>
      <c r="B352" s="371" t="s">
        <v>1490</v>
      </c>
      <c r="C352" s="371" t="s">
        <v>1493</v>
      </c>
      <c r="D352" s="371" t="s">
        <v>1500</v>
      </c>
      <c r="E352" s="373">
        <v>1.81</v>
      </c>
      <c r="G352" s="371">
        <v>211.0</v>
      </c>
      <c r="H352" s="371">
        <v>6.0</v>
      </c>
      <c r="I352" s="371"/>
      <c r="K352" s="374">
        <v>1.0</v>
      </c>
      <c r="L352" s="269" t="str">
        <f t="shared" si="1"/>
        <v>V</v>
      </c>
    </row>
    <row r="353" ht="15.75" customHeight="1">
      <c r="A353" s="370">
        <v>46090.0</v>
      </c>
      <c r="B353" s="371" t="s">
        <v>1490</v>
      </c>
      <c r="C353" s="371" t="s">
        <v>1493</v>
      </c>
      <c r="D353" s="371" t="s">
        <v>1501</v>
      </c>
      <c r="E353" s="373">
        <v>0.13</v>
      </c>
      <c r="G353" s="371">
        <v>18.0</v>
      </c>
      <c r="H353" s="371">
        <v>1.0</v>
      </c>
      <c r="I353" s="371"/>
      <c r="K353" s="374"/>
      <c r="L353" s="269" t="str">
        <f t="shared" si="1"/>
        <v>V</v>
      </c>
    </row>
    <row r="354" ht="15.75" customHeight="1">
      <c r="A354" s="370">
        <v>46090.0</v>
      </c>
      <c r="B354" s="371" t="s">
        <v>1490</v>
      </c>
      <c r="C354" s="371" t="s">
        <v>1504</v>
      </c>
      <c r="D354" s="371" t="s">
        <v>1494</v>
      </c>
      <c r="E354" s="373">
        <v>11.66</v>
      </c>
      <c r="G354" s="371">
        <v>924.0</v>
      </c>
      <c r="H354" s="371">
        <v>33.0</v>
      </c>
      <c r="I354" s="371"/>
      <c r="K354" s="374">
        <v>1.0</v>
      </c>
      <c r="L354" s="269" t="str">
        <f t="shared" si="1"/>
        <v>V</v>
      </c>
    </row>
    <row r="355" ht="15.75" customHeight="1">
      <c r="A355" s="370">
        <v>46090.0</v>
      </c>
      <c r="B355" s="371" t="s">
        <v>1490</v>
      </c>
      <c r="C355" s="371" t="s">
        <v>1503</v>
      </c>
      <c r="D355" s="371" t="s">
        <v>1494</v>
      </c>
      <c r="E355" s="373">
        <v>13.38</v>
      </c>
      <c r="G355" s="371">
        <v>1016.0</v>
      </c>
      <c r="H355" s="371">
        <v>38.0</v>
      </c>
      <c r="I355" s="371"/>
      <c r="K355" s="374">
        <v>3.0</v>
      </c>
      <c r="L355" s="269" t="str">
        <f t="shared" si="1"/>
        <v>V</v>
      </c>
    </row>
    <row r="356" ht="15.75" customHeight="1">
      <c r="A356" s="370">
        <v>46090.0</v>
      </c>
      <c r="B356" s="371" t="s">
        <v>1495</v>
      </c>
      <c r="C356" s="371" t="s">
        <v>1496</v>
      </c>
      <c r="D356" s="371" t="s">
        <v>1497</v>
      </c>
      <c r="E356" s="373">
        <v>10.19</v>
      </c>
      <c r="G356" s="371">
        <v>3586.0</v>
      </c>
      <c r="H356" s="371">
        <v>36.0</v>
      </c>
      <c r="I356" s="371"/>
      <c r="K356" s="374"/>
      <c r="L356" s="269" t="str">
        <f t="shared" si="1"/>
        <v>AD</v>
      </c>
    </row>
    <row r="357" ht="15.75" customHeight="1">
      <c r="A357" s="370">
        <v>46089.0</v>
      </c>
      <c r="B357" s="371" t="s">
        <v>1490</v>
      </c>
      <c r="C357" s="371" t="s">
        <v>1491</v>
      </c>
      <c r="D357" s="371" t="s">
        <v>1492</v>
      </c>
      <c r="E357" s="373">
        <v>21.18</v>
      </c>
      <c r="G357" s="371">
        <v>216.0</v>
      </c>
      <c r="H357" s="371">
        <v>4.0</v>
      </c>
      <c r="I357" s="371"/>
      <c r="K357" s="374"/>
      <c r="L357" s="269" t="str">
        <f t="shared" si="1"/>
        <v/>
      </c>
    </row>
    <row r="358" ht="15.75" customHeight="1">
      <c r="A358" s="370">
        <v>46089.0</v>
      </c>
      <c r="B358" s="371" t="s">
        <v>1490</v>
      </c>
      <c r="C358" s="371" t="s">
        <v>1491</v>
      </c>
      <c r="D358" s="371" t="s">
        <v>1502</v>
      </c>
      <c r="E358" s="373">
        <v>0.16</v>
      </c>
      <c r="G358" s="371">
        <v>3.0</v>
      </c>
      <c r="H358" s="371">
        <v>0.0</v>
      </c>
      <c r="I358" s="371"/>
      <c r="K358" s="374"/>
      <c r="L358" s="269" t="str">
        <f t="shared" si="1"/>
        <v/>
      </c>
    </row>
    <row r="359" ht="15.75" customHeight="1">
      <c r="A359" s="370">
        <v>46089.0</v>
      </c>
      <c r="B359" s="371" t="s">
        <v>1490</v>
      </c>
      <c r="C359" s="371" t="s">
        <v>1493</v>
      </c>
      <c r="D359" s="371" t="s">
        <v>1494</v>
      </c>
      <c r="E359" s="373">
        <v>11.93</v>
      </c>
      <c r="G359" s="371">
        <v>821.0</v>
      </c>
      <c r="H359" s="371">
        <v>30.0</v>
      </c>
      <c r="I359" s="371"/>
      <c r="K359" s="374">
        <v>3.0</v>
      </c>
      <c r="L359" s="269" t="str">
        <f t="shared" si="1"/>
        <v>V</v>
      </c>
    </row>
    <row r="360" ht="15.75" customHeight="1">
      <c r="A360" s="370">
        <v>46089.0</v>
      </c>
      <c r="B360" s="371" t="s">
        <v>1490</v>
      </c>
      <c r="C360" s="371" t="s">
        <v>1503</v>
      </c>
      <c r="D360" s="371" t="s">
        <v>1498</v>
      </c>
      <c r="E360" s="373">
        <v>0.58</v>
      </c>
      <c r="G360" s="371">
        <v>11.0</v>
      </c>
      <c r="H360" s="371">
        <v>1.0</v>
      </c>
      <c r="I360" s="371"/>
      <c r="K360" s="374"/>
      <c r="L360" s="269" t="str">
        <f t="shared" si="1"/>
        <v>V</v>
      </c>
    </row>
    <row r="361" ht="15.75" customHeight="1">
      <c r="A361" s="370">
        <v>46089.0</v>
      </c>
      <c r="B361" s="371" t="s">
        <v>1490</v>
      </c>
      <c r="C361" s="371" t="s">
        <v>1503</v>
      </c>
      <c r="D361" s="371" t="s">
        <v>1505</v>
      </c>
      <c r="E361" s="373">
        <v>0.01</v>
      </c>
      <c r="G361" s="371">
        <v>3.0</v>
      </c>
      <c r="H361" s="371">
        <v>0.0</v>
      </c>
      <c r="I361" s="371"/>
      <c r="K361" s="374"/>
      <c r="L361" s="269" t="str">
        <f t="shared" si="1"/>
        <v>V-video</v>
      </c>
    </row>
    <row r="362" ht="15.75" customHeight="1">
      <c r="A362" s="370">
        <v>46089.0</v>
      </c>
      <c r="B362" s="371" t="s">
        <v>1490</v>
      </c>
      <c r="C362" s="371" t="s">
        <v>1503</v>
      </c>
      <c r="D362" s="371" t="s">
        <v>1508</v>
      </c>
      <c r="E362" s="373">
        <v>1.55</v>
      </c>
      <c r="G362" s="371">
        <v>110.0</v>
      </c>
      <c r="H362" s="371">
        <v>3.0</v>
      </c>
      <c r="I362" s="371"/>
      <c r="K362" s="374"/>
      <c r="L362" s="269" t="str">
        <f t="shared" si="1"/>
        <v>V</v>
      </c>
    </row>
    <row r="363" ht="15.75" customHeight="1">
      <c r="A363" s="370">
        <v>46089.0</v>
      </c>
      <c r="B363" s="371" t="s">
        <v>1490</v>
      </c>
      <c r="C363" s="371" t="s">
        <v>1504</v>
      </c>
      <c r="D363" s="371" t="s">
        <v>1508</v>
      </c>
      <c r="E363" s="373">
        <v>0.03</v>
      </c>
      <c r="G363" s="371">
        <v>1.0</v>
      </c>
      <c r="H363" s="371">
        <v>0.0</v>
      </c>
      <c r="I363" s="371"/>
      <c r="K363" s="374"/>
      <c r="L363" s="269" t="str">
        <f t="shared" si="1"/>
        <v>V</v>
      </c>
    </row>
    <row r="364" ht="15.75" customHeight="1">
      <c r="A364" s="370">
        <v>46089.0</v>
      </c>
      <c r="B364" s="371" t="s">
        <v>1490</v>
      </c>
      <c r="C364" s="371" t="s">
        <v>1504</v>
      </c>
      <c r="D364" s="371" t="s">
        <v>1507</v>
      </c>
      <c r="E364" s="373">
        <v>1.36</v>
      </c>
      <c r="G364" s="371">
        <v>79.0</v>
      </c>
      <c r="H364" s="371">
        <v>1.0</v>
      </c>
      <c r="I364" s="371"/>
      <c r="K364" s="374"/>
      <c r="L364" s="269" t="str">
        <f t="shared" si="1"/>
        <v>V</v>
      </c>
    </row>
    <row r="365" ht="15.75" customHeight="1">
      <c r="A365" s="370">
        <v>46089.0</v>
      </c>
      <c r="B365" s="371" t="s">
        <v>1490</v>
      </c>
      <c r="C365" s="371" t="s">
        <v>1493</v>
      </c>
      <c r="D365" s="371" t="s">
        <v>1500</v>
      </c>
      <c r="E365" s="373">
        <v>0.25</v>
      </c>
      <c r="G365" s="371">
        <v>22.0</v>
      </c>
      <c r="H365" s="371">
        <v>1.0</v>
      </c>
      <c r="I365" s="371"/>
      <c r="K365" s="374"/>
      <c r="L365" s="269" t="str">
        <f t="shared" si="1"/>
        <v>V</v>
      </c>
    </row>
    <row r="366" ht="15.75" customHeight="1">
      <c r="A366" s="370">
        <v>46089.0</v>
      </c>
      <c r="B366" s="371" t="s">
        <v>1490</v>
      </c>
      <c r="C366" s="371" t="s">
        <v>1504</v>
      </c>
      <c r="D366" s="371" t="s">
        <v>1494</v>
      </c>
      <c r="E366" s="373">
        <v>10.95</v>
      </c>
      <c r="G366" s="371">
        <v>838.0</v>
      </c>
      <c r="H366" s="371">
        <v>29.0</v>
      </c>
      <c r="I366" s="371"/>
      <c r="K366" s="374">
        <v>2.0</v>
      </c>
      <c r="L366" s="269" t="str">
        <f t="shared" si="1"/>
        <v>V</v>
      </c>
    </row>
    <row r="367" ht="15.75" customHeight="1">
      <c r="A367" s="370">
        <v>46089.0</v>
      </c>
      <c r="B367" s="371" t="s">
        <v>1490</v>
      </c>
      <c r="C367" s="371" t="s">
        <v>1503</v>
      </c>
      <c r="D367" s="371" t="s">
        <v>1494</v>
      </c>
      <c r="E367" s="373">
        <v>9.89</v>
      </c>
      <c r="G367" s="371">
        <v>649.0</v>
      </c>
      <c r="H367" s="371">
        <v>16.0</v>
      </c>
      <c r="I367" s="371"/>
      <c r="K367" s="374">
        <v>2.0</v>
      </c>
      <c r="L367" s="269" t="str">
        <f t="shared" si="1"/>
        <v>V</v>
      </c>
    </row>
    <row r="368" ht="15.75" customHeight="1">
      <c r="A368" s="370">
        <v>46089.0</v>
      </c>
      <c r="B368" s="371" t="s">
        <v>1495</v>
      </c>
      <c r="C368" s="371" t="s">
        <v>1496</v>
      </c>
      <c r="D368" s="371" t="s">
        <v>1497</v>
      </c>
      <c r="E368" s="373">
        <v>10.59</v>
      </c>
      <c r="G368" s="371">
        <v>4118.0</v>
      </c>
      <c r="H368" s="371">
        <v>50.0</v>
      </c>
      <c r="I368" s="371"/>
      <c r="K368" s="374">
        <v>1.0</v>
      </c>
      <c r="L368" s="269" t="str">
        <f t="shared" si="1"/>
        <v>AD</v>
      </c>
    </row>
    <row r="369" ht="15.75" customHeight="1">
      <c r="A369" s="370">
        <v>46088.0</v>
      </c>
      <c r="B369" s="371" t="s">
        <v>1490</v>
      </c>
      <c r="C369" s="371" t="s">
        <v>1491</v>
      </c>
      <c r="D369" s="371" t="s">
        <v>1492</v>
      </c>
      <c r="E369" s="373">
        <v>20.67</v>
      </c>
      <c r="G369" s="371">
        <v>297.0</v>
      </c>
      <c r="H369" s="371">
        <v>10.0</v>
      </c>
      <c r="I369" s="371"/>
      <c r="K369" s="374">
        <v>1.0</v>
      </c>
      <c r="L369" s="269" t="str">
        <f t="shared" si="1"/>
        <v/>
      </c>
    </row>
    <row r="370" ht="15.75" customHeight="1">
      <c r="A370" s="370">
        <v>46088.0</v>
      </c>
      <c r="B370" s="371" t="s">
        <v>1490</v>
      </c>
      <c r="C370" s="371" t="s">
        <v>1493</v>
      </c>
      <c r="D370" s="371" t="s">
        <v>1494</v>
      </c>
      <c r="E370" s="373">
        <v>7.52</v>
      </c>
      <c r="G370" s="371">
        <v>452.0</v>
      </c>
      <c r="H370" s="371">
        <v>17.0</v>
      </c>
      <c r="I370" s="371"/>
      <c r="K370" s="374">
        <v>3.0</v>
      </c>
      <c r="L370" s="269" t="str">
        <f t="shared" si="1"/>
        <v>V</v>
      </c>
    </row>
    <row r="371" ht="15.75" customHeight="1">
      <c r="A371" s="370">
        <v>46088.0</v>
      </c>
      <c r="B371" s="371" t="s">
        <v>1490</v>
      </c>
      <c r="C371" s="371" t="s">
        <v>1493</v>
      </c>
      <c r="D371" s="371" t="s">
        <v>1498</v>
      </c>
      <c r="E371" s="373">
        <v>0.33</v>
      </c>
      <c r="G371" s="371">
        <v>18.0</v>
      </c>
      <c r="H371" s="371">
        <v>0.0</v>
      </c>
      <c r="I371" s="371"/>
      <c r="K371" s="374"/>
      <c r="L371" s="269" t="str">
        <f t="shared" si="1"/>
        <v>V</v>
      </c>
    </row>
    <row r="372" ht="15.75" customHeight="1">
      <c r="A372" s="370">
        <v>46088.0</v>
      </c>
      <c r="B372" s="371" t="s">
        <v>1490</v>
      </c>
      <c r="C372" s="371" t="s">
        <v>1493</v>
      </c>
      <c r="D372" s="371" t="s">
        <v>1499</v>
      </c>
      <c r="E372" s="373">
        <v>0.04</v>
      </c>
      <c r="G372" s="371">
        <v>1.0</v>
      </c>
      <c r="H372" s="371">
        <v>0.0</v>
      </c>
      <c r="I372" s="371"/>
      <c r="K372" s="374"/>
      <c r="L372" s="269" t="str">
        <f t="shared" si="1"/>
        <v>V</v>
      </c>
    </row>
    <row r="373" ht="15.75" customHeight="1">
      <c r="A373" s="370">
        <v>46088.0</v>
      </c>
      <c r="B373" s="371" t="s">
        <v>1490</v>
      </c>
      <c r="C373" s="371" t="s">
        <v>1504</v>
      </c>
      <c r="D373" s="371" t="s">
        <v>1508</v>
      </c>
      <c r="E373" s="373">
        <v>1.56</v>
      </c>
      <c r="G373" s="371">
        <v>57.0</v>
      </c>
      <c r="H373" s="371">
        <v>1.0</v>
      </c>
      <c r="I373" s="371"/>
      <c r="K373" s="374"/>
      <c r="L373" s="269" t="str">
        <f t="shared" si="1"/>
        <v>V</v>
      </c>
    </row>
    <row r="374" ht="15.75" customHeight="1">
      <c r="A374" s="370">
        <v>46088.0</v>
      </c>
      <c r="B374" s="371" t="s">
        <v>1490</v>
      </c>
      <c r="C374" s="371" t="s">
        <v>1504</v>
      </c>
      <c r="D374" s="371" t="s">
        <v>1507</v>
      </c>
      <c r="E374" s="373">
        <v>1.47</v>
      </c>
      <c r="G374" s="371">
        <v>70.0</v>
      </c>
      <c r="H374" s="371">
        <v>7.0</v>
      </c>
      <c r="I374" s="371">
        <v>1.0</v>
      </c>
      <c r="K374" s="374">
        <v>1.0</v>
      </c>
      <c r="L374" s="269" t="str">
        <f t="shared" si="1"/>
        <v>V</v>
      </c>
    </row>
    <row r="375" ht="15.75" customHeight="1">
      <c r="A375" s="370">
        <v>46088.0</v>
      </c>
      <c r="B375" s="371" t="s">
        <v>1490</v>
      </c>
      <c r="C375" s="371" t="s">
        <v>1493</v>
      </c>
      <c r="D375" s="371" t="s">
        <v>1500</v>
      </c>
      <c r="E375" s="373">
        <v>0.09</v>
      </c>
      <c r="G375" s="371">
        <v>2.0</v>
      </c>
      <c r="H375" s="371">
        <v>0.0</v>
      </c>
      <c r="I375" s="371"/>
      <c r="K375" s="374"/>
      <c r="L375" s="269" t="str">
        <f t="shared" si="1"/>
        <v>V</v>
      </c>
    </row>
    <row r="376" ht="15.75" customHeight="1">
      <c r="A376" s="370">
        <v>46088.0</v>
      </c>
      <c r="B376" s="371" t="s">
        <v>1490</v>
      </c>
      <c r="C376" s="371" t="s">
        <v>1493</v>
      </c>
      <c r="D376" s="371" t="s">
        <v>1501</v>
      </c>
      <c r="E376" s="373">
        <v>0.7</v>
      </c>
      <c r="G376" s="371">
        <v>30.0</v>
      </c>
      <c r="H376" s="371">
        <v>2.0</v>
      </c>
      <c r="I376" s="371"/>
      <c r="K376" s="374"/>
      <c r="L376" s="269" t="str">
        <f t="shared" si="1"/>
        <v>V</v>
      </c>
    </row>
    <row r="377" ht="15.75" customHeight="1">
      <c r="A377" s="370">
        <v>46088.0</v>
      </c>
      <c r="B377" s="371" t="s">
        <v>1490</v>
      </c>
      <c r="C377" s="371" t="s">
        <v>1504</v>
      </c>
      <c r="D377" s="371" t="s">
        <v>1494</v>
      </c>
      <c r="E377" s="373">
        <v>7.89</v>
      </c>
      <c r="G377" s="371">
        <v>561.0</v>
      </c>
      <c r="H377" s="371">
        <v>17.0</v>
      </c>
      <c r="I377" s="371"/>
      <c r="K377" s="374">
        <v>2.0</v>
      </c>
      <c r="L377" s="269" t="str">
        <f t="shared" si="1"/>
        <v>V</v>
      </c>
    </row>
    <row r="378" ht="15.75" customHeight="1">
      <c r="A378" s="370">
        <v>46088.0</v>
      </c>
      <c r="B378" s="371" t="s">
        <v>1490</v>
      </c>
      <c r="C378" s="371" t="s">
        <v>1503</v>
      </c>
      <c r="D378" s="371" t="s">
        <v>1494</v>
      </c>
      <c r="E378" s="373">
        <v>9.11</v>
      </c>
      <c r="G378" s="371">
        <v>614.0</v>
      </c>
      <c r="H378" s="371">
        <v>15.0</v>
      </c>
      <c r="I378" s="371"/>
      <c r="K378" s="374">
        <v>1.0</v>
      </c>
      <c r="L378" s="269" t="str">
        <f t="shared" si="1"/>
        <v>V</v>
      </c>
    </row>
    <row r="379" ht="15.75" customHeight="1">
      <c r="A379" s="370">
        <v>46088.0</v>
      </c>
      <c r="B379" s="371" t="s">
        <v>1495</v>
      </c>
      <c r="C379" s="371" t="s">
        <v>1496</v>
      </c>
      <c r="D379" s="371" t="s">
        <v>1497</v>
      </c>
      <c r="E379" s="373">
        <v>9.31</v>
      </c>
      <c r="G379" s="371">
        <v>3296.0</v>
      </c>
      <c r="H379" s="371">
        <v>32.0</v>
      </c>
      <c r="I379" s="371"/>
      <c r="K379" s="374">
        <v>1.0</v>
      </c>
      <c r="L379" s="269" t="str">
        <f t="shared" si="1"/>
        <v>AD</v>
      </c>
    </row>
    <row r="380" ht="15.75" customHeight="1">
      <c r="A380" s="370">
        <v>46087.0</v>
      </c>
      <c r="B380" s="371" t="s">
        <v>1490</v>
      </c>
      <c r="C380" s="371" t="s">
        <v>1491</v>
      </c>
      <c r="D380" s="371" t="s">
        <v>1492</v>
      </c>
      <c r="E380" s="373">
        <v>19.76</v>
      </c>
      <c r="G380" s="371">
        <v>268.0</v>
      </c>
      <c r="H380" s="371">
        <v>8.0</v>
      </c>
      <c r="I380" s="371"/>
      <c r="K380" s="374"/>
      <c r="L380" s="269" t="str">
        <f t="shared" si="1"/>
        <v/>
      </c>
    </row>
    <row r="381" ht="15.75" customHeight="1">
      <c r="A381" s="370">
        <v>46087.0</v>
      </c>
      <c r="B381" s="371" t="s">
        <v>1490</v>
      </c>
      <c r="C381" s="371" t="s">
        <v>1491</v>
      </c>
      <c r="D381" s="371" t="s">
        <v>1502</v>
      </c>
      <c r="E381" s="373">
        <v>1.49</v>
      </c>
      <c r="G381" s="371">
        <v>23.0</v>
      </c>
      <c r="H381" s="371">
        <v>1.0</v>
      </c>
      <c r="I381" s="371"/>
      <c r="K381" s="374"/>
      <c r="L381" s="269" t="str">
        <f t="shared" si="1"/>
        <v/>
      </c>
    </row>
    <row r="382" ht="15.75" customHeight="1">
      <c r="A382" s="370">
        <v>46087.0</v>
      </c>
      <c r="B382" s="371" t="s">
        <v>1490</v>
      </c>
      <c r="C382" s="371" t="s">
        <v>1493</v>
      </c>
      <c r="D382" s="371" t="s">
        <v>1494</v>
      </c>
      <c r="E382" s="373">
        <v>8.79</v>
      </c>
      <c r="G382" s="371">
        <v>804.0</v>
      </c>
      <c r="H382" s="371">
        <v>28.0</v>
      </c>
      <c r="I382" s="371">
        <v>1.0</v>
      </c>
      <c r="K382" s="374"/>
      <c r="L382" s="269" t="str">
        <f t="shared" si="1"/>
        <v>V</v>
      </c>
    </row>
    <row r="383" ht="15.75" customHeight="1">
      <c r="A383" s="370">
        <v>46087.0</v>
      </c>
      <c r="B383" s="371" t="s">
        <v>1490</v>
      </c>
      <c r="C383" s="371" t="s">
        <v>1504</v>
      </c>
      <c r="D383" s="371" t="s">
        <v>1498</v>
      </c>
      <c r="E383" s="373">
        <v>0.28</v>
      </c>
      <c r="G383" s="371">
        <v>12.0</v>
      </c>
      <c r="H383" s="371">
        <v>0.0</v>
      </c>
      <c r="I383" s="371"/>
      <c r="K383" s="374"/>
      <c r="L383" s="269" t="str">
        <f t="shared" si="1"/>
        <v>V</v>
      </c>
    </row>
    <row r="384" ht="15.75" customHeight="1">
      <c r="A384" s="370">
        <v>46087.0</v>
      </c>
      <c r="B384" s="371" t="s">
        <v>1490</v>
      </c>
      <c r="C384" s="371" t="s">
        <v>1493</v>
      </c>
      <c r="D384" s="371" t="s">
        <v>1498</v>
      </c>
      <c r="E384" s="373">
        <v>0.17</v>
      </c>
      <c r="G384" s="371">
        <v>7.0</v>
      </c>
      <c r="H384" s="371">
        <v>0.0</v>
      </c>
      <c r="I384" s="371"/>
      <c r="K384" s="374"/>
      <c r="L384" s="269" t="str">
        <f t="shared" si="1"/>
        <v>V</v>
      </c>
    </row>
    <row r="385" ht="15.75" customHeight="1">
      <c r="A385" s="370">
        <v>46087.0</v>
      </c>
      <c r="B385" s="371" t="s">
        <v>1490</v>
      </c>
      <c r="C385" s="371" t="s">
        <v>1503</v>
      </c>
      <c r="D385" s="371" t="s">
        <v>1505</v>
      </c>
      <c r="E385" s="373">
        <v>0.07</v>
      </c>
      <c r="G385" s="371">
        <v>6.0</v>
      </c>
      <c r="H385" s="371">
        <v>0.0</v>
      </c>
      <c r="I385" s="371"/>
      <c r="K385" s="374"/>
      <c r="L385" s="269" t="str">
        <f t="shared" si="1"/>
        <v>V-video</v>
      </c>
    </row>
    <row r="386" ht="15.75" customHeight="1">
      <c r="A386" s="370">
        <v>46087.0</v>
      </c>
      <c r="B386" s="371" t="s">
        <v>1490</v>
      </c>
      <c r="C386" s="371" t="s">
        <v>1504</v>
      </c>
      <c r="D386" s="371" t="s">
        <v>1506</v>
      </c>
      <c r="E386" s="373">
        <v>0.07</v>
      </c>
      <c r="G386" s="371">
        <v>2.0</v>
      </c>
      <c r="H386" s="371">
        <v>0.0</v>
      </c>
      <c r="I386" s="371"/>
      <c r="K386" s="374"/>
      <c r="L386" s="269" t="str">
        <f t="shared" si="1"/>
        <v>V</v>
      </c>
    </row>
    <row r="387" ht="15.75" customHeight="1">
      <c r="A387" s="370">
        <v>46087.0</v>
      </c>
      <c r="B387" s="371" t="s">
        <v>1490</v>
      </c>
      <c r="C387" s="371" t="s">
        <v>1493</v>
      </c>
      <c r="D387" s="371" t="s">
        <v>1499</v>
      </c>
      <c r="E387" s="373">
        <v>0.01</v>
      </c>
      <c r="G387" s="371">
        <v>1.0</v>
      </c>
      <c r="H387" s="371">
        <v>0.0</v>
      </c>
      <c r="I387" s="371"/>
      <c r="K387" s="374"/>
      <c r="L387" s="269" t="str">
        <f t="shared" si="1"/>
        <v>V</v>
      </c>
    </row>
    <row r="388" ht="15.75" customHeight="1">
      <c r="A388" s="370">
        <v>46087.0</v>
      </c>
      <c r="B388" s="371" t="s">
        <v>1490</v>
      </c>
      <c r="C388" s="371" t="s">
        <v>1503</v>
      </c>
      <c r="D388" s="371" t="s">
        <v>1508</v>
      </c>
      <c r="E388" s="373">
        <v>2.09</v>
      </c>
      <c r="G388" s="371">
        <v>179.0</v>
      </c>
      <c r="H388" s="371">
        <v>11.0</v>
      </c>
      <c r="I388" s="371"/>
      <c r="K388" s="374"/>
      <c r="L388" s="269" t="str">
        <f t="shared" si="1"/>
        <v>V</v>
      </c>
    </row>
    <row r="389" ht="15.75" customHeight="1">
      <c r="A389" s="370">
        <v>46087.0</v>
      </c>
      <c r="B389" s="371" t="s">
        <v>1490</v>
      </c>
      <c r="C389" s="371" t="s">
        <v>1504</v>
      </c>
      <c r="D389" s="371" t="s">
        <v>1507</v>
      </c>
      <c r="E389" s="373">
        <v>0.09</v>
      </c>
      <c r="G389" s="371">
        <v>6.0</v>
      </c>
      <c r="H389" s="371">
        <v>0.0</v>
      </c>
      <c r="I389" s="371"/>
      <c r="K389" s="374"/>
      <c r="L389" s="269" t="str">
        <f t="shared" si="1"/>
        <v>V</v>
      </c>
    </row>
    <row r="390" ht="15.75" customHeight="1">
      <c r="A390" s="370">
        <v>46087.0</v>
      </c>
      <c r="B390" s="371" t="s">
        <v>1490</v>
      </c>
      <c r="C390" s="371" t="s">
        <v>1493</v>
      </c>
      <c r="D390" s="371" t="s">
        <v>1500</v>
      </c>
      <c r="E390" s="373">
        <v>2.58</v>
      </c>
      <c r="G390" s="371">
        <v>103.0</v>
      </c>
      <c r="H390" s="371">
        <v>1.0</v>
      </c>
      <c r="I390" s="371"/>
      <c r="K390" s="374"/>
      <c r="L390" s="269" t="str">
        <f t="shared" si="1"/>
        <v>V</v>
      </c>
    </row>
    <row r="391" ht="15.75" customHeight="1">
      <c r="A391" s="370">
        <v>46087.0</v>
      </c>
      <c r="B391" s="371" t="s">
        <v>1490</v>
      </c>
      <c r="C391" s="371" t="s">
        <v>1504</v>
      </c>
      <c r="D391" s="371" t="s">
        <v>1494</v>
      </c>
      <c r="E391" s="373">
        <v>11.34</v>
      </c>
      <c r="G391" s="371">
        <v>807.0</v>
      </c>
      <c r="H391" s="371">
        <v>36.0</v>
      </c>
      <c r="I391" s="371"/>
      <c r="K391" s="374">
        <v>3.0</v>
      </c>
      <c r="L391" s="269" t="str">
        <f t="shared" si="1"/>
        <v>V</v>
      </c>
    </row>
    <row r="392" ht="15.75" customHeight="1">
      <c r="A392" s="370">
        <v>46087.0</v>
      </c>
      <c r="B392" s="371" t="s">
        <v>1490</v>
      </c>
      <c r="C392" s="371" t="s">
        <v>1503</v>
      </c>
      <c r="D392" s="371" t="s">
        <v>1494</v>
      </c>
      <c r="E392" s="373">
        <v>9.53</v>
      </c>
      <c r="G392" s="371">
        <v>608.0</v>
      </c>
      <c r="H392" s="371">
        <v>19.0</v>
      </c>
      <c r="I392" s="371"/>
      <c r="K392" s="374">
        <v>1.0</v>
      </c>
      <c r="L392" s="269" t="str">
        <f t="shared" si="1"/>
        <v>V</v>
      </c>
    </row>
    <row r="393" ht="15.75" customHeight="1">
      <c r="A393" s="370">
        <v>46087.0</v>
      </c>
      <c r="B393" s="371" t="s">
        <v>1495</v>
      </c>
      <c r="C393" s="371" t="s">
        <v>1496</v>
      </c>
      <c r="D393" s="371" t="s">
        <v>1497</v>
      </c>
      <c r="E393" s="373">
        <v>10.48</v>
      </c>
      <c r="G393" s="371">
        <v>3532.0</v>
      </c>
      <c r="H393" s="371">
        <v>45.0</v>
      </c>
      <c r="I393" s="371"/>
      <c r="K393" s="374"/>
      <c r="L393" s="269" t="str">
        <f t="shared" si="1"/>
        <v>AD</v>
      </c>
    </row>
    <row r="394" ht="15.75" customHeight="1">
      <c r="A394" s="370">
        <v>46086.0</v>
      </c>
      <c r="B394" s="371" t="s">
        <v>1490</v>
      </c>
      <c r="C394" s="371" t="s">
        <v>1491</v>
      </c>
      <c r="D394" s="371" t="s">
        <v>1492</v>
      </c>
      <c r="E394" s="373">
        <v>18.01</v>
      </c>
      <c r="G394" s="371">
        <v>309.0</v>
      </c>
      <c r="H394" s="371">
        <v>14.0</v>
      </c>
      <c r="I394" s="371"/>
      <c r="K394" s="374">
        <v>2.0</v>
      </c>
      <c r="L394" s="269" t="str">
        <f t="shared" si="1"/>
        <v/>
      </c>
    </row>
    <row r="395" ht="15.75" customHeight="1">
      <c r="A395" s="370">
        <v>46086.0</v>
      </c>
      <c r="B395" s="371" t="s">
        <v>1490</v>
      </c>
      <c r="C395" s="371" t="s">
        <v>1493</v>
      </c>
      <c r="D395" s="371" t="s">
        <v>1494</v>
      </c>
      <c r="E395" s="373">
        <v>12.39</v>
      </c>
      <c r="G395" s="371">
        <v>999.0</v>
      </c>
      <c r="H395" s="371">
        <v>34.0</v>
      </c>
      <c r="I395" s="371"/>
      <c r="K395" s="374">
        <v>1.0</v>
      </c>
      <c r="L395" s="269" t="str">
        <f t="shared" si="1"/>
        <v>V</v>
      </c>
    </row>
    <row r="396" ht="15.75" customHeight="1">
      <c r="A396" s="370">
        <v>46086.0</v>
      </c>
      <c r="B396" s="371" t="s">
        <v>1490</v>
      </c>
      <c r="C396" s="371" t="s">
        <v>1503</v>
      </c>
      <c r="D396" s="371" t="s">
        <v>1507</v>
      </c>
      <c r="E396" s="373">
        <v>0.81</v>
      </c>
      <c r="G396" s="371">
        <v>26.0</v>
      </c>
      <c r="H396" s="371">
        <v>1.0</v>
      </c>
      <c r="I396" s="371"/>
      <c r="K396" s="374"/>
      <c r="L396" s="269" t="str">
        <f t="shared" si="1"/>
        <v>V</v>
      </c>
    </row>
    <row r="397" ht="15.75" customHeight="1">
      <c r="A397" s="370">
        <v>46086.0</v>
      </c>
      <c r="B397" s="371" t="s">
        <v>1490</v>
      </c>
      <c r="C397" s="371" t="s">
        <v>1504</v>
      </c>
      <c r="D397" s="371" t="s">
        <v>1508</v>
      </c>
      <c r="E397" s="373">
        <v>1.37</v>
      </c>
      <c r="G397" s="371">
        <v>85.0</v>
      </c>
      <c r="H397" s="371">
        <v>3.0</v>
      </c>
      <c r="I397" s="371"/>
      <c r="K397" s="374"/>
      <c r="L397" s="269" t="str">
        <f t="shared" si="1"/>
        <v>V</v>
      </c>
    </row>
    <row r="398" ht="15.75" customHeight="1">
      <c r="A398" s="370">
        <v>46086.0</v>
      </c>
      <c r="B398" s="371" t="s">
        <v>1490</v>
      </c>
      <c r="C398" s="371" t="s">
        <v>1504</v>
      </c>
      <c r="D398" s="371" t="s">
        <v>1507</v>
      </c>
      <c r="E398" s="373">
        <v>2.85</v>
      </c>
      <c r="G398" s="371">
        <v>120.0</v>
      </c>
      <c r="H398" s="371">
        <v>2.0</v>
      </c>
      <c r="I398" s="371"/>
      <c r="K398" s="374"/>
      <c r="L398" s="269" t="str">
        <f t="shared" si="1"/>
        <v>V</v>
      </c>
    </row>
    <row r="399" ht="15.75" customHeight="1">
      <c r="A399" s="370">
        <v>46086.0</v>
      </c>
      <c r="B399" s="371" t="s">
        <v>1490</v>
      </c>
      <c r="C399" s="371" t="s">
        <v>1493</v>
      </c>
      <c r="D399" s="371" t="s">
        <v>1501</v>
      </c>
      <c r="E399" s="373">
        <v>0.67</v>
      </c>
      <c r="G399" s="371">
        <v>60.0</v>
      </c>
      <c r="H399" s="371">
        <v>1.0</v>
      </c>
      <c r="I399" s="371"/>
      <c r="K399" s="374"/>
      <c r="L399" s="269" t="str">
        <f t="shared" si="1"/>
        <v>V</v>
      </c>
    </row>
    <row r="400" ht="15.75" customHeight="1">
      <c r="A400" s="370">
        <v>46086.0</v>
      </c>
      <c r="B400" s="371" t="s">
        <v>1490</v>
      </c>
      <c r="C400" s="371" t="s">
        <v>1504</v>
      </c>
      <c r="D400" s="371" t="s">
        <v>1494</v>
      </c>
      <c r="E400" s="373">
        <v>8.05</v>
      </c>
      <c r="G400" s="371">
        <v>646.0</v>
      </c>
      <c r="H400" s="371">
        <v>25.0</v>
      </c>
      <c r="I400" s="371"/>
      <c r="K400" s="374">
        <v>2.0</v>
      </c>
      <c r="L400" s="269" t="str">
        <f t="shared" si="1"/>
        <v>V</v>
      </c>
    </row>
    <row r="401" ht="15.75" customHeight="1">
      <c r="A401" s="370">
        <v>46086.0</v>
      </c>
      <c r="B401" s="371" t="s">
        <v>1490</v>
      </c>
      <c r="C401" s="371" t="s">
        <v>1503</v>
      </c>
      <c r="D401" s="371" t="s">
        <v>1494</v>
      </c>
      <c r="E401" s="373">
        <v>11.11</v>
      </c>
      <c r="G401" s="371">
        <v>866.0</v>
      </c>
      <c r="H401" s="371">
        <v>31.0</v>
      </c>
      <c r="I401" s="371"/>
      <c r="K401" s="374">
        <v>1.0</v>
      </c>
      <c r="L401" s="269" t="str">
        <f t="shared" si="1"/>
        <v>V</v>
      </c>
    </row>
    <row r="402" ht="15.75" customHeight="1">
      <c r="A402" s="370">
        <v>46086.0</v>
      </c>
      <c r="B402" s="371" t="s">
        <v>1495</v>
      </c>
      <c r="C402" s="371" t="s">
        <v>1496</v>
      </c>
      <c r="D402" s="371" t="s">
        <v>1497</v>
      </c>
      <c r="E402" s="373">
        <v>9.05</v>
      </c>
      <c r="G402" s="371">
        <v>3119.0</v>
      </c>
      <c r="H402" s="371">
        <v>42.0</v>
      </c>
      <c r="I402" s="371"/>
      <c r="K402" s="374"/>
      <c r="L402" s="269" t="str">
        <f t="shared" si="1"/>
        <v>AD</v>
      </c>
    </row>
    <row r="403" ht="15.75" customHeight="1">
      <c r="A403" s="370">
        <v>46085.0</v>
      </c>
      <c r="B403" s="371" t="s">
        <v>1490</v>
      </c>
      <c r="C403" s="371" t="s">
        <v>1491</v>
      </c>
      <c r="D403" s="371" t="s">
        <v>1492</v>
      </c>
      <c r="E403" s="373">
        <v>13.87</v>
      </c>
      <c r="G403" s="371">
        <v>188.0</v>
      </c>
      <c r="H403" s="371">
        <v>5.0</v>
      </c>
      <c r="I403" s="371"/>
      <c r="K403" s="374"/>
      <c r="L403" s="269" t="str">
        <f t="shared" si="1"/>
        <v/>
      </c>
    </row>
    <row r="404" ht="15.75" customHeight="1">
      <c r="A404" s="370">
        <v>46085.0</v>
      </c>
      <c r="B404" s="371" t="s">
        <v>1490</v>
      </c>
      <c r="C404" s="371" t="s">
        <v>1491</v>
      </c>
      <c r="D404" s="371" t="s">
        <v>1502</v>
      </c>
      <c r="E404" s="373">
        <v>2.19</v>
      </c>
      <c r="G404" s="371">
        <v>15.0</v>
      </c>
      <c r="H404" s="371">
        <v>1.0</v>
      </c>
      <c r="I404" s="371"/>
      <c r="K404" s="374"/>
      <c r="L404" s="269" t="str">
        <f t="shared" si="1"/>
        <v/>
      </c>
    </row>
    <row r="405" ht="15.75" customHeight="1">
      <c r="A405" s="370">
        <v>46085.0</v>
      </c>
      <c r="B405" s="371" t="s">
        <v>1490</v>
      </c>
      <c r="C405" s="371" t="s">
        <v>1493</v>
      </c>
      <c r="D405" s="371" t="s">
        <v>1494</v>
      </c>
      <c r="E405" s="373">
        <v>11.36</v>
      </c>
      <c r="G405" s="371">
        <v>1045.0</v>
      </c>
      <c r="H405" s="371">
        <v>29.0</v>
      </c>
      <c r="I405" s="371"/>
      <c r="K405" s="374"/>
      <c r="L405" s="269" t="str">
        <f t="shared" si="1"/>
        <v>V</v>
      </c>
    </row>
    <row r="406" ht="15.75" customHeight="1">
      <c r="A406" s="370">
        <v>46085.0</v>
      </c>
      <c r="B406" s="371" t="s">
        <v>1490</v>
      </c>
      <c r="C406" s="371" t="s">
        <v>1504</v>
      </c>
      <c r="D406" s="371" t="s">
        <v>1498</v>
      </c>
      <c r="E406" s="373">
        <v>0.24</v>
      </c>
      <c r="G406" s="371">
        <v>18.0</v>
      </c>
      <c r="H406" s="371">
        <v>1.0</v>
      </c>
      <c r="I406" s="371"/>
      <c r="K406" s="374"/>
      <c r="L406" s="269" t="str">
        <f t="shared" si="1"/>
        <v>V</v>
      </c>
    </row>
    <row r="407" ht="15.75" customHeight="1">
      <c r="A407" s="370">
        <v>46085.0</v>
      </c>
      <c r="B407" s="371" t="s">
        <v>1490</v>
      </c>
      <c r="C407" s="371" t="s">
        <v>1493</v>
      </c>
      <c r="D407" s="371" t="s">
        <v>1498</v>
      </c>
      <c r="E407" s="373">
        <v>1.44</v>
      </c>
      <c r="G407" s="371">
        <v>96.0</v>
      </c>
      <c r="H407" s="371">
        <v>0.0</v>
      </c>
      <c r="I407" s="371"/>
      <c r="K407" s="374"/>
      <c r="L407" s="269" t="str">
        <f t="shared" si="1"/>
        <v>V</v>
      </c>
    </row>
    <row r="408" ht="15.75" customHeight="1">
      <c r="A408" s="370">
        <v>46085.0</v>
      </c>
      <c r="B408" s="371" t="s">
        <v>1490</v>
      </c>
      <c r="C408" s="371" t="s">
        <v>1504</v>
      </c>
      <c r="D408" s="371" t="s">
        <v>1506</v>
      </c>
      <c r="E408" s="373">
        <v>0.02</v>
      </c>
      <c r="G408" s="371">
        <v>2.0</v>
      </c>
      <c r="H408" s="371">
        <v>0.0</v>
      </c>
      <c r="I408" s="371"/>
      <c r="K408" s="374"/>
      <c r="L408" s="269" t="str">
        <f t="shared" si="1"/>
        <v>V</v>
      </c>
    </row>
    <row r="409" ht="15.75" customHeight="1">
      <c r="A409" s="370">
        <v>46085.0</v>
      </c>
      <c r="B409" s="371" t="s">
        <v>1490</v>
      </c>
      <c r="C409" s="371" t="s">
        <v>1493</v>
      </c>
      <c r="D409" s="371" t="s">
        <v>1499</v>
      </c>
      <c r="E409" s="373">
        <v>0.07</v>
      </c>
      <c r="G409" s="371">
        <v>6.0</v>
      </c>
      <c r="H409" s="371">
        <v>0.0</v>
      </c>
      <c r="I409" s="371"/>
      <c r="K409" s="374"/>
      <c r="L409" s="269" t="str">
        <f t="shared" si="1"/>
        <v>V</v>
      </c>
    </row>
    <row r="410" ht="15.75" customHeight="1">
      <c r="A410" s="370">
        <v>46085.0</v>
      </c>
      <c r="B410" s="371" t="s">
        <v>1490</v>
      </c>
      <c r="C410" s="371" t="s">
        <v>1503</v>
      </c>
      <c r="D410" s="371" t="s">
        <v>1508</v>
      </c>
      <c r="E410" s="373">
        <v>0.0</v>
      </c>
      <c r="G410" s="371">
        <v>1.0</v>
      </c>
      <c r="H410" s="371">
        <v>0.0</v>
      </c>
      <c r="I410" s="371"/>
      <c r="K410" s="374"/>
      <c r="L410" s="269" t="str">
        <f t="shared" si="1"/>
        <v>V</v>
      </c>
    </row>
    <row r="411" ht="15.75" customHeight="1">
      <c r="A411" s="370">
        <v>46085.0</v>
      </c>
      <c r="B411" s="371" t="s">
        <v>1490</v>
      </c>
      <c r="C411" s="371" t="s">
        <v>1504</v>
      </c>
      <c r="D411" s="371" t="s">
        <v>1508</v>
      </c>
      <c r="E411" s="373">
        <v>0.91</v>
      </c>
      <c r="G411" s="371">
        <v>63.0</v>
      </c>
      <c r="H411" s="371">
        <v>2.0</v>
      </c>
      <c r="I411" s="371"/>
      <c r="K411" s="374"/>
      <c r="L411" s="269" t="str">
        <f t="shared" si="1"/>
        <v>V</v>
      </c>
    </row>
    <row r="412" ht="15.75" customHeight="1">
      <c r="A412" s="370">
        <v>46085.0</v>
      </c>
      <c r="B412" s="371" t="s">
        <v>1490</v>
      </c>
      <c r="C412" s="371" t="s">
        <v>1493</v>
      </c>
      <c r="D412" s="371" t="s">
        <v>1500</v>
      </c>
      <c r="E412" s="373">
        <v>1.79</v>
      </c>
      <c r="G412" s="371">
        <v>135.0</v>
      </c>
      <c r="H412" s="371">
        <v>1.0</v>
      </c>
      <c r="I412" s="371"/>
      <c r="K412" s="374"/>
      <c r="L412" s="269" t="str">
        <f t="shared" si="1"/>
        <v>V</v>
      </c>
    </row>
    <row r="413" ht="15.75" customHeight="1">
      <c r="A413" s="370">
        <v>46085.0</v>
      </c>
      <c r="B413" s="371" t="s">
        <v>1490</v>
      </c>
      <c r="C413" s="371" t="s">
        <v>1493</v>
      </c>
      <c r="D413" s="371" t="s">
        <v>1501</v>
      </c>
      <c r="E413" s="373">
        <v>0.2</v>
      </c>
      <c r="G413" s="371">
        <v>10.0</v>
      </c>
      <c r="H413" s="371">
        <v>0.0</v>
      </c>
      <c r="I413" s="371"/>
      <c r="K413" s="374"/>
      <c r="L413" s="269" t="str">
        <f t="shared" si="1"/>
        <v>V</v>
      </c>
    </row>
    <row r="414" ht="15.75" customHeight="1">
      <c r="A414" s="370">
        <v>46085.0</v>
      </c>
      <c r="B414" s="371" t="s">
        <v>1490</v>
      </c>
      <c r="C414" s="371" t="s">
        <v>1504</v>
      </c>
      <c r="D414" s="371" t="s">
        <v>1494</v>
      </c>
      <c r="E414" s="373">
        <v>15.84</v>
      </c>
      <c r="G414" s="371">
        <v>1254.0</v>
      </c>
      <c r="H414" s="371">
        <v>63.0</v>
      </c>
      <c r="I414" s="371"/>
      <c r="K414" s="374">
        <v>4.0</v>
      </c>
      <c r="L414" s="269" t="str">
        <f t="shared" si="1"/>
        <v>V</v>
      </c>
    </row>
    <row r="415" ht="15.75" customHeight="1">
      <c r="A415" s="370">
        <v>46085.0</v>
      </c>
      <c r="B415" s="371" t="s">
        <v>1490</v>
      </c>
      <c r="C415" s="371" t="s">
        <v>1503</v>
      </c>
      <c r="D415" s="371" t="s">
        <v>1494</v>
      </c>
      <c r="E415" s="373">
        <v>14.34</v>
      </c>
      <c r="G415" s="371">
        <v>1196.0</v>
      </c>
      <c r="H415" s="371">
        <v>34.0</v>
      </c>
      <c r="I415" s="371"/>
      <c r="K415" s="374">
        <v>1.0</v>
      </c>
      <c r="L415" s="269" t="str">
        <f t="shared" si="1"/>
        <v>V</v>
      </c>
    </row>
    <row r="416" ht="15.75" customHeight="1">
      <c r="A416" s="370">
        <v>46085.0</v>
      </c>
      <c r="B416" s="371" t="s">
        <v>1495</v>
      </c>
      <c r="C416" s="371" t="s">
        <v>1496</v>
      </c>
      <c r="D416" s="371" t="s">
        <v>1497</v>
      </c>
      <c r="E416" s="373">
        <v>10.37</v>
      </c>
      <c r="G416" s="371">
        <v>3593.0</v>
      </c>
      <c r="H416" s="371">
        <v>28.0</v>
      </c>
      <c r="I416" s="371"/>
      <c r="K416" s="374"/>
      <c r="L416" s="269" t="str">
        <f t="shared" si="1"/>
        <v>AD</v>
      </c>
    </row>
    <row r="417" ht="15.75" customHeight="1">
      <c r="A417" s="370">
        <v>46084.0</v>
      </c>
      <c r="B417" s="371" t="s">
        <v>1490</v>
      </c>
      <c r="C417" s="371" t="s">
        <v>1491</v>
      </c>
      <c r="D417" s="371" t="s">
        <v>1492</v>
      </c>
      <c r="E417" s="373">
        <v>16.35</v>
      </c>
      <c r="G417" s="371">
        <v>226.0</v>
      </c>
      <c r="H417" s="371">
        <v>11.0</v>
      </c>
      <c r="I417" s="371"/>
      <c r="K417" s="374"/>
      <c r="L417" s="269" t="str">
        <f t="shared" si="1"/>
        <v/>
      </c>
    </row>
    <row r="418" ht="15.75" customHeight="1">
      <c r="A418" s="370">
        <v>46084.0</v>
      </c>
      <c r="B418" s="371" t="s">
        <v>1490</v>
      </c>
      <c r="C418" s="371" t="s">
        <v>1491</v>
      </c>
      <c r="D418" s="371" t="s">
        <v>1502</v>
      </c>
      <c r="E418" s="373">
        <v>0.28</v>
      </c>
      <c r="G418" s="371">
        <v>4.0</v>
      </c>
      <c r="H418" s="371">
        <v>0.0</v>
      </c>
      <c r="I418" s="371"/>
      <c r="K418" s="374"/>
      <c r="L418" s="269" t="str">
        <f t="shared" si="1"/>
        <v/>
      </c>
    </row>
    <row r="419" ht="15.75" customHeight="1">
      <c r="A419" s="370">
        <v>46084.0</v>
      </c>
      <c r="B419" s="371" t="s">
        <v>1490</v>
      </c>
      <c r="C419" s="371" t="s">
        <v>1493</v>
      </c>
      <c r="D419" s="371" t="s">
        <v>1494</v>
      </c>
      <c r="E419" s="373">
        <v>18.58</v>
      </c>
      <c r="G419" s="371">
        <v>1811.0</v>
      </c>
      <c r="H419" s="371">
        <v>62.0</v>
      </c>
      <c r="I419" s="371">
        <v>1.0</v>
      </c>
      <c r="K419" s="374">
        <v>3.0</v>
      </c>
      <c r="L419" s="269" t="str">
        <f t="shared" si="1"/>
        <v>V</v>
      </c>
    </row>
    <row r="420" ht="15.75" customHeight="1">
      <c r="A420" s="370">
        <v>46084.0</v>
      </c>
      <c r="B420" s="371" t="s">
        <v>1490</v>
      </c>
      <c r="C420" s="371" t="s">
        <v>1504</v>
      </c>
      <c r="D420" s="371" t="s">
        <v>1498</v>
      </c>
      <c r="E420" s="373">
        <v>0.07</v>
      </c>
      <c r="G420" s="371">
        <v>4.0</v>
      </c>
      <c r="H420" s="371">
        <v>0.0</v>
      </c>
      <c r="I420" s="371"/>
      <c r="K420" s="374"/>
      <c r="L420" s="269" t="str">
        <f t="shared" si="1"/>
        <v>V</v>
      </c>
    </row>
    <row r="421" ht="15.75" customHeight="1">
      <c r="A421" s="370">
        <v>46084.0</v>
      </c>
      <c r="B421" s="371" t="s">
        <v>1490</v>
      </c>
      <c r="C421" s="371" t="s">
        <v>1503</v>
      </c>
      <c r="D421" s="371" t="s">
        <v>1505</v>
      </c>
      <c r="E421" s="373">
        <v>0.08</v>
      </c>
      <c r="G421" s="371">
        <v>7.0</v>
      </c>
      <c r="H421" s="371">
        <v>0.0</v>
      </c>
      <c r="I421" s="371"/>
      <c r="K421" s="374"/>
      <c r="L421" s="269" t="str">
        <f t="shared" si="1"/>
        <v>V-video</v>
      </c>
    </row>
    <row r="422" ht="15.75" customHeight="1">
      <c r="A422" s="370">
        <v>46084.0</v>
      </c>
      <c r="B422" s="371" t="s">
        <v>1490</v>
      </c>
      <c r="C422" s="371" t="s">
        <v>1503</v>
      </c>
      <c r="D422" s="371" t="s">
        <v>1508</v>
      </c>
      <c r="E422" s="373">
        <v>2.97</v>
      </c>
      <c r="G422" s="371">
        <v>188.0</v>
      </c>
      <c r="H422" s="371">
        <v>6.0</v>
      </c>
      <c r="I422" s="371"/>
      <c r="K422" s="374">
        <v>1.0</v>
      </c>
      <c r="L422" s="269" t="str">
        <f t="shared" si="1"/>
        <v>V</v>
      </c>
    </row>
    <row r="423" ht="15.75" customHeight="1">
      <c r="A423" s="370">
        <v>46084.0</v>
      </c>
      <c r="B423" s="371" t="s">
        <v>1490</v>
      </c>
      <c r="C423" s="371" t="s">
        <v>1503</v>
      </c>
      <c r="D423" s="371" t="s">
        <v>1507</v>
      </c>
      <c r="E423" s="373">
        <v>4.37</v>
      </c>
      <c r="G423" s="371">
        <v>292.0</v>
      </c>
      <c r="H423" s="371">
        <v>10.0</v>
      </c>
      <c r="I423" s="371">
        <v>1.0</v>
      </c>
      <c r="K423" s="374">
        <v>3.0</v>
      </c>
      <c r="L423" s="269" t="str">
        <f t="shared" si="1"/>
        <v>V</v>
      </c>
    </row>
    <row r="424" ht="15.75" customHeight="1">
      <c r="A424" s="370">
        <v>46084.0</v>
      </c>
      <c r="B424" s="371" t="s">
        <v>1490</v>
      </c>
      <c r="C424" s="371" t="s">
        <v>1504</v>
      </c>
      <c r="D424" s="371" t="s">
        <v>1508</v>
      </c>
      <c r="E424" s="373">
        <v>2.47</v>
      </c>
      <c r="G424" s="371">
        <v>270.0</v>
      </c>
      <c r="H424" s="371">
        <v>11.0</v>
      </c>
      <c r="I424" s="371"/>
      <c r="K424" s="374"/>
      <c r="L424" s="269" t="str">
        <f t="shared" si="1"/>
        <v>V</v>
      </c>
    </row>
    <row r="425" ht="15.75" customHeight="1">
      <c r="A425" s="370">
        <v>46084.0</v>
      </c>
      <c r="B425" s="371" t="s">
        <v>1490</v>
      </c>
      <c r="C425" s="371" t="s">
        <v>1504</v>
      </c>
      <c r="D425" s="371" t="s">
        <v>1507</v>
      </c>
      <c r="E425" s="373">
        <v>2.83</v>
      </c>
      <c r="G425" s="371">
        <v>183.0</v>
      </c>
      <c r="H425" s="371">
        <v>7.0</v>
      </c>
      <c r="I425" s="371"/>
      <c r="K425" s="374">
        <v>1.0</v>
      </c>
      <c r="L425" s="269" t="str">
        <f t="shared" si="1"/>
        <v>V</v>
      </c>
    </row>
    <row r="426" ht="15.75" customHeight="1">
      <c r="A426" s="370">
        <v>46084.0</v>
      </c>
      <c r="B426" s="371" t="s">
        <v>1490</v>
      </c>
      <c r="C426" s="371" t="s">
        <v>1493</v>
      </c>
      <c r="D426" s="371" t="s">
        <v>1500</v>
      </c>
      <c r="E426" s="373">
        <v>0.55</v>
      </c>
      <c r="G426" s="371">
        <v>98.0</v>
      </c>
      <c r="H426" s="371">
        <v>0.0</v>
      </c>
      <c r="I426" s="371"/>
      <c r="K426" s="374"/>
      <c r="L426" s="269" t="str">
        <f t="shared" si="1"/>
        <v>V</v>
      </c>
    </row>
    <row r="427" ht="15.75" customHeight="1">
      <c r="A427" s="370">
        <v>46084.0</v>
      </c>
      <c r="B427" s="371" t="s">
        <v>1490</v>
      </c>
      <c r="C427" s="371" t="s">
        <v>1504</v>
      </c>
      <c r="D427" s="371" t="s">
        <v>1494</v>
      </c>
      <c r="E427" s="373">
        <v>12.51</v>
      </c>
      <c r="G427" s="371">
        <v>1083.0</v>
      </c>
      <c r="H427" s="371">
        <v>56.0</v>
      </c>
      <c r="I427" s="371"/>
      <c r="K427" s="374">
        <v>1.0</v>
      </c>
      <c r="L427" s="269" t="str">
        <f t="shared" si="1"/>
        <v>V</v>
      </c>
    </row>
    <row r="428" ht="15.75" customHeight="1">
      <c r="A428" s="370">
        <v>46084.0</v>
      </c>
      <c r="B428" s="371" t="s">
        <v>1490</v>
      </c>
      <c r="C428" s="371" t="s">
        <v>1503</v>
      </c>
      <c r="D428" s="371" t="s">
        <v>1494</v>
      </c>
      <c r="E428" s="373">
        <v>11.37</v>
      </c>
      <c r="G428" s="371">
        <v>816.0</v>
      </c>
      <c r="H428" s="371">
        <v>17.0</v>
      </c>
      <c r="I428" s="371"/>
      <c r="K428" s="374"/>
      <c r="L428" s="269" t="str">
        <f t="shared" si="1"/>
        <v>V</v>
      </c>
    </row>
    <row r="429" ht="15.75" customHeight="1">
      <c r="A429" s="370">
        <v>46084.0</v>
      </c>
      <c r="B429" s="371" t="s">
        <v>1495</v>
      </c>
      <c r="C429" s="371" t="s">
        <v>1496</v>
      </c>
      <c r="D429" s="371" t="s">
        <v>1497</v>
      </c>
      <c r="E429" s="373">
        <v>9.41</v>
      </c>
      <c r="G429" s="371">
        <v>3194.0</v>
      </c>
      <c r="H429" s="371">
        <v>33.0</v>
      </c>
      <c r="I429" s="371"/>
      <c r="K429" s="374"/>
      <c r="L429" s="269" t="str">
        <f t="shared" si="1"/>
        <v>AD</v>
      </c>
    </row>
    <row r="430" ht="15.75" customHeight="1">
      <c r="A430" s="370">
        <v>46083.0</v>
      </c>
      <c r="B430" s="371" t="s">
        <v>1490</v>
      </c>
      <c r="C430" s="371" t="s">
        <v>1491</v>
      </c>
      <c r="D430" s="371" t="s">
        <v>1492</v>
      </c>
      <c r="E430" s="373">
        <v>17.02</v>
      </c>
      <c r="G430" s="371">
        <v>302.0</v>
      </c>
      <c r="H430" s="371">
        <v>11.0</v>
      </c>
      <c r="I430" s="371"/>
      <c r="K430" s="374">
        <v>2.0</v>
      </c>
      <c r="L430" s="269" t="str">
        <f t="shared" si="1"/>
        <v/>
      </c>
    </row>
    <row r="431" ht="15.75" customHeight="1">
      <c r="A431" s="370">
        <v>46083.0</v>
      </c>
      <c r="B431" s="371" t="s">
        <v>1490</v>
      </c>
      <c r="C431" s="371" t="s">
        <v>1493</v>
      </c>
      <c r="D431" s="371" t="s">
        <v>1494</v>
      </c>
      <c r="E431" s="373">
        <v>9.61</v>
      </c>
      <c r="G431" s="371">
        <v>907.0</v>
      </c>
      <c r="H431" s="371">
        <v>27.0</v>
      </c>
      <c r="I431" s="371"/>
      <c r="K431" s="374">
        <v>3.0</v>
      </c>
      <c r="L431" s="269" t="str">
        <f t="shared" si="1"/>
        <v>V</v>
      </c>
    </row>
    <row r="432" ht="15.75" customHeight="1">
      <c r="A432" s="370">
        <v>46083.0</v>
      </c>
      <c r="B432" s="371" t="s">
        <v>1490</v>
      </c>
      <c r="C432" s="371" t="s">
        <v>1504</v>
      </c>
      <c r="D432" s="371" t="s">
        <v>1498</v>
      </c>
      <c r="E432" s="373">
        <v>0.01</v>
      </c>
      <c r="G432" s="371">
        <v>2.0</v>
      </c>
      <c r="H432" s="371">
        <v>0.0</v>
      </c>
      <c r="I432" s="371"/>
      <c r="K432" s="374"/>
      <c r="L432" s="269" t="str">
        <f t="shared" si="1"/>
        <v>V</v>
      </c>
    </row>
    <row r="433" ht="15.75" customHeight="1">
      <c r="A433" s="370">
        <v>46083.0</v>
      </c>
      <c r="B433" s="371" t="s">
        <v>1490</v>
      </c>
      <c r="C433" s="371" t="s">
        <v>1493</v>
      </c>
      <c r="D433" s="371" t="s">
        <v>1498</v>
      </c>
      <c r="E433" s="373">
        <v>0.65</v>
      </c>
      <c r="G433" s="371">
        <v>58.0</v>
      </c>
      <c r="H433" s="371">
        <v>1.0</v>
      </c>
      <c r="I433" s="371"/>
      <c r="K433" s="374"/>
      <c r="L433" s="269" t="str">
        <f t="shared" si="1"/>
        <v>V</v>
      </c>
    </row>
    <row r="434" ht="15.75" customHeight="1">
      <c r="A434" s="370">
        <v>46083.0</v>
      </c>
      <c r="B434" s="371" t="s">
        <v>1490</v>
      </c>
      <c r="C434" s="371" t="s">
        <v>1493</v>
      </c>
      <c r="D434" s="371" t="s">
        <v>1499</v>
      </c>
      <c r="E434" s="373">
        <v>0.56</v>
      </c>
      <c r="G434" s="371">
        <v>29.0</v>
      </c>
      <c r="H434" s="371">
        <v>1.0</v>
      </c>
      <c r="I434" s="371"/>
      <c r="K434" s="374"/>
      <c r="L434" s="269" t="str">
        <f t="shared" si="1"/>
        <v>V</v>
      </c>
    </row>
    <row r="435" ht="15.75" customHeight="1">
      <c r="A435" s="370">
        <v>46083.0</v>
      </c>
      <c r="B435" s="371" t="s">
        <v>1490</v>
      </c>
      <c r="C435" s="371" t="s">
        <v>1503</v>
      </c>
      <c r="D435" s="371" t="s">
        <v>1508</v>
      </c>
      <c r="E435" s="373">
        <v>5.86</v>
      </c>
      <c r="G435" s="371">
        <v>530.0</v>
      </c>
      <c r="H435" s="371">
        <v>12.0</v>
      </c>
      <c r="I435" s="371"/>
      <c r="K435" s="374"/>
      <c r="L435" s="269" t="str">
        <f t="shared" si="1"/>
        <v>V</v>
      </c>
    </row>
    <row r="436" ht="15.75" customHeight="1">
      <c r="A436" s="370">
        <v>46083.0</v>
      </c>
      <c r="B436" s="371" t="s">
        <v>1490</v>
      </c>
      <c r="C436" s="371" t="s">
        <v>1504</v>
      </c>
      <c r="D436" s="371" t="s">
        <v>1508</v>
      </c>
      <c r="E436" s="373">
        <v>5.4</v>
      </c>
      <c r="G436" s="371">
        <v>287.0</v>
      </c>
      <c r="H436" s="371">
        <v>13.0</v>
      </c>
      <c r="I436" s="371"/>
      <c r="K436" s="374"/>
      <c r="L436" s="269" t="str">
        <f t="shared" si="1"/>
        <v>V</v>
      </c>
    </row>
    <row r="437" ht="15.75" customHeight="1">
      <c r="A437" s="370">
        <v>46083.0</v>
      </c>
      <c r="B437" s="371" t="s">
        <v>1490</v>
      </c>
      <c r="C437" s="371" t="s">
        <v>1504</v>
      </c>
      <c r="D437" s="371" t="s">
        <v>1507</v>
      </c>
      <c r="E437" s="373">
        <v>2.45</v>
      </c>
      <c r="G437" s="371">
        <v>175.0</v>
      </c>
      <c r="H437" s="371">
        <v>4.0</v>
      </c>
      <c r="I437" s="371"/>
      <c r="K437" s="374">
        <v>1.0</v>
      </c>
      <c r="L437" s="269" t="str">
        <f t="shared" si="1"/>
        <v>V</v>
      </c>
    </row>
    <row r="438" ht="15.75" customHeight="1">
      <c r="A438" s="370">
        <v>46083.0</v>
      </c>
      <c r="B438" s="371" t="s">
        <v>1490</v>
      </c>
      <c r="C438" s="371" t="s">
        <v>1493</v>
      </c>
      <c r="D438" s="371" t="s">
        <v>1500</v>
      </c>
      <c r="E438" s="373">
        <v>0.31</v>
      </c>
      <c r="G438" s="371">
        <v>69.0</v>
      </c>
      <c r="H438" s="371">
        <v>2.0</v>
      </c>
      <c r="I438" s="371"/>
      <c r="K438" s="374"/>
      <c r="L438" s="269" t="str">
        <f t="shared" si="1"/>
        <v>V</v>
      </c>
    </row>
    <row r="439" ht="15.75" customHeight="1">
      <c r="A439" s="370">
        <v>46083.0</v>
      </c>
      <c r="B439" s="371" t="s">
        <v>1490</v>
      </c>
      <c r="C439" s="371" t="s">
        <v>1493</v>
      </c>
      <c r="D439" s="371" t="s">
        <v>1501</v>
      </c>
      <c r="E439" s="373">
        <v>2.07</v>
      </c>
      <c r="G439" s="371">
        <v>188.0</v>
      </c>
      <c r="H439" s="371">
        <v>4.0</v>
      </c>
      <c r="I439" s="371"/>
      <c r="K439" s="374"/>
      <c r="L439" s="269" t="str">
        <f t="shared" si="1"/>
        <v>V</v>
      </c>
    </row>
    <row r="440" ht="15.75" customHeight="1">
      <c r="A440" s="370">
        <v>46083.0</v>
      </c>
      <c r="B440" s="371" t="s">
        <v>1490</v>
      </c>
      <c r="C440" s="371" t="s">
        <v>1504</v>
      </c>
      <c r="D440" s="371" t="s">
        <v>1494</v>
      </c>
      <c r="E440" s="373">
        <v>11.74</v>
      </c>
      <c r="G440" s="371">
        <v>899.0</v>
      </c>
      <c r="H440" s="371">
        <v>49.0</v>
      </c>
      <c r="I440" s="371"/>
      <c r="K440" s="374">
        <v>4.0</v>
      </c>
      <c r="L440" s="269" t="str">
        <f t="shared" si="1"/>
        <v>V</v>
      </c>
    </row>
    <row r="441" ht="15.75" customHeight="1">
      <c r="A441" s="370">
        <v>46083.0</v>
      </c>
      <c r="B441" s="371" t="s">
        <v>1490</v>
      </c>
      <c r="C441" s="371" t="s">
        <v>1503</v>
      </c>
      <c r="D441" s="371" t="s">
        <v>1494</v>
      </c>
      <c r="E441" s="373">
        <v>12.06</v>
      </c>
      <c r="G441" s="371">
        <v>1107.0</v>
      </c>
      <c r="H441" s="371">
        <v>29.0</v>
      </c>
      <c r="I441" s="371"/>
      <c r="K441" s="374"/>
      <c r="L441" s="269" t="str">
        <f t="shared" si="1"/>
        <v>V</v>
      </c>
    </row>
    <row r="442" ht="15.75" customHeight="1">
      <c r="A442" s="370">
        <v>46083.0</v>
      </c>
      <c r="B442" s="371" t="s">
        <v>1495</v>
      </c>
      <c r="C442" s="371" t="s">
        <v>1496</v>
      </c>
      <c r="D442" s="371" t="s">
        <v>1497</v>
      </c>
      <c r="E442" s="373">
        <v>10.45</v>
      </c>
      <c r="G442" s="371">
        <v>4250.0</v>
      </c>
      <c r="H442" s="371">
        <v>36.0</v>
      </c>
      <c r="I442" s="371"/>
      <c r="K442" s="374"/>
      <c r="L442" s="269" t="str">
        <f t="shared" si="1"/>
        <v>AD</v>
      </c>
    </row>
    <row r="443" ht="15.75" customHeight="1">
      <c r="A443" s="370">
        <v>46082.0</v>
      </c>
      <c r="B443" s="371" t="s">
        <v>1490</v>
      </c>
      <c r="C443" s="371" t="s">
        <v>1491</v>
      </c>
      <c r="D443" s="371" t="s">
        <v>1492</v>
      </c>
      <c r="E443" s="373">
        <v>15.05</v>
      </c>
      <c r="G443" s="371">
        <v>299.0</v>
      </c>
      <c r="H443" s="371">
        <v>12.0</v>
      </c>
      <c r="I443" s="371"/>
      <c r="K443" s="374">
        <v>1.0</v>
      </c>
      <c r="L443" s="269" t="str">
        <f t="shared" si="1"/>
        <v/>
      </c>
    </row>
    <row r="444" ht="15.75" customHeight="1">
      <c r="A444" s="370">
        <v>46082.0</v>
      </c>
      <c r="B444" s="371" t="s">
        <v>1490</v>
      </c>
      <c r="C444" s="371" t="s">
        <v>1491</v>
      </c>
      <c r="D444" s="371" t="s">
        <v>1502</v>
      </c>
      <c r="E444" s="373">
        <v>1.22</v>
      </c>
      <c r="G444" s="371">
        <v>18.0</v>
      </c>
      <c r="H444" s="371">
        <v>0.0</v>
      </c>
      <c r="I444" s="371"/>
      <c r="K444" s="374"/>
      <c r="L444" s="269" t="str">
        <f t="shared" si="1"/>
        <v/>
      </c>
    </row>
    <row r="445" ht="15.75" customHeight="1">
      <c r="A445" s="370">
        <v>46082.0</v>
      </c>
      <c r="B445" s="371" t="s">
        <v>1490</v>
      </c>
      <c r="C445" s="371" t="s">
        <v>1493</v>
      </c>
      <c r="D445" s="371" t="s">
        <v>1494</v>
      </c>
      <c r="E445" s="373">
        <v>15.75</v>
      </c>
      <c r="G445" s="371">
        <v>1512.0</v>
      </c>
      <c r="H445" s="371">
        <v>48.0</v>
      </c>
      <c r="I445" s="371">
        <v>2.0</v>
      </c>
      <c r="K445" s="374">
        <v>8.0</v>
      </c>
      <c r="L445" s="269" t="str">
        <f t="shared" si="1"/>
        <v>V</v>
      </c>
    </row>
    <row r="446" ht="15.75" customHeight="1">
      <c r="A446" s="370">
        <v>46082.0</v>
      </c>
      <c r="B446" s="371" t="s">
        <v>1490</v>
      </c>
      <c r="C446" s="371" t="s">
        <v>1503</v>
      </c>
      <c r="D446" s="371" t="s">
        <v>1498</v>
      </c>
      <c r="E446" s="373">
        <v>0.08</v>
      </c>
      <c r="G446" s="371">
        <v>13.0</v>
      </c>
      <c r="H446" s="371">
        <v>0.0</v>
      </c>
      <c r="I446" s="371"/>
      <c r="K446" s="374"/>
      <c r="L446" s="269" t="str">
        <f t="shared" si="1"/>
        <v>V</v>
      </c>
    </row>
    <row r="447" ht="15.75" customHeight="1">
      <c r="A447" s="370">
        <v>46082.0</v>
      </c>
      <c r="B447" s="371" t="s">
        <v>1490</v>
      </c>
      <c r="C447" s="371" t="s">
        <v>1504</v>
      </c>
      <c r="D447" s="371" t="s">
        <v>1498</v>
      </c>
      <c r="E447" s="373">
        <v>1.43</v>
      </c>
      <c r="G447" s="371">
        <v>33.0</v>
      </c>
      <c r="H447" s="371">
        <v>2.0</v>
      </c>
      <c r="I447" s="371"/>
      <c r="K447" s="374">
        <v>1.0</v>
      </c>
      <c r="L447" s="269" t="str">
        <f t="shared" si="1"/>
        <v>V</v>
      </c>
    </row>
    <row r="448" ht="15.75" customHeight="1">
      <c r="A448" s="370">
        <v>46082.0</v>
      </c>
      <c r="B448" s="371" t="s">
        <v>1490</v>
      </c>
      <c r="C448" s="371" t="s">
        <v>1493</v>
      </c>
      <c r="D448" s="371" t="s">
        <v>1498</v>
      </c>
      <c r="E448" s="373">
        <v>0.3</v>
      </c>
      <c r="G448" s="371">
        <v>13.0</v>
      </c>
      <c r="H448" s="371">
        <v>0.0</v>
      </c>
      <c r="I448" s="371"/>
      <c r="K448" s="374"/>
      <c r="L448" s="269" t="str">
        <f t="shared" si="1"/>
        <v>V</v>
      </c>
    </row>
    <row r="449" ht="15.75" customHeight="1">
      <c r="A449" s="370">
        <v>46082.0</v>
      </c>
      <c r="B449" s="371" t="s">
        <v>1490</v>
      </c>
      <c r="C449" s="371" t="s">
        <v>1503</v>
      </c>
      <c r="D449" s="371" t="s">
        <v>1505</v>
      </c>
      <c r="E449" s="373">
        <v>0.69</v>
      </c>
      <c r="G449" s="371">
        <v>32.0</v>
      </c>
      <c r="H449" s="371">
        <v>0.0</v>
      </c>
      <c r="I449" s="371"/>
      <c r="K449" s="374"/>
      <c r="L449" s="269" t="str">
        <f t="shared" si="1"/>
        <v>V-video</v>
      </c>
    </row>
    <row r="450" ht="15.75" customHeight="1">
      <c r="A450" s="370">
        <v>46082.0</v>
      </c>
      <c r="B450" s="371" t="s">
        <v>1490</v>
      </c>
      <c r="C450" s="371" t="s">
        <v>1504</v>
      </c>
      <c r="D450" s="371" t="s">
        <v>1506</v>
      </c>
      <c r="E450" s="373">
        <v>2.97</v>
      </c>
      <c r="G450" s="371">
        <v>148.0</v>
      </c>
      <c r="H450" s="371">
        <v>6.0</v>
      </c>
      <c r="I450" s="371"/>
      <c r="K450" s="374"/>
      <c r="L450" s="269" t="str">
        <f t="shared" si="1"/>
        <v>V</v>
      </c>
    </row>
    <row r="451" ht="15.75" customHeight="1">
      <c r="A451" s="370">
        <v>46082.0</v>
      </c>
      <c r="B451" s="371" t="s">
        <v>1490</v>
      </c>
      <c r="C451" s="371" t="s">
        <v>1493</v>
      </c>
      <c r="D451" s="371" t="s">
        <v>1499</v>
      </c>
      <c r="E451" s="373">
        <v>0.1</v>
      </c>
      <c r="G451" s="371">
        <v>13.0</v>
      </c>
      <c r="H451" s="371">
        <v>0.0</v>
      </c>
      <c r="I451" s="371"/>
      <c r="K451" s="374"/>
      <c r="L451" s="269" t="str">
        <f t="shared" si="1"/>
        <v>V</v>
      </c>
    </row>
    <row r="452" ht="15.75" customHeight="1">
      <c r="A452" s="370">
        <v>46082.0</v>
      </c>
      <c r="B452" s="371" t="s">
        <v>1490</v>
      </c>
      <c r="C452" s="371" t="s">
        <v>1503</v>
      </c>
      <c r="D452" s="371" t="s">
        <v>1508</v>
      </c>
      <c r="E452" s="373">
        <v>5.31</v>
      </c>
      <c r="G452" s="371">
        <v>448.0</v>
      </c>
      <c r="H452" s="371">
        <v>19.0</v>
      </c>
      <c r="I452" s="371"/>
      <c r="K452" s="374"/>
      <c r="L452" s="269" t="str">
        <f t="shared" si="1"/>
        <v>V</v>
      </c>
    </row>
    <row r="453" ht="15.75" customHeight="1">
      <c r="A453" s="370">
        <v>46082.0</v>
      </c>
      <c r="B453" s="371" t="s">
        <v>1490</v>
      </c>
      <c r="C453" s="371" t="s">
        <v>1493</v>
      </c>
      <c r="D453" s="371" t="s">
        <v>1500</v>
      </c>
      <c r="E453" s="373">
        <v>2.65</v>
      </c>
      <c r="G453" s="371">
        <v>208.0</v>
      </c>
      <c r="H453" s="371">
        <v>6.0</v>
      </c>
      <c r="I453" s="371"/>
      <c r="K453" s="374"/>
      <c r="L453" s="269" t="str">
        <f t="shared" si="1"/>
        <v>V</v>
      </c>
    </row>
    <row r="454" ht="15.75" customHeight="1">
      <c r="A454" s="370">
        <v>46082.0</v>
      </c>
      <c r="B454" s="371" t="s">
        <v>1490</v>
      </c>
      <c r="C454" s="371" t="s">
        <v>1493</v>
      </c>
      <c r="D454" s="371" t="s">
        <v>1501</v>
      </c>
      <c r="E454" s="373">
        <v>0.0</v>
      </c>
      <c r="G454" s="371">
        <v>1.0</v>
      </c>
      <c r="H454" s="371">
        <v>0.0</v>
      </c>
      <c r="I454" s="371"/>
      <c r="K454" s="374"/>
      <c r="L454" s="269" t="str">
        <f t="shared" si="1"/>
        <v>V</v>
      </c>
    </row>
    <row r="455" ht="15.75" customHeight="1">
      <c r="A455" s="370">
        <v>46082.0</v>
      </c>
      <c r="B455" s="371" t="s">
        <v>1490</v>
      </c>
      <c r="C455" s="371" t="s">
        <v>1504</v>
      </c>
      <c r="D455" s="371" t="s">
        <v>1494</v>
      </c>
      <c r="E455" s="373">
        <v>15.48</v>
      </c>
      <c r="G455" s="371">
        <v>1258.0</v>
      </c>
      <c r="H455" s="371">
        <v>55.0</v>
      </c>
      <c r="I455" s="371"/>
      <c r="K455" s="374">
        <v>3.0</v>
      </c>
      <c r="L455" s="269" t="str">
        <f t="shared" si="1"/>
        <v>V</v>
      </c>
    </row>
    <row r="456" ht="15.75" customHeight="1">
      <c r="A456" s="370">
        <v>46082.0</v>
      </c>
      <c r="B456" s="371" t="s">
        <v>1490</v>
      </c>
      <c r="C456" s="371" t="s">
        <v>1503</v>
      </c>
      <c r="D456" s="371" t="s">
        <v>1494</v>
      </c>
      <c r="E456" s="373">
        <v>9.79</v>
      </c>
      <c r="G456" s="371">
        <v>780.0</v>
      </c>
      <c r="H456" s="371">
        <v>37.0</v>
      </c>
      <c r="I456" s="371"/>
      <c r="K456" s="374">
        <v>1.0</v>
      </c>
      <c r="L456" s="269" t="str">
        <f t="shared" si="1"/>
        <v>V</v>
      </c>
    </row>
    <row r="457" ht="15.75" customHeight="1">
      <c r="A457" s="370">
        <v>46082.0</v>
      </c>
      <c r="B457" s="371" t="s">
        <v>1495</v>
      </c>
      <c r="C457" s="371" t="s">
        <v>1496</v>
      </c>
      <c r="D457" s="371" t="s">
        <v>1497</v>
      </c>
      <c r="E457" s="373">
        <v>10.9</v>
      </c>
      <c r="G457" s="371">
        <v>4157.0</v>
      </c>
      <c r="H457" s="371">
        <v>44.0</v>
      </c>
      <c r="I457" s="371"/>
      <c r="K457" s="374"/>
      <c r="L457" s="269" t="str">
        <f t="shared" si="1"/>
        <v>AD</v>
      </c>
    </row>
    <row r="458" ht="15.75" customHeight="1">
      <c r="A458" s="370">
        <v>46081.0</v>
      </c>
      <c r="B458" s="371" t="s">
        <v>1490</v>
      </c>
      <c r="C458" s="371" t="s">
        <v>1491</v>
      </c>
      <c r="D458" s="371" t="s">
        <v>1492</v>
      </c>
      <c r="E458" s="373">
        <v>16.64</v>
      </c>
      <c r="G458" s="371">
        <v>187.0</v>
      </c>
      <c r="H458" s="371">
        <v>7.0</v>
      </c>
      <c r="I458" s="371"/>
      <c r="K458" s="374"/>
      <c r="L458" s="269" t="str">
        <f t="shared" si="1"/>
        <v/>
      </c>
    </row>
    <row r="459" ht="15.75" customHeight="1">
      <c r="A459" s="370">
        <v>46081.0</v>
      </c>
      <c r="B459" s="371" t="s">
        <v>1490</v>
      </c>
      <c r="C459" s="371" t="s">
        <v>1493</v>
      </c>
      <c r="D459" s="371" t="s">
        <v>1494</v>
      </c>
      <c r="E459" s="373">
        <v>11.03</v>
      </c>
      <c r="G459" s="371">
        <v>1115.0</v>
      </c>
      <c r="H459" s="371">
        <v>21.0</v>
      </c>
      <c r="I459" s="371"/>
      <c r="K459" s="374">
        <v>3.0</v>
      </c>
      <c r="L459" s="269" t="str">
        <f t="shared" si="1"/>
        <v>V</v>
      </c>
    </row>
    <row r="460" ht="15.75" customHeight="1">
      <c r="A460" s="370">
        <v>46081.0</v>
      </c>
      <c r="B460" s="371" t="s">
        <v>1490</v>
      </c>
      <c r="C460" s="371" t="s">
        <v>1503</v>
      </c>
      <c r="D460" s="371" t="s">
        <v>1505</v>
      </c>
      <c r="E460" s="373">
        <v>0.36</v>
      </c>
      <c r="G460" s="371">
        <v>21.0</v>
      </c>
      <c r="H460" s="371">
        <v>1.0</v>
      </c>
      <c r="I460" s="371"/>
      <c r="K460" s="374"/>
      <c r="L460" s="269" t="str">
        <f t="shared" si="1"/>
        <v>V-video</v>
      </c>
    </row>
    <row r="461" ht="15.75" customHeight="1">
      <c r="A461" s="370">
        <v>46081.0</v>
      </c>
      <c r="B461" s="371" t="s">
        <v>1490</v>
      </c>
      <c r="C461" s="371" t="s">
        <v>1503</v>
      </c>
      <c r="D461" s="371" t="s">
        <v>1507</v>
      </c>
      <c r="E461" s="373">
        <v>1.37</v>
      </c>
      <c r="G461" s="371">
        <v>123.0</v>
      </c>
      <c r="H461" s="371">
        <v>1.0</v>
      </c>
      <c r="I461" s="371"/>
      <c r="K461" s="374"/>
      <c r="L461" s="269" t="str">
        <f t="shared" si="1"/>
        <v>V</v>
      </c>
    </row>
    <row r="462" ht="15.75" customHeight="1">
      <c r="A462" s="370">
        <v>46081.0</v>
      </c>
      <c r="B462" s="371" t="s">
        <v>1490</v>
      </c>
      <c r="C462" s="371" t="s">
        <v>1504</v>
      </c>
      <c r="D462" s="371" t="s">
        <v>1508</v>
      </c>
      <c r="E462" s="373">
        <v>0.49</v>
      </c>
      <c r="G462" s="371">
        <v>36.0</v>
      </c>
      <c r="H462" s="371">
        <v>1.0</v>
      </c>
      <c r="I462" s="371"/>
      <c r="K462" s="374">
        <v>1.0</v>
      </c>
      <c r="L462" s="269" t="str">
        <f t="shared" si="1"/>
        <v>V</v>
      </c>
    </row>
    <row r="463" ht="15.75" customHeight="1">
      <c r="A463" s="370">
        <v>46081.0</v>
      </c>
      <c r="B463" s="371" t="s">
        <v>1490</v>
      </c>
      <c r="C463" s="371" t="s">
        <v>1504</v>
      </c>
      <c r="D463" s="371" t="s">
        <v>1507</v>
      </c>
      <c r="E463" s="373">
        <v>2.1</v>
      </c>
      <c r="G463" s="371">
        <v>84.0</v>
      </c>
      <c r="H463" s="371">
        <v>5.0</v>
      </c>
      <c r="I463" s="371"/>
      <c r="K463" s="374">
        <v>1.0</v>
      </c>
      <c r="L463" s="269" t="str">
        <f t="shared" si="1"/>
        <v>V</v>
      </c>
    </row>
    <row r="464" ht="15.75" customHeight="1">
      <c r="A464" s="370">
        <v>46081.0</v>
      </c>
      <c r="B464" s="371" t="s">
        <v>1490</v>
      </c>
      <c r="C464" s="371" t="s">
        <v>1493</v>
      </c>
      <c r="D464" s="371" t="s">
        <v>1501</v>
      </c>
      <c r="E464" s="373">
        <v>0.82</v>
      </c>
      <c r="G464" s="371">
        <v>113.0</v>
      </c>
      <c r="H464" s="371">
        <v>3.0</v>
      </c>
      <c r="I464" s="371"/>
      <c r="K464" s="374"/>
      <c r="L464" s="269" t="str">
        <f t="shared" si="1"/>
        <v>V</v>
      </c>
    </row>
    <row r="465" ht="15.75" customHeight="1">
      <c r="A465" s="370">
        <v>46081.0</v>
      </c>
      <c r="B465" s="371" t="s">
        <v>1490</v>
      </c>
      <c r="C465" s="371" t="s">
        <v>1504</v>
      </c>
      <c r="D465" s="371" t="s">
        <v>1494</v>
      </c>
      <c r="E465" s="373">
        <v>17.27</v>
      </c>
      <c r="G465" s="371">
        <v>1181.0</v>
      </c>
      <c r="H465" s="371">
        <v>66.0</v>
      </c>
      <c r="I465" s="371"/>
      <c r="K465" s="374">
        <v>4.0</v>
      </c>
      <c r="L465" s="269" t="str">
        <f t="shared" si="1"/>
        <v>V</v>
      </c>
    </row>
    <row r="466" ht="15.75" customHeight="1">
      <c r="A466" s="370">
        <v>46081.0</v>
      </c>
      <c r="B466" s="371" t="s">
        <v>1490</v>
      </c>
      <c r="C466" s="371" t="s">
        <v>1503</v>
      </c>
      <c r="D466" s="371" t="s">
        <v>1494</v>
      </c>
      <c r="E466" s="373">
        <v>12.13</v>
      </c>
      <c r="G466" s="371">
        <v>832.0</v>
      </c>
      <c r="H466" s="371">
        <v>25.0</v>
      </c>
      <c r="I466" s="371"/>
      <c r="K466" s="374">
        <v>1.0</v>
      </c>
      <c r="L466" s="269" t="str">
        <f t="shared" si="1"/>
        <v>V</v>
      </c>
    </row>
    <row r="467" ht="15.75" customHeight="1">
      <c r="A467" s="370">
        <v>46081.0</v>
      </c>
      <c r="B467" s="371" t="s">
        <v>1495</v>
      </c>
      <c r="C467" s="371" t="s">
        <v>1496</v>
      </c>
      <c r="D467" s="371" t="s">
        <v>1497</v>
      </c>
      <c r="E467" s="373">
        <v>9.68</v>
      </c>
      <c r="G467" s="371">
        <v>3060.0</v>
      </c>
      <c r="H467" s="371">
        <v>36.0</v>
      </c>
      <c r="I467" s="371"/>
      <c r="K467" s="374"/>
      <c r="L467" s="269" t="str">
        <f t="shared" si="1"/>
        <v>AD</v>
      </c>
    </row>
    <row r="468" ht="15.75" customHeight="1">
      <c r="A468" s="370">
        <v>46080.0</v>
      </c>
      <c r="B468" s="371" t="s">
        <v>1490</v>
      </c>
      <c r="C468" s="371" t="s">
        <v>1491</v>
      </c>
      <c r="D468" s="371" t="s">
        <v>1492</v>
      </c>
      <c r="E468" s="373">
        <v>16.29</v>
      </c>
      <c r="G468" s="371">
        <v>243.0</v>
      </c>
      <c r="H468" s="371">
        <v>13.0</v>
      </c>
      <c r="I468" s="371"/>
      <c r="K468" s="374">
        <v>1.0</v>
      </c>
      <c r="L468" s="269" t="str">
        <f t="shared" si="1"/>
        <v/>
      </c>
    </row>
    <row r="469" ht="15.75" customHeight="1">
      <c r="A469" s="370">
        <v>46080.0</v>
      </c>
      <c r="B469" s="371" t="s">
        <v>1490</v>
      </c>
      <c r="C469" s="371" t="s">
        <v>1491</v>
      </c>
      <c r="D469" s="371" t="s">
        <v>1502</v>
      </c>
      <c r="E469" s="373">
        <v>0.07</v>
      </c>
      <c r="G469" s="371">
        <v>1.0</v>
      </c>
      <c r="H469" s="371">
        <v>0.0</v>
      </c>
      <c r="I469" s="371"/>
      <c r="K469" s="374"/>
      <c r="L469" s="269" t="str">
        <f t="shared" si="1"/>
        <v/>
      </c>
    </row>
    <row r="470" ht="15.75" customHeight="1">
      <c r="A470" s="370">
        <v>46080.0</v>
      </c>
      <c r="B470" s="371" t="s">
        <v>1490</v>
      </c>
      <c r="C470" s="371" t="s">
        <v>1493</v>
      </c>
      <c r="D470" s="371" t="s">
        <v>1494</v>
      </c>
      <c r="E470" s="373">
        <v>8.75</v>
      </c>
      <c r="G470" s="371">
        <v>703.0</v>
      </c>
      <c r="H470" s="371">
        <v>25.0</v>
      </c>
      <c r="I470" s="371"/>
      <c r="K470" s="374">
        <v>1.0</v>
      </c>
      <c r="L470" s="269" t="str">
        <f t="shared" si="1"/>
        <v>V</v>
      </c>
    </row>
    <row r="471" ht="15.75" customHeight="1">
      <c r="A471" s="370">
        <v>46080.0</v>
      </c>
      <c r="B471" s="371" t="s">
        <v>1490</v>
      </c>
      <c r="C471" s="371" t="s">
        <v>1503</v>
      </c>
      <c r="D471" s="371" t="s">
        <v>1498</v>
      </c>
      <c r="E471" s="373">
        <v>0.72</v>
      </c>
      <c r="G471" s="371">
        <v>61.0</v>
      </c>
      <c r="H471" s="371">
        <v>1.0</v>
      </c>
      <c r="I471" s="371"/>
      <c r="K471" s="374"/>
      <c r="L471" s="269" t="str">
        <f t="shared" si="1"/>
        <v>V</v>
      </c>
    </row>
    <row r="472" ht="15.75" customHeight="1">
      <c r="A472" s="370">
        <v>46080.0</v>
      </c>
      <c r="B472" s="371" t="s">
        <v>1490</v>
      </c>
      <c r="C472" s="371" t="s">
        <v>1503</v>
      </c>
      <c r="D472" s="371" t="s">
        <v>1505</v>
      </c>
      <c r="E472" s="373">
        <v>0.0</v>
      </c>
      <c r="G472" s="371">
        <v>1.0</v>
      </c>
      <c r="H472" s="371">
        <v>0.0</v>
      </c>
      <c r="I472" s="371"/>
      <c r="K472" s="374"/>
      <c r="L472" s="269" t="str">
        <f t="shared" si="1"/>
        <v>V-video</v>
      </c>
    </row>
    <row r="473" ht="15.75" customHeight="1">
      <c r="A473" s="370">
        <v>46080.0</v>
      </c>
      <c r="B473" s="371" t="s">
        <v>1490</v>
      </c>
      <c r="C473" s="371" t="s">
        <v>1504</v>
      </c>
      <c r="D473" s="371" t="s">
        <v>1506</v>
      </c>
      <c r="E473" s="373">
        <v>0.26</v>
      </c>
      <c r="G473" s="371">
        <v>19.0</v>
      </c>
      <c r="H473" s="371">
        <v>1.0</v>
      </c>
      <c r="I473" s="371"/>
      <c r="K473" s="374"/>
      <c r="L473" s="269" t="str">
        <f t="shared" si="1"/>
        <v>V</v>
      </c>
    </row>
    <row r="474" ht="15.75" customHeight="1">
      <c r="A474" s="370">
        <v>46080.0</v>
      </c>
      <c r="B474" s="371" t="s">
        <v>1490</v>
      </c>
      <c r="C474" s="371" t="s">
        <v>1493</v>
      </c>
      <c r="D474" s="371" t="s">
        <v>1499</v>
      </c>
      <c r="E474" s="373">
        <v>2.58</v>
      </c>
      <c r="G474" s="371">
        <v>142.0</v>
      </c>
      <c r="H474" s="371">
        <v>2.0</v>
      </c>
      <c r="I474" s="371"/>
      <c r="K474" s="374"/>
      <c r="L474" s="269" t="str">
        <f t="shared" si="1"/>
        <v>V</v>
      </c>
    </row>
    <row r="475" ht="15.75" customHeight="1">
      <c r="A475" s="370">
        <v>46080.0</v>
      </c>
      <c r="B475" s="371" t="s">
        <v>1490</v>
      </c>
      <c r="C475" s="371" t="s">
        <v>1493</v>
      </c>
      <c r="D475" s="371" t="s">
        <v>1500</v>
      </c>
      <c r="E475" s="373">
        <v>1.49</v>
      </c>
      <c r="G475" s="371">
        <v>144.0</v>
      </c>
      <c r="H475" s="371">
        <v>1.0</v>
      </c>
      <c r="I475" s="371"/>
      <c r="K475" s="374"/>
      <c r="L475" s="269" t="str">
        <f t="shared" si="1"/>
        <v>V</v>
      </c>
    </row>
    <row r="476" ht="15.75" customHeight="1">
      <c r="A476" s="370">
        <v>46080.0</v>
      </c>
      <c r="B476" s="371" t="s">
        <v>1490</v>
      </c>
      <c r="C476" s="371" t="s">
        <v>1493</v>
      </c>
      <c r="D476" s="371" t="s">
        <v>1501</v>
      </c>
      <c r="E476" s="373">
        <v>0.15</v>
      </c>
      <c r="G476" s="371">
        <v>5.0</v>
      </c>
      <c r="H476" s="371">
        <v>0.0</v>
      </c>
      <c r="I476" s="371"/>
      <c r="K476" s="374"/>
      <c r="L476" s="269" t="str">
        <f t="shared" si="1"/>
        <v>V</v>
      </c>
    </row>
    <row r="477" ht="15.75" customHeight="1">
      <c r="A477" s="370">
        <v>46080.0</v>
      </c>
      <c r="B477" s="371" t="s">
        <v>1490</v>
      </c>
      <c r="C477" s="371" t="s">
        <v>1504</v>
      </c>
      <c r="D477" s="371" t="s">
        <v>1494</v>
      </c>
      <c r="E477" s="373">
        <v>14.43</v>
      </c>
      <c r="G477" s="371">
        <v>893.0</v>
      </c>
      <c r="H477" s="371">
        <v>52.0</v>
      </c>
      <c r="I477" s="371"/>
      <c r="K477" s="374">
        <v>1.0</v>
      </c>
      <c r="L477" s="269" t="str">
        <f t="shared" si="1"/>
        <v>V</v>
      </c>
    </row>
    <row r="478" ht="15.75" customHeight="1">
      <c r="A478" s="370">
        <v>46080.0</v>
      </c>
      <c r="B478" s="371" t="s">
        <v>1490</v>
      </c>
      <c r="C478" s="371" t="s">
        <v>1503</v>
      </c>
      <c r="D478" s="371" t="s">
        <v>1494</v>
      </c>
      <c r="E478" s="373">
        <v>11.9</v>
      </c>
      <c r="G478" s="371">
        <v>685.0</v>
      </c>
      <c r="H478" s="371">
        <v>26.0</v>
      </c>
      <c r="I478" s="371"/>
      <c r="K478" s="374"/>
      <c r="L478" s="269" t="str">
        <f t="shared" si="1"/>
        <v>V</v>
      </c>
    </row>
    <row r="479" ht="15.75" customHeight="1">
      <c r="A479" s="370">
        <v>46080.0</v>
      </c>
      <c r="B479" s="371" t="s">
        <v>1495</v>
      </c>
      <c r="C479" s="371" t="s">
        <v>1496</v>
      </c>
      <c r="D479" s="371" t="s">
        <v>1497</v>
      </c>
      <c r="E479" s="373">
        <v>9.84</v>
      </c>
      <c r="G479" s="371">
        <v>2028.0</v>
      </c>
      <c r="H479" s="371">
        <v>36.0</v>
      </c>
      <c r="I479" s="371"/>
      <c r="K479" s="374"/>
      <c r="L479" s="269" t="str">
        <f t="shared" si="1"/>
        <v>AD</v>
      </c>
    </row>
    <row r="480" ht="15.75" customHeight="1">
      <c r="A480" s="370">
        <v>46079.0</v>
      </c>
      <c r="B480" s="371" t="s">
        <v>1490</v>
      </c>
      <c r="C480" s="371" t="s">
        <v>1491</v>
      </c>
      <c r="D480" s="371" t="s">
        <v>1492</v>
      </c>
      <c r="E480" s="373">
        <v>16.34</v>
      </c>
      <c r="G480" s="371">
        <v>284.0</v>
      </c>
      <c r="H480" s="371">
        <v>10.0</v>
      </c>
      <c r="I480" s="371"/>
      <c r="K480" s="374"/>
      <c r="L480" s="269" t="str">
        <f t="shared" si="1"/>
        <v/>
      </c>
    </row>
    <row r="481" ht="15.75" customHeight="1">
      <c r="A481" s="370">
        <v>46079.0</v>
      </c>
      <c r="B481" s="371" t="s">
        <v>1490</v>
      </c>
      <c r="C481" s="371" t="s">
        <v>1493</v>
      </c>
      <c r="D481" s="371" t="s">
        <v>1494</v>
      </c>
      <c r="E481" s="373">
        <v>14.24</v>
      </c>
      <c r="G481" s="371">
        <v>1310.0</v>
      </c>
      <c r="H481" s="371">
        <v>36.0</v>
      </c>
      <c r="I481" s="371">
        <v>2.0</v>
      </c>
      <c r="K481" s="374">
        <v>3.0</v>
      </c>
      <c r="L481" s="269" t="str">
        <f t="shared" si="1"/>
        <v>V</v>
      </c>
    </row>
    <row r="482" ht="15.75" customHeight="1">
      <c r="A482" s="370">
        <v>46079.0</v>
      </c>
      <c r="B482" s="371" t="s">
        <v>1490</v>
      </c>
      <c r="C482" s="371" t="s">
        <v>1503</v>
      </c>
      <c r="D482" s="371" t="s">
        <v>1498</v>
      </c>
      <c r="E482" s="373">
        <v>0.24</v>
      </c>
      <c r="G482" s="371">
        <v>25.0</v>
      </c>
      <c r="H482" s="371">
        <v>0.0</v>
      </c>
      <c r="I482" s="371"/>
      <c r="K482" s="374"/>
      <c r="L482" s="269" t="str">
        <f t="shared" si="1"/>
        <v>V</v>
      </c>
    </row>
    <row r="483" ht="15.75" customHeight="1">
      <c r="A483" s="370">
        <v>46079.0</v>
      </c>
      <c r="B483" s="371" t="s">
        <v>1490</v>
      </c>
      <c r="C483" s="371" t="s">
        <v>1504</v>
      </c>
      <c r="D483" s="371" t="s">
        <v>1498</v>
      </c>
      <c r="E483" s="373">
        <v>0.12</v>
      </c>
      <c r="G483" s="371">
        <v>7.0</v>
      </c>
      <c r="H483" s="371">
        <v>0.0</v>
      </c>
      <c r="I483" s="371"/>
      <c r="K483" s="374"/>
      <c r="L483" s="269" t="str">
        <f t="shared" si="1"/>
        <v>V</v>
      </c>
    </row>
    <row r="484" ht="15.75" customHeight="1">
      <c r="A484" s="370">
        <v>46079.0</v>
      </c>
      <c r="B484" s="371" t="s">
        <v>1490</v>
      </c>
      <c r="C484" s="371" t="s">
        <v>1503</v>
      </c>
      <c r="D484" s="371" t="s">
        <v>1505</v>
      </c>
      <c r="E484" s="373">
        <v>0.85</v>
      </c>
      <c r="G484" s="371">
        <v>48.0</v>
      </c>
      <c r="H484" s="371">
        <v>3.0</v>
      </c>
      <c r="I484" s="371"/>
      <c r="K484" s="374"/>
      <c r="L484" s="269" t="str">
        <f t="shared" si="1"/>
        <v>V-video</v>
      </c>
    </row>
    <row r="485" ht="15.75" customHeight="1">
      <c r="A485" s="370">
        <v>46079.0</v>
      </c>
      <c r="B485" s="371" t="s">
        <v>1490</v>
      </c>
      <c r="C485" s="371" t="s">
        <v>1504</v>
      </c>
      <c r="D485" s="371" t="s">
        <v>1506</v>
      </c>
      <c r="E485" s="373">
        <v>1.03</v>
      </c>
      <c r="G485" s="371">
        <v>28.0</v>
      </c>
      <c r="H485" s="371">
        <v>0.0</v>
      </c>
      <c r="I485" s="371"/>
      <c r="K485" s="374"/>
      <c r="L485" s="269" t="str">
        <f t="shared" si="1"/>
        <v>V</v>
      </c>
    </row>
    <row r="486" ht="15.75" customHeight="1">
      <c r="A486" s="370">
        <v>46079.0</v>
      </c>
      <c r="B486" s="371" t="s">
        <v>1490</v>
      </c>
      <c r="C486" s="371" t="s">
        <v>1503</v>
      </c>
      <c r="D486" s="371" t="s">
        <v>1508</v>
      </c>
      <c r="E486" s="373">
        <v>2.76</v>
      </c>
      <c r="G486" s="371">
        <v>207.0</v>
      </c>
      <c r="H486" s="371">
        <v>8.0</v>
      </c>
      <c r="I486" s="371"/>
      <c r="K486" s="374">
        <v>1.0</v>
      </c>
      <c r="L486" s="269" t="str">
        <f t="shared" si="1"/>
        <v>V</v>
      </c>
    </row>
    <row r="487" ht="15.75" customHeight="1">
      <c r="A487" s="370">
        <v>46079.0</v>
      </c>
      <c r="B487" s="371" t="s">
        <v>1490</v>
      </c>
      <c r="C487" s="371" t="s">
        <v>1493</v>
      </c>
      <c r="D487" s="371" t="s">
        <v>1500</v>
      </c>
      <c r="E487" s="373">
        <v>0.97</v>
      </c>
      <c r="G487" s="371">
        <v>49.0</v>
      </c>
      <c r="H487" s="371">
        <v>2.0</v>
      </c>
      <c r="I487" s="371"/>
      <c r="K487" s="374"/>
      <c r="L487" s="269" t="str">
        <f t="shared" si="1"/>
        <v>V</v>
      </c>
    </row>
    <row r="488" ht="15.75" customHeight="1">
      <c r="A488" s="370">
        <v>46079.0</v>
      </c>
      <c r="B488" s="371" t="s">
        <v>1490</v>
      </c>
      <c r="C488" s="371" t="s">
        <v>1504</v>
      </c>
      <c r="D488" s="371" t="s">
        <v>1494</v>
      </c>
      <c r="E488" s="373">
        <v>17.39</v>
      </c>
      <c r="G488" s="371">
        <v>1190.0</v>
      </c>
      <c r="H488" s="371">
        <v>78.0</v>
      </c>
      <c r="I488" s="371"/>
      <c r="K488" s="374">
        <v>3.0</v>
      </c>
      <c r="L488" s="269" t="str">
        <f t="shared" si="1"/>
        <v>V</v>
      </c>
    </row>
    <row r="489" ht="15.75" customHeight="1">
      <c r="A489" s="370">
        <v>46079.0</v>
      </c>
      <c r="B489" s="371" t="s">
        <v>1490</v>
      </c>
      <c r="C489" s="371" t="s">
        <v>1503</v>
      </c>
      <c r="D489" s="371" t="s">
        <v>1494</v>
      </c>
      <c r="E489" s="373">
        <v>10.53</v>
      </c>
      <c r="G489" s="371">
        <v>825.0</v>
      </c>
      <c r="H489" s="371">
        <v>37.0</v>
      </c>
      <c r="I489" s="371"/>
      <c r="K489" s="374">
        <v>3.0</v>
      </c>
      <c r="L489" s="269" t="str">
        <f t="shared" si="1"/>
        <v>V</v>
      </c>
    </row>
    <row r="490" ht="15.75" customHeight="1">
      <c r="A490" s="370">
        <v>46079.0</v>
      </c>
      <c r="B490" s="371" t="s">
        <v>1495</v>
      </c>
      <c r="C490" s="371" t="s">
        <v>1496</v>
      </c>
      <c r="D490" s="371" t="s">
        <v>1497</v>
      </c>
      <c r="E490" s="373">
        <v>9.29</v>
      </c>
      <c r="G490" s="371">
        <v>1817.0</v>
      </c>
      <c r="H490" s="371">
        <v>51.0</v>
      </c>
      <c r="I490" s="371"/>
      <c r="K490" s="374"/>
      <c r="L490" s="269" t="str">
        <f t="shared" si="1"/>
        <v>AD</v>
      </c>
    </row>
    <row r="491" ht="15.75" customHeight="1">
      <c r="A491" s="370">
        <v>46078.0</v>
      </c>
      <c r="B491" s="371" t="s">
        <v>1490</v>
      </c>
      <c r="C491" s="371" t="s">
        <v>1491</v>
      </c>
      <c r="D491" s="371" t="s">
        <v>1492</v>
      </c>
      <c r="E491" s="373">
        <v>16.49</v>
      </c>
      <c r="G491" s="371">
        <v>224.0</v>
      </c>
      <c r="H491" s="371">
        <v>5.0</v>
      </c>
      <c r="I491" s="371"/>
      <c r="K491" s="374"/>
      <c r="L491" s="269" t="str">
        <f t="shared" si="1"/>
        <v/>
      </c>
    </row>
    <row r="492" ht="15.75" customHeight="1">
      <c r="A492" s="370">
        <v>46078.0</v>
      </c>
      <c r="B492" s="371" t="s">
        <v>1490</v>
      </c>
      <c r="C492" s="371" t="s">
        <v>1491</v>
      </c>
      <c r="D492" s="371" t="s">
        <v>1502</v>
      </c>
      <c r="E492" s="373">
        <v>0.27</v>
      </c>
      <c r="G492" s="371">
        <v>3.0</v>
      </c>
      <c r="H492" s="371">
        <v>0.0</v>
      </c>
      <c r="I492" s="371"/>
      <c r="K492" s="374"/>
      <c r="L492" s="269" t="str">
        <f t="shared" si="1"/>
        <v/>
      </c>
    </row>
    <row r="493" ht="15.75" customHeight="1">
      <c r="A493" s="370">
        <v>46078.0</v>
      </c>
      <c r="B493" s="371" t="s">
        <v>1490</v>
      </c>
      <c r="C493" s="371" t="s">
        <v>1493</v>
      </c>
      <c r="D493" s="371" t="s">
        <v>1494</v>
      </c>
      <c r="E493" s="373">
        <v>16.41</v>
      </c>
      <c r="G493" s="371">
        <v>1324.0</v>
      </c>
      <c r="H493" s="371">
        <v>39.0</v>
      </c>
      <c r="I493" s="371"/>
      <c r="K493" s="374"/>
      <c r="L493" s="269" t="str">
        <f t="shared" si="1"/>
        <v>V</v>
      </c>
    </row>
    <row r="494" ht="15.75" customHeight="1">
      <c r="A494" s="370">
        <v>46078.0</v>
      </c>
      <c r="B494" s="371" t="s">
        <v>1490</v>
      </c>
      <c r="C494" s="371" t="s">
        <v>1493</v>
      </c>
      <c r="D494" s="371" t="s">
        <v>1499</v>
      </c>
      <c r="E494" s="373">
        <v>1.09</v>
      </c>
      <c r="G494" s="371">
        <v>76.0</v>
      </c>
      <c r="H494" s="371">
        <v>4.0</v>
      </c>
      <c r="I494" s="371"/>
      <c r="K494" s="374">
        <v>1.0</v>
      </c>
      <c r="L494" s="269" t="str">
        <f t="shared" si="1"/>
        <v>V</v>
      </c>
    </row>
    <row r="495" ht="15.75" customHeight="1">
      <c r="A495" s="370">
        <v>46078.0</v>
      </c>
      <c r="B495" s="371" t="s">
        <v>1490</v>
      </c>
      <c r="C495" s="371" t="s">
        <v>1503</v>
      </c>
      <c r="D495" s="371" t="s">
        <v>1508</v>
      </c>
      <c r="E495" s="373">
        <v>0.21</v>
      </c>
      <c r="G495" s="371">
        <v>5.0</v>
      </c>
      <c r="H495" s="371">
        <v>0.0</v>
      </c>
      <c r="I495" s="371"/>
      <c r="K495" s="374"/>
      <c r="L495" s="269" t="str">
        <f t="shared" si="1"/>
        <v>V</v>
      </c>
    </row>
    <row r="496" ht="15.75" customHeight="1">
      <c r="A496" s="370">
        <v>46078.0</v>
      </c>
      <c r="B496" s="371" t="s">
        <v>1490</v>
      </c>
      <c r="C496" s="371" t="s">
        <v>1504</v>
      </c>
      <c r="D496" s="371" t="s">
        <v>1507</v>
      </c>
      <c r="E496" s="373">
        <v>0.2</v>
      </c>
      <c r="G496" s="371">
        <v>9.0</v>
      </c>
      <c r="H496" s="371">
        <v>0.0</v>
      </c>
      <c r="I496" s="371"/>
      <c r="K496" s="374"/>
      <c r="L496" s="269" t="str">
        <f t="shared" si="1"/>
        <v>V</v>
      </c>
    </row>
    <row r="497" ht="15.75" customHeight="1">
      <c r="A497" s="370">
        <v>46078.0</v>
      </c>
      <c r="B497" s="371" t="s">
        <v>1490</v>
      </c>
      <c r="C497" s="371" t="s">
        <v>1493</v>
      </c>
      <c r="D497" s="371" t="s">
        <v>1500</v>
      </c>
      <c r="E497" s="373">
        <v>0.02</v>
      </c>
      <c r="G497" s="371">
        <v>6.0</v>
      </c>
      <c r="H497" s="371">
        <v>0.0</v>
      </c>
      <c r="I497" s="371"/>
      <c r="K497" s="374"/>
      <c r="L497" s="269" t="str">
        <f t="shared" si="1"/>
        <v>V</v>
      </c>
    </row>
    <row r="498" ht="15.75" customHeight="1">
      <c r="A498" s="370">
        <v>46078.0</v>
      </c>
      <c r="B498" s="371" t="s">
        <v>1490</v>
      </c>
      <c r="C498" s="371" t="s">
        <v>1493</v>
      </c>
      <c r="D498" s="371" t="s">
        <v>1501</v>
      </c>
      <c r="E498" s="373">
        <v>0.37</v>
      </c>
      <c r="G498" s="371">
        <v>24.0</v>
      </c>
      <c r="H498" s="371">
        <v>0.0</v>
      </c>
      <c r="I498" s="371"/>
      <c r="K498" s="374"/>
      <c r="L498" s="269" t="str">
        <f t="shared" si="1"/>
        <v>V</v>
      </c>
    </row>
    <row r="499" ht="15.75" customHeight="1">
      <c r="A499" s="370">
        <v>46078.0</v>
      </c>
      <c r="B499" s="371" t="s">
        <v>1490</v>
      </c>
      <c r="C499" s="371" t="s">
        <v>1504</v>
      </c>
      <c r="D499" s="371" t="s">
        <v>1494</v>
      </c>
      <c r="E499" s="373">
        <v>17.76</v>
      </c>
      <c r="G499" s="371">
        <v>1200.0</v>
      </c>
      <c r="H499" s="371">
        <v>78.0</v>
      </c>
      <c r="I499" s="371"/>
      <c r="K499" s="374">
        <v>3.0</v>
      </c>
      <c r="L499" s="269" t="str">
        <f t="shared" si="1"/>
        <v>V</v>
      </c>
    </row>
    <row r="500" ht="15.75" customHeight="1">
      <c r="A500" s="370">
        <v>46078.0</v>
      </c>
      <c r="B500" s="371" t="s">
        <v>1490</v>
      </c>
      <c r="C500" s="371" t="s">
        <v>1503</v>
      </c>
      <c r="D500" s="371" t="s">
        <v>1494</v>
      </c>
      <c r="E500" s="373">
        <v>18.23</v>
      </c>
      <c r="G500" s="371">
        <v>1391.0</v>
      </c>
      <c r="H500" s="371">
        <v>63.0</v>
      </c>
      <c r="I500" s="371"/>
      <c r="K500" s="374"/>
      <c r="L500" s="269" t="str">
        <f t="shared" si="1"/>
        <v>V</v>
      </c>
    </row>
    <row r="501" ht="15.75" customHeight="1">
      <c r="A501" s="370">
        <v>46078.0</v>
      </c>
      <c r="B501" s="371" t="s">
        <v>1495</v>
      </c>
      <c r="C501" s="371" t="s">
        <v>1496</v>
      </c>
      <c r="D501" s="371" t="s">
        <v>1497</v>
      </c>
      <c r="E501" s="373">
        <v>9.72</v>
      </c>
      <c r="G501" s="371">
        <v>2602.0</v>
      </c>
      <c r="H501" s="371">
        <v>31.0</v>
      </c>
      <c r="I501" s="371"/>
      <c r="K501" s="374"/>
      <c r="L501" s="269" t="str">
        <f t="shared" si="1"/>
        <v>AD</v>
      </c>
    </row>
    <row r="502" ht="15.75" customHeight="1">
      <c r="A502" s="370">
        <v>46077.0</v>
      </c>
      <c r="B502" s="371" t="s">
        <v>1490</v>
      </c>
      <c r="C502" s="371" t="s">
        <v>1491</v>
      </c>
      <c r="D502" s="371" t="s">
        <v>1492</v>
      </c>
      <c r="E502" s="373">
        <v>16.51</v>
      </c>
      <c r="G502" s="371">
        <v>265.0</v>
      </c>
      <c r="H502" s="371">
        <v>9.0</v>
      </c>
      <c r="I502" s="371"/>
      <c r="K502" s="374"/>
      <c r="L502" s="269" t="str">
        <f t="shared" si="1"/>
        <v/>
      </c>
    </row>
    <row r="503" ht="15.75" customHeight="1">
      <c r="A503" s="370">
        <v>46077.0</v>
      </c>
      <c r="B503" s="371" t="s">
        <v>1490</v>
      </c>
      <c r="C503" s="371" t="s">
        <v>1491</v>
      </c>
      <c r="D503" s="371" t="s">
        <v>1502</v>
      </c>
      <c r="E503" s="373">
        <v>0.14</v>
      </c>
      <c r="G503" s="371">
        <v>1.0</v>
      </c>
      <c r="H503" s="371">
        <v>0.0</v>
      </c>
      <c r="I503" s="371">
        <v>1.0</v>
      </c>
      <c r="K503" s="374"/>
      <c r="L503" s="269" t="str">
        <f t="shared" si="1"/>
        <v/>
      </c>
    </row>
    <row r="504" ht="15.75" customHeight="1">
      <c r="A504" s="370">
        <v>46077.0</v>
      </c>
      <c r="B504" s="371" t="s">
        <v>1490</v>
      </c>
      <c r="C504" s="371" t="s">
        <v>1493</v>
      </c>
      <c r="D504" s="371" t="s">
        <v>1494</v>
      </c>
      <c r="E504" s="373">
        <v>12.91</v>
      </c>
      <c r="G504" s="371">
        <v>1012.0</v>
      </c>
      <c r="H504" s="371">
        <v>31.0</v>
      </c>
      <c r="I504" s="371">
        <v>1.0</v>
      </c>
      <c r="K504" s="374">
        <v>2.0</v>
      </c>
      <c r="L504" s="269" t="str">
        <f t="shared" si="1"/>
        <v>V</v>
      </c>
    </row>
    <row r="505" ht="15.75" customHeight="1">
      <c r="A505" s="370">
        <v>46077.0</v>
      </c>
      <c r="B505" s="371" t="s">
        <v>1490</v>
      </c>
      <c r="C505" s="371" t="s">
        <v>1503</v>
      </c>
      <c r="D505" s="371" t="s">
        <v>1498</v>
      </c>
      <c r="E505" s="373">
        <v>2.05</v>
      </c>
      <c r="G505" s="371">
        <v>59.0</v>
      </c>
      <c r="H505" s="371">
        <v>1.0</v>
      </c>
      <c r="I505" s="371"/>
      <c r="K505" s="374">
        <v>1.0</v>
      </c>
      <c r="L505" s="269" t="str">
        <f t="shared" si="1"/>
        <v>V</v>
      </c>
    </row>
    <row r="506" ht="15.75" customHeight="1">
      <c r="A506" s="370">
        <v>46077.0</v>
      </c>
      <c r="B506" s="371" t="s">
        <v>1490</v>
      </c>
      <c r="C506" s="371" t="s">
        <v>1493</v>
      </c>
      <c r="D506" s="371" t="s">
        <v>1498</v>
      </c>
      <c r="E506" s="373">
        <v>0.19</v>
      </c>
      <c r="G506" s="371">
        <v>19.0</v>
      </c>
      <c r="H506" s="371">
        <v>0.0</v>
      </c>
      <c r="I506" s="371"/>
      <c r="K506" s="374"/>
      <c r="L506" s="269" t="str">
        <f t="shared" si="1"/>
        <v>V</v>
      </c>
    </row>
    <row r="507" ht="15.75" customHeight="1">
      <c r="A507" s="370">
        <v>46077.0</v>
      </c>
      <c r="B507" s="371" t="s">
        <v>1490</v>
      </c>
      <c r="C507" s="371" t="s">
        <v>1503</v>
      </c>
      <c r="D507" s="371" t="s">
        <v>1505</v>
      </c>
      <c r="E507" s="373">
        <v>1.03</v>
      </c>
      <c r="G507" s="371">
        <v>60.0</v>
      </c>
      <c r="H507" s="371">
        <v>2.0</v>
      </c>
      <c r="I507" s="371"/>
      <c r="K507" s="374"/>
      <c r="L507" s="269" t="str">
        <f t="shared" si="1"/>
        <v>V-video</v>
      </c>
    </row>
    <row r="508" ht="15.75" customHeight="1">
      <c r="A508" s="370">
        <v>46077.0</v>
      </c>
      <c r="B508" s="371" t="s">
        <v>1490</v>
      </c>
      <c r="C508" s="371" t="s">
        <v>1493</v>
      </c>
      <c r="D508" s="371" t="s">
        <v>1499</v>
      </c>
      <c r="E508" s="373">
        <v>1.12</v>
      </c>
      <c r="G508" s="371">
        <v>85.0</v>
      </c>
      <c r="H508" s="371">
        <v>3.0</v>
      </c>
      <c r="I508" s="371"/>
      <c r="K508" s="374">
        <v>1.0</v>
      </c>
      <c r="L508" s="269" t="str">
        <f t="shared" si="1"/>
        <v>V</v>
      </c>
    </row>
    <row r="509" ht="15.75" customHeight="1">
      <c r="A509" s="370">
        <v>46077.0</v>
      </c>
      <c r="B509" s="371" t="s">
        <v>1490</v>
      </c>
      <c r="C509" s="371" t="s">
        <v>1503</v>
      </c>
      <c r="D509" s="371" t="s">
        <v>1508</v>
      </c>
      <c r="E509" s="373">
        <v>7.49</v>
      </c>
      <c r="G509" s="371">
        <v>679.0</v>
      </c>
      <c r="H509" s="371">
        <v>18.0</v>
      </c>
      <c r="I509" s="371"/>
      <c r="K509" s="374"/>
      <c r="L509" s="269" t="str">
        <f t="shared" si="1"/>
        <v>V</v>
      </c>
    </row>
    <row r="510" ht="15.75" customHeight="1">
      <c r="A510" s="370">
        <v>46077.0</v>
      </c>
      <c r="B510" s="371" t="s">
        <v>1490</v>
      </c>
      <c r="C510" s="371" t="s">
        <v>1504</v>
      </c>
      <c r="D510" s="371" t="s">
        <v>1508</v>
      </c>
      <c r="E510" s="373">
        <v>0.21</v>
      </c>
      <c r="G510" s="371">
        <v>13.0</v>
      </c>
      <c r="H510" s="371">
        <v>0.0</v>
      </c>
      <c r="I510" s="371"/>
      <c r="K510" s="374"/>
      <c r="L510" s="269" t="str">
        <f t="shared" si="1"/>
        <v>V</v>
      </c>
    </row>
    <row r="511" ht="15.75" customHeight="1">
      <c r="A511" s="370">
        <v>46077.0</v>
      </c>
      <c r="B511" s="371" t="s">
        <v>1490</v>
      </c>
      <c r="C511" s="371" t="s">
        <v>1493</v>
      </c>
      <c r="D511" s="371" t="s">
        <v>1500</v>
      </c>
      <c r="E511" s="373">
        <v>4.69</v>
      </c>
      <c r="G511" s="371">
        <v>276.0</v>
      </c>
      <c r="H511" s="371">
        <v>6.0</v>
      </c>
      <c r="I511" s="371"/>
      <c r="K511" s="374">
        <v>2.0</v>
      </c>
      <c r="L511" s="269" t="str">
        <f t="shared" si="1"/>
        <v>V</v>
      </c>
    </row>
    <row r="512" ht="15.75" customHeight="1">
      <c r="A512" s="370">
        <v>46077.0</v>
      </c>
      <c r="B512" s="371" t="s">
        <v>1490</v>
      </c>
      <c r="C512" s="371" t="s">
        <v>1504</v>
      </c>
      <c r="D512" s="371" t="s">
        <v>1494</v>
      </c>
      <c r="E512" s="373">
        <v>18.33</v>
      </c>
      <c r="G512" s="371">
        <v>1146.0</v>
      </c>
      <c r="H512" s="371">
        <v>58.0</v>
      </c>
      <c r="I512" s="371"/>
      <c r="K512" s="374">
        <v>3.0</v>
      </c>
      <c r="L512" s="269" t="str">
        <f t="shared" si="1"/>
        <v>V</v>
      </c>
    </row>
    <row r="513" ht="15.75" customHeight="1">
      <c r="A513" s="370">
        <v>46077.0</v>
      </c>
      <c r="B513" s="371" t="s">
        <v>1490</v>
      </c>
      <c r="C513" s="371" t="s">
        <v>1503</v>
      </c>
      <c r="D513" s="371" t="s">
        <v>1494</v>
      </c>
      <c r="E513" s="373">
        <v>9.03</v>
      </c>
      <c r="G513" s="371">
        <v>627.0</v>
      </c>
      <c r="H513" s="371">
        <v>10.0</v>
      </c>
      <c r="I513" s="371"/>
      <c r="K513" s="374">
        <v>2.0</v>
      </c>
      <c r="L513" s="269" t="str">
        <f t="shared" si="1"/>
        <v>V</v>
      </c>
    </row>
    <row r="514" ht="15.75" customHeight="1">
      <c r="A514" s="370">
        <v>46077.0</v>
      </c>
      <c r="B514" s="371" t="s">
        <v>1495</v>
      </c>
      <c r="C514" s="371" t="s">
        <v>1496</v>
      </c>
      <c r="D514" s="371" t="s">
        <v>1497</v>
      </c>
      <c r="E514" s="373">
        <v>10.76</v>
      </c>
      <c r="G514" s="371">
        <v>3104.0</v>
      </c>
      <c r="H514" s="371">
        <v>47.0</v>
      </c>
      <c r="I514" s="371"/>
      <c r="K514" s="374"/>
      <c r="L514" s="269" t="str">
        <f t="shared" si="1"/>
        <v>AD</v>
      </c>
    </row>
    <row r="515" ht="15.75" customHeight="1">
      <c r="A515" s="370">
        <v>46076.0</v>
      </c>
      <c r="B515" s="371" t="s">
        <v>1490</v>
      </c>
      <c r="C515" s="371" t="s">
        <v>1491</v>
      </c>
      <c r="D515" s="371" t="s">
        <v>1492</v>
      </c>
      <c r="E515" s="373">
        <v>6.94</v>
      </c>
      <c r="G515" s="371">
        <v>95.0</v>
      </c>
      <c r="H515" s="371">
        <v>2.0</v>
      </c>
      <c r="I515" s="371"/>
      <c r="K515" s="374">
        <v>1.0</v>
      </c>
      <c r="L515" s="269" t="str">
        <f t="shared" si="1"/>
        <v/>
      </c>
    </row>
    <row r="516" ht="15.75" customHeight="1">
      <c r="A516" s="370">
        <v>46076.0</v>
      </c>
      <c r="B516" s="371" t="s">
        <v>1490</v>
      </c>
      <c r="C516" s="371" t="s">
        <v>1491</v>
      </c>
      <c r="D516" s="371" t="s">
        <v>1502</v>
      </c>
      <c r="E516" s="373">
        <v>9.83</v>
      </c>
      <c r="G516" s="371">
        <v>150.0</v>
      </c>
      <c r="H516" s="371">
        <v>1.0</v>
      </c>
      <c r="I516" s="371"/>
      <c r="K516" s="374"/>
      <c r="L516" s="269" t="str">
        <f t="shared" si="1"/>
        <v/>
      </c>
    </row>
    <row r="517" ht="15.75" customHeight="1">
      <c r="A517" s="370">
        <v>46076.0</v>
      </c>
      <c r="B517" s="371" t="s">
        <v>1490</v>
      </c>
      <c r="C517" s="371" t="s">
        <v>1493</v>
      </c>
      <c r="D517" s="371" t="s">
        <v>1494</v>
      </c>
      <c r="E517" s="373">
        <v>12.5</v>
      </c>
      <c r="G517" s="371">
        <v>1092.0</v>
      </c>
      <c r="H517" s="371">
        <v>34.0</v>
      </c>
      <c r="I517" s="371"/>
      <c r="K517" s="374">
        <v>2.0</v>
      </c>
      <c r="L517" s="269" t="str">
        <f t="shared" si="1"/>
        <v>V</v>
      </c>
    </row>
    <row r="518" ht="15.75" customHeight="1">
      <c r="A518" s="370">
        <v>46076.0</v>
      </c>
      <c r="B518" s="371" t="s">
        <v>1490</v>
      </c>
      <c r="C518" s="371" t="s">
        <v>1503</v>
      </c>
      <c r="D518" s="371" t="s">
        <v>1505</v>
      </c>
      <c r="E518" s="373">
        <v>0.62</v>
      </c>
      <c r="G518" s="371">
        <v>15.0</v>
      </c>
      <c r="H518" s="371">
        <v>1.0</v>
      </c>
      <c r="I518" s="371"/>
      <c r="K518" s="374"/>
      <c r="L518" s="269" t="str">
        <f t="shared" si="1"/>
        <v>V-video</v>
      </c>
    </row>
    <row r="519" ht="15.75" customHeight="1">
      <c r="A519" s="370">
        <v>46076.0</v>
      </c>
      <c r="B519" s="371" t="s">
        <v>1490</v>
      </c>
      <c r="C519" s="371" t="s">
        <v>1493</v>
      </c>
      <c r="D519" s="371" t="s">
        <v>1499</v>
      </c>
      <c r="E519" s="373">
        <v>0.34</v>
      </c>
      <c r="G519" s="371">
        <v>24.0</v>
      </c>
      <c r="H519" s="371">
        <v>0.0</v>
      </c>
      <c r="I519" s="371"/>
      <c r="K519" s="374"/>
      <c r="L519" s="269" t="str">
        <f t="shared" si="1"/>
        <v>V</v>
      </c>
    </row>
    <row r="520" ht="15.75" customHeight="1">
      <c r="A520" s="370">
        <v>46076.0</v>
      </c>
      <c r="B520" s="371" t="s">
        <v>1490</v>
      </c>
      <c r="C520" s="371" t="s">
        <v>1503</v>
      </c>
      <c r="D520" s="371" t="s">
        <v>1507</v>
      </c>
      <c r="E520" s="373">
        <v>0.65</v>
      </c>
      <c r="G520" s="371">
        <v>33.0</v>
      </c>
      <c r="H520" s="371">
        <v>1.0</v>
      </c>
      <c r="I520" s="371"/>
      <c r="K520" s="374"/>
      <c r="L520" s="269" t="str">
        <f t="shared" si="1"/>
        <v>V</v>
      </c>
    </row>
    <row r="521" ht="15.75" customHeight="1">
      <c r="A521" s="370">
        <v>46076.0</v>
      </c>
      <c r="B521" s="371" t="s">
        <v>1490</v>
      </c>
      <c r="C521" s="371" t="s">
        <v>1504</v>
      </c>
      <c r="D521" s="371" t="s">
        <v>1508</v>
      </c>
      <c r="E521" s="373">
        <v>3.08</v>
      </c>
      <c r="G521" s="371">
        <v>121.0</v>
      </c>
      <c r="H521" s="371">
        <v>3.0</v>
      </c>
      <c r="I521" s="371"/>
      <c r="K521" s="374"/>
      <c r="L521" s="269" t="str">
        <f t="shared" si="1"/>
        <v>V</v>
      </c>
    </row>
    <row r="522" ht="15.75" customHeight="1">
      <c r="A522" s="370">
        <v>46076.0</v>
      </c>
      <c r="B522" s="371" t="s">
        <v>1490</v>
      </c>
      <c r="C522" s="371" t="s">
        <v>1504</v>
      </c>
      <c r="D522" s="371" t="s">
        <v>1507</v>
      </c>
      <c r="E522" s="373">
        <v>0.0</v>
      </c>
      <c r="G522" s="371">
        <v>0.0</v>
      </c>
      <c r="H522" s="371">
        <v>0.0</v>
      </c>
      <c r="I522" s="371">
        <v>1.0</v>
      </c>
      <c r="K522" s="374"/>
      <c r="L522" s="269" t="str">
        <f t="shared" si="1"/>
        <v>V</v>
      </c>
    </row>
    <row r="523" ht="15.75" customHeight="1">
      <c r="A523" s="370">
        <v>46076.0</v>
      </c>
      <c r="B523" s="371" t="s">
        <v>1490</v>
      </c>
      <c r="C523" s="371" t="s">
        <v>1493</v>
      </c>
      <c r="D523" s="371" t="s">
        <v>1500</v>
      </c>
      <c r="E523" s="373">
        <v>1.17</v>
      </c>
      <c r="G523" s="371">
        <v>147.0</v>
      </c>
      <c r="H523" s="371">
        <v>1.0</v>
      </c>
      <c r="I523" s="371"/>
      <c r="K523" s="374"/>
      <c r="L523" s="269" t="str">
        <f t="shared" si="1"/>
        <v>V</v>
      </c>
    </row>
    <row r="524" ht="15.75" customHeight="1">
      <c r="A524" s="370">
        <v>46076.0</v>
      </c>
      <c r="B524" s="371" t="s">
        <v>1490</v>
      </c>
      <c r="C524" s="371" t="s">
        <v>1493</v>
      </c>
      <c r="D524" s="371" t="s">
        <v>1501</v>
      </c>
      <c r="E524" s="373">
        <v>0.53</v>
      </c>
      <c r="G524" s="371">
        <v>57.0</v>
      </c>
      <c r="H524" s="371">
        <v>0.0</v>
      </c>
      <c r="I524" s="371"/>
      <c r="K524" s="374"/>
      <c r="L524" s="269" t="str">
        <f t="shared" si="1"/>
        <v>V</v>
      </c>
    </row>
    <row r="525" ht="15.75" customHeight="1">
      <c r="A525" s="370">
        <v>46076.0</v>
      </c>
      <c r="B525" s="371" t="s">
        <v>1490</v>
      </c>
      <c r="C525" s="371" t="s">
        <v>1504</v>
      </c>
      <c r="D525" s="371" t="s">
        <v>1494</v>
      </c>
      <c r="E525" s="373">
        <v>15.72</v>
      </c>
      <c r="G525" s="371">
        <v>1218.0</v>
      </c>
      <c r="H525" s="371">
        <v>62.0</v>
      </c>
      <c r="I525" s="371">
        <v>1.0</v>
      </c>
      <c r="K525" s="374">
        <v>4.0</v>
      </c>
      <c r="L525" s="269" t="str">
        <f t="shared" si="1"/>
        <v>V</v>
      </c>
    </row>
    <row r="526" ht="15.75" customHeight="1">
      <c r="A526" s="370">
        <v>46076.0</v>
      </c>
      <c r="B526" s="371" t="s">
        <v>1490</v>
      </c>
      <c r="C526" s="371" t="s">
        <v>1503</v>
      </c>
      <c r="D526" s="371" t="s">
        <v>1494</v>
      </c>
      <c r="E526" s="373">
        <v>15.2</v>
      </c>
      <c r="G526" s="371">
        <v>1513.0</v>
      </c>
      <c r="H526" s="371">
        <v>43.0</v>
      </c>
      <c r="I526" s="371"/>
      <c r="K526" s="374"/>
      <c r="L526" s="269" t="str">
        <f t="shared" si="1"/>
        <v>V</v>
      </c>
    </row>
    <row r="527" ht="15.75" customHeight="1">
      <c r="A527" s="370">
        <v>46076.0</v>
      </c>
      <c r="B527" s="371" t="s">
        <v>1495</v>
      </c>
      <c r="C527" s="371" t="s">
        <v>1496</v>
      </c>
      <c r="D527" s="371" t="s">
        <v>1497</v>
      </c>
      <c r="E527" s="373">
        <v>10.54</v>
      </c>
      <c r="G527" s="371">
        <v>3133.0</v>
      </c>
      <c r="H527" s="371">
        <v>39.0</v>
      </c>
      <c r="I527" s="371"/>
      <c r="K527" s="374"/>
      <c r="L527" s="269" t="str">
        <f t="shared" si="1"/>
        <v>AD</v>
      </c>
    </row>
    <row r="528" ht="15.75" customHeight="1">
      <c r="A528" s="370">
        <v>46075.0</v>
      </c>
      <c r="B528" s="371" t="s">
        <v>1490</v>
      </c>
      <c r="C528" s="371" t="s">
        <v>1491</v>
      </c>
      <c r="D528" s="371" t="s">
        <v>1492</v>
      </c>
      <c r="E528" s="373">
        <v>6.05</v>
      </c>
      <c r="G528" s="371">
        <v>101.0</v>
      </c>
      <c r="H528" s="371">
        <v>4.0</v>
      </c>
      <c r="I528" s="371"/>
      <c r="K528" s="374">
        <v>1.0</v>
      </c>
      <c r="L528" s="269" t="str">
        <f t="shared" si="1"/>
        <v/>
      </c>
    </row>
    <row r="529" ht="15.75" customHeight="1">
      <c r="A529" s="370">
        <v>46075.0</v>
      </c>
      <c r="B529" s="371" t="s">
        <v>1490</v>
      </c>
      <c r="C529" s="371" t="s">
        <v>1491</v>
      </c>
      <c r="D529" s="371" t="s">
        <v>1502</v>
      </c>
      <c r="E529" s="373">
        <v>10.3</v>
      </c>
      <c r="G529" s="371">
        <v>135.0</v>
      </c>
      <c r="H529" s="371">
        <v>3.0</v>
      </c>
      <c r="I529" s="371"/>
      <c r="K529" s="374">
        <v>1.0</v>
      </c>
      <c r="L529" s="269" t="str">
        <f t="shared" si="1"/>
        <v/>
      </c>
    </row>
    <row r="530" ht="15.75" customHeight="1">
      <c r="A530" s="370">
        <v>46075.0</v>
      </c>
      <c r="B530" s="371" t="s">
        <v>1490</v>
      </c>
      <c r="C530" s="371" t="s">
        <v>1493</v>
      </c>
      <c r="D530" s="371" t="s">
        <v>1494</v>
      </c>
      <c r="E530" s="373">
        <v>8.39</v>
      </c>
      <c r="G530" s="371">
        <v>595.0</v>
      </c>
      <c r="H530" s="371">
        <v>6.0</v>
      </c>
      <c r="I530" s="371"/>
      <c r="K530" s="374"/>
      <c r="L530" s="269" t="str">
        <f t="shared" si="1"/>
        <v>V</v>
      </c>
    </row>
    <row r="531" ht="15.75" customHeight="1">
      <c r="A531" s="370">
        <v>46075.0</v>
      </c>
      <c r="B531" s="371" t="s">
        <v>1490</v>
      </c>
      <c r="C531" s="371" t="s">
        <v>1503</v>
      </c>
      <c r="D531" s="371" t="s">
        <v>1498</v>
      </c>
      <c r="E531" s="373">
        <v>1.07</v>
      </c>
      <c r="G531" s="371">
        <v>56.0</v>
      </c>
      <c r="H531" s="371">
        <v>1.0</v>
      </c>
      <c r="I531" s="371"/>
      <c r="K531" s="374"/>
      <c r="L531" s="269" t="str">
        <f t="shared" si="1"/>
        <v>V</v>
      </c>
    </row>
    <row r="532" ht="15.75" customHeight="1">
      <c r="A532" s="370">
        <v>46075.0</v>
      </c>
      <c r="B532" s="371" t="s">
        <v>1490</v>
      </c>
      <c r="C532" s="371" t="s">
        <v>1504</v>
      </c>
      <c r="D532" s="371" t="s">
        <v>1498</v>
      </c>
      <c r="E532" s="373">
        <v>0.48</v>
      </c>
      <c r="G532" s="371">
        <v>18.0</v>
      </c>
      <c r="H532" s="371">
        <v>2.0</v>
      </c>
      <c r="I532" s="371"/>
      <c r="K532" s="374"/>
      <c r="L532" s="269" t="str">
        <f t="shared" si="1"/>
        <v>V</v>
      </c>
    </row>
    <row r="533" ht="15.75" customHeight="1">
      <c r="A533" s="370">
        <v>46075.0</v>
      </c>
      <c r="B533" s="371" t="s">
        <v>1490</v>
      </c>
      <c r="C533" s="371" t="s">
        <v>1503</v>
      </c>
      <c r="D533" s="371" t="s">
        <v>1505</v>
      </c>
      <c r="E533" s="373">
        <v>0.03</v>
      </c>
      <c r="G533" s="371">
        <v>3.0</v>
      </c>
      <c r="H533" s="371">
        <v>1.0</v>
      </c>
      <c r="I533" s="371"/>
      <c r="K533" s="374"/>
      <c r="L533" s="269" t="str">
        <f t="shared" si="1"/>
        <v>V-video</v>
      </c>
    </row>
    <row r="534" ht="15.75" customHeight="1">
      <c r="A534" s="370">
        <v>46075.0</v>
      </c>
      <c r="B534" s="371" t="s">
        <v>1490</v>
      </c>
      <c r="C534" s="371" t="s">
        <v>1504</v>
      </c>
      <c r="D534" s="371" t="s">
        <v>1506</v>
      </c>
      <c r="E534" s="373">
        <v>0.16</v>
      </c>
      <c r="G534" s="371">
        <v>3.0</v>
      </c>
      <c r="H534" s="371">
        <v>0.0</v>
      </c>
      <c r="I534" s="371"/>
      <c r="K534" s="374"/>
      <c r="L534" s="269" t="str">
        <f t="shared" si="1"/>
        <v>V</v>
      </c>
    </row>
    <row r="535" ht="15.75" customHeight="1">
      <c r="A535" s="370">
        <v>46075.0</v>
      </c>
      <c r="B535" s="371" t="s">
        <v>1490</v>
      </c>
      <c r="C535" s="371" t="s">
        <v>1504</v>
      </c>
      <c r="D535" s="371" t="s">
        <v>1507</v>
      </c>
      <c r="E535" s="373">
        <v>4.39</v>
      </c>
      <c r="G535" s="371">
        <v>290.0</v>
      </c>
      <c r="H535" s="371">
        <v>14.0</v>
      </c>
      <c r="I535" s="371"/>
      <c r="K535" s="374">
        <v>1.0</v>
      </c>
      <c r="L535" s="269" t="str">
        <f t="shared" si="1"/>
        <v>V</v>
      </c>
    </row>
    <row r="536" ht="15.75" customHeight="1">
      <c r="A536" s="370">
        <v>46075.0</v>
      </c>
      <c r="B536" s="371" t="s">
        <v>1490</v>
      </c>
      <c r="C536" s="371" t="s">
        <v>1493</v>
      </c>
      <c r="D536" s="371" t="s">
        <v>1500</v>
      </c>
      <c r="E536" s="373">
        <v>5.09</v>
      </c>
      <c r="G536" s="371">
        <v>538.0</v>
      </c>
      <c r="H536" s="371">
        <v>10.0</v>
      </c>
      <c r="I536" s="371"/>
      <c r="K536" s="374"/>
      <c r="L536" s="269" t="str">
        <f t="shared" si="1"/>
        <v>V</v>
      </c>
    </row>
    <row r="537" ht="15.75" customHeight="1">
      <c r="A537" s="370">
        <v>46075.0</v>
      </c>
      <c r="B537" s="371" t="s">
        <v>1490</v>
      </c>
      <c r="C537" s="371" t="s">
        <v>1493</v>
      </c>
      <c r="D537" s="371" t="s">
        <v>1501</v>
      </c>
      <c r="E537" s="373">
        <v>0.01</v>
      </c>
      <c r="G537" s="371">
        <v>4.0</v>
      </c>
      <c r="H537" s="371">
        <v>0.0</v>
      </c>
      <c r="I537" s="371"/>
      <c r="K537" s="374"/>
      <c r="L537" s="269" t="str">
        <f t="shared" si="1"/>
        <v>V</v>
      </c>
    </row>
    <row r="538" ht="15.75" customHeight="1">
      <c r="A538" s="370">
        <v>46075.0</v>
      </c>
      <c r="B538" s="371" t="s">
        <v>1490</v>
      </c>
      <c r="C538" s="371" t="s">
        <v>1504</v>
      </c>
      <c r="D538" s="371" t="s">
        <v>1494</v>
      </c>
      <c r="E538" s="373">
        <v>11.05</v>
      </c>
      <c r="G538" s="371">
        <v>782.0</v>
      </c>
      <c r="H538" s="371">
        <v>46.0</v>
      </c>
      <c r="I538" s="371"/>
      <c r="K538" s="374">
        <v>5.0</v>
      </c>
      <c r="L538" s="269" t="str">
        <f t="shared" si="1"/>
        <v>V</v>
      </c>
    </row>
    <row r="539" ht="15.75" customHeight="1">
      <c r="A539" s="370">
        <v>46075.0</v>
      </c>
      <c r="B539" s="371" t="s">
        <v>1490</v>
      </c>
      <c r="C539" s="371" t="s">
        <v>1503</v>
      </c>
      <c r="D539" s="371" t="s">
        <v>1494</v>
      </c>
      <c r="E539" s="373">
        <v>12.25</v>
      </c>
      <c r="G539" s="371">
        <v>817.0</v>
      </c>
      <c r="H539" s="371">
        <v>17.0</v>
      </c>
      <c r="I539" s="371"/>
      <c r="K539" s="374">
        <v>1.0</v>
      </c>
      <c r="L539" s="269" t="str">
        <f t="shared" si="1"/>
        <v>V</v>
      </c>
    </row>
    <row r="540" ht="15.75" customHeight="1">
      <c r="A540" s="370">
        <v>46075.0</v>
      </c>
      <c r="B540" s="371" t="s">
        <v>1495</v>
      </c>
      <c r="C540" s="371" t="s">
        <v>1496</v>
      </c>
      <c r="D540" s="371" t="s">
        <v>1497</v>
      </c>
      <c r="E540" s="373">
        <v>10.13</v>
      </c>
      <c r="G540" s="371">
        <v>3440.0</v>
      </c>
      <c r="H540" s="371">
        <v>59.0</v>
      </c>
      <c r="I540" s="371"/>
      <c r="K540" s="374">
        <v>1.0</v>
      </c>
      <c r="L540" s="269" t="str">
        <f t="shared" si="1"/>
        <v>AD</v>
      </c>
    </row>
    <row r="541" ht="15.75" customHeight="1">
      <c r="A541" s="370">
        <v>46074.0</v>
      </c>
      <c r="B541" s="371" t="s">
        <v>1490</v>
      </c>
      <c r="C541" s="371" t="s">
        <v>1491</v>
      </c>
      <c r="D541" s="371" t="s">
        <v>1492</v>
      </c>
      <c r="E541" s="373">
        <v>1.62</v>
      </c>
      <c r="G541" s="371">
        <v>33.0</v>
      </c>
      <c r="H541" s="371">
        <v>1.0</v>
      </c>
      <c r="I541" s="371"/>
      <c r="K541" s="374"/>
      <c r="L541" s="269" t="str">
        <f t="shared" si="1"/>
        <v/>
      </c>
    </row>
    <row r="542" ht="15.75" customHeight="1">
      <c r="A542" s="370">
        <v>46074.0</v>
      </c>
      <c r="B542" s="371" t="s">
        <v>1490</v>
      </c>
      <c r="C542" s="371" t="s">
        <v>1491</v>
      </c>
      <c r="D542" s="371" t="s">
        <v>1502</v>
      </c>
      <c r="E542" s="373">
        <v>12.78</v>
      </c>
      <c r="G542" s="371">
        <v>184.0</v>
      </c>
      <c r="H542" s="371">
        <v>6.0</v>
      </c>
      <c r="I542" s="371"/>
      <c r="K542" s="374">
        <v>1.0</v>
      </c>
      <c r="L542" s="269" t="str">
        <f t="shared" si="1"/>
        <v/>
      </c>
    </row>
    <row r="543" ht="15.75" customHeight="1">
      <c r="A543" s="370">
        <v>46074.0</v>
      </c>
      <c r="B543" s="371" t="s">
        <v>1490</v>
      </c>
      <c r="C543" s="371" t="s">
        <v>1493</v>
      </c>
      <c r="D543" s="371" t="s">
        <v>1494</v>
      </c>
      <c r="E543" s="373">
        <v>9.53</v>
      </c>
      <c r="G543" s="371">
        <v>868.0</v>
      </c>
      <c r="H543" s="371">
        <v>28.0</v>
      </c>
      <c r="I543" s="371">
        <v>1.0</v>
      </c>
      <c r="K543" s="374">
        <v>2.0</v>
      </c>
      <c r="L543" s="269" t="str">
        <f t="shared" si="1"/>
        <v>V</v>
      </c>
    </row>
    <row r="544" ht="15.75" customHeight="1">
      <c r="A544" s="370">
        <v>46074.0</v>
      </c>
      <c r="B544" s="371" t="s">
        <v>1490</v>
      </c>
      <c r="C544" s="371" t="s">
        <v>1503</v>
      </c>
      <c r="D544" s="371" t="s">
        <v>1505</v>
      </c>
      <c r="E544" s="373">
        <v>1.33</v>
      </c>
      <c r="G544" s="371">
        <v>88.0</v>
      </c>
      <c r="H544" s="371">
        <v>1.0</v>
      </c>
      <c r="I544" s="371"/>
      <c r="K544" s="374"/>
      <c r="L544" s="269" t="str">
        <f t="shared" si="1"/>
        <v>V-video</v>
      </c>
    </row>
    <row r="545" ht="15.75" customHeight="1">
      <c r="A545" s="370">
        <v>46074.0</v>
      </c>
      <c r="B545" s="371" t="s">
        <v>1490</v>
      </c>
      <c r="C545" s="371" t="s">
        <v>1504</v>
      </c>
      <c r="D545" s="371" t="s">
        <v>1506</v>
      </c>
      <c r="E545" s="373">
        <v>0.14</v>
      </c>
      <c r="G545" s="371">
        <v>7.0</v>
      </c>
      <c r="H545" s="371">
        <v>0.0</v>
      </c>
      <c r="I545" s="371"/>
      <c r="K545" s="374"/>
      <c r="L545" s="269" t="str">
        <f t="shared" si="1"/>
        <v>V</v>
      </c>
    </row>
    <row r="546" ht="15.75" customHeight="1">
      <c r="A546" s="370">
        <v>46074.0</v>
      </c>
      <c r="B546" s="371" t="s">
        <v>1490</v>
      </c>
      <c r="C546" s="371" t="s">
        <v>1504</v>
      </c>
      <c r="D546" s="371" t="s">
        <v>1507</v>
      </c>
      <c r="E546" s="373">
        <v>8.51</v>
      </c>
      <c r="G546" s="371">
        <v>454.0</v>
      </c>
      <c r="H546" s="371">
        <v>20.0</v>
      </c>
      <c r="I546" s="371"/>
      <c r="K546" s="374">
        <v>2.0</v>
      </c>
      <c r="L546" s="269" t="str">
        <f t="shared" si="1"/>
        <v>V</v>
      </c>
    </row>
    <row r="547" ht="15.75" customHeight="1">
      <c r="A547" s="370">
        <v>46074.0</v>
      </c>
      <c r="B547" s="371" t="s">
        <v>1490</v>
      </c>
      <c r="C547" s="371" t="s">
        <v>1493</v>
      </c>
      <c r="D547" s="371" t="s">
        <v>1500</v>
      </c>
      <c r="E547" s="373">
        <v>2.71</v>
      </c>
      <c r="G547" s="371">
        <v>271.0</v>
      </c>
      <c r="H547" s="371">
        <v>11.0</v>
      </c>
      <c r="I547" s="371"/>
      <c r="K547" s="374">
        <v>2.0</v>
      </c>
      <c r="L547" s="269" t="str">
        <f t="shared" si="1"/>
        <v>V</v>
      </c>
    </row>
    <row r="548" ht="15.75" customHeight="1">
      <c r="A548" s="370">
        <v>46074.0</v>
      </c>
      <c r="B548" s="371" t="s">
        <v>1490</v>
      </c>
      <c r="C548" s="371" t="s">
        <v>1504</v>
      </c>
      <c r="D548" s="371" t="s">
        <v>1494</v>
      </c>
      <c r="E548" s="373">
        <v>6.44</v>
      </c>
      <c r="G548" s="371">
        <v>295.0</v>
      </c>
      <c r="H548" s="371">
        <v>16.0</v>
      </c>
      <c r="I548" s="371"/>
      <c r="K548" s="374"/>
      <c r="L548" s="269" t="str">
        <f t="shared" si="1"/>
        <v>V</v>
      </c>
    </row>
    <row r="549" ht="15.75" customHeight="1">
      <c r="A549" s="370">
        <v>46074.0</v>
      </c>
      <c r="B549" s="371" t="s">
        <v>1490</v>
      </c>
      <c r="C549" s="371" t="s">
        <v>1503</v>
      </c>
      <c r="D549" s="371" t="s">
        <v>1494</v>
      </c>
      <c r="E549" s="373">
        <v>11.37</v>
      </c>
      <c r="G549" s="371">
        <v>796.0</v>
      </c>
      <c r="H549" s="371">
        <v>25.0</v>
      </c>
      <c r="I549" s="371"/>
      <c r="K549" s="374">
        <v>3.0</v>
      </c>
      <c r="L549" s="269" t="str">
        <f t="shared" si="1"/>
        <v>V</v>
      </c>
    </row>
    <row r="550" ht="15.75" customHeight="1">
      <c r="A550" s="370">
        <v>46074.0</v>
      </c>
      <c r="B550" s="371" t="s">
        <v>1495</v>
      </c>
      <c r="C550" s="371" t="s">
        <v>1496</v>
      </c>
      <c r="D550" s="371" t="s">
        <v>1497</v>
      </c>
      <c r="E550" s="373">
        <v>11.74</v>
      </c>
      <c r="G550" s="371">
        <v>3668.0</v>
      </c>
      <c r="H550" s="371">
        <v>57.0</v>
      </c>
      <c r="I550" s="371"/>
      <c r="K550" s="374">
        <v>1.0</v>
      </c>
      <c r="L550" s="269" t="str">
        <f t="shared" si="1"/>
        <v>AD</v>
      </c>
    </row>
    <row r="551" ht="15.75" customHeight="1">
      <c r="A551" s="370">
        <v>46073.0</v>
      </c>
      <c r="B551" s="371" t="s">
        <v>1490</v>
      </c>
      <c r="C551" s="371" t="s">
        <v>1491</v>
      </c>
      <c r="D551" s="371" t="s">
        <v>1492</v>
      </c>
      <c r="E551" s="373">
        <v>1.24</v>
      </c>
      <c r="G551" s="371">
        <v>7.0</v>
      </c>
      <c r="H551" s="371">
        <v>1.0</v>
      </c>
      <c r="I551" s="371"/>
      <c r="K551" s="374"/>
      <c r="L551" s="269" t="str">
        <f t="shared" si="1"/>
        <v/>
      </c>
    </row>
    <row r="552" ht="15.75" customHeight="1">
      <c r="A552" s="370">
        <v>46073.0</v>
      </c>
      <c r="B552" s="371" t="s">
        <v>1490</v>
      </c>
      <c r="C552" s="371" t="s">
        <v>1491</v>
      </c>
      <c r="D552" s="371" t="s">
        <v>1502</v>
      </c>
      <c r="E552" s="373">
        <v>16.13</v>
      </c>
      <c r="G552" s="371">
        <v>235.0</v>
      </c>
      <c r="H552" s="371">
        <v>5.0</v>
      </c>
      <c r="I552" s="371"/>
      <c r="K552" s="374">
        <v>2.0</v>
      </c>
      <c r="L552" s="269" t="str">
        <f t="shared" si="1"/>
        <v/>
      </c>
    </row>
    <row r="553" ht="15.75" customHeight="1">
      <c r="A553" s="370">
        <v>46073.0</v>
      </c>
      <c r="B553" s="371" t="s">
        <v>1490</v>
      </c>
      <c r="C553" s="371" t="s">
        <v>1493</v>
      </c>
      <c r="D553" s="371" t="s">
        <v>1494</v>
      </c>
      <c r="E553" s="373">
        <v>6.64</v>
      </c>
      <c r="G553" s="371">
        <v>529.0</v>
      </c>
      <c r="H553" s="371">
        <v>14.0</v>
      </c>
      <c r="I553" s="371"/>
      <c r="K553" s="374">
        <v>1.0</v>
      </c>
      <c r="L553" s="269" t="str">
        <f t="shared" si="1"/>
        <v>V</v>
      </c>
    </row>
    <row r="554" ht="15.75" customHeight="1">
      <c r="A554" s="370">
        <v>46073.0</v>
      </c>
      <c r="B554" s="371" t="s">
        <v>1490</v>
      </c>
      <c r="C554" s="371" t="s">
        <v>1503</v>
      </c>
      <c r="D554" s="371" t="s">
        <v>1498</v>
      </c>
      <c r="E554" s="373">
        <v>0.03</v>
      </c>
      <c r="G554" s="371">
        <v>1.0</v>
      </c>
      <c r="H554" s="371">
        <v>0.0</v>
      </c>
      <c r="I554" s="371"/>
      <c r="K554" s="374"/>
      <c r="L554" s="269" t="str">
        <f t="shared" si="1"/>
        <v>V</v>
      </c>
    </row>
    <row r="555" ht="15.75" customHeight="1">
      <c r="A555" s="370">
        <v>46073.0</v>
      </c>
      <c r="B555" s="371" t="s">
        <v>1490</v>
      </c>
      <c r="C555" s="371" t="s">
        <v>1504</v>
      </c>
      <c r="D555" s="371" t="s">
        <v>1506</v>
      </c>
      <c r="E555" s="373">
        <v>0.0</v>
      </c>
      <c r="G555" s="371">
        <v>0.0</v>
      </c>
      <c r="H555" s="371">
        <v>0.0</v>
      </c>
      <c r="I555" s="371"/>
      <c r="K555" s="374"/>
      <c r="L555" s="269" t="str">
        <f t="shared" si="1"/>
        <v>V</v>
      </c>
    </row>
    <row r="556" ht="15.75" customHeight="1">
      <c r="A556" s="370">
        <v>46073.0</v>
      </c>
      <c r="B556" s="371" t="s">
        <v>1490</v>
      </c>
      <c r="C556" s="371" t="s">
        <v>1493</v>
      </c>
      <c r="D556" s="371" t="s">
        <v>1499</v>
      </c>
      <c r="E556" s="373">
        <v>1.97</v>
      </c>
      <c r="G556" s="371">
        <v>95.0</v>
      </c>
      <c r="H556" s="371">
        <v>3.0</v>
      </c>
      <c r="I556" s="371"/>
      <c r="K556" s="374"/>
      <c r="L556" s="269" t="str">
        <f t="shared" si="1"/>
        <v>V</v>
      </c>
    </row>
    <row r="557" ht="15.75" customHeight="1">
      <c r="A557" s="370">
        <v>46073.0</v>
      </c>
      <c r="B557" s="371" t="s">
        <v>1490</v>
      </c>
      <c r="C557" s="371" t="s">
        <v>1503</v>
      </c>
      <c r="D557" s="371" t="s">
        <v>1508</v>
      </c>
      <c r="E557" s="373">
        <v>1.17</v>
      </c>
      <c r="G557" s="371">
        <v>77.0</v>
      </c>
      <c r="H557" s="371">
        <v>1.0</v>
      </c>
      <c r="I557" s="371"/>
      <c r="K557" s="374"/>
      <c r="L557" s="269" t="str">
        <f t="shared" si="1"/>
        <v>V</v>
      </c>
    </row>
    <row r="558" ht="15.75" customHeight="1">
      <c r="A558" s="370">
        <v>46073.0</v>
      </c>
      <c r="B558" s="371" t="s">
        <v>1490</v>
      </c>
      <c r="C558" s="371" t="s">
        <v>1504</v>
      </c>
      <c r="D558" s="371" t="s">
        <v>1507</v>
      </c>
      <c r="E558" s="373">
        <v>10.82</v>
      </c>
      <c r="G558" s="371">
        <v>443.0</v>
      </c>
      <c r="H558" s="371">
        <v>16.0</v>
      </c>
      <c r="I558" s="371"/>
      <c r="K558" s="374">
        <v>4.0</v>
      </c>
      <c r="L558" s="269" t="str">
        <f t="shared" si="1"/>
        <v>V</v>
      </c>
    </row>
    <row r="559" ht="15.75" customHeight="1">
      <c r="A559" s="370">
        <v>46073.0</v>
      </c>
      <c r="B559" s="371" t="s">
        <v>1490</v>
      </c>
      <c r="C559" s="371" t="s">
        <v>1493</v>
      </c>
      <c r="D559" s="371" t="s">
        <v>1500</v>
      </c>
      <c r="E559" s="373">
        <v>4.51</v>
      </c>
      <c r="G559" s="371">
        <v>353.0</v>
      </c>
      <c r="H559" s="371">
        <v>6.0</v>
      </c>
      <c r="I559" s="371"/>
      <c r="K559" s="374">
        <v>1.0</v>
      </c>
      <c r="L559" s="269" t="str">
        <f t="shared" si="1"/>
        <v>V</v>
      </c>
    </row>
    <row r="560" ht="15.75" customHeight="1">
      <c r="A560" s="370">
        <v>46073.0</v>
      </c>
      <c r="B560" s="371" t="s">
        <v>1490</v>
      </c>
      <c r="C560" s="371" t="s">
        <v>1493</v>
      </c>
      <c r="D560" s="371" t="s">
        <v>1501</v>
      </c>
      <c r="E560" s="373">
        <v>0.39</v>
      </c>
      <c r="G560" s="371">
        <v>20.0</v>
      </c>
      <c r="H560" s="371">
        <v>1.0</v>
      </c>
      <c r="I560" s="371"/>
      <c r="K560" s="374"/>
      <c r="L560" s="269" t="str">
        <f t="shared" si="1"/>
        <v>V</v>
      </c>
    </row>
    <row r="561" ht="15.75" customHeight="1">
      <c r="A561" s="370">
        <v>46073.0</v>
      </c>
      <c r="B561" s="371" t="s">
        <v>1490</v>
      </c>
      <c r="C561" s="371" t="s">
        <v>1504</v>
      </c>
      <c r="D561" s="371" t="s">
        <v>1494</v>
      </c>
      <c r="E561" s="373">
        <v>7.0</v>
      </c>
      <c r="G561" s="371">
        <v>296.0</v>
      </c>
      <c r="H561" s="371">
        <v>23.0</v>
      </c>
      <c r="I561" s="371"/>
      <c r="K561" s="374">
        <v>3.0</v>
      </c>
      <c r="L561" s="269" t="str">
        <f t="shared" si="1"/>
        <v>V</v>
      </c>
    </row>
    <row r="562" ht="15.75" customHeight="1">
      <c r="A562" s="370">
        <v>46073.0</v>
      </c>
      <c r="B562" s="371" t="s">
        <v>1490</v>
      </c>
      <c r="C562" s="371" t="s">
        <v>1503</v>
      </c>
      <c r="D562" s="371" t="s">
        <v>1494</v>
      </c>
      <c r="E562" s="373">
        <v>21.36</v>
      </c>
      <c r="G562" s="371">
        <v>705.0</v>
      </c>
      <c r="H562" s="371">
        <v>16.0</v>
      </c>
      <c r="I562" s="371"/>
      <c r="K562" s="374">
        <v>1.0</v>
      </c>
      <c r="L562" s="269" t="str">
        <f t="shared" si="1"/>
        <v>V</v>
      </c>
    </row>
    <row r="563" ht="15.75" customHeight="1">
      <c r="A563" s="370">
        <v>46073.0</v>
      </c>
      <c r="B563" s="371" t="s">
        <v>1495</v>
      </c>
      <c r="C563" s="371" t="s">
        <v>1496</v>
      </c>
      <c r="D563" s="371" t="s">
        <v>1497</v>
      </c>
      <c r="E563" s="373">
        <v>8.48</v>
      </c>
      <c r="G563" s="371">
        <v>2371.0</v>
      </c>
      <c r="H563" s="371">
        <v>27.0</v>
      </c>
      <c r="I563" s="371"/>
      <c r="K563" s="374"/>
      <c r="L563" s="269" t="str">
        <f t="shared" si="1"/>
        <v>AD</v>
      </c>
    </row>
    <row r="564" ht="15.75" customHeight="1">
      <c r="A564" s="370">
        <v>46072.0</v>
      </c>
      <c r="B564" s="371" t="s">
        <v>1490</v>
      </c>
      <c r="C564" s="371" t="s">
        <v>1491</v>
      </c>
      <c r="D564" s="371" t="s">
        <v>1492</v>
      </c>
      <c r="E564" s="373">
        <v>0.75</v>
      </c>
      <c r="G564" s="371">
        <v>12.0</v>
      </c>
      <c r="H564" s="371">
        <v>1.0</v>
      </c>
      <c r="I564" s="371"/>
      <c r="K564" s="374"/>
      <c r="L564" s="269" t="str">
        <f t="shared" si="1"/>
        <v/>
      </c>
    </row>
    <row r="565" ht="15.75" customHeight="1">
      <c r="A565" s="370">
        <v>46072.0</v>
      </c>
      <c r="B565" s="371" t="s">
        <v>1490</v>
      </c>
      <c r="C565" s="371" t="s">
        <v>1491</v>
      </c>
      <c r="D565" s="371" t="s">
        <v>1502</v>
      </c>
      <c r="E565" s="373">
        <v>17.55</v>
      </c>
      <c r="G565" s="371">
        <v>248.0</v>
      </c>
      <c r="H565" s="371">
        <v>7.0</v>
      </c>
      <c r="I565" s="371"/>
      <c r="K565" s="374">
        <v>1.0</v>
      </c>
      <c r="L565" s="269" t="str">
        <f t="shared" si="1"/>
        <v/>
      </c>
    </row>
    <row r="566" ht="15.75" customHeight="1">
      <c r="A566" s="370">
        <v>46072.0</v>
      </c>
      <c r="B566" s="371" t="s">
        <v>1490</v>
      </c>
      <c r="C566" s="371" t="s">
        <v>1493</v>
      </c>
      <c r="D566" s="371" t="s">
        <v>1494</v>
      </c>
      <c r="E566" s="373">
        <v>13.23</v>
      </c>
      <c r="G566" s="371">
        <v>1033.0</v>
      </c>
      <c r="H566" s="371">
        <v>25.0</v>
      </c>
      <c r="I566" s="371"/>
      <c r="K566" s="374">
        <v>2.0</v>
      </c>
      <c r="L566" s="269" t="str">
        <f t="shared" si="1"/>
        <v>V</v>
      </c>
    </row>
    <row r="567" ht="15.75" customHeight="1">
      <c r="A567" s="370">
        <v>46072.0</v>
      </c>
      <c r="B567" s="371" t="s">
        <v>1490</v>
      </c>
      <c r="C567" s="371" t="s">
        <v>1503</v>
      </c>
      <c r="D567" s="371" t="s">
        <v>1498</v>
      </c>
      <c r="E567" s="373">
        <v>0.17</v>
      </c>
      <c r="G567" s="371">
        <v>4.0</v>
      </c>
      <c r="H567" s="371">
        <v>0.0</v>
      </c>
      <c r="I567" s="371"/>
      <c r="K567" s="374"/>
      <c r="L567" s="269" t="str">
        <f t="shared" si="1"/>
        <v>V</v>
      </c>
    </row>
    <row r="568" ht="15.75" customHeight="1">
      <c r="A568" s="370">
        <v>46072.0</v>
      </c>
      <c r="B568" s="371" t="s">
        <v>1490</v>
      </c>
      <c r="C568" s="371" t="s">
        <v>1504</v>
      </c>
      <c r="D568" s="371" t="s">
        <v>1498</v>
      </c>
      <c r="E568" s="373">
        <v>0.11</v>
      </c>
      <c r="G568" s="371">
        <v>10.0</v>
      </c>
      <c r="H568" s="371">
        <v>2.0</v>
      </c>
      <c r="I568" s="371"/>
      <c r="K568" s="374"/>
      <c r="L568" s="269" t="str">
        <f t="shared" si="1"/>
        <v>V</v>
      </c>
    </row>
    <row r="569" ht="15.75" customHeight="1">
      <c r="A569" s="370">
        <v>46072.0</v>
      </c>
      <c r="B569" s="371" t="s">
        <v>1490</v>
      </c>
      <c r="C569" s="371" t="s">
        <v>1493</v>
      </c>
      <c r="D569" s="371" t="s">
        <v>1498</v>
      </c>
      <c r="E569" s="373">
        <v>0.01</v>
      </c>
      <c r="G569" s="371">
        <v>1.0</v>
      </c>
      <c r="H569" s="371">
        <v>0.0</v>
      </c>
      <c r="I569" s="371"/>
      <c r="K569" s="374"/>
      <c r="L569" s="269" t="str">
        <f t="shared" si="1"/>
        <v>V</v>
      </c>
    </row>
    <row r="570" ht="15.75" customHeight="1">
      <c r="A570" s="370">
        <v>46072.0</v>
      </c>
      <c r="B570" s="371" t="s">
        <v>1490</v>
      </c>
      <c r="C570" s="371" t="s">
        <v>1504</v>
      </c>
      <c r="D570" s="371" t="s">
        <v>1506</v>
      </c>
      <c r="E570" s="373">
        <v>0.37</v>
      </c>
      <c r="G570" s="371">
        <v>11.0</v>
      </c>
      <c r="H570" s="371">
        <v>1.0</v>
      </c>
      <c r="I570" s="371"/>
      <c r="K570" s="374">
        <v>1.0</v>
      </c>
      <c r="L570" s="269" t="str">
        <f t="shared" si="1"/>
        <v>V</v>
      </c>
    </row>
    <row r="571" ht="15.75" customHeight="1">
      <c r="A571" s="370">
        <v>46072.0</v>
      </c>
      <c r="B571" s="371" t="s">
        <v>1490</v>
      </c>
      <c r="C571" s="371" t="s">
        <v>1503</v>
      </c>
      <c r="D571" s="371" t="s">
        <v>1508</v>
      </c>
      <c r="E571" s="373">
        <v>2.4</v>
      </c>
      <c r="G571" s="371">
        <v>162.0</v>
      </c>
      <c r="H571" s="371">
        <v>4.0</v>
      </c>
      <c r="I571" s="371"/>
      <c r="K571" s="374">
        <v>1.0</v>
      </c>
      <c r="L571" s="269" t="str">
        <f t="shared" si="1"/>
        <v>V</v>
      </c>
    </row>
    <row r="572" ht="15.75" customHeight="1">
      <c r="A572" s="370">
        <v>46072.0</v>
      </c>
      <c r="B572" s="371" t="s">
        <v>1490</v>
      </c>
      <c r="C572" s="371" t="s">
        <v>1503</v>
      </c>
      <c r="D572" s="371" t="s">
        <v>1507</v>
      </c>
      <c r="E572" s="373">
        <v>0.38</v>
      </c>
      <c r="G572" s="371">
        <v>18.0</v>
      </c>
      <c r="H572" s="371">
        <v>0.0</v>
      </c>
      <c r="I572" s="371"/>
      <c r="K572" s="374"/>
      <c r="L572" s="269" t="str">
        <f t="shared" si="1"/>
        <v>V</v>
      </c>
    </row>
    <row r="573" ht="15.75" customHeight="1">
      <c r="A573" s="370">
        <v>46072.0</v>
      </c>
      <c r="B573" s="371" t="s">
        <v>1490</v>
      </c>
      <c r="C573" s="371" t="s">
        <v>1504</v>
      </c>
      <c r="D573" s="371" t="s">
        <v>1508</v>
      </c>
      <c r="E573" s="373">
        <v>0.08</v>
      </c>
      <c r="G573" s="371">
        <v>14.0</v>
      </c>
      <c r="H573" s="371">
        <v>1.0</v>
      </c>
      <c r="I573" s="371"/>
      <c r="K573" s="374"/>
      <c r="L573" s="269" t="str">
        <f t="shared" si="1"/>
        <v>V</v>
      </c>
    </row>
    <row r="574" ht="15.75" customHeight="1">
      <c r="A574" s="370">
        <v>46072.0</v>
      </c>
      <c r="B574" s="371" t="s">
        <v>1490</v>
      </c>
      <c r="C574" s="371" t="s">
        <v>1504</v>
      </c>
      <c r="D574" s="371" t="s">
        <v>1507</v>
      </c>
      <c r="E574" s="373">
        <v>16.34</v>
      </c>
      <c r="G574" s="371">
        <v>546.0</v>
      </c>
      <c r="H574" s="371">
        <v>30.0</v>
      </c>
      <c r="I574" s="371"/>
      <c r="K574" s="374">
        <v>4.0</v>
      </c>
      <c r="L574" s="269" t="str">
        <f t="shared" si="1"/>
        <v>V</v>
      </c>
    </row>
    <row r="575" ht="15.75" customHeight="1">
      <c r="A575" s="370">
        <v>46072.0</v>
      </c>
      <c r="B575" s="371" t="s">
        <v>1490</v>
      </c>
      <c r="C575" s="371" t="s">
        <v>1493</v>
      </c>
      <c r="D575" s="371" t="s">
        <v>1500</v>
      </c>
      <c r="E575" s="373">
        <v>3.52</v>
      </c>
      <c r="G575" s="371">
        <v>231.0</v>
      </c>
      <c r="H575" s="371">
        <v>10.0</v>
      </c>
      <c r="I575" s="371"/>
      <c r="K575" s="374">
        <v>3.0</v>
      </c>
      <c r="L575" s="269" t="str">
        <f t="shared" si="1"/>
        <v>V</v>
      </c>
    </row>
    <row r="576" ht="15.75" customHeight="1">
      <c r="A576" s="370">
        <v>46072.0</v>
      </c>
      <c r="B576" s="371" t="s">
        <v>1490</v>
      </c>
      <c r="C576" s="371" t="s">
        <v>1503</v>
      </c>
      <c r="D576" s="371" t="s">
        <v>1494</v>
      </c>
      <c r="E576" s="373">
        <v>13.49</v>
      </c>
      <c r="G576" s="371">
        <v>780.0</v>
      </c>
      <c r="H576" s="371">
        <v>23.0</v>
      </c>
      <c r="I576" s="371"/>
      <c r="K576" s="374">
        <v>3.0</v>
      </c>
      <c r="L576" s="269" t="str">
        <f t="shared" si="1"/>
        <v>V</v>
      </c>
    </row>
    <row r="577" ht="15.75" customHeight="1">
      <c r="A577" s="370">
        <v>46072.0</v>
      </c>
      <c r="B577" s="371" t="s">
        <v>1495</v>
      </c>
      <c r="C577" s="371" t="s">
        <v>1496</v>
      </c>
      <c r="D577" s="371" t="s">
        <v>1497</v>
      </c>
      <c r="E577" s="373">
        <v>7.8</v>
      </c>
      <c r="G577" s="371">
        <v>2899.0</v>
      </c>
      <c r="H577" s="371">
        <v>37.0</v>
      </c>
      <c r="I577" s="371"/>
      <c r="K577" s="374"/>
      <c r="L577" s="269" t="str">
        <f t="shared" si="1"/>
        <v>AD</v>
      </c>
    </row>
    <row r="578" ht="15.75" customHeight="1">
      <c r="A578" s="370">
        <v>46071.0</v>
      </c>
      <c r="B578" s="371" t="s">
        <v>1490</v>
      </c>
      <c r="C578" s="371" t="s">
        <v>1491</v>
      </c>
      <c r="D578" s="371" t="s">
        <v>1492</v>
      </c>
      <c r="E578" s="373">
        <v>8.43</v>
      </c>
      <c r="G578" s="371">
        <v>123.0</v>
      </c>
      <c r="H578" s="371">
        <v>5.0</v>
      </c>
      <c r="I578" s="371"/>
      <c r="K578" s="374"/>
      <c r="L578" s="269" t="str">
        <f t="shared" si="1"/>
        <v/>
      </c>
    </row>
    <row r="579" ht="15.75" customHeight="1">
      <c r="A579" s="370">
        <v>46071.0</v>
      </c>
      <c r="B579" s="371" t="s">
        <v>1490</v>
      </c>
      <c r="C579" s="371" t="s">
        <v>1491</v>
      </c>
      <c r="D579" s="371" t="s">
        <v>1502</v>
      </c>
      <c r="E579" s="373">
        <v>9.03</v>
      </c>
      <c r="G579" s="371">
        <v>108.0</v>
      </c>
      <c r="H579" s="371">
        <v>2.0</v>
      </c>
      <c r="I579" s="371"/>
      <c r="K579" s="374">
        <v>1.0</v>
      </c>
      <c r="L579" s="269" t="str">
        <f t="shared" si="1"/>
        <v/>
      </c>
    </row>
    <row r="580" ht="15.75" customHeight="1">
      <c r="A580" s="370">
        <v>46071.0</v>
      </c>
      <c r="B580" s="371" t="s">
        <v>1490</v>
      </c>
      <c r="C580" s="371" t="s">
        <v>1493</v>
      </c>
      <c r="D580" s="371" t="s">
        <v>1494</v>
      </c>
      <c r="E580" s="373">
        <v>4.18</v>
      </c>
      <c r="G580" s="371">
        <v>417.0</v>
      </c>
      <c r="H580" s="371">
        <v>7.0</v>
      </c>
      <c r="I580" s="371"/>
      <c r="K580" s="374">
        <v>1.0</v>
      </c>
      <c r="L580" s="269" t="str">
        <f t="shared" si="1"/>
        <v>V</v>
      </c>
    </row>
    <row r="581" ht="15.75" customHeight="1">
      <c r="A581" s="370">
        <v>46071.0</v>
      </c>
      <c r="B581" s="371" t="s">
        <v>1490</v>
      </c>
      <c r="C581" s="371" t="s">
        <v>1503</v>
      </c>
      <c r="D581" s="371" t="s">
        <v>1505</v>
      </c>
      <c r="E581" s="373">
        <v>0.21</v>
      </c>
      <c r="G581" s="371">
        <v>6.0</v>
      </c>
      <c r="H581" s="371">
        <v>0.0</v>
      </c>
      <c r="I581" s="371"/>
      <c r="K581" s="374"/>
      <c r="L581" s="269" t="str">
        <f t="shared" si="1"/>
        <v>V-video</v>
      </c>
    </row>
    <row r="582" ht="15.75" customHeight="1">
      <c r="A582" s="370">
        <v>46071.0</v>
      </c>
      <c r="B582" s="371" t="s">
        <v>1490</v>
      </c>
      <c r="C582" s="371" t="s">
        <v>1493</v>
      </c>
      <c r="D582" s="371" t="s">
        <v>1499</v>
      </c>
      <c r="E582" s="373">
        <v>0.0</v>
      </c>
      <c r="G582" s="371">
        <v>1.0</v>
      </c>
      <c r="H582" s="371">
        <v>0.0</v>
      </c>
      <c r="I582" s="371"/>
      <c r="K582" s="374"/>
      <c r="L582" s="269" t="str">
        <f t="shared" si="1"/>
        <v>V</v>
      </c>
    </row>
    <row r="583" ht="15.75" customHeight="1">
      <c r="A583" s="370">
        <v>46071.0</v>
      </c>
      <c r="B583" s="371" t="s">
        <v>1490</v>
      </c>
      <c r="C583" s="371" t="s">
        <v>1503</v>
      </c>
      <c r="D583" s="371" t="s">
        <v>1507</v>
      </c>
      <c r="E583" s="373">
        <v>11.2</v>
      </c>
      <c r="G583" s="371">
        <v>582.0</v>
      </c>
      <c r="H583" s="371">
        <v>22.0</v>
      </c>
      <c r="I583" s="371"/>
      <c r="K583" s="374">
        <v>1.0</v>
      </c>
      <c r="L583" s="269" t="str">
        <f t="shared" si="1"/>
        <v>V</v>
      </c>
    </row>
    <row r="584" ht="15.75" customHeight="1">
      <c r="A584" s="370">
        <v>46071.0</v>
      </c>
      <c r="B584" s="371" t="s">
        <v>1490</v>
      </c>
      <c r="C584" s="371" t="s">
        <v>1504</v>
      </c>
      <c r="D584" s="371" t="s">
        <v>1508</v>
      </c>
      <c r="E584" s="373">
        <v>14.58</v>
      </c>
      <c r="G584" s="371">
        <v>720.0</v>
      </c>
      <c r="H584" s="371">
        <v>41.0</v>
      </c>
      <c r="I584" s="371"/>
      <c r="K584" s="374">
        <v>2.0</v>
      </c>
      <c r="L584" s="269" t="str">
        <f t="shared" si="1"/>
        <v>V</v>
      </c>
    </row>
    <row r="585" ht="15.75" customHeight="1">
      <c r="A585" s="370">
        <v>46071.0</v>
      </c>
      <c r="B585" s="371" t="s">
        <v>1490</v>
      </c>
      <c r="C585" s="371" t="s">
        <v>1504</v>
      </c>
      <c r="D585" s="371" t="s">
        <v>1507</v>
      </c>
      <c r="E585" s="373">
        <v>6.25</v>
      </c>
      <c r="G585" s="371">
        <v>153.0</v>
      </c>
      <c r="H585" s="371">
        <v>15.0</v>
      </c>
      <c r="I585" s="371"/>
      <c r="K585" s="374">
        <v>1.0</v>
      </c>
      <c r="L585" s="269" t="str">
        <f t="shared" si="1"/>
        <v>V</v>
      </c>
    </row>
    <row r="586" ht="15.75" customHeight="1">
      <c r="A586" s="370">
        <v>46071.0</v>
      </c>
      <c r="B586" s="371" t="s">
        <v>1490</v>
      </c>
      <c r="C586" s="371" t="s">
        <v>1493</v>
      </c>
      <c r="D586" s="371" t="s">
        <v>1500</v>
      </c>
      <c r="E586" s="373">
        <v>9.21</v>
      </c>
      <c r="G586" s="371">
        <v>505.0</v>
      </c>
      <c r="H586" s="371">
        <v>10.0</v>
      </c>
      <c r="I586" s="371"/>
      <c r="K586" s="374">
        <v>2.0</v>
      </c>
      <c r="L586" s="269" t="str">
        <f t="shared" si="1"/>
        <v>V</v>
      </c>
    </row>
    <row r="587" ht="15.75" customHeight="1">
      <c r="A587" s="370">
        <v>46071.0</v>
      </c>
      <c r="B587" s="371" t="s">
        <v>1490</v>
      </c>
      <c r="C587" s="371" t="s">
        <v>1493</v>
      </c>
      <c r="D587" s="371" t="s">
        <v>1501</v>
      </c>
      <c r="E587" s="373">
        <v>0.12</v>
      </c>
      <c r="G587" s="371">
        <v>9.0</v>
      </c>
      <c r="H587" s="371">
        <v>0.0</v>
      </c>
      <c r="I587" s="371"/>
      <c r="K587" s="374"/>
      <c r="L587" s="269" t="str">
        <f t="shared" si="1"/>
        <v>V</v>
      </c>
    </row>
    <row r="588" ht="15.75" customHeight="1">
      <c r="A588" s="370">
        <v>46071.0</v>
      </c>
      <c r="B588" s="371" t="s">
        <v>1490</v>
      </c>
      <c r="C588" s="371" t="s">
        <v>1504</v>
      </c>
      <c r="D588" s="371" t="s">
        <v>1494</v>
      </c>
      <c r="E588" s="373">
        <v>0.0</v>
      </c>
      <c r="G588" s="371">
        <v>0.0</v>
      </c>
      <c r="H588" s="371">
        <v>0.0</v>
      </c>
      <c r="I588" s="371"/>
      <c r="K588" s="374"/>
      <c r="L588" s="269" t="str">
        <f t="shared" si="1"/>
        <v>V</v>
      </c>
    </row>
    <row r="589" ht="15.75" customHeight="1">
      <c r="A589" s="370">
        <v>46071.0</v>
      </c>
      <c r="B589" s="371" t="s">
        <v>1490</v>
      </c>
      <c r="C589" s="371" t="s">
        <v>1503</v>
      </c>
      <c r="D589" s="371" t="s">
        <v>1494</v>
      </c>
      <c r="E589" s="373">
        <v>5.12</v>
      </c>
      <c r="G589" s="371">
        <v>284.0</v>
      </c>
      <c r="H589" s="371">
        <v>9.0</v>
      </c>
      <c r="I589" s="371"/>
      <c r="K589" s="374"/>
      <c r="L589" s="269" t="str">
        <f t="shared" si="1"/>
        <v>V</v>
      </c>
    </row>
    <row r="590" ht="15.75" customHeight="1">
      <c r="A590" s="370">
        <v>46071.0</v>
      </c>
      <c r="B590" s="371" t="s">
        <v>1495</v>
      </c>
      <c r="C590" s="371" t="s">
        <v>1496</v>
      </c>
      <c r="D590" s="371" t="s">
        <v>1497</v>
      </c>
      <c r="E590" s="373">
        <v>8.13</v>
      </c>
      <c r="G590" s="371">
        <v>3466.0</v>
      </c>
      <c r="H590" s="371">
        <v>35.0</v>
      </c>
      <c r="I590" s="371"/>
      <c r="K590" s="374"/>
      <c r="L590" s="269" t="str">
        <f t="shared" si="1"/>
        <v>AD</v>
      </c>
    </row>
    <row r="591" ht="15.75" customHeight="1">
      <c r="A591" s="370">
        <v>46070.0</v>
      </c>
      <c r="B591" s="371" t="s">
        <v>1490</v>
      </c>
      <c r="C591" s="371" t="s">
        <v>1491</v>
      </c>
      <c r="D591" s="371" t="s">
        <v>1492</v>
      </c>
      <c r="E591" s="373">
        <v>12.81</v>
      </c>
      <c r="G591" s="371">
        <v>207.0</v>
      </c>
      <c r="H591" s="371">
        <v>7.0</v>
      </c>
      <c r="I591" s="371"/>
      <c r="K591" s="374"/>
      <c r="L591" s="269" t="str">
        <f t="shared" si="1"/>
        <v/>
      </c>
    </row>
    <row r="592" ht="15.75" customHeight="1">
      <c r="A592" s="370">
        <v>46070.0</v>
      </c>
      <c r="B592" s="371" t="s">
        <v>1490</v>
      </c>
      <c r="C592" s="371" t="s">
        <v>1491</v>
      </c>
      <c r="D592" s="371" t="s">
        <v>1502</v>
      </c>
      <c r="E592" s="373">
        <v>5.38</v>
      </c>
      <c r="G592" s="371">
        <v>69.0</v>
      </c>
      <c r="H592" s="371">
        <v>0.0</v>
      </c>
      <c r="I592" s="371"/>
      <c r="K592" s="374">
        <v>1.0</v>
      </c>
      <c r="L592" s="269" t="str">
        <f t="shared" si="1"/>
        <v/>
      </c>
    </row>
    <row r="593" ht="15.75" customHeight="1">
      <c r="A593" s="370">
        <v>46070.0</v>
      </c>
      <c r="B593" s="371" t="s">
        <v>1490</v>
      </c>
      <c r="C593" s="371" t="s">
        <v>1493</v>
      </c>
      <c r="D593" s="371" t="s">
        <v>1494</v>
      </c>
      <c r="E593" s="373">
        <v>3.45</v>
      </c>
      <c r="G593" s="371">
        <v>328.0</v>
      </c>
      <c r="H593" s="371">
        <v>15.0</v>
      </c>
      <c r="I593" s="371">
        <v>1.0</v>
      </c>
      <c r="K593" s="374">
        <v>4.0</v>
      </c>
      <c r="L593" s="269" t="str">
        <f t="shared" si="1"/>
        <v>V</v>
      </c>
    </row>
    <row r="594" ht="15.75" customHeight="1">
      <c r="A594" s="370">
        <v>46070.0</v>
      </c>
      <c r="B594" s="371" t="s">
        <v>1490</v>
      </c>
      <c r="C594" s="371" t="s">
        <v>1504</v>
      </c>
      <c r="D594" s="371" t="s">
        <v>1506</v>
      </c>
      <c r="E594" s="373">
        <v>3.11</v>
      </c>
      <c r="G594" s="371">
        <v>145.0</v>
      </c>
      <c r="H594" s="371">
        <v>2.0</v>
      </c>
      <c r="I594" s="371"/>
      <c r="K594" s="374"/>
      <c r="L594" s="269" t="str">
        <f t="shared" si="1"/>
        <v>V</v>
      </c>
    </row>
    <row r="595" ht="15.75" customHeight="1">
      <c r="A595" s="370">
        <v>46070.0</v>
      </c>
      <c r="B595" s="371" t="s">
        <v>1490</v>
      </c>
      <c r="C595" s="371" t="s">
        <v>1493</v>
      </c>
      <c r="D595" s="371" t="s">
        <v>1499</v>
      </c>
      <c r="E595" s="373">
        <v>6.42</v>
      </c>
      <c r="G595" s="371">
        <v>422.0</v>
      </c>
      <c r="H595" s="371">
        <v>18.0</v>
      </c>
      <c r="I595" s="371"/>
      <c r="K595" s="374"/>
      <c r="L595" s="269" t="str">
        <f t="shared" si="1"/>
        <v>V</v>
      </c>
    </row>
    <row r="596" ht="15.75" customHeight="1">
      <c r="A596" s="370">
        <v>46070.0</v>
      </c>
      <c r="B596" s="371" t="s">
        <v>1490</v>
      </c>
      <c r="C596" s="371" t="s">
        <v>1503</v>
      </c>
      <c r="D596" s="371" t="s">
        <v>1507</v>
      </c>
      <c r="E596" s="373">
        <v>11.6</v>
      </c>
      <c r="G596" s="371">
        <v>889.0</v>
      </c>
      <c r="H596" s="371">
        <v>17.0</v>
      </c>
      <c r="I596" s="371"/>
      <c r="K596" s="374">
        <v>1.0</v>
      </c>
      <c r="L596" s="269" t="str">
        <f t="shared" si="1"/>
        <v>V</v>
      </c>
    </row>
    <row r="597" ht="15.75" customHeight="1">
      <c r="A597" s="370">
        <v>46070.0</v>
      </c>
      <c r="B597" s="371" t="s">
        <v>1490</v>
      </c>
      <c r="C597" s="371" t="s">
        <v>1504</v>
      </c>
      <c r="D597" s="371" t="s">
        <v>1508</v>
      </c>
      <c r="E597" s="373">
        <v>14.72</v>
      </c>
      <c r="G597" s="371">
        <v>742.0</v>
      </c>
      <c r="H597" s="371">
        <v>34.0</v>
      </c>
      <c r="I597" s="371"/>
      <c r="K597" s="374">
        <v>2.0</v>
      </c>
      <c r="L597" s="269" t="str">
        <f t="shared" si="1"/>
        <v>V</v>
      </c>
    </row>
    <row r="598" ht="15.75" customHeight="1">
      <c r="A598" s="370">
        <v>46070.0</v>
      </c>
      <c r="B598" s="371" t="s">
        <v>1490</v>
      </c>
      <c r="C598" s="371" t="s">
        <v>1493</v>
      </c>
      <c r="D598" s="371" t="s">
        <v>1500</v>
      </c>
      <c r="E598" s="373">
        <v>2.92</v>
      </c>
      <c r="G598" s="371">
        <v>203.0</v>
      </c>
      <c r="H598" s="371">
        <v>3.0</v>
      </c>
      <c r="I598" s="371"/>
      <c r="K598" s="374"/>
      <c r="L598" s="269" t="str">
        <f t="shared" si="1"/>
        <v>V</v>
      </c>
    </row>
    <row r="599" ht="15.75" customHeight="1">
      <c r="A599" s="370">
        <v>46070.0</v>
      </c>
      <c r="B599" s="371" t="s">
        <v>1490</v>
      </c>
      <c r="C599" s="371" t="s">
        <v>1493</v>
      </c>
      <c r="D599" s="371" t="s">
        <v>1501</v>
      </c>
      <c r="E599" s="373">
        <v>0.04</v>
      </c>
      <c r="G599" s="371">
        <v>2.0</v>
      </c>
      <c r="H599" s="371">
        <v>0.0</v>
      </c>
      <c r="I599" s="371"/>
      <c r="K599" s="374"/>
      <c r="L599" s="269" t="str">
        <f t="shared" si="1"/>
        <v>V</v>
      </c>
    </row>
    <row r="600" ht="15.75" customHeight="1">
      <c r="A600" s="370">
        <v>46070.0</v>
      </c>
      <c r="B600" s="371" t="s">
        <v>1490</v>
      </c>
      <c r="C600" s="371" t="s">
        <v>1503</v>
      </c>
      <c r="D600" s="371" t="s">
        <v>1494</v>
      </c>
      <c r="E600" s="373">
        <v>2.92</v>
      </c>
      <c r="G600" s="371">
        <v>329.0</v>
      </c>
      <c r="H600" s="371">
        <v>13.0</v>
      </c>
      <c r="I600" s="371"/>
      <c r="K600" s="374">
        <v>2.0</v>
      </c>
      <c r="L600" s="269" t="str">
        <f t="shared" si="1"/>
        <v>V</v>
      </c>
    </row>
    <row r="601" ht="15.75" customHeight="1">
      <c r="A601" s="370">
        <v>46070.0</v>
      </c>
      <c r="B601" s="371" t="s">
        <v>1495</v>
      </c>
      <c r="C601" s="371" t="s">
        <v>1496</v>
      </c>
      <c r="D601" s="371" t="s">
        <v>1497</v>
      </c>
      <c r="E601" s="373">
        <v>9.3</v>
      </c>
      <c r="G601" s="371">
        <v>3809.0</v>
      </c>
      <c r="H601" s="371">
        <v>53.0</v>
      </c>
      <c r="I601" s="371"/>
      <c r="K601" s="374"/>
      <c r="L601" s="269" t="str">
        <f t="shared" si="1"/>
        <v>AD</v>
      </c>
    </row>
    <row r="602" ht="15.75" customHeight="1">
      <c r="A602" s="370">
        <v>46069.0</v>
      </c>
      <c r="B602" s="371" t="s">
        <v>1490</v>
      </c>
      <c r="C602" s="371" t="s">
        <v>1491</v>
      </c>
      <c r="D602" s="371" t="s">
        <v>1492</v>
      </c>
      <c r="E602" s="373">
        <v>17.52</v>
      </c>
      <c r="G602" s="371">
        <v>229.0</v>
      </c>
      <c r="H602" s="371">
        <v>1.0</v>
      </c>
      <c r="I602" s="371"/>
      <c r="K602" s="374"/>
      <c r="L602" s="269" t="str">
        <f t="shared" si="1"/>
        <v/>
      </c>
    </row>
    <row r="603" ht="15.75" customHeight="1">
      <c r="A603" s="370">
        <v>46069.0</v>
      </c>
      <c r="B603" s="371" t="s">
        <v>1490</v>
      </c>
      <c r="C603" s="371" t="s">
        <v>1491</v>
      </c>
      <c r="D603" s="371" t="s">
        <v>1502</v>
      </c>
      <c r="E603" s="373">
        <v>2.2</v>
      </c>
      <c r="G603" s="371">
        <v>13.0</v>
      </c>
      <c r="H603" s="371">
        <v>0.0</v>
      </c>
      <c r="I603" s="371"/>
      <c r="K603" s="374"/>
      <c r="L603" s="269" t="str">
        <f t="shared" si="1"/>
        <v/>
      </c>
    </row>
    <row r="604" ht="15.75" customHeight="1">
      <c r="A604" s="370">
        <v>46069.0</v>
      </c>
      <c r="B604" s="371" t="s">
        <v>1490</v>
      </c>
      <c r="C604" s="371" t="s">
        <v>1493</v>
      </c>
      <c r="D604" s="371" t="s">
        <v>1494</v>
      </c>
      <c r="E604" s="373">
        <v>4.88</v>
      </c>
      <c r="G604" s="371">
        <v>489.0</v>
      </c>
      <c r="H604" s="371">
        <v>12.0</v>
      </c>
      <c r="I604" s="371">
        <v>2.0</v>
      </c>
      <c r="K604" s="374">
        <v>2.0</v>
      </c>
      <c r="L604" s="269" t="str">
        <f t="shared" si="1"/>
        <v>V</v>
      </c>
    </row>
    <row r="605" ht="15.75" customHeight="1">
      <c r="A605" s="370">
        <v>46069.0</v>
      </c>
      <c r="B605" s="371" t="s">
        <v>1490</v>
      </c>
      <c r="C605" s="371" t="s">
        <v>1503</v>
      </c>
      <c r="D605" s="371" t="s">
        <v>1498</v>
      </c>
      <c r="E605" s="373">
        <v>0.33</v>
      </c>
      <c r="G605" s="371">
        <v>7.0</v>
      </c>
      <c r="H605" s="371">
        <v>1.0</v>
      </c>
      <c r="I605" s="371"/>
      <c r="K605" s="374"/>
      <c r="L605" s="269" t="str">
        <f t="shared" si="1"/>
        <v>V</v>
      </c>
    </row>
    <row r="606" ht="15.75" customHeight="1">
      <c r="A606" s="370">
        <v>46069.0</v>
      </c>
      <c r="B606" s="371" t="s">
        <v>1490</v>
      </c>
      <c r="C606" s="371" t="s">
        <v>1504</v>
      </c>
      <c r="D606" s="371" t="s">
        <v>1498</v>
      </c>
      <c r="E606" s="373">
        <v>1.38</v>
      </c>
      <c r="G606" s="371">
        <v>48.0</v>
      </c>
      <c r="H606" s="371">
        <v>1.0</v>
      </c>
      <c r="I606" s="371"/>
      <c r="K606" s="374"/>
      <c r="L606" s="269" t="str">
        <f t="shared" si="1"/>
        <v>V</v>
      </c>
    </row>
    <row r="607" ht="15.75" customHeight="1">
      <c r="A607" s="370">
        <v>46069.0</v>
      </c>
      <c r="B607" s="371" t="s">
        <v>1490</v>
      </c>
      <c r="C607" s="371" t="s">
        <v>1503</v>
      </c>
      <c r="D607" s="371" t="s">
        <v>1505</v>
      </c>
      <c r="E607" s="373">
        <v>0.54</v>
      </c>
      <c r="G607" s="371">
        <v>34.0</v>
      </c>
      <c r="H607" s="371">
        <v>0.0</v>
      </c>
      <c r="I607" s="371"/>
      <c r="K607" s="374"/>
      <c r="L607" s="269" t="str">
        <f t="shared" si="1"/>
        <v>V-video</v>
      </c>
    </row>
    <row r="608" ht="15.75" customHeight="1">
      <c r="A608" s="370">
        <v>46069.0</v>
      </c>
      <c r="B608" s="371" t="s">
        <v>1490</v>
      </c>
      <c r="C608" s="371" t="s">
        <v>1504</v>
      </c>
      <c r="D608" s="371" t="s">
        <v>1506</v>
      </c>
      <c r="E608" s="373">
        <v>7.85</v>
      </c>
      <c r="G608" s="371">
        <v>244.0</v>
      </c>
      <c r="H608" s="371">
        <v>10.0</v>
      </c>
      <c r="I608" s="371"/>
      <c r="K608" s="374">
        <v>1.0</v>
      </c>
      <c r="L608" s="269" t="str">
        <f t="shared" si="1"/>
        <v>V</v>
      </c>
    </row>
    <row r="609" ht="15.75" customHeight="1">
      <c r="A609" s="370">
        <v>46069.0</v>
      </c>
      <c r="B609" s="371" t="s">
        <v>1490</v>
      </c>
      <c r="C609" s="371" t="s">
        <v>1503</v>
      </c>
      <c r="D609" s="371" t="s">
        <v>1507</v>
      </c>
      <c r="E609" s="373">
        <v>12.67</v>
      </c>
      <c r="G609" s="371">
        <v>775.0</v>
      </c>
      <c r="H609" s="371">
        <v>31.0</v>
      </c>
      <c r="I609" s="371"/>
      <c r="K609" s="374">
        <v>3.0</v>
      </c>
      <c r="L609" s="269" t="str">
        <f t="shared" si="1"/>
        <v>V</v>
      </c>
    </row>
    <row r="610" ht="15.75" customHeight="1">
      <c r="A610" s="370">
        <v>46069.0</v>
      </c>
      <c r="B610" s="371" t="s">
        <v>1490</v>
      </c>
      <c r="C610" s="371" t="s">
        <v>1504</v>
      </c>
      <c r="D610" s="371" t="s">
        <v>1508</v>
      </c>
      <c r="E610" s="373">
        <v>4.34</v>
      </c>
      <c r="G610" s="371">
        <v>164.0</v>
      </c>
      <c r="H610" s="371">
        <v>13.0</v>
      </c>
      <c r="I610" s="371"/>
      <c r="K610" s="374">
        <v>1.0</v>
      </c>
      <c r="L610" s="269" t="str">
        <f t="shared" si="1"/>
        <v>V</v>
      </c>
    </row>
    <row r="611" ht="15.75" customHeight="1">
      <c r="A611" s="370">
        <v>46069.0</v>
      </c>
      <c r="B611" s="371" t="s">
        <v>1490</v>
      </c>
      <c r="C611" s="371" t="s">
        <v>1493</v>
      </c>
      <c r="D611" s="371" t="s">
        <v>1500</v>
      </c>
      <c r="E611" s="373">
        <v>11.25</v>
      </c>
      <c r="G611" s="371">
        <v>838.0</v>
      </c>
      <c r="H611" s="371">
        <v>15.0</v>
      </c>
      <c r="I611" s="371"/>
      <c r="K611" s="374">
        <v>4.0</v>
      </c>
      <c r="L611" s="269" t="str">
        <f t="shared" si="1"/>
        <v>V</v>
      </c>
    </row>
    <row r="612" ht="15.75" customHeight="1">
      <c r="A612" s="370">
        <v>46069.0</v>
      </c>
      <c r="B612" s="371" t="s">
        <v>1490</v>
      </c>
      <c r="C612" s="371" t="s">
        <v>1504</v>
      </c>
      <c r="D612" s="371" t="s">
        <v>1494</v>
      </c>
      <c r="E612" s="373">
        <v>0.0</v>
      </c>
      <c r="G612" s="371">
        <v>1.0</v>
      </c>
      <c r="H612" s="371">
        <v>0.0</v>
      </c>
      <c r="I612" s="371"/>
      <c r="K612" s="374"/>
      <c r="L612" s="269" t="str">
        <f t="shared" si="1"/>
        <v>V</v>
      </c>
    </row>
    <row r="613" ht="15.75" customHeight="1">
      <c r="A613" s="370">
        <v>46069.0</v>
      </c>
      <c r="B613" s="371" t="s">
        <v>1490</v>
      </c>
      <c r="C613" s="371" t="s">
        <v>1503</v>
      </c>
      <c r="D613" s="371" t="s">
        <v>1494</v>
      </c>
      <c r="E613" s="373">
        <v>3.06</v>
      </c>
      <c r="G613" s="371">
        <v>251.0</v>
      </c>
      <c r="H613" s="371">
        <v>9.0</v>
      </c>
      <c r="I613" s="371"/>
      <c r="K613" s="374"/>
      <c r="L613" s="269" t="str">
        <f t="shared" si="1"/>
        <v>V</v>
      </c>
    </row>
    <row r="614" ht="15.75" customHeight="1">
      <c r="A614" s="370">
        <v>46069.0</v>
      </c>
      <c r="B614" s="371" t="s">
        <v>1495</v>
      </c>
      <c r="C614" s="371" t="s">
        <v>1496</v>
      </c>
      <c r="D614" s="371" t="s">
        <v>1497</v>
      </c>
      <c r="E614" s="373">
        <v>11.38</v>
      </c>
      <c r="G614" s="371">
        <v>5218.0</v>
      </c>
      <c r="H614" s="371">
        <v>66.0</v>
      </c>
      <c r="I614" s="371"/>
      <c r="K614" s="374">
        <v>1.0</v>
      </c>
      <c r="L614" s="269" t="str">
        <f t="shared" si="1"/>
        <v>AD</v>
      </c>
    </row>
    <row r="615" ht="15.75" customHeight="1">
      <c r="A615" s="370">
        <v>46068.0</v>
      </c>
      <c r="B615" s="371" t="s">
        <v>1490</v>
      </c>
      <c r="C615" s="371" t="s">
        <v>1491</v>
      </c>
      <c r="D615" s="371" t="s">
        <v>1492</v>
      </c>
      <c r="E615" s="373">
        <v>11.33</v>
      </c>
      <c r="G615" s="371">
        <v>121.0</v>
      </c>
      <c r="H615" s="371">
        <v>0.0</v>
      </c>
      <c r="I615" s="371"/>
      <c r="K615" s="374"/>
      <c r="L615" s="269" t="str">
        <f t="shared" si="1"/>
        <v/>
      </c>
    </row>
    <row r="616" ht="15.75" customHeight="1">
      <c r="A616" s="370">
        <v>46068.0</v>
      </c>
      <c r="B616" s="371" t="s">
        <v>1490</v>
      </c>
      <c r="C616" s="371" t="s">
        <v>1491</v>
      </c>
      <c r="D616" s="371" t="s">
        <v>1502</v>
      </c>
      <c r="E616" s="373">
        <v>7.18</v>
      </c>
      <c r="G616" s="371">
        <v>93.0</v>
      </c>
      <c r="H616" s="371">
        <v>4.0</v>
      </c>
      <c r="I616" s="371"/>
      <c r="K616" s="374"/>
      <c r="L616" s="269" t="str">
        <f t="shared" si="1"/>
        <v/>
      </c>
    </row>
    <row r="617" ht="15.75" customHeight="1">
      <c r="A617" s="370">
        <v>46068.0</v>
      </c>
      <c r="B617" s="371" t="s">
        <v>1490</v>
      </c>
      <c r="C617" s="371" t="s">
        <v>1493</v>
      </c>
      <c r="D617" s="371" t="s">
        <v>1494</v>
      </c>
      <c r="E617" s="373">
        <v>1.81</v>
      </c>
      <c r="G617" s="371">
        <v>210.0</v>
      </c>
      <c r="H617" s="371">
        <v>7.0</v>
      </c>
      <c r="I617" s="371"/>
      <c r="K617" s="374">
        <v>1.0</v>
      </c>
      <c r="L617" s="269" t="str">
        <f t="shared" si="1"/>
        <v>V</v>
      </c>
    </row>
    <row r="618" ht="15.75" customHeight="1">
      <c r="A618" s="370">
        <v>46068.0</v>
      </c>
      <c r="B618" s="371" t="s">
        <v>1490</v>
      </c>
      <c r="C618" s="371" t="s">
        <v>1493</v>
      </c>
      <c r="D618" s="371" t="s">
        <v>1498</v>
      </c>
      <c r="E618" s="373">
        <v>0.03</v>
      </c>
      <c r="G618" s="371">
        <v>5.0</v>
      </c>
      <c r="H618" s="371">
        <v>0.0</v>
      </c>
      <c r="I618" s="371"/>
      <c r="K618" s="374"/>
      <c r="L618" s="269" t="str">
        <f t="shared" si="1"/>
        <v>V</v>
      </c>
    </row>
    <row r="619" ht="15.75" customHeight="1">
      <c r="A619" s="370">
        <v>46068.0</v>
      </c>
      <c r="B619" s="371" t="s">
        <v>1490</v>
      </c>
      <c r="C619" s="371" t="s">
        <v>1504</v>
      </c>
      <c r="D619" s="371" t="s">
        <v>1506</v>
      </c>
      <c r="E619" s="373">
        <v>4.58</v>
      </c>
      <c r="G619" s="371">
        <v>233.0</v>
      </c>
      <c r="H619" s="371">
        <v>4.0</v>
      </c>
      <c r="I619" s="371"/>
      <c r="K619" s="374">
        <v>2.0</v>
      </c>
      <c r="L619" s="269" t="str">
        <f t="shared" si="1"/>
        <v>V</v>
      </c>
    </row>
    <row r="620" ht="15.75" customHeight="1">
      <c r="A620" s="370">
        <v>46068.0</v>
      </c>
      <c r="B620" s="371" t="s">
        <v>1490</v>
      </c>
      <c r="C620" s="371" t="s">
        <v>1493</v>
      </c>
      <c r="D620" s="371" t="s">
        <v>1499</v>
      </c>
      <c r="E620" s="373">
        <v>1.08</v>
      </c>
      <c r="G620" s="371">
        <v>76.0</v>
      </c>
      <c r="H620" s="371">
        <v>1.0</v>
      </c>
      <c r="I620" s="371"/>
      <c r="K620" s="374">
        <v>1.0</v>
      </c>
      <c r="L620" s="269" t="str">
        <f t="shared" si="1"/>
        <v>V</v>
      </c>
    </row>
    <row r="621" ht="15.75" customHeight="1">
      <c r="A621" s="370">
        <v>46068.0</v>
      </c>
      <c r="B621" s="371" t="s">
        <v>1490</v>
      </c>
      <c r="C621" s="371" t="s">
        <v>1503</v>
      </c>
      <c r="D621" s="371" t="s">
        <v>1508</v>
      </c>
      <c r="E621" s="373">
        <v>0.8</v>
      </c>
      <c r="G621" s="371">
        <v>62.0</v>
      </c>
      <c r="H621" s="371">
        <v>5.0</v>
      </c>
      <c r="I621" s="371"/>
      <c r="K621" s="374"/>
      <c r="L621" s="269" t="str">
        <f t="shared" si="1"/>
        <v>V</v>
      </c>
    </row>
    <row r="622" ht="15.75" customHeight="1">
      <c r="A622" s="370">
        <v>46068.0</v>
      </c>
      <c r="B622" s="371" t="s">
        <v>1490</v>
      </c>
      <c r="C622" s="371" t="s">
        <v>1504</v>
      </c>
      <c r="D622" s="371" t="s">
        <v>1508</v>
      </c>
      <c r="E622" s="373">
        <v>8.0</v>
      </c>
      <c r="G622" s="371">
        <v>501.0</v>
      </c>
      <c r="H622" s="371">
        <v>26.0</v>
      </c>
      <c r="I622" s="371"/>
      <c r="K622" s="374">
        <v>1.0</v>
      </c>
      <c r="L622" s="269" t="str">
        <f t="shared" si="1"/>
        <v>V</v>
      </c>
    </row>
    <row r="623" ht="15.75" customHeight="1">
      <c r="A623" s="370">
        <v>46068.0</v>
      </c>
      <c r="B623" s="371" t="s">
        <v>1490</v>
      </c>
      <c r="C623" s="371" t="s">
        <v>1504</v>
      </c>
      <c r="D623" s="371" t="s">
        <v>1507</v>
      </c>
      <c r="E623" s="373">
        <v>0.06</v>
      </c>
      <c r="G623" s="371">
        <v>8.0</v>
      </c>
      <c r="H623" s="371">
        <v>0.0</v>
      </c>
      <c r="I623" s="371"/>
      <c r="K623" s="374"/>
      <c r="L623" s="269" t="str">
        <f t="shared" si="1"/>
        <v>V</v>
      </c>
    </row>
    <row r="624" ht="15.75" customHeight="1">
      <c r="A624" s="370">
        <v>46068.0</v>
      </c>
      <c r="B624" s="371" t="s">
        <v>1490</v>
      </c>
      <c r="C624" s="371" t="s">
        <v>1493</v>
      </c>
      <c r="D624" s="371" t="s">
        <v>1500</v>
      </c>
      <c r="E624" s="373">
        <v>10.16</v>
      </c>
      <c r="G624" s="371">
        <v>678.0</v>
      </c>
      <c r="H624" s="371">
        <v>24.0</v>
      </c>
      <c r="I624" s="371"/>
      <c r="K624" s="374">
        <v>1.0</v>
      </c>
      <c r="L624" s="269" t="str">
        <f t="shared" si="1"/>
        <v>V</v>
      </c>
    </row>
    <row r="625" ht="15.75" customHeight="1">
      <c r="A625" s="370">
        <v>46068.0</v>
      </c>
      <c r="B625" s="371" t="s">
        <v>1490</v>
      </c>
      <c r="C625" s="371" t="s">
        <v>1493</v>
      </c>
      <c r="D625" s="371" t="s">
        <v>1501</v>
      </c>
      <c r="E625" s="373">
        <v>0.19</v>
      </c>
      <c r="G625" s="371">
        <v>32.0</v>
      </c>
      <c r="H625" s="371">
        <v>1.0</v>
      </c>
      <c r="I625" s="371"/>
      <c r="K625" s="374"/>
      <c r="L625" s="269" t="str">
        <f t="shared" si="1"/>
        <v>V</v>
      </c>
    </row>
    <row r="626" ht="15.75" customHeight="1">
      <c r="A626" s="370">
        <v>46068.0</v>
      </c>
      <c r="B626" s="371" t="s">
        <v>1490</v>
      </c>
      <c r="C626" s="371" t="s">
        <v>1504</v>
      </c>
      <c r="D626" s="371" t="s">
        <v>1494</v>
      </c>
      <c r="E626" s="373">
        <v>0.69</v>
      </c>
      <c r="G626" s="371">
        <v>69.0</v>
      </c>
      <c r="H626" s="371">
        <v>2.0</v>
      </c>
      <c r="I626" s="371"/>
      <c r="K626" s="374"/>
      <c r="L626" s="269" t="str">
        <f t="shared" si="1"/>
        <v>V</v>
      </c>
    </row>
    <row r="627" ht="15.75" customHeight="1">
      <c r="A627" s="370">
        <v>46068.0</v>
      </c>
      <c r="B627" s="371" t="s">
        <v>1490</v>
      </c>
      <c r="C627" s="371" t="s">
        <v>1503</v>
      </c>
      <c r="D627" s="371" t="s">
        <v>1494</v>
      </c>
      <c r="E627" s="373">
        <v>12.06</v>
      </c>
      <c r="G627" s="371">
        <v>805.0</v>
      </c>
      <c r="H627" s="371">
        <v>34.0</v>
      </c>
      <c r="I627" s="371"/>
      <c r="K627" s="374">
        <v>2.0</v>
      </c>
      <c r="L627" s="269" t="str">
        <f t="shared" si="1"/>
        <v>V</v>
      </c>
    </row>
    <row r="628" ht="15.75" customHeight="1">
      <c r="A628" s="370">
        <v>46068.0</v>
      </c>
      <c r="B628" s="371" t="s">
        <v>1495</v>
      </c>
      <c r="C628" s="371" t="s">
        <v>1496</v>
      </c>
      <c r="D628" s="371" t="s">
        <v>1497</v>
      </c>
      <c r="E628" s="373">
        <v>12.34</v>
      </c>
      <c r="G628" s="371">
        <v>4754.0</v>
      </c>
      <c r="H628" s="371">
        <v>58.0</v>
      </c>
      <c r="I628" s="371"/>
      <c r="K628" s="374"/>
      <c r="L628" s="269" t="str">
        <f t="shared" si="1"/>
        <v>AD</v>
      </c>
    </row>
    <row r="629" ht="15.75" customHeight="1">
      <c r="A629" s="370">
        <v>46067.0</v>
      </c>
      <c r="B629" s="371" t="s">
        <v>1490</v>
      </c>
      <c r="C629" s="371" t="s">
        <v>1491</v>
      </c>
      <c r="D629" s="371" t="s">
        <v>1492</v>
      </c>
      <c r="E629" s="373">
        <v>6.49</v>
      </c>
      <c r="G629" s="371">
        <v>122.0</v>
      </c>
      <c r="H629" s="371">
        <v>1.0</v>
      </c>
      <c r="I629" s="371"/>
      <c r="K629" s="374"/>
      <c r="L629" s="269" t="str">
        <f t="shared" si="1"/>
        <v/>
      </c>
    </row>
    <row r="630" ht="15.75" customHeight="1">
      <c r="A630" s="370">
        <v>46067.0</v>
      </c>
      <c r="B630" s="371" t="s">
        <v>1490</v>
      </c>
      <c r="C630" s="371" t="s">
        <v>1491</v>
      </c>
      <c r="D630" s="371" t="s">
        <v>1502</v>
      </c>
      <c r="E630" s="373">
        <v>7.4</v>
      </c>
      <c r="G630" s="371">
        <v>78.0</v>
      </c>
      <c r="H630" s="371">
        <v>0.0</v>
      </c>
      <c r="I630" s="371"/>
      <c r="K630" s="374"/>
      <c r="L630" s="269" t="str">
        <f t="shared" si="1"/>
        <v/>
      </c>
    </row>
    <row r="631" ht="15.75" customHeight="1">
      <c r="A631" s="370">
        <v>46067.0</v>
      </c>
      <c r="B631" s="371" t="s">
        <v>1490</v>
      </c>
      <c r="C631" s="371" t="s">
        <v>1503</v>
      </c>
      <c r="D631" s="371" t="s">
        <v>1498</v>
      </c>
      <c r="E631" s="373">
        <v>0.25</v>
      </c>
      <c r="G631" s="371">
        <v>21.0</v>
      </c>
      <c r="H631" s="371">
        <v>1.0</v>
      </c>
      <c r="I631" s="371"/>
      <c r="K631" s="374"/>
      <c r="L631" s="269" t="str">
        <f t="shared" si="1"/>
        <v>V</v>
      </c>
    </row>
    <row r="632" ht="15.75" customHeight="1">
      <c r="A632" s="370">
        <v>46067.0</v>
      </c>
      <c r="B632" s="371" t="s">
        <v>1490</v>
      </c>
      <c r="C632" s="371" t="s">
        <v>1504</v>
      </c>
      <c r="D632" s="371" t="s">
        <v>1498</v>
      </c>
      <c r="E632" s="373">
        <v>1.73</v>
      </c>
      <c r="G632" s="371">
        <v>48.0</v>
      </c>
      <c r="H632" s="371">
        <v>2.0</v>
      </c>
      <c r="I632" s="371"/>
      <c r="K632" s="374"/>
      <c r="L632" s="269" t="str">
        <f t="shared" si="1"/>
        <v>V</v>
      </c>
    </row>
    <row r="633" ht="15.75" customHeight="1">
      <c r="A633" s="370">
        <v>46067.0</v>
      </c>
      <c r="B633" s="371" t="s">
        <v>1490</v>
      </c>
      <c r="C633" s="371" t="s">
        <v>1493</v>
      </c>
      <c r="D633" s="371" t="s">
        <v>1498</v>
      </c>
      <c r="E633" s="373">
        <v>0.17</v>
      </c>
      <c r="G633" s="371">
        <v>18.0</v>
      </c>
      <c r="H633" s="371">
        <v>0.0</v>
      </c>
      <c r="I633" s="371"/>
      <c r="K633" s="374"/>
      <c r="L633" s="269" t="str">
        <f t="shared" si="1"/>
        <v>V</v>
      </c>
    </row>
    <row r="634" ht="15.75" customHeight="1">
      <c r="A634" s="370">
        <v>46067.0</v>
      </c>
      <c r="B634" s="371" t="s">
        <v>1490</v>
      </c>
      <c r="C634" s="371" t="s">
        <v>1503</v>
      </c>
      <c r="D634" s="371" t="s">
        <v>1505</v>
      </c>
      <c r="E634" s="373">
        <v>1.49</v>
      </c>
      <c r="G634" s="371">
        <v>110.0</v>
      </c>
      <c r="H634" s="371">
        <v>3.0</v>
      </c>
      <c r="I634" s="371"/>
      <c r="K634" s="374"/>
      <c r="L634" s="269" t="str">
        <f t="shared" si="1"/>
        <v>V-video</v>
      </c>
    </row>
    <row r="635" ht="15.75" customHeight="1">
      <c r="A635" s="370">
        <v>46067.0</v>
      </c>
      <c r="B635" s="371" t="s">
        <v>1490</v>
      </c>
      <c r="C635" s="371" t="s">
        <v>1504</v>
      </c>
      <c r="D635" s="371" t="s">
        <v>1506</v>
      </c>
      <c r="E635" s="373">
        <v>4.0</v>
      </c>
      <c r="G635" s="371">
        <v>164.0</v>
      </c>
      <c r="H635" s="371">
        <v>2.0</v>
      </c>
      <c r="I635" s="371"/>
      <c r="K635" s="374"/>
      <c r="L635" s="269" t="str">
        <f t="shared" si="1"/>
        <v>V</v>
      </c>
    </row>
    <row r="636" ht="15.75" customHeight="1">
      <c r="A636" s="370">
        <v>46067.0</v>
      </c>
      <c r="B636" s="371" t="s">
        <v>1490</v>
      </c>
      <c r="C636" s="371" t="s">
        <v>1493</v>
      </c>
      <c r="D636" s="371" t="s">
        <v>1499</v>
      </c>
      <c r="E636" s="373">
        <v>0.01</v>
      </c>
      <c r="G636" s="371">
        <v>4.0</v>
      </c>
      <c r="H636" s="371">
        <v>0.0</v>
      </c>
      <c r="I636" s="371"/>
      <c r="K636" s="374"/>
      <c r="L636" s="269" t="str">
        <f t="shared" si="1"/>
        <v>V</v>
      </c>
    </row>
    <row r="637" ht="15.75" customHeight="1">
      <c r="A637" s="370">
        <v>46067.0</v>
      </c>
      <c r="B637" s="371" t="s">
        <v>1490</v>
      </c>
      <c r="C637" s="371" t="s">
        <v>1503</v>
      </c>
      <c r="D637" s="371" t="s">
        <v>1508</v>
      </c>
      <c r="E637" s="373">
        <v>7.83</v>
      </c>
      <c r="G637" s="371">
        <v>450.0</v>
      </c>
      <c r="H637" s="371">
        <v>14.0</v>
      </c>
      <c r="I637" s="371"/>
      <c r="K637" s="374"/>
      <c r="L637" s="269" t="str">
        <f t="shared" si="1"/>
        <v>V</v>
      </c>
    </row>
    <row r="638" ht="15.75" customHeight="1">
      <c r="A638" s="370">
        <v>46067.0</v>
      </c>
      <c r="B638" s="371" t="s">
        <v>1490</v>
      </c>
      <c r="C638" s="371" t="s">
        <v>1504</v>
      </c>
      <c r="D638" s="371" t="s">
        <v>1507</v>
      </c>
      <c r="E638" s="373">
        <v>0.0</v>
      </c>
      <c r="G638" s="371">
        <v>1.0</v>
      </c>
      <c r="H638" s="371">
        <v>0.0</v>
      </c>
      <c r="I638" s="371"/>
      <c r="K638" s="374"/>
      <c r="L638" s="269" t="str">
        <f t="shared" si="1"/>
        <v>V</v>
      </c>
    </row>
    <row r="639" ht="15.75" customHeight="1">
      <c r="A639" s="370">
        <v>46067.0</v>
      </c>
      <c r="B639" s="371" t="s">
        <v>1490</v>
      </c>
      <c r="C639" s="371" t="s">
        <v>1493</v>
      </c>
      <c r="D639" s="371" t="s">
        <v>1500</v>
      </c>
      <c r="E639" s="373">
        <v>10.45</v>
      </c>
      <c r="G639" s="371">
        <v>733.0</v>
      </c>
      <c r="H639" s="371">
        <v>14.0</v>
      </c>
      <c r="I639" s="371"/>
      <c r="K639" s="374"/>
      <c r="L639" s="269" t="str">
        <f t="shared" si="1"/>
        <v>V</v>
      </c>
    </row>
    <row r="640" ht="15.75" customHeight="1">
      <c r="A640" s="370">
        <v>46067.0</v>
      </c>
      <c r="B640" s="371" t="s">
        <v>1490</v>
      </c>
      <c r="C640" s="371" t="s">
        <v>1504</v>
      </c>
      <c r="D640" s="371" t="s">
        <v>1494</v>
      </c>
      <c r="E640" s="373">
        <v>7.25</v>
      </c>
      <c r="G640" s="371">
        <v>483.0</v>
      </c>
      <c r="H640" s="371">
        <v>20.0</v>
      </c>
      <c r="I640" s="371"/>
      <c r="K640" s="374">
        <v>3.0</v>
      </c>
      <c r="L640" s="269" t="str">
        <f t="shared" si="1"/>
        <v>V</v>
      </c>
    </row>
    <row r="641" ht="15.75" customHeight="1">
      <c r="A641" s="370">
        <v>46067.0</v>
      </c>
      <c r="B641" s="371" t="s">
        <v>1490</v>
      </c>
      <c r="C641" s="371" t="s">
        <v>1503</v>
      </c>
      <c r="D641" s="371" t="s">
        <v>1494</v>
      </c>
      <c r="E641" s="373">
        <v>2.37</v>
      </c>
      <c r="G641" s="371">
        <v>201.0</v>
      </c>
      <c r="H641" s="371">
        <v>12.0</v>
      </c>
      <c r="I641" s="371"/>
      <c r="K641" s="374"/>
      <c r="L641" s="269" t="str">
        <f t="shared" si="1"/>
        <v>V</v>
      </c>
    </row>
    <row r="642" ht="15.75" customHeight="1">
      <c r="A642" s="370">
        <v>46067.0</v>
      </c>
      <c r="B642" s="371" t="s">
        <v>1495</v>
      </c>
      <c r="C642" s="371" t="s">
        <v>1496</v>
      </c>
      <c r="D642" s="371" t="s">
        <v>1497</v>
      </c>
      <c r="E642" s="373">
        <v>9.49</v>
      </c>
      <c r="G642" s="371">
        <v>3802.0</v>
      </c>
      <c r="H642" s="371">
        <v>44.0</v>
      </c>
      <c r="I642" s="371"/>
      <c r="K642" s="374"/>
      <c r="L642" s="269" t="str">
        <f t="shared" si="1"/>
        <v>AD</v>
      </c>
    </row>
    <row r="643" ht="15.75" customHeight="1">
      <c r="A643" s="370">
        <v>46066.0</v>
      </c>
      <c r="B643" s="371" t="s">
        <v>1490</v>
      </c>
      <c r="C643" s="371" t="s">
        <v>1491</v>
      </c>
      <c r="D643" s="371" t="s">
        <v>1492</v>
      </c>
      <c r="E643" s="373">
        <v>10.84</v>
      </c>
      <c r="G643" s="371">
        <v>162.0</v>
      </c>
      <c r="H643" s="371">
        <v>2.0</v>
      </c>
      <c r="I643" s="371"/>
      <c r="K643" s="374"/>
      <c r="L643" s="269" t="str">
        <f t="shared" si="1"/>
        <v/>
      </c>
    </row>
    <row r="644" ht="15.75" customHeight="1">
      <c r="A644" s="370">
        <v>46066.0</v>
      </c>
      <c r="B644" s="371" t="s">
        <v>1490</v>
      </c>
      <c r="C644" s="371" t="s">
        <v>1493</v>
      </c>
      <c r="D644" s="371" t="s">
        <v>1494</v>
      </c>
      <c r="E644" s="373">
        <v>1.12</v>
      </c>
      <c r="G644" s="371">
        <v>117.0</v>
      </c>
      <c r="H644" s="371">
        <v>4.0</v>
      </c>
      <c r="I644" s="371"/>
      <c r="K644" s="374"/>
      <c r="L644" s="269" t="str">
        <f t="shared" si="1"/>
        <v>V</v>
      </c>
    </row>
    <row r="645" ht="15.75" customHeight="1">
      <c r="A645" s="370">
        <v>46066.0</v>
      </c>
      <c r="B645" s="371" t="s">
        <v>1490</v>
      </c>
      <c r="C645" s="371" t="s">
        <v>1503</v>
      </c>
      <c r="D645" s="371" t="s">
        <v>1505</v>
      </c>
      <c r="E645" s="373">
        <v>0.2</v>
      </c>
      <c r="G645" s="371">
        <v>15.0</v>
      </c>
      <c r="H645" s="371">
        <v>0.0</v>
      </c>
      <c r="I645" s="371"/>
      <c r="K645" s="374"/>
      <c r="L645" s="269" t="str">
        <f t="shared" si="1"/>
        <v>V-video</v>
      </c>
    </row>
    <row r="646" ht="15.75" customHeight="1">
      <c r="A646" s="370">
        <v>46066.0</v>
      </c>
      <c r="B646" s="371" t="s">
        <v>1490</v>
      </c>
      <c r="C646" s="371" t="s">
        <v>1503</v>
      </c>
      <c r="D646" s="371" t="s">
        <v>1508</v>
      </c>
      <c r="E646" s="373">
        <v>17.99</v>
      </c>
      <c r="G646" s="371">
        <v>1233.0</v>
      </c>
      <c r="H646" s="371">
        <v>39.0</v>
      </c>
      <c r="I646" s="371">
        <v>1.0</v>
      </c>
      <c r="K646" s="374">
        <v>3.0</v>
      </c>
      <c r="L646" s="269" t="str">
        <f t="shared" si="1"/>
        <v>V</v>
      </c>
    </row>
    <row r="647" ht="15.75" customHeight="1">
      <c r="A647" s="370">
        <v>46066.0</v>
      </c>
      <c r="B647" s="371" t="s">
        <v>1490</v>
      </c>
      <c r="C647" s="371" t="s">
        <v>1504</v>
      </c>
      <c r="D647" s="371" t="s">
        <v>1508</v>
      </c>
      <c r="E647" s="373">
        <v>1.94</v>
      </c>
      <c r="G647" s="371">
        <v>70.0</v>
      </c>
      <c r="H647" s="371">
        <v>1.0</v>
      </c>
      <c r="I647" s="371"/>
      <c r="K647" s="374"/>
      <c r="L647" s="269" t="str">
        <f t="shared" si="1"/>
        <v>V</v>
      </c>
    </row>
    <row r="648" ht="15.75" customHeight="1">
      <c r="A648" s="370">
        <v>46066.0</v>
      </c>
      <c r="B648" s="371" t="s">
        <v>1490</v>
      </c>
      <c r="C648" s="371" t="s">
        <v>1504</v>
      </c>
      <c r="D648" s="371" t="s">
        <v>1507</v>
      </c>
      <c r="E648" s="373">
        <v>0.95</v>
      </c>
      <c r="G648" s="371">
        <v>45.0</v>
      </c>
      <c r="H648" s="371">
        <v>3.0</v>
      </c>
      <c r="I648" s="371"/>
      <c r="K648" s="374"/>
      <c r="L648" s="269" t="str">
        <f t="shared" si="1"/>
        <v>V</v>
      </c>
    </row>
    <row r="649" ht="15.75" customHeight="1">
      <c r="A649" s="370">
        <v>46066.0</v>
      </c>
      <c r="B649" s="371" t="s">
        <v>1490</v>
      </c>
      <c r="C649" s="371" t="s">
        <v>1493</v>
      </c>
      <c r="D649" s="371" t="s">
        <v>1500</v>
      </c>
      <c r="E649" s="373">
        <v>12.16</v>
      </c>
      <c r="G649" s="371">
        <v>1150.0</v>
      </c>
      <c r="H649" s="371">
        <v>25.0</v>
      </c>
      <c r="I649" s="371"/>
      <c r="K649" s="374">
        <v>3.0</v>
      </c>
      <c r="L649" s="269" t="str">
        <f t="shared" si="1"/>
        <v>V</v>
      </c>
    </row>
    <row r="650" ht="15.75" customHeight="1">
      <c r="A650" s="370">
        <v>46066.0</v>
      </c>
      <c r="B650" s="371" t="s">
        <v>1490</v>
      </c>
      <c r="C650" s="371" t="s">
        <v>1493</v>
      </c>
      <c r="D650" s="371" t="s">
        <v>1501</v>
      </c>
      <c r="E650" s="373">
        <v>0.09</v>
      </c>
      <c r="G650" s="371">
        <v>23.0</v>
      </c>
      <c r="H650" s="371">
        <v>0.0</v>
      </c>
      <c r="I650" s="371"/>
      <c r="K650" s="374"/>
      <c r="L650" s="269" t="str">
        <f t="shared" si="1"/>
        <v>V</v>
      </c>
    </row>
    <row r="651" ht="15.75" customHeight="1">
      <c r="A651" s="370">
        <v>46066.0</v>
      </c>
      <c r="B651" s="371" t="s">
        <v>1490</v>
      </c>
      <c r="C651" s="371" t="s">
        <v>1504</v>
      </c>
      <c r="D651" s="371" t="s">
        <v>1494</v>
      </c>
      <c r="E651" s="373">
        <v>18.87</v>
      </c>
      <c r="G651" s="371">
        <v>1185.0</v>
      </c>
      <c r="H651" s="371">
        <v>72.0</v>
      </c>
      <c r="I651" s="371">
        <v>2.0</v>
      </c>
      <c r="K651" s="374">
        <v>8.0</v>
      </c>
      <c r="L651" s="269" t="str">
        <f t="shared" si="1"/>
        <v>V</v>
      </c>
    </row>
    <row r="652" ht="15.75" customHeight="1">
      <c r="A652" s="370">
        <v>46066.0</v>
      </c>
      <c r="B652" s="371" t="s">
        <v>1490</v>
      </c>
      <c r="C652" s="371" t="s">
        <v>1503</v>
      </c>
      <c r="D652" s="371" t="s">
        <v>1494</v>
      </c>
      <c r="E652" s="373">
        <v>2.2</v>
      </c>
      <c r="G652" s="371">
        <v>114.0</v>
      </c>
      <c r="H652" s="371">
        <v>3.0</v>
      </c>
      <c r="I652" s="371"/>
      <c r="K652" s="374"/>
      <c r="L652" s="269" t="str">
        <f t="shared" si="1"/>
        <v>V</v>
      </c>
    </row>
    <row r="653" ht="15.75" customHeight="1">
      <c r="A653" s="370">
        <v>46066.0</v>
      </c>
      <c r="B653" s="371" t="s">
        <v>1495</v>
      </c>
      <c r="C653" s="371" t="s">
        <v>1496</v>
      </c>
      <c r="D653" s="371" t="s">
        <v>1497</v>
      </c>
      <c r="E653" s="373">
        <v>9.8</v>
      </c>
      <c r="G653" s="371">
        <v>3320.0</v>
      </c>
      <c r="H653" s="371">
        <v>39.0</v>
      </c>
      <c r="I653" s="371"/>
      <c r="K653" s="374"/>
      <c r="L653" s="269" t="str">
        <f t="shared" si="1"/>
        <v>AD</v>
      </c>
    </row>
    <row r="654" ht="15.75" customHeight="1">
      <c r="A654" s="370">
        <v>46065.0</v>
      </c>
      <c r="B654" s="371" t="s">
        <v>1490</v>
      </c>
      <c r="C654" s="371" t="s">
        <v>1493</v>
      </c>
      <c r="D654" s="371" t="s">
        <v>1494</v>
      </c>
      <c r="E654" s="373">
        <v>0.04</v>
      </c>
      <c r="G654" s="371">
        <v>4.0</v>
      </c>
      <c r="H654" s="371">
        <v>0.0</v>
      </c>
      <c r="I654" s="371"/>
      <c r="K654" s="374"/>
      <c r="L654" s="269" t="str">
        <f t="shared" si="1"/>
        <v>V</v>
      </c>
    </row>
    <row r="655" ht="15.75" customHeight="1">
      <c r="A655" s="370">
        <v>46065.0</v>
      </c>
      <c r="B655" s="371" t="s">
        <v>1490</v>
      </c>
      <c r="C655" s="371" t="s">
        <v>1503</v>
      </c>
      <c r="D655" s="371" t="s">
        <v>1498</v>
      </c>
      <c r="E655" s="373">
        <v>0.46</v>
      </c>
      <c r="G655" s="371">
        <v>22.0</v>
      </c>
      <c r="H655" s="371">
        <v>1.0</v>
      </c>
      <c r="I655" s="371"/>
      <c r="K655" s="374"/>
      <c r="L655" s="269" t="str">
        <f t="shared" si="1"/>
        <v>V</v>
      </c>
    </row>
    <row r="656" ht="15.75" customHeight="1">
      <c r="A656" s="370">
        <v>46065.0</v>
      </c>
      <c r="B656" s="371" t="s">
        <v>1490</v>
      </c>
      <c r="C656" s="371" t="s">
        <v>1504</v>
      </c>
      <c r="D656" s="371" t="s">
        <v>1498</v>
      </c>
      <c r="E656" s="373">
        <v>0.26</v>
      </c>
      <c r="G656" s="371">
        <v>12.0</v>
      </c>
      <c r="H656" s="371">
        <v>1.0</v>
      </c>
      <c r="I656" s="371"/>
      <c r="K656" s="374">
        <v>1.0</v>
      </c>
      <c r="L656" s="269" t="str">
        <f t="shared" si="1"/>
        <v>V</v>
      </c>
    </row>
    <row r="657" ht="15.75" customHeight="1">
      <c r="A657" s="370">
        <v>46065.0</v>
      </c>
      <c r="B657" s="371" t="s">
        <v>1490</v>
      </c>
      <c r="C657" s="371" t="s">
        <v>1493</v>
      </c>
      <c r="D657" s="371" t="s">
        <v>1498</v>
      </c>
      <c r="E657" s="373">
        <v>2.59</v>
      </c>
      <c r="G657" s="371">
        <v>173.0</v>
      </c>
      <c r="H657" s="371">
        <v>2.0</v>
      </c>
      <c r="I657" s="371"/>
      <c r="K657" s="374"/>
      <c r="L657" s="269" t="str">
        <f t="shared" si="1"/>
        <v>V</v>
      </c>
    </row>
    <row r="658" ht="15.75" customHeight="1">
      <c r="A658" s="370">
        <v>46065.0</v>
      </c>
      <c r="B658" s="371" t="s">
        <v>1490</v>
      </c>
      <c r="C658" s="371" t="s">
        <v>1503</v>
      </c>
      <c r="D658" s="371" t="s">
        <v>1505</v>
      </c>
      <c r="E658" s="373">
        <v>0.02</v>
      </c>
      <c r="G658" s="371">
        <v>1.0</v>
      </c>
      <c r="H658" s="371">
        <v>0.0</v>
      </c>
      <c r="I658" s="371"/>
      <c r="K658" s="374"/>
      <c r="L658" s="269" t="str">
        <f t="shared" si="1"/>
        <v>V-video</v>
      </c>
    </row>
    <row r="659" ht="15.75" customHeight="1">
      <c r="A659" s="370">
        <v>46065.0</v>
      </c>
      <c r="B659" s="371" t="s">
        <v>1490</v>
      </c>
      <c r="C659" s="371" t="s">
        <v>1504</v>
      </c>
      <c r="D659" s="371" t="s">
        <v>1506</v>
      </c>
      <c r="E659" s="373">
        <v>0.5</v>
      </c>
      <c r="G659" s="371">
        <v>27.0</v>
      </c>
      <c r="H659" s="371">
        <v>1.0</v>
      </c>
      <c r="I659" s="371"/>
      <c r="K659" s="374"/>
      <c r="L659" s="269" t="str">
        <f t="shared" si="1"/>
        <v>V</v>
      </c>
    </row>
    <row r="660" ht="15.75" customHeight="1">
      <c r="A660" s="370">
        <v>46065.0</v>
      </c>
      <c r="B660" s="371" t="s">
        <v>1490</v>
      </c>
      <c r="C660" s="371" t="s">
        <v>1493</v>
      </c>
      <c r="D660" s="371" t="s">
        <v>1499</v>
      </c>
      <c r="E660" s="373">
        <v>2.92</v>
      </c>
      <c r="G660" s="371">
        <v>161.0</v>
      </c>
      <c r="H660" s="371">
        <v>0.0</v>
      </c>
      <c r="I660" s="371"/>
      <c r="K660" s="374"/>
      <c r="L660" s="269" t="str">
        <f t="shared" si="1"/>
        <v>V</v>
      </c>
    </row>
    <row r="661" ht="15.75" customHeight="1">
      <c r="A661" s="370">
        <v>46065.0</v>
      </c>
      <c r="B661" s="371" t="s">
        <v>1490</v>
      </c>
      <c r="C661" s="371" t="s">
        <v>1503</v>
      </c>
      <c r="D661" s="371" t="s">
        <v>1508</v>
      </c>
      <c r="E661" s="373">
        <v>15.37</v>
      </c>
      <c r="G661" s="371">
        <v>936.0</v>
      </c>
      <c r="H661" s="371">
        <v>45.0</v>
      </c>
      <c r="I661" s="371"/>
      <c r="K661" s="374">
        <v>1.0</v>
      </c>
      <c r="L661" s="269" t="str">
        <f t="shared" si="1"/>
        <v>V</v>
      </c>
    </row>
    <row r="662" ht="15.75" customHeight="1">
      <c r="A662" s="370">
        <v>46065.0</v>
      </c>
      <c r="B662" s="371" t="s">
        <v>1490</v>
      </c>
      <c r="C662" s="371" t="s">
        <v>1504</v>
      </c>
      <c r="D662" s="371" t="s">
        <v>1508</v>
      </c>
      <c r="E662" s="373">
        <v>1.59</v>
      </c>
      <c r="G662" s="371">
        <v>105.0</v>
      </c>
      <c r="H662" s="371">
        <v>8.0</v>
      </c>
      <c r="I662" s="371"/>
      <c r="K662" s="374">
        <v>1.0</v>
      </c>
      <c r="L662" s="269" t="str">
        <f t="shared" si="1"/>
        <v>V</v>
      </c>
    </row>
    <row r="663" ht="15.75" customHeight="1">
      <c r="A663" s="370">
        <v>46065.0</v>
      </c>
      <c r="B663" s="371" t="s">
        <v>1490</v>
      </c>
      <c r="C663" s="371" t="s">
        <v>1493</v>
      </c>
      <c r="D663" s="371" t="s">
        <v>1500</v>
      </c>
      <c r="E663" s="373">
        <v>7.89</v>
      </c>
      <c r="G663" s="371">
        <v>699.0</v>
      </c>
      <c r="H663" s="371">
        <v>10.0</v>
      </c>
      <c r="I663" s="371"/>
      <c r="K663" s="374">
        <v>1.0</v>
      </c>
      <c r="L663" s="269" t="str">
        <f t="shared" si="1"/>
        <v>V</v>
      </c>
    </row>
    <row r="664" ht="15.75" customHeight="1">
      <c r="A664" s="370">
        <v>46065.0</v>
      </c>
      <c r="B664" s="371" t="s">
        <v>1490</v>
      </c>
      <c r="C664" s="371" t="s">
        <v>1504</v>
      </c>
      <c r="D664" s="371" t="s">
        <v>1494</v>
      </c>
      <c r="E664" s="373">
        <v>15.72</v>
      </c>
      <c r="G664" s="371">
        <v>790.0</v>
      </c>
      <c r="H664" s="371">
        <v>50.0</v>
      </c>
      <c r="I664" s="371"/>
      <c r="K664" s="374">
        <v>3.0</v>
      </c>
      <c r="L664" s="269" t="str">
        <f t="shared" si="1"/>
        <v>V</v>
      </c>
    </row>
    <row r="665" ht="15.75" customHeight="1">
      <c r="A665" s="370">
        <v>46065.0</v>
      </c>
      <c r="B665" s="371" t="s">
        <v>1495</v>
      </c>
      <c r="C665" s="371" t="s">
        <v>1496</v>
      </c>
      <c r="D665" s="371" t="s">
        <v>1497</v>
      </c>
      <c r="E665" s="373">
        <v>10.56</v>
      </c>
      <c r="G665" s="371">
        <v>3555.0</v>
      </c>
      <c r="H665" s="371">
        <v>48.0</v>
      </c>
      <c r="I665" s="371"/>
      <c r="K665" s="374"/>
      <c r="L665" s="269" t="str">
        <f t="shared" si="1"/>
        <v>AD</v>
      </c>
    </row>
    <row r="666" ht="15.75" customHeight="1">
      <c r="A666" s="370">
        <v>46064.0</v>
      </c>
      <c r="B666" s="371" t="s">
        <v>1490</v>
      </c>
      <c r="C666" s="371" t="s">
        <v>1503</v>
      </c>
      <c r="D666" s="371" t="s">
        <v>1505</v>
      </c>
      <c r="E666" s="373">
        <v>3.52</v>
      </c>
      <c r="G666" s="371">
        <v>92.0</v>
      </c>
      <c r="H666" s="371">
        <v>2.0</v>
      </c>
      <c r="I666" s="371"/>
      <c r="K666" s="374"/>
      <c r="L666" s="269" t="str">
        <f t="shared" si="1"/>
        <v>V-video</v>
      </c>
    </row>
    <row r="667" ht="15.75" customHeight="1">
      <c r="A667" s="370">
        <v>46064.0</v>
      </c>
      <c r="B667" s="371" t="s">
        <v>1490</v>
      </c>
      <c r="C667" s="371" t="s">
        <v>1504</v>
      </c>
      <c r="D667" s="371" t="s">
        <v>1506</v>
      </c>
      <c r="E667" s="373">
        <v>0.13</v>
      </c>
      <c r="G667" s="371">
        <v>9.0</v>
      </c>
      <c r="H667" s="371">
        <v>0.0</v>
      </c>
      <c r="I667" s="371"/>
      <c r="K667" s="374"/>
      <c r="L667" s="269" t="str">
        <f t="shared" si="1"/>
        <v>V</v>
      </c>
    </row>
    <row r="668" ht="15.75" customHeight="1">
      <c r="A668" s="370">
        <v>46064.0</v>
      </c>
      <c r="B668" s="371" t="s">
        <v>1490</v>
      </c>
      <c r="C668" s="371" t="s">
        <v>1503</v>
      </c>
      <c r="D668" s="371" t="s">
        <v>1508</v>
      </c>
      <c r="E668" s="373">
        <v>12.43</v>
      </c>
      <c r="G668" s="371">
        <v>978.0</v>
      </c>
      <c r="H668" s="371">
        <v>34.0</v>
      </c>
      <c r="I668" s="371"/>
      <c r="K668" s="374">
        <v>4.0</v>
      </c>
      <c r="L668" s="269" t="str">
        <f t="shared" si="1"/>
        <v>V</v>
      </c>
    </row>
    <row r="669" ht="15.75" customHeight="1">
      <c r="A669" s="370">
        <v>46064.0</v>
      </c>
      <c r="B669" s="371" t="s">
        <v>1490</v>
      </c>
      <c r="C669" s="371" t="s">
        <v>1503</v>
      </c>
      <c r="D669" s="371" t="s">
        <v>1507</v>
      </c>
      <c r="E669" s="373">
        <v>0.06</v>
      </c>
      <c r="G669" s="371">
        <v>10.0</v>
      </c>
      <c r="H669" s="371">
        <v>2.0</v>
      </c>
      <c r="I669" s="371"/>
      <c r="K669" s="374"/>
      <c r="L669" s="269" t="str">
        <f t="shared" si="1"/>
        <v>V</v>
      </c>
    </row>
    <row r="670" ht="15.75" customHeight="1">
      <c r="A670" s="370">
        <v>46064.0</v>
      </c>
      <c r="B670" s="371" t="s">
        <v>1490</v>
      </c>
      <c r="C670" s="371" t="s">
        <v>1504</v>
      </c>
      <c r="D670" s="371" t="s">
        <v>1508</v>
      </c>
      <c r="E670" s="373">
        <v>3.85</v>
      </c>
      <c r="G670" s="371">
        <v>140.0</v>
      </c>
      <c r="H670" s="371">
        <v>10.0</v>
      </c>
      <c r="I670" s="371"/>
      <c r="K670" s="374"/>
      <c r="L670" s="269" t="str">
        <f t="shared" si="1"/>
        <v>V</v>
      </c>
    </row>
    <row r="671" ht="15.75" customHeight="1">
      <c r="A671" s="370">
        <v>46064.0</v>
      </c>
      <c r="B671" s="371" t="s">
        <v>1490</v>
      </c>
      <c r="C671" s="371" t="s">
        <v>1504</v>
      </c>
      <c r="D671" s="371" t="s">
        <v>1507</v>
      </c>
      <c r="E671" s="373">
        <v>4.12</v>
      </c>
      <c r="G671" s="371">
        <v>229.0</v>
      </c>
      <c r="H671" s="371">
        <v>8.0</v>
      </c>
      <c r="I671" s="371"/>
      <c r="K671" s="374">
        <v>1.0</v>
      </c>
      <c r="L671" s="269" t="str">
        <f t="shared" si="1"/>
        <v>V</v>
      </c>
    </row>
    <row r="672" ht="15.75" customHeight="1">
      <c r="A672" s="370">
        <v>46064.0</v>
      </c>
      <c r="B672" s="371" t="s">
        <v>1490</v>
      </c>
      <c r="C672" s="371" t="s">
        <v>1493</v>
      </c>
      <c r="D672" s="371" t="s">
        <v>1500</v>
      </c>
      <c r="E672" s="373">
        <v>13.97</v>
      </c>
      <c r="G672" s="371">
        <v>1357.0</v>
      </c>
      <c r="H672" s="371">
        <v>41.0</v>
      </c>
      <c r="I672" s="371"/>
      <c r="K672" s="374">
        <v>3.0</v>
      </c>
      <c r="L672" s="269" t="str">
        <f t="shared" si="1"/>
        <v>V</v>
      </c>
    </row>
    <row r="673" ht="15.75" customHeight="1">
      <c r="A673" s="370">
        <v>46064.0</v>
      </c>
      <c r="B673" s="371" t="s">
        <v>1490</v>
      </c>
      <c r="C673" s="371" t="s">
        <v>1504</v>
      </c>
      <c r="D673" s="371" t="s">
        <v>1494</v>
      </c>
      <c r="E673" s="373">
        <v>9.8</v>
      </c>
      <c r="G673" s="371">
        <v>519.0</v>
      </c>
      <c r="H673" s="371">
        <v>27.0</v>
      </c>
      <c r="I673" s="371"/>
      <c r="K673" s="374">
        <v>1.0</v>
      </c>
      <c r="L673" s="269" t="str">
        <f t="shared" si="1"/>
        <v>V</v>
      </c>
    </row>
    <row r="674" ht="15.75" customHeight="1">
      <c r="A674" s="370">
        <v>46064.0</v>
      </c>
      <c r="B674" s="371" t="s">
        <v>1495</v>
      </c>
      <c r="C674" s="371" t="s">
        <v>1496</v>
      </c>
      <c r="D674" s="371" t="s">
        <v>1497</v>
      </c>
      <c r="E674" s="373">
        <v>8.98</v>
      </c>
      <c r="G674" s="371">
        <v>3021.0</v>
      </c>
      <c r="H674" s="371">
        <v>38.0</v>
      </c>
      <c r="I674" s="371"/>
      <c r="K674" s="374"/>
      <c r="L674" s="269" t="str">
        <f t="shared" si="1"/>
        <v>AD</v>
      </c>
    </row>
    <row r="675" ht="15.75" customHeight="1">
      <c r="A675" s="370">
        <v>46063.0</v>
      </c>
      <c r="B675" s="371" t="s">
        <v>1490</v>
      </c>
      <c r="C675" s="371" t="s">
        <v>1493</v>
      </c>
      <c r="D675" s="371" t="s">
        <v>1494</v>
      </c>
      <c r="E675" s="373">
        <v>1.23</v>
      </c>
      <c r="G675" s="371">
        <v>61.0</v>
      </c>
      <c r="H675" s="371">
        <v>2.0</v>
      </c>
      <c r="I675" s="371"/>
      <c r="K675" s="374"/>
      <c r="L675" s="269" t="str">
        <f t="shared" si="1"/>
        <v>V</v>
      </c>
    </row>
    <row r="676" ht="15.75" customHeight="1">
      <c r="A676" s="370">
        <v>46063.0</v>
      </c>
      <c r="B676" s="371" t="s">
        <v>1490</v>
      </c>
      <c r="C676" s="371" t="s">
        <v>1493</v>
      </c>
      <c r="D676" s="371" t="s">
        <v>1498</v>
      </c>
      <c r="E676" s="373">
        <v>1.01</v>
      </c>
      <c r="G676" s="371">
        <v>70.0</v>
      </c>
      <c r="H676" s="371">
        <v>1.0</v>
      </c>
      <c r="I676" s="371"/>
      <c r="K676" s="374"/>
      <c r="L676" s="269" t="str">
        <f t="shared" si="1"/>
        <v>V</v>
      </c>
    </row>
    <row r="677" ht="15.75" customHeight="1">
      <c r="A677" s="370">
        <v>46063.0</v>
      </c>
      <c r="B677" s="371" t="s">
        <v>1490</v>
      </c>
      <c r="C677" s="371" t="s">
        <v>1504</v>
      </c>
      <c r="D677" s="371" t="s">
        <v>1506</v>
      </c>
      <c r="E677" s="373">
        <v>3.12</v>
      </c>
      <c r="G677" s="371">
        <v>116.0</v>
      </c>
      <c r="H677" s="371">
        <v>1.0</v>
      </c>
      <c r="I677" s="371"/>
      <c r="K677" s="374"/>
      <c r="L677" s="269" t="str">
        <f t="shared" si="1"/>
        <v>V</v>
      </c>
    </row>
    <row r="678" ht="15.75" customHeight="1">
      <c r="A678" s="370">
        <v>46063.0</v>
      </c>
      <c r="B678" s="371" t="s">
        <v>1490</v>
      </c>
      <c r="C678" s="371" t="s">
        <v>1493</v>
      </c>
      <c r="D678" s="371" t="s">
        <v>1499</v>
      </c>
      <c r="E678" s="373">
        <v>2.0</v>
      </c>
      <c r="G678" s="371">
        <v>111.0</v>
      </c>
      <c r="H678" s="371">
        <v>4.0</v>
      </c>
      <c r="I678" s="371"/>
      <c r="K678" s="374"/>
      <c r="L678" s="269" t="str">
        <f t="shared" si="1"/>
        <v>V</v>
      </c>
    </row>
    <row r="679" ht="15.75" customHeight="1">
      <c r="A679" s="370">
        <v>46063.0</v>
      </c>
      <c r="B679" s="371" t="s">
        <v>1490</v>
      </c>
      <c r="C679" s="371" t="s">
        <v>1503</v>
      </c>
      <c r="D679" s="371" t="s">
        <v>1508</v>
      </c>
      <c r="E679" s="373">
        <v>6.4</v>
      </c>
      <c r="G679" s="371">
        <v>496.0</v>
      </c>
      <c r="H679" s="371">
        <v>16.0</v>
      </c>
      <c r="I679" s="371"/>
      <c r="K679" s="374"/>
      <c r="L679" s="269" t="str">
        <f t="shared" si="1"/>
        <v>V</v>
      </c>
    </row>
    <row r="680" ht="15.75" customHeight="1">
      <c r="A680" s="370">
        <v>46063.0</v>
      </c>
      <c r="B680" s="371" t="s">
        <v>1490</v>
      </c>
      <c r="C680" s="371" t="s">
        <v>1503</v>
      </c>
      <c r="D680" s="371" t="s">
        <v>1507</v>
      </c>
      <c r="E680" s="373">
        <v>12.48</v>
      </c>
      <c r="G680" s="371">
        <v>986.0</v>
      </c>
      <c r="H680" s="371">
        <v>39.0</v>
      </c>
      <c r="I680" s="371"/>
      <c r="K680" s="374"/>
      <c r="L680" s="269" t="str">
        <f t="shared" si="1"/>
        <v>V</v>
      </c>
    </row>
    <row r="681" ht="15.75" customHeight="1">
      <c r="A681" s="370">
        <v>46063.0</v>
      </c>
      <c r="B681" s="371" t="s">
        <v>1490</v>
      </c>
      <c r="C681" s="371" t="s">
        <v>1504</v>
      </c>
      <c r="D681" s="371" t="s">
        <v>1508</v>
      </c>
      <c r="E681" s="373">
        <v>4.87</v>
      </c>
      <c r="G681" s="371">
        <v>167.0</v>
      </c>
      <c r="H681" s="371">
        <v>15.0</v>
      </c>
      <c r="I681" s="371"/>
      <c r="K681" s="374">
        <v>2.0</v>
      </c>
      <c r="L681" s="269" t="str">
        <f t="shared" si="1"/>
        <v>V</v>
      </c>
    </row>
    <row r="682" ht="15.75" customHeight="1">
      <c r="A682" s="370">
        <v>46063.0</v>
      </c>
      <c r="B682" s="371" t="s">
        <v>1490</v>
      </c>
      <c r="C682" s="371" t="s">
        <v>1504</v>
      </c>
      <c r="D682" s="371" t="s">
        <v>1507</v>
      </c>
      <c r="E682" s="373">
        <v>0.0</v>
      </c>
      <c r="G682" s="371">
        <v>0.0</v>
      </c>
      <c r="H682" s="371">
        <v>0.0</v>
      </c>
      <c r="I682" s="371"/>
      <c r="K682" s="374"/>
      <c r="L682" s="269" t="str">
        <f t="shared" si="1"/>
        <v>V</v>
      </c>
    </row>
    <row r="683" ht="15.75" customHeight="1">
      <c r="A683" s="370">
        <v>46063.0</v>
      </c>
      <c r="B683" s="371" t="s">
        <v>1490</v>
      </c>
      <c r="C683" s="371" t="s">
        <v>1493</v>
      </c>
      <c r="D683" s="371" t="s">
        <v>1500</v>
      </c>
      <c r="E683" s="373">
        <v>8.31</v>
      </c>
      <c r="G683" s="371">
        <v>533.0</v>
      </c>
      <c r="H683" s="371">
        <v>12.0</v>
      </c>
      <c r="I683" s="371"/>
      <c r="K683" s="374">
        <v>1.0</v>
      </c>
      <c r="L683" s="269" t="str">
        <f t="shared" si="1"/>
        <v>V</v>
      </c>
    </row>
    <row r="684" ht="15.75" customHeight="1">
      <c r="A684" s="370">
        <v>46063.0</v>
      </c>
      <c r="B684" s="371" t="s">
        <v>1490</v>
      </c>
      <c r="C684" s="371" t="s">
        <v>1493</v>
      </c>
      <c r="D684" s="371" t="s">
        <v>1501</v>
      </c>
      <c r="E684" s="373">
        <v>0.25</v>
      </c>
      <c r="G684" s="371">
        <v>20.0</v>
      </c>
      <c r="H684" s="371">
        <v>0.0</v>
      </c>
      <c r="I684" s="371"/>
      <c r="K684" s="374"/>
      <c r="L684" s="269" t="str">
        <f t="shared" si="1"/>
        <v>V</v>
      </c>
    </row>
    <row r="685" ht="15.75" customHeight="1">
      <c r="A685" s="370">
        <v>46063.0</v>
      </c>
      <c r="B685" s="371" t="s">
        <v>1490</v>
      </c>
      <c r="C685" s="371" t="s">
        <v>1504</v>
      </c>
      <c r="D685" s="371" t="s">
        <v>1494</v>
      </c>
      <c r="E685" s="373">
        <v>11.07</v>
      </c>
      <c r="G685" s="371">
        <v>594.0</v>
      </c>
      <c r="H685" s="371">
        <v>38.0</v>
      </c>
      <c r="I685" s="371">
        <v>1.0</v>
      </c>
      <c r="K685" s="374">
        <v>2.0</v>
      </c>
      <c r="L685" s="269" t="str">
        <f t="shared" si="1"/>
        <v>V</v>
      </c>
    </row>
    <row r="686" ht="15.75" customHeight="1">
      <c r="A686" s="370">
        <v>46063.0</v>
      </c>
      <c r="B686" s="371" t="s">
        <v>1495</v>
      </c>
      <c r="C686" s="371" t="s">
        <v>1496</v>
      </c>
      <c r="D686" s="371" t="s">
        <v>1497</v>
      </c>
      <c r="E686" s="373">
        <v>8.67</v>
      </c>
      <c r="G686" s="371">
        <v>3480.0</v>
      </c>
      <c r="H686" s="371">
        <v>42.0</v>
      </c>
      <c r="I686" s="371"/>
      <c r="K686" s="374">
        <v>1.0</v>
      </c>
      <c r="L686" s="269" t="str">
        <f t="shared" si="1"/>
        <v>AD</v>
      </c>
    </row>
    <row r="687" ht="15.75" customHeight="1">
      <c r="A687" s="370">
        <v>46062.0</v>
      </c>
      <c r="B687" s="371" t="s">
        <v>1490</v>
      </c>
      <c r="C687" s="371" t="s">
        <v>1503</v>
      </c>
      <c r="D687" s="371" t="s">
        <v>1498</v>
      </c>
      <c r="E687" s="373">
        <v>0.5</v>
      </c>
      <c r="G687" s="371">
        <v>8.0</v>
      </c>
      <c r="H687" s="371">
        <v>1.0</v>
      </c>
      <c r="I687" s="371"/>
      <c r="K687" s="374"/>
      <c r="L687" s="269" t="str">
        <f t="shared" si="1"/>
        <v>V</v>
      </c>
    </row>
    <row r="688" ht="15.75" customHeight="1">
      <c r="A688" s="370">
        <v>46062.0</v>
      </c>
      <c r="B688" s="371" t="s">
        <v>1490</v>
      </c>
      <c r="C688" s="371" t="s">
        <v>1504</v>
      </c>
      <c r="D688" s="371" t="s">
        <v>1498</v>
      </c>
      <c r="E688" s="373">
        <v>1.21</v>
      </c>
      <c r="G688" s="371">
        <v>60.0</v>
      </c>
      <c r="H688" s="371">
        <v>1.0</v>
      </c>
      <c r="I688" s="371"/>
      <c r="K688" s="374"/>
      <c r="L688" s="269" t="str">
        <f t="shared" si="1"/>
        <v>V</v>
      </c>
    </row>
    <row r="689" ht="15.75" customHeight="1">
      <c r="A689" s="370">
        <v>46062.0</v>
      </c>
      <c r="B689" s="371" t="s">
        <v>1490</v>
      </c>
      <c r="C689" s="371" t="s">
        <v>1493</v>
      </c>
      <c r="D689" s="371" t="s">
        <v>1498</v>
      </c>
      <c r="E689" s="373">
        <v>0.0</v>
      </c>
      <c r="G689" s="371">
        <v>1.0</v>
      </c>
      <c r="H689" s="371">
        <v>0.0</v>
      </c>
      <c r="I689" s="371"/>
      <c r="K689" s="374"/>
      <c r="L689" s="269" t="str">
        <f t="shared" si="1"/>
        <v>V</v>
      </c>
    </row>
    <row r="690" ht="15.75" customHeight="1">
      <c r="A690" s="370">
        <v>46062.0</v>
      </c>
      <c r="B690" s="371" t="s">
        <v>1490</v>
      </c>
      <c r="C690" s="371" t="s">
        <v>1503</v>
      </c>
      <c r="D690" s="371" t="s">
        <v>1509</v>
      </c>
      <c r="E690" s="373">
        <v>0.91</v>
      </c>
      <c r="G690" s="371">
        <v>33.0</v>
      </c>
      <c r="H690" s="371">
        <v>3.0</v>
      </c>
      <c r="I690" s="371"/>
      <c r="K690" s="374"/>
      <c r="L690" s="269" t="str">
        <f t="shared" si="1"/>
        <v>V</v>
      </c>
    </row>
    <row r="691" ht="15.75" customHeight="1">
      <c r="A691" s="370">
        <v>46062.0</v>
      </c>
      <c r="B691" s="371" t="s">
        <v>1490</v>
      </c>
      <c r="C691" s="371" t="s">
        <v>1503</v>
      </c>
      <c r="D691" s="371" t="s">
        <v>1505</v>
      </c>
      <c r="E691" s="373">
        <v>1.98</v>
      </c>
      <c r="G691" s="371">
        <v>127.0</v>
      </c>
      <c r="H691" s="371">
        <v>2.0</v>
      </c>
      <c r="I691" s="371"/>
      <c r="K691" s="374"/>
      <c r="L691" s="269" t="str">
        <f t="shared" si="1"/>
        <v>V-video</v>
      </c>
    </row>
    <row r="692" ht="15.75" customHeight="1">
      <c r="A692" s="370">
        <v>46062.0</v>
      </c>
      <c r="B692" s="371" t="s">
        <v>1490</v>
      </c>
      <c r="C692" s="371" t="s">
        <v>1504</v>
      </c>
      <c r="D692" s="371" t="s">
        <v>1506</v>
      </c>
      <c r="E692" s="373">
        <v>6.73</v>
      </c>
      <c r="G692" s="371">
        <v>183.0</v>
      </c>
      <c r="H692" s="371">
        <v>8.0</v>
      </c>
      <c r="I692" s="371"/>
      <c r="K692" s="374">
        <v>2.0</v>
      </c>
      <c r="L692" s="269" t="str">
        <f t="shared" si="1"/>
        <v>V</v>
      </c>
    </row>
    <row r="693" ht="15.75" customHeight="1">
      <c r="A693" s="370">
        <v>46062.0</v>
      </c>
      <c r="B693" s="371" t="s">
        <v>1490</v>
      </c>
      <c r="C693" s="371" t="s">
        <v>1493</v>
      </c>
      <c r="D693" s="371" t="s">
        <v>1499</v>
      </c>
      <c r="E693" s="373">
        <v>0.4</v>
      </c>
      <c r="G693" s="371">
        <v>35.0</v>
      </c>
      <c r="H693" s="371">
        <v>0.0</v>
      </c>
      <c r="I693" s="371"/>
      <c r="K693" s="374"/>
      <c r="L693" s="269" t="str">
        <f t="shared" si="1"/>
        <v>V</v>
      </c>
    </row>
    <row r="694" ht="15.75" customHeight="1">
      <c r="A694" s="370">
        <v>46062.0</v>
      </c>
      <c r="B694" s="371" t="s">
        <v>1490</v>
      </c>
      <c r="C694" s="371" t="s">
        <v>1503</v>
      </c>
      <c r="D694" s="371" t="s">
        <v>1508</v>
      </c>
      <c r="E694" s="373">
        <v>6.14</v>
      </c>
      <c r="G694" s="371">
        <v>643.0</v>
      </c>
      <c r="H694" s="371">
        <v>18.0</v>
      </c>
      <c r="I694" s="371"/>
      <c r="K694" s="374">
        <v>1.0</v>
      </c>
      <c r="L694" s="269" t="str">
        <f t="shared" si="1"/>
        <v>V</v>
      </c>
    </row>
    <row r="695" ht="15.75" customHeight="1">
      <c r="A695" s="370">
        <v>46062.0</v>
      </c>
      <c r="B695" s="371" t="s">
        <v>1490</v>
      </c>
      <c r="C695" s="371" t="s">
        <v>1503</v>
      </c>
      <c r="D695" s="371" t="s">
        <v>1507</v>
      </c>
      <c r="E695" s="373">
        <v>6.19</v>
      </c>
      <c r="G695" s="371">
        <v>207.0</v>
      </c>
      <c r="H695" s="371">
        <v>6.0</v>
      </c>
      <c r="I695" s="371"/>
      <c r="K695" s="374"/>
      <c r="L695" s="269" t="str">
        <f t="shared" si="1"/>
        <v>V</v>
      </c>
    </row>
    <row r="696" ht="15.75" customHeight="1">
      <c r="A696" s="370">
        <v>46062.0</v>
      </c>
      <c r="B696" s="371" t="s">
        <v>1490</v>
      </c>
      <c r="C696" s="371" t="s">
        <v>1493</v>
      </c>
      <c r="D696" s="371" t="s">
        <v>1500</v>
      </c>
      <c r="E696" s="373">
        <v>15.94</v>
      </c>
      <c r="G696" s="371">
        <v>917.0</v>
      </c>
      <c r="H696" s="371">
        <v>12.0</v>
      </c>
      <c r="I696" s="371"/>
      <c r="K696" s="374">
        <v>2.0</v>
      </c>
      <c r="L696" s="269" t="str">
        <f t="shared" si="1"/>
        <v>V</v>
      </c>
    </row>
    <row r="697" ht="15.75" customHeight="1">
      <c r="A697" s="370">
        <v>46062.0</v>
      </c>
      <c r="B697" s="371" t="s">
        <v>1490</v>
      </c>
      <c r="C697" s="371" t="s">
        <v>1504</v>
      </c>
      <c r="D697" s="371" t="s">
        <v>1494</v>
      </c>
      <c r="E697" s="373">
        <v>9.71</v>
      </c>
      <c r="G697" s="371">
        <v>699.0</v>
      </c>
      <c r="H697" s="371">
        <v>46.0</v>
      </c>
      <c r="I697" s="371"/>
      <c r="K697" s="374">
        <v>2.0</v>
      </c>
      <c r="L697" s="269" t="str">
        <f t="shared" si="1"/>
        <v>V</v>
      </c>
    </row>
    <row r="698" ht="15.75" customHeight="1">
      <c r="A698" s="370">
        <v>46062.0</v>
      </c>
      <c r="B698" s="371" t="s">
        <v>1490</v>
      </c>
      <c r="C698" s="371" t="s">
        <v>1503</v>
      </c>
      <c r="D698" s="371" t="s">
        <v>1494</v>
      </c>
      <c r="E698" s="373">
        <v>1.11</v>
      </c>
      <c r="G698" s="371">
        <v>62.0</v>
      </c>
      <c r="H698" s="371">
        <v>4.0</v>
      </c>
      <c r="I698" s="371"/>
      <c r="K698" s="374"/>
      <c r="L698" s="269" t="str">
        <f t="shared" si="1"/>
        <v>V</v>
      </c>
    </row>
    <row r="699" ht="15.75" customHeight="1">
      <c r="A699" s="370">
        <v>46062.0</v>
      </c>
      <c r="B699" s="371" t="s">
        <v>1495</v>
      </c>
      <c r="C699" s="371" t="s">
        <v>1496</v>
      </c>
      <c r="D699" s="371" t="s">
        <v>1497</v>
      </c>
      <c r="E699" s="373">
        <v>9.85</v>
      </c>
      <c r="G699" s="371">
        <v>4265.0</v>
      </c>
      <c r="H699" s="371">
        <v>38.0</v>
      </c>
      <c r="I699" s="371"/>
      <c r="K699" s="374">
        <v>1.0</v>
      </c>
      <c r="L699" s="269" t="str">
        <f t="shared" si="1"/>
        <v>AD</v>
      </c>
    </row>
    <row r="700" ht="15.75" customHeight="1">
      <c r="A700" s="370">
        <v>46061.0</v>
      </c>
      <c r="B700" s="371" t="s">
        <v>1490</v>
      </c>
      <c r="C700" s="371" t="s">
        <v>1493</v>
      </c>
      <c r="D700" s="371" t="s">
        <v>1494</v>
      </c>
      <c r="E700" s="373">
        <v>0.5</v>
      </c>
      <c r="G700" s="371">
        <v>28.0</v>
      </c>
      <c r="H700" s="371">
        <v>0.0</v>
      </c>
      <c r="I700" s="371"/>
      <c r="K700" s="374"/>
      <c r="L700" s="269" t="str">
        <f t="shared" si="1"/>
        <v>V</v>
      </c>
    </row>
    <row r="701" ht="15.75" customHeight="1">
      <c r="A701" s="370">
        <v>46061.0</v>
      </c>
      <c r="B701" s="371" t="s">
        <v>1490</v>
      </c>
      <c r="C701" s="371" t="s">
        <v>1503</v>
      </c>
      <c r="D701" s="371" t="s">
        <v>1498</v>
      </c>
      <c r="E701" s="373">
        <v>2.11</v>
      </c>
      <c r="G701" s="371">
        <v>81.0</v>
      </c>
      <c r="H701" s="371">
        <v>5.0</v>
      </c>
      <c r="I701" s="371"/>
      <c r="K701" s="374"/>
      <c r="L701" s="269" t="str">
        <f t="shared" si="1"/>
        <v>V</v>
      </c>
    </row>
    <row r="702" ht="15.75" customHeight="1">
      <c r="A702" s="370">
        <v>46061.0</v>
      </c>
      <c r="B702" s="371" t="s">
        <v>1490</v>
      </c>
      <c r="C702" s="371" t="s">
        <v>1503</v>
      </c>
      <c r="D702" s="371" t="s">
        <v>1509</v>
      </c>
      <c r="E702" s="373">
        <v>3.66</v>
      </c>
      <c r="G702" s="371">
        <v>109.0</v>
      </c>
      <c r="H702" s="371">
        <v>3.0</v>
      </c>
      <c r="I702" s="371"/>
      <c r="K702" s="374"/>
      <c r="L702" s="269" t="str">
        <f t="shared" si="1"/>
        <v>V</v>
      </c>
    </row>
    <row r="703" ht="15.75" customHeight="1">
      <c r="A703" s="370">
        <v>46061.0</v>
      </c>
      <c r="B703" s="371" t="s">
        <v>1490</v>
      </c>
      <c r="C703" s="371" t="s">
        <v>1493</v>
      </c>
      <c r="D703" s="371" t="s">
        <v>1509</v>
      </c>
      <c r="E703" s="373">
        <v>0.8</v>
      </c>
      <c r="G703" s="371">
        <v>55.0</v>
      </c>
      <c r="H703" s="371">
        <v>0.0</v>
      </c>
      <c r="I703" s="371"/>
      <c r="K703" s="374"/>
      <c r="L703" s="269" t="str">
        <f t="shared" si="1"/>
        <v>V</v>
      </c>
    </row>
    <row r="704" ht="15.75" customHeight="1">
      <c r="A704" s="370">
        <v>46061.0</v>
      </c>
      <c r="B704" s="371" t="s">
        <v>1490</v>
      </c>
      <c r="C704" s="371" t="s">
        <v>1503</v>
      </c>
      <c r="D704" s="371" t="s">
        <v>1505</v>
      </c>
      <c r="E704" s="373">
        <v>0.82</v>
      </c>
      <c r="G704" s="371">
        <v>27.0</v>
      </c>
      <c r="H704" s="371">
        <v>0.0</v>
      </c>
      <c r="I704" s="371"/>
      <c r="K704" s="374"/>
      <c r="L704" s="269" t="str">
        <f t="shared" si="1"/>
        <v>V-video</v>
      </c>
    </row>
    <row r="705" ht="15.75" customHeight="1">
      <c r="A705" s="370">
        <v>46061.0</v>
      </c>
      <c r="B705" s="371" t="s">
        <v>1490</v>
      </c>
      <c r="C705" s="371" t="s">
        <v>1503</v>
      </c>
      <c r="D705" s="371" t="s">
        <v>1507</v>
      </c>
      <c r="E705" s="373">
        <v>4.87</v>
      </c>
      <c r="G705" s="371">
        <v>102.0</v>
      </c>
      <c r="H705" s="371">
        <v>2.0</v>
      </c>
      <c r="I705" s="371"/>
      <c r="K705" s="374"/>
      <c r="L705" s="269" t="str">
        <f t="shared" si="1"/>
        <v>V</v>
      </c>
    </row>
    <row r="706" ht="15.75" customHeight="1">
      <c r="A706" s="370">
        <v>46061.0</v>
      </c>
      <c r="B706" s="371" t="s">
        <v>1490</v>
      </c>
      <c r="C706" s="371" t="s">
        <v>1504</v>
      </c>
      <c r="D706" s="371" t="s">
        <v>1507</v>
      </c>
      <c r="E706" s="373">
        <v>0.89</v>
      </c>
      <c r="G706" s="371">
        <v>32.0</v>
      </c>
      <c r="H706" s="371">
        <v>4.0</v>
      </c>
      <c r="I706" s="371"/>
      <c r="K706" s="374"/>
      <c r="L706" s="269" t="str">
        <f t="shared" si="1"/>
        <v>V</v>
      </c>
    </row>
    <row r="707" ht="15.75" customHeight="1">
      <c r="A707" s="370">
        <v>46061.0</v>
      </c>
      <c r="B707" s="371" t="s">
        <v>1490</v>
      </c>
      <c r="C707" s="371" t="s">
        <v>1493</v>
      </c>
      <c r="D707" s="371" t="s">
        <v>1500</v>
      </c>
      <c r="E707" s="373">
        <v>11.48</v>
      </c>
      <c r="G707" s="371">
        <v>672.0</v>
      </c>
      <c r="H707" s="371">
        <v>19.0</v>
      </c>
      <c r="K707" s="374">
        <v>4.0</v>
      </c>
      <c r="L707" s="269" t="str">
        <f t="shared" si="1"/>
        <v>V</v>
      </c>
    </row>
    <row r="708" ht="15.75" customHeight="1">
      <c r="A708" s="370">
        <v>46061.0</v>
      </c>
      <c r="B708" s="371" t="s">
        <v>1490</v>
      </c>
      <c r="C708" s="371" t="s">
        <v>1493</v>
      </c>
      <c r="D708" s="371" t="s">
        <v>1501</v>
      </c>
      <c r="E708" s="373">
        <v>0.0</v>
      </c>
      <c r="G708" s="371">
        <v>1.0</v>
      </c>
      <c r="H708" s="371">
        <v>0.0</v>
      </c>
      <c r="I708" s="371"/>
      <c r="K708" s="374"/>
      <c r="L708" s="269" t="str">
        <f t="shared" si="1"/>
        <v>V</v>
      </c>
    </row>
    <row r="709" ht="15.75" customHeight="1">
      <c r="A709" s="370">
        <v>46061.0</v>
      </c>
      <c r="B709" s="371" t="s">
        <v>1490</v>
      </c>
      <c r="C709" s="371" t="s">
        <v>1504</v>
      </c>
      <c r="D709" s="371" t="s">
        <v>1494</v>
      </c>
      <c r="E709" s="373">
        <v>12.71</v>
      </c>
      <c r="G709" s="371">
        <v>816.0</v>
      </c>
      <c r="H709" s="371">
        <v>42.0</v>
      </c>
      <c r="I709" s="371"/>
      <c r="K709" s="374">
        <v>3.0</v>
      </c>
      <c r="L709" s="269" t="str">
        <f t="shared" si="1"/>
        <v>V</v>
      </c>
    </row>
    <row r="710" ht="15.75" customHeight="1">
      <c r="A710" s="370">
        <v>46061.0</v>
      </c>
      <c r="B710" s="371" t="s">
        <v>1490</v>
      </c>
      <c r="C710" s="371" t="s">
        <v>1503</v>
      </c>
      <c r="D710" s="371" t="s">
        <v>1494</v>
      </c>
      <c r="E710" s="373">
        <v>0.98</v>
      </c>
      <c r="G710" s="371">
        <v>38.0</v>
      </c>
      <c r="H710" s="371">
        <v>3.0</v>
      </c>
      <c r="I710" s="371"/>
      <c r="K710" s="374"/>
      <c r="L710" s="269" t="str">
        <f t="shared" si="1"/>
        <v>V</v>
      </c>
    </row>
    <row r="711" ht="15.75" customHeight="1">
      <c r="A711" s="370">
        <v>46061.0</v>
      </c>
      <c r="B711" s="371" t="s">
        <v>1495</v>
      </c>
      <c r="C711" s="371" t="s">
        <v>1496</v>
      </c>
      <c r="D711" s="371" t="s">
        <v>1497</v>
      </c>
      <c r="E711" s="373">
        <v>12.65</v>
      </c>
      <c r="G711" s="371">
        <v>6027.0</v>
      </c>
      <c r="H711" s="371">
        <v>61.0</v>
      </c>
      <c r="I711" s="371"/>
      <c r="K711" s="374"/>
      <c r="L711" s="269" t="str">
        <f t="shared" si="1"/>
        <v>AD</v>
      </c>
    </row>
    <row r="712" ht="15.75" customHeight="1">
      <c r="A712" s="370">
        <v>46060.0</v>
      </c>
      <c r="B712" s="371" t="s">
        <v>1490</v>
      </c>
      <c r="C712" s="371" t="s">
        <v>1493</v>
      </c>
      <c r="D712" s="371" t="s">
        <v>1494</v>
      </c>
      <c r="E712" s="373">
        <v>0.05</v>
      </c>
      <c r="G712" s="371">
        <v>2.0</v>
      </c>
      <c r="H712" s="371">
        <v>0.0</v>
      </c>
      <c r="I712" s="371"/>
      <c r="K712" s="374"/>
      <c r="L712" s="269" t="str">
        <f t="shared" si="1"/>
        <v>V</v>
      </c>
    </row>
    <row r="713" ht="15.75" customHeight="1">
      <c r="A713" s="370">
        <v>46060.0</v>
      </c>
      <c r="B713" s="371" t="s">
        <v>1490</v>
      </c>
      <c r="C713" s="371" t="s">
        <v>1503</v>
      </c>
      <c r="D713" s="371" t="s">
        <v>1498</v>
      </c>
      <c r="E713" s="373">
        <v>1.93</v>
      </c>
      <c r="G713" s="371">
        <v>132.0</v>
      </c>
      <c r="H713" s="371">
        <v>0.0</v>
      </c>
      <c r="I713" s="371"/>
      <c r="K713" s="374"/>
      <c r="L713" s="269" t="str">
        <f t="shared" si="1"/>
        <v>V</v>
      </c>
    </row>
    <row r="714" ht="15.75" customHeight="1">
      <c r="A714" s="370">
        <v>46060.0</v>
      </c>
      <c r="B714" s="371" t="s">
        <v>1490</v>
      </c>
      <c r="C714" s="371" t="s">
        <v>1504</v>
      </c>
      <c r="D714" s="371" t="s">
        <v>1498</v>
      </c>
      <c r="E714" s="373">
        <v>2.7</v>
      </c>
      <c r="G714" s="371">
        <v>152.0</v>
      </c>
      <c r="H714" s="371">
        <v>6.0</v>
      </c>
      <c r="I714" s="371"/>
      <c r="K714" s="374"/>
      <c r="L714" s="269" t="str">
        <f t="shared" si="1"/>
        <v>V</v>
      </c>
    </row>
    <row r="715" ht="15.75" customHeight="1">
      <c r="A715" s="370">
        <v>46060.0</v>
      </c>
      <c r="B715" s="371" t="s">
        <v>1490</v>
      </c>
      <c r="C715" s="371" t="s">
        <v>1493</v>
      </c>
      <c r="D715" s="371" t="s">
        <v>1498</v>
      </c>
      <c r="E715" s="373">
        <v>2.06</v>
      </c>
      <c r="G715" s="371">
        <v>144.0</v>
      </c>
      <c r="H715" s="371">
        <v>5.0</v>
      </c>
      <c r="I715" s="371"/>
      <c r="K715" s="374">
        <v>1.0</v>
      </c>
      <c r="L715" s="269" t="str">
        <f t="shared" si="1"/>
        <v>V</v>
      </c>
    </row>
    <row r="716" ht="15.75" customHeight="1">
      <c r="A716" s="370">
        <v>46060.0</v>
      </c>
      <c r="B716" s="371" t="s">
        <v>1490</v>
      </c>
      <c r="C716" s="371" t="s">
        <v>1503</v>
      </c>
      <c r="D716" s="371" t="s">
        <v>1509</v>
      </c>
      <c r="E716" s="373">
        <v>3.0</v>
      </c>
      <c r="G716" s="371">
        <v>65.0</v>
      </c>
      <c r="H716" s="371">
        <v>4.0</v>
      </c>
      <c r="I716" s="371"/>
      <c r="K716" s="374">
        <v>1.0</v>
      </c>
      <c r="L716" s="269" t="str">
        <f t="shared" si="1"/>
        <v>V</v>
      </c>
    </row>
    <row r="717" ht="15.75" customHeight="1">
      <c r="A717" s="370">
        <v>46060.0</v>
      </c>
      <c r="B717" s="371" t="s">
        <v>1490</v>
      </c>
      <c r="C717" s="371" t="s">
        <v>1503</v>
      </c>
      <c r="D717" s="371" t="s">
        <v>1505</v>
      </c>
      <c r="E717" s="373">
        <v>0.25</v>
      </c>
      <c r="G717" s="371">
        <v>12.0</v>
      </c>
      <c r="H717" s="371">
        <v>1.0</v>
      </c>
      <c r="I717" s="371"/>
      <c r="K717" s="374"/>
      <c r="L717" s="269" t="str">
        <f t="shared" si="1"/>
        <v>V-video</v>
      </c>
    </row>
    <row r="718" ht="15.75" customHeight="1">
      <c r="A718" s="370">
        <v>46060.0</v>
      </c>
      <c r="B718" s="371" t="s">
        <v>1490</v>
      </c>
      <c r="C718" s="371" t="s">
        <v>1504</v>
      </c>
      <c r="D718" s="371" t="s">
        <v>1506</v>
      </c>
      <c r="E718" s="373">
        <v>1.9</v>
      </c>
      <c r="G718" s="371">
        <v>77.0</v>
      </c>
      <c r="H718" s="371">
        <v>3.0</v>
      </c>
      <c r="I718" s="371"/>
      <c r="K718" s="374"/>
      <c r="L718" s="269" t="str">
        <f t="shared" si="1"/>
        <v>V</v>
      </c>
    </row>
    <row r="719" ht="15.75" customHeight="1">
      <c r="A719" s="370">
        <v>46060.0</v>
      </c>
      <c r="B719" s="371" t="s">
        <v>1490</v>
      </c>
      <c r="C719" s="371" t="s">
        <v>1493</v>
      </c>
      <c r="D719" s="371" t="s">
        <v>1499</v>
      </c>
      <c r="E719" s="373">
        <v>2.6</v>
      </c>
      <c r="G719" s="371">
        <v>115.0</v>
      </c>
      <c r="H719" s="371">
        <v>8.0</v>
      </c>
      <c r="I719" s="371"/>
      <c r="K719" s="374">
        <v>1.0</v>
      </c>
      <c r="L719" s="269" t="str">
        <f t="shared" si="1"/>
        <v>V</v>
      </c>
    </row>
    <row r="720" ht="15.75" customHeight="1">
      <c r="A720" s="370">
        <v>46060.0</v>
      </c>
      <c r="B720" s="371" t="s">
        <v>1490</v>
      </c>
      <c r="C720" s="371" t="s">
        <v>1503</v>
      </c>
      <c r="D720" s="371" t="s">
        <v>1507</v>
      </c>
      <c r="E720" s="373">
        <v>7.35</v>
      </c>
      <c r="G720" s="371">
        <v>414.0</v>
      </c>
      <c r="H720" s="371">
        <v>10.0</v>
      </c>
      <c r="I720" s="371"/>
      <c r="K720" s="374"/>
      <c r="L720" s="269" t="str">
        <f t="shared" si="1"/>
        <v>V</v>
      </c>
    </row>
    <row r="721" ht="15.75" customHeight="1">
      <c r="A721" s="370">
        <v>46060.0</v>
      </c>
      <c r="B721" s="371" t="s">
        <v>1490</v>
      </c>
      <c r="C721" s="371" t="s">
        <v>1504</v>
      </c>
      <c r="D721" s="371" t="s">
        <v>1508</v>
      </c>
      <c r="E721" s="373">
        <v>0.47</v>
      </c>
      <c r="G721" s="371">
        <v>16.0</v>
      </c>
      <c r="H721" s="371">
        <v>2.0</v>
      </c>
      <c r="I721" s="371"/>
      <c r="K721" s="374"/>
      <c r="L721" s="269" t="str">
        <f t="shared" si="1"/>
        <v>V</v>
      </c>
    </row>
    <row r="722" ht="15.75" customHeight="1">
      <c r="A722" s="370">
        <v>46060.0</v>
      </c>
      <c r="B722" s="371" t="s">
        <v>1490</v>
      </c>
      <c r="C722" s="371" t="s">
        <v>1504</v>
      </c>
      <c r="D722" s="371" t="s">
        <v>1507</v>
      </c>
      <c r="E722" s="373">
        <v>8.13</v>
      </c>
      <c r="G722" s="371">
        <v>261.0</v>
      </c>
      <c r="H722" s="371">
        <v>18.0</v>
      </c>
      <c r="I722" s="371">
        <v>1.0</v>
      </c>
      <c r="K722" s="374">
        <v>2.0</v>
      </c>
      <c r="L722" s="269" t="str">
        <f t="shared" si="1"/>
        <v>V</v>
      </c>
    </row>
    <row r="723" ht="15.75" customHeight="1">
      <c r="A723" s="370">
        <v>46060.0</v>
      </c>
      <c r="B723" s="371" t="s">
        <v>1490</v>
      </c>
      <c r="C723" s="371" t="s">
        <v>1493</v>
      </c>
      <c r="D723" s="371" t="s">
        <v>1500</v>
      </c>
      <c r="E723" s="373">
        <v>9.34</v>
      </c>
      <c r="G723" s="371">
        <v>696.0</v>
      </c>
      <c r="H723" s="371">
        <v>14.0</v>
      </c>
      <c r="I723" s="371"/>
      <c r="K723" s="374"/>
      <c r="L723" s="269" t="str">
        <f t="shared" si="1"/>
        <v>V</v>
      </c>
    </row>
    <row r="724" ht="15.75" customHeight="1">
      <c r="A724" s="370">
        <v>46060.0</v>
      </c>
      <c r="B724" s="371" t="s">
        <v>1490</v>
      </c>
      <c r="C724" s="371" t="s">
        <v>1493</v>
      </c>
      <c r="D724" s="371" t="s">
        <v>1501</v>
      </c>
      <c r="E724" s="373">
        <v>0.0</v>
      </c>
      <c r="G724" s="371">
        <v>1.0</v>
      </c>
      <c r="H724" s="371">
        <v>0.0</v>
      </c>
      <c r="I724" s="371"/>
      <c r="K724" s="374"/>
      <c r="L724" s="269" t="str">
        <f t="shared" si="1"/>
        <v>V</v>
      </c>
    </row>
    <row r="725" ht="15.75" customHeight="1">
      <c r="A725" s="370">
        <v>46060.0</v>
      </c>
      <c r="B725" s="371" t="s">
        <v>1495</v>
      </c>
      <c r="C725" s="371" t="s">
        <v>1496</v>
      </c>
      <c r="D725" s="371" t="s">
        <v>1497</v>
      </c>
      <c r="E725" s="373">
        <v>9.34</v>
      </c>
      <c r="G725" s="371">
        <v>4203.0</v>
      </c>
      <c r="H725" s="371">
        <v>32.0</v>
      </c>
      <c r="I725" s="371"/>
      <c r="K725" s="374"/>
      <c r="L725" s="269" t="str">
        <f t="shared" si="1"/>
        <v>AD</v>
      </c>
    </row>
    <row r="726" ht="15.75" customHeight="1">
      <c r="A726" s="370">
        <v>46059.0</v>
      </c>
      <c r="B726" s="371" t="s">
        <v>1490</v>
      </c>
      <c r="C726" s="371" t="s">
        <v>1504</v>
      </c>
      <c r="D726" s="371" t="s">
        <v>1498</v>
      </c>
      <c r="E726" s="373">
        <v>0.07</v>
      </c>
      <c r="G726" s="371">
        <v>12.0</v>
      </c>
      <c r="H726" s="371">
        <v>0.0</v>
      </c>
      <c r="I726" s="371"/>
      <c r="K726" s="374"/>
      <c r="L726" s="269" t="str">
        <f t="shared" si="1"/>
        <v>V</v>
      </c>
    </row>
    <row r="727" ht="15.75" customHeight="1">
      <c r="A727" s="370">
        <v>46059.0</v>
      </c>
      <c r="B727" s="371" t="s">
        <v>1490</v>
      </c>
      <c r="C727" s="371" t="s">
        <v>1504</v>
      </c>
      <c r="D727" s="371" t="s">
        <v>1509</v>
      </c>
      <c r="E727" s="373">
        <v>0.16</v>
      </c>
      <c r="G727" s="371">
        <v>11.0</v>
      </c>
      <c r="H727" s="371">
        <v>0.0</v>
      </c>
      <c r="I727" s="371"/>
      <c r="K727" s="374"/>
      <c r="L727" s="269" t="str">
        <f t="shared" si="1"/>
        <v>V</v>
      </c>
    </row>
    <row r="728" ht="15.75" customHeight="1">
      <c r="A728" s="370">
        <v>46059.0</v>
      </c>
      <c r="B728" s="371" t="s">
        <v>1490</v>
      </c>
      <c r="C728" s="371" t="s">
        <v>1493</v>
      </c>
      <c r="D728" s="371" t="s">
        <v>1509</v>
      </c>
      <c r="E728" s="373">
        <v>1.64</v>
      </c>
      <c r="G728" s="371">
        <v>101.0</v>
      </c>
      <c r="H728" s="371">
        <v>2.0</v>
      </c>
      <c r="K728" s="374"/>
      <c r="L728" s="269" t="str">
        <f t="shared" si="1"/>
        <v>V</v>
      </c>
    </row>
    <row r="729" ht="15.75" customHeight="1">
      <c r="A729" s="370">
        <v>46059.0</v>
      </c>
      <c r="B729" s="371" t="s">
        <v>1490</v>
      </c>
      <c r="C729" s="371" t="s">
        <v>1504</v>
      </c>
      <c r="D729" s="371" t="s">
        <v>1506</v>
      </c>
      <c r="E729" s="373">
        <v>0.87</v>
      </c>
      <c r="G729" s="371">
        <v>22.0</v>
      </c>
      <c r="H729" s="371">
        <v>0.0</v>
      </c>
      <c r="I729" s="371"/>
      <c r="K729" s="374"/>
      <c r="L729" s="269" t="str">
        <f t="shared" si="1"/>
        <v>V</v>
      </c>
    </row>
    <row r="730" ht="15.75" customHeight="1">
      <c r="A730" s="370">
        <v>46059.0</v>
      </c>
      <c r="B730" s="371" t="s">
        <v>1490</v>
      </c>
      <c r="C730" s="371" t="s">
        <v>1503</v>
      </c>
      <c r="D730" s="371" t="s">
        <v>1508</v>
      </c>
      <c r="E730" s="373">
        <v>2.67</v>
      </c>
      <c r="G730" s="371">
        <v>145.0</v>
      </c>
      <c r="H730" s="371">
        <v>5.0</v>
      </c>
      <c r="I730" s="371"/>
      <c r="K730" s="374"/>
      <c r="L730" s="269" t="str">
        <f t="shared" si="1"/>
        <v>V</v>
      </c>
    </row>
    <row r="731" ht="15.75" customHeight="1">
      <c r="A731" s="370">
        <v>46059.0</v>
      </c>
      <c r="B731" s="371" t="s">
        <v>1490</v>
      </c>
      <c r="C731" s="371" t="s">
        <v>1503</v>
      </c>
      <c r="D731" s="371" t="s">
        <v>1507</v>
      </c>
      <c r="E731" s="373">
        <v>10.21</v>
      </c>
      <c r="G731" s="371">
        <v>381.0</v>
      </c>
      <c r="H731" s="371">
        <v>15.0</v>
      </c>
      <c r="I731" s="371"/>
      <c r="K731" s="374">
        <v>1.0</v>
      </c>
      <c r="L731" s="269" t="str">
        <f t="shared" si="1"/>
        <v>V</v>
      </c>
    </row>
    <row r="732" ht="15.75" customHeight="1">
      <c r="A732" s="370">
        <v>46059.0</v>
      </c>
      <c r="B732" s="371" t="s">
        <v>1490</v>
      </c>
      <c r="C732" s="371" t="s">
        <v>1504</v>
      </c>
      <c r="D732" s="371" t="s">
        <v>1508</v>
      </c>
      <c r="E732" s="373">
        <v>0.07</v>
      </c>
      <c r="G732" s="371">
        <v>4.0</v>
      </c>
      <c r="H732" s="371">
        <v>0.0</v>
      </c>
      <c r="I732" s="371"/>
      <c r="K732" s="374"/>
      <c r="L732" s="269" t="str">
        <f t="shared" si="1"/>
        <v>V</v>
      </c>
    </row>
    <row r="733" ht="15.75" customHeight="1">
      <c r="A733" s="370">
        <v>46059.0</v>
      </c>
      <c r="B733" s="371" t="s">
        <v>1490</v>
      </c>
      <c r="C733" s="371" t="s">
        <v>1504</v>
      </c>
      <c r="D733" s="371" t="s">
        <v>1507</v>
      </c>
      <c r="E733" s="373">
        <v>9.11</v>
      </c>
      <c r="G733" s="371">
        <v>281.0</v>
      </c>
      <c r="H733" s="371">
        <v>16.0</v>
      </c>
      <c r="I733" s="371"/>
      <c r="K733" s="374">
        <v>1.0</v>
      </c>
      <c r="L733" s="269" t="str">
        <f t="shared" si="1"/>
        <v>V</v>
      </c>
    </row>
    <row r="734" ht="15.75" customHeight="1">
      <c r="A734" s="370">
        <v>46059.0</v>
      </c>
      <c r="B734" s="371" t="s">
        <v>1490</v>
      </c>
      <c r="C734" s="371" t="s">
        <v>1493</v>
      </c>
      <c r="D734" s="371" t="s">
        <v>1500</v>
      </c>
      <c r="E734" s="373">
        <v>10.36</v>
      </c>
      <c r="G734" s="371">
        <v>784.0</v>
      </c>
      <c r="H734" s="371">
        <v>6.0</v>
      </c>
      <c r="I734" s="371"/>
      <c r="K734" s="374"/>
      <c r="L734" s="269" t="str">
        <f t="shared" si="1"/>
        <v>V</v>
      </c>
    </row>
    <row r="735" ht="15.75" customHeight="1">
      <c r="A735" s="370">
        <v>46059.0</v>
      </c>
      <c r="B735" s="371" t="s">
        <v>1490</v>
      </c>
      <c r="C735" s="371" t="s">
        <v>1504</v>
      </c>
      <c r="D735" s="371" t="s">
        <v>1494</v>
      </c>
      <c r="E735" s="373">
        <v>4.48</v>
      </c>
      <c r="G735" s="371">
        <v>249.0</v>
      </c>
      <c r="H735" s="371">
        <v>18.0</v>
      </c>
      <c r="I735" s="371"/>
      <c r="K735" s="374">
        <v>3.0</v>
      </c>
      <c r="L735" s="269" t="str">
        <f t="shared" si="1"/>
        <v>V</v>
      </c>
    </row>
    <row r="736" ht="15.75" customHeight="1">
      <c r="A736" s="370">
        <v>46059.0</v>
      </c>
      <c r="B736" s="371" t="s">
        <v>1490</v>
      </c>
      <c r="C736" s="371" t="s">
        <v>1503</v>
      </c>
      <c r="D736" s="371" t="s">
        <v>1494</v>
      </c>
      <c r="E736" s="373">
        <v>0.23</v>
      </c>
      <c r="G736" s="371">
        <v>7.0</v>
      </c>
      <c r="H736" s="371">
        <v>0.0</v>
      </c>
      <c r="I736" s="371"/>
      <c r="K736" s="374"/>
      <c r="L736" s="269" t="str">
        <f t="shared" si="1"/>
        <v>V</v>
      </c>
    </row>
    <row r="737" ht="15.75" customHeight="1">
      <c r="A737" s="370">
        <v>46059.0</v>
      </c>
      <c r="B737" s="371" t="s">
        <v>1495</v>
      </c>
      <c r="C737" s="371" t="s">
        <v>1496</v>
      </c>
      <c r="D737" s="371" t="s">
        <v>1497</v>
      </c>
      <c r="E737" s="373">
        <v>8.8</v>
      </c>
      <c r="G737" s="371">
        <v>3629.0</v>
      </c>
      <c r="H737" s="371">
        <v>38.0</v>
      </c>
      <c r="I737" s="371"/>
      <c r="K737" s="374"/>
      <c r="L737" s="269" t="str">
        <f t="shared" si="1"/>
        <v>AD</v>
      </c>
    </row>
    <row r="738" ht="15.75" customHeight="1">
      <c r="A738" s="370">
        <v>46058.0</v>
      </c>
      <c r="B738" s="371" t="s">
        <v>1490</v>
      </c>
      <c r="C738" s="371" t="s">
        <v>1493</v>
      </c>
      <c r="D738" s="371" t="s">
        <v>1494</v>
      </c>
      <c r="E738" s="373">
        <v>1.72</v>
      </c>
      <c r="G738" s="371">
        <v>120.0</v>
      </c>
      <c r="H738" s="371">
        <v>4.0</v>
      </c>
      <c r="I738" s="371"/>
      <c r="K738" s="374"/>
      <c r="L738" s="269" t="str">
        <f t="shared" si="1"/>
        <v>V</v>
      </c>
    </row>
    <row r="739" ht="15.75" customHeight="1">
      <c r="A739" s="370">
        <v>46058.0</v>
      </c>
      <c r="B739" s="371" t="s">
        <v>1490</v>
      </c>
      <c r="C739" s="371" t="s">
        <v>1504</v>
      </c>
      <c r="D739" s="371" t="s">
        <v>1509</v>
      </c>
      <c r="E739" s="373">
        <v>0.21</v>
      </c>
      <c r="G739" s="371">
        <v>7.0</v>
      </c>
      <c r="H739" s="371">
        <v>1.0</v>
      </c>
      <c r="I739" s="371"/>
      <c r="K739" s="374"/>
      <c r="L739" s="269" t="str">
        <f t="shared" si="1"/>
        <v>V</v>
      </c>
    </row>
    <row r="740" ht="15.75" customHeight="1">
      <c r="A740" s="370">
        <v>46058.0</v>
      </c>
      <c r="B740" s="371" t="s">
        <v>1490</v>
      </c>
      <c r="C740" s="371" t="s">
        <v>1493</v>
      </c>
      <c r="D740" s="371" t="s">
        <v>1499</v>
      </c>
      <c r="E740" s="373">
        <v>1.82</v>
      </c>
      <c r="G740" s="371">
        <v>101.0</v>
      </c>
      <c r="H740" s="371">
        <v>3.0</v>
      </c>
      <c r="I740" s="371"/>
      <c r="K740" s="374"/>
      <c r="L740" s="269" t="str">
        <f t="shared" si="1"/>
        <v>V</v>
      </c>
    </row>
    <row r="741" ht="15.75" customHeight="1">
      <c r="A741" s="370">
        <v>46058.0</v>
      </c>
      <c r="B741" s="371" t="s">
        <v>1490</v>
      </c>
      <c r="C741" s="371" t="s">
        <v>1503</v>
      </c>
      <c r="D741" s="371" t="s">
        <v>1508</v>
      </c>
      <c r="E741" s="373">
        <v>0.0</v>
      </c>
      <c r="G741" s="371">
        <v>0.0</v>
      </c>
      <c r="H741" s="371">
        <v>0.0</v>
      </c>
      <c r="I741" s="371"/>
      <c r="K741" s="374"/>
      <c r="L741" s="269" t="str">
        <f t="shared" si="1"/>
        <v>V</v>
      </c>
    </row>
    <row r="742" ht="15.75" customHeight="1">
      <c r="A742" s="370">
        <v>46058.0</v>
      </c>
      <c r="B742" s="371" t="s">
        <v>1490</v>
      </c>
      <c r="C742" s="371" t="s">
        <v>1503</v>
      </c>
      <c r="D742" s="371" t="s">
        <v>1507</v>
      </c>
      <c r="E742" s="373">
        <v>13.2</v>
      </c>
      <c r="G742" s="371">
        <v>735.0</v>
      </c>
      <c r="H742" s="371">
        <v>20.0</v>
      </c>
      <c r="I742" s="371"/>
      <c r="K742" s="374"/>
      <c r="L742" s="269" t="str">
        <f t="shared" si="1"/>
        <v>V</v>
      </c>
    </row>
    <row r="743" ht="15.75" customHeight="1">
      <c r="A743" s="370">
        <v>46058.0</v>
      </c>
      <c r="B743" s="371" t="s">
        <v>1490</v>
      </c>
      <c r="C743" s="371" t="s">
        <v>1504</v>
      </c>
      <c r="D743" s="371" t="s">
        <v>1508</v>
      </c>
      <c r="E743" s="373">
        <v>3.95</v>
      </c>
      <c r="G743" s="371">
        <v>158.0</v>
      </c>
      <c r="H743" s="371">
        <v>9.0</v>
      </c>
      <c r="K743" s="374"/>
      <c r="L743" s="269" t="str">
        <f t="shared" si="1"/>
        <v>V</v>
      </c>
    </row>
    <row r="744" ht="15.75" customHeight="1">
      <c r="A744" s="370">
        <v>46058.0</v>
      </c>
      <c r="B744" s="371" t="s">
        <v>1490</v>
      </c>
      <c r="C744" s="371" t="s">
        <v>1504</v>
      </c>
      <c r="D744" s="371" t="s">
        <v>1507</v>
      </c>
      <c r="E744" s="373">
        <v>9.97</v>
      </c>
      <c r="G744" s="371">
        <v>610.0</v>
      </c>
      <c r="H744" s="371">
        <v>24.0</v>
      </c>
      <c r="I744" s="371"/>
      <c r="K744" s="374">
        <v>4.0</v>
      </c>
      <c r="L744" s="269" t="str">
        <f t="shared" si="1"/>
        <v>V</v>
      </c>
    </row>
    <row r="745" ht="15.75" customHeight="1">
      <c r="A745" s="370">
        <v>46058.0</v>
      </c>
      <c r="B745" s="371" t="s">
        <v>1490</v>
      </c>
      <c r="C745" s="371" t="s">
        <v>1493</v>
      </c>
      <c r="D745" s="371" t="s">
        <v>1500</v>
      </c>
      <c r="E745" s="373">
        <v>8.44</v>
      </c>
      <c r="G745" s="371">
        <v>839.0</v>
      </c>
      <c r="H745" s="371">
        <v>12.0</v>
      </c>
      <c r="K745" s="374"/>
      <c r="L745" s="269" t="str">
        <f t="shared" si="1"/>
        <v>V</v>
      </c>
    </row>
    <row r="746" ht="15.75" customHeight="1">
      <c r="A746" s="370">
        <v>46058.0</v>
      </c>
      <c r="B746" s="371" t="s">
        <v>1490</v>
      </c>
      <c r="C746" s="371" t="s">
        <v>1493</v>
      </c>
      <c r="D746" s="371" t="s">
        <v>1501</v>
      </c>
      <c r="E746" s="373">
        <v>0.22</v>
      </c>
      <c r="G746" s="371">
        <v>10.0</v>
      </c>
      <c r="H746" s="371">
        <v>0.0</v>
      </c>
      <c r="K746" s="374"/>
      <c r="L746" s="269" t="str">
        <f t="shared" si="1"/>
        <v>V</v>
      </c>
    </row>
    <row r="747" ht="15.75" customHeight="1">
      <c r="A747" s="370">
        <v>46058.0</v>
      </c>
      <c r="B747" s="371" t="s">
        <v>1490</v>
      </c>
      <c r="C747" s="371" t="s">
        <v>1504</v>
      </c>
      <c r="D747" s="371" t="s">
        <v>1494</v>
      </c>
      <c r="E747" s="373">
        <v>1.1</v>
      </c>
      <c r="G747" s="371">
        <v>76.0</v>
      </c>
      <c r="H747" s="371">
        <v>6.0</v>
      </c>
      <c r="I747" s="371"/>
      <c r="K747" s="374">
        <v>2.0</v>
      </c>
      <c r="L747" s="269" t="str">
        <f t="shared" si="1"/>
        <v>V</v>
      </c>
    </row>
    <row r="748" ht="15.75" customHeight="1">
      <c r="A748" s="370">
        <v>46058.0</v>
      </c>
      <c r="B748" s="371" t="s">
        <v>1495</v>
      </c>
      <c r="C748" s="371" t="s">
        <v>1496</v>
      </c>
      <c r="D748" s="371" t="s">
        <v>1497</v>
      </c>
      <c r="E748" s="373">
        <v>9.24</v>
      </c>
      <c r="G748" s="371">
        <v>4143.0</v>
      </c>
      <c r="H748" s="371">
        <v>46.0</v>
      </c>
      <c r="I748" s="371"/>
      <c r="K748" s="374"/>
      <c r="L748" s="269" t="str">
        <f t="shared" si="1"/>
        <v>AD</v>
      </c>
    </row>
    <row r="749" ht="15.75" customHeight="1">
      <c r="A749" s="370">
        <v>46057.0</v>
      </c>
      <c r="B749" s="371" t="s">
        <v>1490</v>
      </c>
      <c r="C749" s="371" t="s">
        <v>1493</v>
      </c>
      <c r="D749" s="371" t="s">
        <v>1494</v>
      </c>
      <c r="E749" s="373">
        <v>2.04</v>
      </c>
      <c r="G749" s="371">
        <v>162.0</v>
      </c>
      <c r="H749" s="371">
        <v>2.0</v>
      </c>
      <c r="I749" s="371"/>
      <c r="K749" s="374"/>
      <c r="L749" s="269" t="str">
        <f t="shared" si="1"/>
        <v>V</v>
      </c>
    </row>
    <row r="750" ht="15.75" customHeight="1">
      <c r="A750" s="370">
        <v>46057.0</v>
      </c>
      <c r="B750" s="371" t="s">
        <v>1490</v>
      </c>
      <c r="C750" s="371" t="s">
        <v>1503</v>
      </c>
      <c r="D750" s="371" t="s">
        <v>1498</v>
      </c>
      <c r="E750" s="373">
        <v>1.98</v>
      </c>
      <c r="G750" s="371">
        <v>76.0</v>
      </c>
      <c r="H750" s="371">
        <v>2.0</v>
      </c>
      <c r="K750" s="374"/>
      <c r="L750" s="269" t="str">
        <f t="shared" si="1"/>
        <v>V</v>
      </c>
    </row>
    <row r="751" ht="15.75" customHeight="1">
      <c r="A751" s="370">
        <v>46057.0</v>
      </c>
      <c r="B751" s="371" t="s">
        <v>1490</v>
      </c>
      <c r="C751" s="371" t="s">
        <v>1493</v>
      </c>
      <c r="D751" s="371" t="s">
        <v>1498</v>
      </c>
      <c r="E751" s="373">
        <v>0.23</v>
      </c>
      <c r="G751" s="371">
        <v>34.0</v>
      </c>
      <c r="H751" s="371">
        <v>1.0</v>
      </c>
      <c r="I751" s="371"/>
      <c r="K751" s="374"/>
      <c r="L751" s="269" t="str">
        <f t="shared" si="1"/>
        <v>V</v>
      </c>
    </row>
    <row r="752" ht="15.75" customHeight="1">
      <c r="A752" s="370">
        <v>46057.0</v>
      </c>
      <c r="B752" s="371" t="s">
        <v>1490</v>
      </c>
      <c r="C752" s="371" t="s">
        <v>1503</v>
      </c>
      <c r="D752" s="371" t="s">
        <v>1509</v>
      </c>
      <c r="E752" s="373">
        <v>0.09</v>
      </c>
      <c r="G752" s="371">
        <v>3.0</v>
      </c>
      <c r="H752" s="371">
        <v>0.0</v>
      </c>
      <c r="I752" s="371"/>
      <c r="K752" s="374"/>
      <c r="L752" s="269" t="str">
        <f t="shared" si="1"/>
        <v>V</v>
      </c>
    </row>
    <row r="753" ht="15.75" customHeight="1">
      <c r="A753" s="370">
        <v>46057.0</v>
      </c>
      <c r="B753" s="371" t="s">
        <v>1490</v>
      </c>
      <c r="C753" s="371" t="s">
        <v>1503</v>
      </c>
      <c r="D753" s="371" t="s">
        <v>1505</v>
      </c>
      <c r="E753" s="373">
        <v>0.42</v>
      </c>
      <c r="G753" s="371">
        <v>34.0</v>
      </c>
      <c r="H753" s="371">
        <v>1.0</v>
      </c>
      <c r="I753" s="371"/>
      <c r="K753" s="374"/>
      <c r="L753" s="269" t="str">
        <f t="shared" si="1"/>
        <v>V-video</v>
      </c>
    </row>
    <row r="754" ht="15.75" customHeight="1">
      <c r="A754" s="370">
        <v>46057.0</v>
      </c>
      <c r="B754" s="371" t="s">
        <v>1490</v>
      </c>
      <c r="C754" s="371" t="s">
        <v>1504</v>
      </c>
      <c r="D754" s="371" t="s">
        <v>1506</v>
      </c>
      <c r="E754" s="373">
        <v>1.86</v>
      </c>
      <c r="G754" s="371">
        <v>66.0</v>
      </c>
      <c r="H754" s="371">
        <v>2.0</v>
      </c>
      <c r="I754" s="371"/>
      <c r="K754" s="374"/>
      <c r="L754" s="269" t="str">
        <f t="shared" si="1"/>
        <v>V</v>
      </c>
    </row>
    <row r="755" ht="15.75" customHeight="1">
      <c r="A755" s="370">
        <v>46057.0</v>
      </c>
      <c r="B755" s="371" t="s">
        <v>1490</v>
      </c>
      <c r="C755" s="371" t="s">
        <v>1493</v>
      </c>
      <c r="D755" s="371" t="s">
        <v>1499</v>
      </c>
      <c r="E755" s="373">
        <v>0.32</v>
      </c>
      <c r="G755" s="371">
        <v>48.0</v>
      </c>
      <c r="H755" s="371">
        <v>0.0</v>
      </c>
      <c r="I755" s="371"/>
      <c r="K755" s="374"/>
      <c r="L755" s="269" t="str">
        <f t="shared" si="1"/>
        <v>V</v>
      </c>
    </row>
    <row r="756" ht="15.75" customHeight="1">
      <c r="A756" s="370">
        <v>46057.0</v>
      </c>
      <c r="B756" s="371" t="s">
        <v>1490</v>
      </c>
      <c r="C756" s="371" t="s">
        <v>1503</v>
      </c>
      <c r="D756" s="371" t="s">
        <v>1508</v>
      </c>
      <c r="E756" s="373">
        <v>1.36</v>
      </c>
      <c r="G756" s="371">
        <v>92.0</v>
      </c>
      <c r="H756" s="371">
        <v>4.0</v>
      </c>
      <c r="I756" s="371"/>
      <c r="K756" s="374"/>
      <c r="L756" s="269" t="str">
        <f t="shared" si="1"/>
        <v>V</v>
      </c>
    </row>
    <row r="757" ht="15.75" customHeight="1">
      <c r="A757" s="370">
        <v>46057.0</v>
      </c>
      <c r="B757" s="371" t="s">
        <v>1490</v>
      </c>
      <c r="C757" s="371" t="s">
        <v>1503</v>
      </c>
      <c r="D757" s="371" t="s">
        <v>1507</v>
      </c>
      <c r="E757" s="373">
        <v>9.57</v>
      </c>
      <c r="G757" s="371">
        <v>511.0</v>
      </c>
      <c r="H757" s="371">
        <v>15.0</v>
      </c>
      <c r="I757" s="371"/>
      <c r="K757" s="374"/>
      <c r="L757" s="269" t="str">
        <f t="shared" si="1"/>
        <v>V</v>
      </c>
    </row>
    <row r="758" ht="15.75" customHeight="1">
      <c r="A758" s="370">
        <v>46057.0</v>
      </c>
      <c r="B758" s="371" t="s">
        <v>1490</v>
      </c>
      <c r="C758" s="371" t="s">
        <v>1504</v>
      </c>
      <c r="D758" s="371" t="s">
        <v>1507</v>
      </c>
      <c r="E758" s="373">
        <v>13.61</v>
      </c>
      <c r="G758" s="371">
        <v>847.0</v>
      </c>
      <c r="H758" s="371">
        <v>54.0</v>
      </c>
      <c r="I758" s="371">
        <v>1.0</v>
      </c>
      <c r="K758" s="374">
        <v>5.0</v>
      </c>
      <c r="L758" s="269" t="str">
        <f t="shared" si="1"/>
        <v>V</v>
      </c>
    </row>
    <row r="759" ht="15.75" customHeight="1">
      <c r="A759" s="370">
        <v>46057.0</v>
      </c>
      <c r="B759" s="371" t="s">
        <v>1490</v>
      </c>
      <c r="C759" s="371" t="s">
        <v>1493</v>
      </c>
      <c r="D759" s="371" t="s">
        <v>1500</v>
      </c>
      <c r="E759" s="373">
        <v>9.69</v>
      </c>
      <c r="G759" s="371">
        <v>929.0</v>
      </c>
      <c r="H759" s="371">
        <v>24.0</v>
      </c>
      <c r="I759" s="371"/>
      <c r="K759" s="374"/>
      <c r="L759" s="269" t="str">
        <f t="shared" si="1"/>
        <v>V</v>
      </c>
    </row>
    <row r="760" ht="15.75" customHeight="1">
      <c r="A760" s="370">
        <v>46057.0</v>
      </c>
      <c r="B760" s="371" t="s">
        <v>1490</v>
      </c>
      <c r="C760" s="371" t="s">
        <v>1504</v>
      </c>
      <c r="D760" s="371" t="s">
        <v>1494</v>
      </c>
      <c r="E760" s="373">
        <v>0.04</v>
      </c>
      <c r="G760" s="371">
        <v>1.0</v>
      </c>
      <c r="H760" s="371">
        <v>0.0</v>
      </c>
      <c r="I760" s="371"/>
      <c r="K760" s="374"/>
      <c r="L760" s="269" t="str">
        <f t="shared" si="1"/>
        <v>V</v>
      </c>
    </row>
    <row r="761" ht="15.75" customHeight="1">
      <c r="A761" s="370">
        <v>46057.0</v>
      </c>
      <c r="B761" s="371" t="s">
        <v>1490</v>
      </c>
      <c r="C761" s="371" t="s">
        <v>1503</v>
      </c>
      <c r="D761" s="371" t="s">
        <v>1494</v>
      </c>
      <c r="E761" s="373">
        <v>1.29</v>
      </c>
      <c r="G761" s="371">
        <v>135.0</v>
      </c>
      <c r="H761" s="371">
        <v>4.0</v>
      </c>
      <c r="I761" s="371"/>
      <c r="K761" s="374"/>
      <c r="L761" s="269" t="str">
        <f t="shared" si="1"/>
        <v>V</v>
      </c>
    </row>
    <row r="762" ht="15.75" customHeight="1">
      <c r="A762" s="370">
        <v>46057.0</v>
      </c>
      <c r="B762" s="371" t="s">
        <v>1495</v>
      </c>
      <c r="C762" s="371" t="s">
        <v>1496</v>
      </c>
      <c r="D762" s="371" t="s">
        <v>1497</v>
      </c>
      <c r="E762" s="373">
        <v>7.53</v>
      </c>
      <c r="G762" s="371">
        <v>3507.0</v>
      </c>
      <c r="H762" s="371">
        <v>44.0</v>
      </c>
      <c r="I762" s="371"/>
      <c r="K762" s="374"/>
      <c r="L762" s="269" t="str">
        <f t="shared" si="1"/>
        <v>AD</v>
      </c>
    </row>
    <row r="763" ht="15.75" customHeight="1">
      <c r="A763" s="370">
        <v>46056.0</v>
      </c>
      <c r="B763" s="371" t="s">
        <v>1490</v>
      </c>
      <c r="C763" s="371" t="s">
        <v>1493</v>
      </c>
      <c r="D763" s="371" t="s">
        <v>1494</v>
      </c>
      <c r="E763" s="373">
        <v>4.95</v>
      </c>
      <c r="G763" s="371">
        <v>515.0</v>
      </c>
      <c r="H763" s="371">
        <v>14.0</v>
      </c>
      <c r="I763" s="371"/>
      <c r="K763" s="374">
        <v>2.0</v>
      </c>
      <c r="L763" s="269" t="str">
        <f t="shared" si="1"/>
        <v>V</v>
      </c>
    </row>
    <row r="764" ht="15.75" customHeight="1">
      <c r="A764" s="370">
        <v>46056.0</v>
      </c>
      <c r="B764" s="371" t="s">
        <v>1490</v>
      </c>
      <c r="C764" s="371" t="s">
        <v>1493</v>
      </c>
      <c r="D764" s="371" t="s">
        <v>1499</v>
      </c>
      <c r="E764" s="373">
        <v>0.31</v>
      </c>
      <c r="G764" s="371">
        <v>31.0</v>
      </c>
      <c r="H764" s="371">
        <v>0.0</v>
      </c>
      <c r="I764" s="371"/>
      <c r="K764" s="374"/>
      <c r="L764" s="269" t="str">
        <f t="shared" si="1"/>
        <v>V</v>
      </c>
    </row>
    <row r="765" ht="15.75" customHeight="1">
      <c r="A765" s="370">
        <v>46056.0</v>
      </c>
      <c r="B765" s="371" t="s">
        <v>1490</v>
      </c>
      <c r="C765" s="371" t="s">
        <v>1503</v>
      </c>
      <c r="D765" s="371" t="s">
        <v>1508</v>
      </c>
      <c r="E765" s="373">
        <v>10.81</v>
      </c>
      <c r="G765" s="371">
        <v>1040.0</v>
      </c>
      <c r="H765" s="371">
        <v>40.0</v>
      </c>
      <c r="I765" s="371">
        <v>1.0</v>
      </c>
      <c r="K765" s="374">
        <v>4.0</v>
      </c>
      <c r="L765" s="269" t="str">
        <f t="shared" si="1"/>
        <v>V</v>
      </c>
    </row>
    <row r="766" ht="15.75" customHeight="1">
      <c r="A766" s="370">
        <v>46056.0</v>
      </c>
      <c r="B766" s="371" t="s">
        <v>1490</v>
      </c>
      <c r="C766" s="371" t="s">
        <v>1503</v>
      </c>
      <c r="D766" s="371" t="s">
        <v>1507</v>
      </c>
      <c r="E766" s="373">
        <v>3.63</v>
      </c>
      <c r="G766" s="371">
        <v>210.0</v>
      </c>
      <c r="H766" s="371">
        <v>5.0</v>
      </c>
      <c r="I766" s="371"/>
      <c r="K766" s="374"/>
      <c r="L766" s="269" t="str">
        <f t="shared" si="1"/>
        <v>V</v>
      </c>
    </row>
    <row r="767" ht="15.75" customHeight="1">
      <c r="A767" s="370">
        <v>46056.0</v>
      </c>
      <c r="B767" s="371" t="s">
        <v>1490</v>
      </c>
      <c r="C767" s="371" t="s">
        <v>1504</v>
      </c>
      <c r="D767" s="371" t="s">
        <v>1508</v>
      </c>
      <c r="E767" s="373">
        <v>1.11</v>
      </c>
      <c r="G767" s="371">
        <v>81.0</v>
      </c>
      <c r="H767" s="371">
        <v>2.0</v>
      </c>
      <c r="I767" s="371"/>
      <c r="K767" s="374"/>
      <c r="L767" s="269" t="str">
        <f t="shared" si="1"/>
        <v>V</v>
      </c>
    </row>
    <row r="768" ht="15.75" customHeight="1">
      <c r="A768" s="370">
        <v>46056.0</v>
      </c>
      <c r="B768" s="371" t="s">
        <v>1490</v>
      </c>
      <c r="C768" s="371" t="s">
        <v>1504</v>
      </c>
      <c r="D768" s="371" t="s">
        <v>1507</v>
      </c>
      <c r="E768" s="373">
        <v>18.0</v>
      </c>
      <c r="G768" s="371">
        <v>1185.0</v>
      </c>
      <c r="H768" s="371">
        <v>49.0</v>
      </c>
      <c r="I768" s="371">
        <v>2.0</v>
      </c>
      <c r="K768" s="374">
        <v>3.0</v>
      </c>
      <c r="L768" s="269" t="str">
        <f t="shared" si="1"/>
        <v>V</v>
      </c>
    </row>
    <row r="769" ht="15.75" customHeight="1">
      <c r="A769" s="370">
        <v>46056.0</v>
      </c>
      <c r="B769" s="371" t="s">
        <v>1490</v>
      </c>
      <c r="C769" s="371" t="s">
        <v>1493</v>
      </c>
      <c r="D769" s="371" t="s">
        <v>1500</v>
      </c>
      <c r="E769" s="373">
        <v>7.12</v>
      </c>
      <c r="G769" s="371">
        <v>690.0</v>
      </c>
      <c r="H769" s="371">
        <v>20.0</v>
      </c>
      <c r="I769" s="371"/>
      <c r="K769" s="374"/>
      <c r="L769" s="269" t="str">
        <f t="shared" si="1"/>
        <v>V</v>
      </c>
    </row>
    <row r="770" ht="15.75" customHeight="1">
      <c r="A770" s="370">
        <v>46056.0</v>
      </c>
      <c r="B770" s="371" t="s">
        <v>1490</v>
      </c>
      <c r="C770" s="371" t="s">
        <v>1493</v>
      </c>
      <c r="D770" s="371" t="s">
        <v>1501</v>
      </c>
      <c r="E770" s="373">
        <v>0.08</v>
      </c>
      <c r="G770" s="371">
        <v>14.0</v>
      </c>
      <c r="H770" s="371">
        <v>0.0</v>
      </c>
      <c r="I770" s="371"/>
      <c r="K770" s="374"/>
      <c r="L770" s="269" t="str">
        <f t="shared" si="1"/>
        <v>V</v>
      </c>
    </row>
    <row r="771" ht="15.75" customHeight="1">
      <c r="A771" s="370">
        <v>46056.0</v>
      </c>
      <c r="B771" s="371" t="s">
        <v>1490</v>
      </c>
      <c r="C771" s="371" t="s">
        <v>1504</v>
      </c>
      <c r="D771" s="371" t="s">
        <v>1494</v>
      </c>
      <c r="E771" s="373">
        <v>0.81</v>
      </c>
      <c r="G771" s="371">
        <v>95.0</v>
      </c>
      <c r="H771" s="371">
        <v>4.0</v>
      </c>
      <c r="I771" s="371"/>
      <c r="K771" s="374">
        <v>1.0</v>
      </c>
      <c r="L771" s="269" t="str">
        <f t="shared" si="1"/>
        <v>V</v>
      </c>
    </row>
    <row r="772" ht="15.75" customHeight="1">
      <c r="A772" s="370">
        <v>46056.0</v>
      </c>
      <c r="B772" s="371" t="s">
        <v>1490</v>
      </c>
      <c r="C772" s="371" t="s">
        <v>1503</v>
      </c>
      <c r="D772" s="371" t="s">
        <v>1494</v>
      </c>
      <c r="E772" s="373">
        <v>1.23</v>
      </c>
      <c r="G772" s="371">
        <v>167.0</v>
      </c>
      <c r="H772" s="371">
        <v>5.0</v>
      </c>
      <c r="I772" s="371"/>
      <c r="K772" s="374"/>
      <c r="L772" s="269" t="str">
        <f t="shared" si="1"/>
        <v>V</v>
      </c>
    </row>
    <row r="773" ht="15.75" customHeight="1">
      <c r="A773" s="370">
        <v>46056.0</v>
      </c>
      <c r="B773" s="371" t="s">
        <v>1495</v>
      </c>
      <c r="C773" s="371" t="s">
        <v>1496</v>
      </c>
      <c r="D773" s="371" t="s">
        <v>1497</v>
      </c>
      <c r="E773" s="373">
        <v>11.35</v>
      </c>
      <c r="G773" s="371">
        <v>5643.0</v>
      </c>
      <c r="H773" s="371">
        <v>53.0</v>
      </c>
      <c r="I773" s="371"/>
      <c r="K773" s="374"/>
      <c r="L773" s="269" t="str">
        <f t="shared" si="1"/>
        <v>AD</v>
      </c>
    </row>
    <row r="774" ht="15.75" customHeight="1">
      <c r="A774" s="370">
        <v>46055.0</v>
      </c>
      <c r="B774" s="371" t="s">
        <v>1490</v>
      </c>
      <c r="C774" s="371" t="s">
        <v>1493</v>
      </c>
      <c r="D774" s="371" t="s">
        <v>1494</v>
      </c>
      <c r="E774" s="373">
        <v>6.9</v>
      </c>
      <c r="G774" s="371">
        <v>682.0</v>
      </c>
      <c r="H774" s="371">
        <v>16.0</v>
      </c>
      <c r="I774" s="371"/>
      <c r="K774" s="374">
        <v>1.0</v>
      </c>
      <c r="L774" s="269" t="str">
        <f t="shared" si="1"/>
        <v>V</v>
      </c>
    </row>
    <row r="775" ht="15.75" customHeight="1">
      <c r="A775" s="370">
        <v>46055.0</v>
      </c>
      <c r="B775" s="371" t="s">
        <v>1490</v>
      </c>
      <c r="C775" s="371" t="s">
        <v>1503</v>
      </c>
      <c r="D775" s="371" t="s">
        <v>1498</v>
      </c>
      <c r="E775" s="373">
        <v>0.01</v>
      </c>
      <c r="G775" s="371">
        <v>1.0</v>
      </c>
      <c r="H775" s="371">
        <v>0.0</v>
      </c>
      <c r="K775" s="374"/>
      <c r="L775" s="269" t="str">
        <f t="shared" si="1"/>
        <v>V</v>
      </c>
    </row>
    <row r="776" ht="15.75" customHeight="1">
      <c r="A776" s="370">
        <v>46055.0</v>
      </c>
      <c r="B776" s="371" t="s">
        <v>1490</v>
      </c>
      <c r="C776" s="371" t="s">
        <v>1493</v>
      </c>
      <c r="D776" s="371" t="s">
        <v>1509</v>
      </c>
      <c r="E776" s="373">
        <v>0.0</v>
      </c>
      <c r="G776" s="371">
        <v>1.0</v>
      </c>
      <c r="H776" s="371">
        <v>0.0</v>
      </c>
      <c r="K776" s="374"/>
      <c r="L776" s="269" t="str">
        <f t="shared" si="1"/>
        <v>V</v>
      </c>
    </row>
    <row r="777" ht="15.75" customHeight="1">
      <c r="A777" s="370">
        <v>46055.0</v>
      </c>
      <c r="B777" s="371" t="s">
        <v>1490</v>
      </c>
      <c r="C777" s="371" t="s">
        <v>1504</v>
      </c>
      <c r="D777" s="371" t="s">
        <v>1506</v>
      </c>
      <c r="E777" s="373">
        <v>0.04</v>
      </c>
      <c r="G777" s="371">
        <v>6.0</v>
      </c>
      <c r="H777" s="371">
        <v>0.0</v>
      </c>
      <c r="I777" s="371"/>
      <c r="K777" s="374"/>
      <c r="L777" s="269" t="str">
        <f t="shared" si="1"/>
        <v>V</v>
      </c>
    </row>
    <row r="778" ht="15.75" customHeight="1">
      <c r="A778" s="370">
        <v>46055.0</v>
      </c>
      <c r="B778" s="371" t="s">
        <v>1490</v>
      </c>
      <c r="C778" s="371" t="s">
        <v>1493</v>
      </c>
      <c r="D778" s="371" t="s">
        <v>1499</v>
      </c>
      <c r="E778" s="373">
        <v>0.01</v>
      </c>
      <c r="G778" s="371">
        <v>1.0</v>
      </c>
      <c r="H778" s="371">
        <v>0.0</v>
      </c>
      <c r="I778" s="371"/>
      <c r="K778" s="374"/>
      <c r="L778" s="269" t="str">
        <f t="shared" si="1"/>
        <v>V</v>
      </c>
    </row>
    <row r="779" ht="15.75" customHeight="1">
      <c r="A779" s="370">
        <v>46055.0</v>
      </c>
      <c r="B779" s="371" t="s">
        <v>1490</v>
      </c>
      <c r="C779" s="371" t="s">
        <v>1503</v>
      </c>
      <c r="D779" s="371" t="s">
        <v>1508</v>
      </c>
      <c r="E779" s="373">
        <v>8.83</v>
      </c>
      <c r="G779" s="371">
        <v>894.0</v>
      </c>
      <c r="H779" s="371">
        <v>30.0</v>
      </c>
      <c r="I779" s="371"/>
      <c r="K779" s="374">
        <v>2.0</v>
      </c>
      <c r="L779" s="269" t="str">
        <f t="shared" si="1"/>
        <v>V</v>
      </c>
    </row>
    <row r="780" ht="15.75" customHeight="1">
      <c r="A780" s="370">
        <v>46055.0</v>
      </c>
      <c r="B780" s="371" t="s">
        <v>1490</v>
      </c>
      <c r="C780" s="371" t="s">
        <v>1503</v>
      </c>
      <c r="D780" s="371" t="s">
        <v>1507</v>
      </c>
      <c r="E780" s="373">
        <v>8.2</v>
      </c>
      <c r="G780" s="371">
        <v>789.0</v>
      </c>
      <c r="H780" s="371">
        <v>29.0</v>
      </c>
      <c r="I780" s="371"/>
      <c r="K780" s="374">
        <v>1.0</v>
      </c>
      <c r="L780" s="269" t="str">
        <f t="shared" si="1"/>
        <v>V</v>
      </c>
    </row>
    <row r="781" ht="15.75" customHeight="1">
      <c r="A781" s="370">
        <v>46055.0</v>
      </c>
      <c r="B781" s="371" t="s">
        <v>1490</v>
      </c>
      <c r="C781" s="371" t="s">
        <v>1504</v>
      </c>
      <c r="D781" s="371" t="s">
        <v>1508</v>
      </c>
      <c r="E781" s="373">
        <v>11.17</v>
      </c>
      <c r="G781" s="371">
        <v>952.0</v>
      </c>
      <c r="H781" s="371">
        <v>39.0</v>
      </c>
      <c r="K781" s="374">
        <v>3.0</v>
      </c>
      <c r="L781" s="269" t="str">
        <f t="shared" si="1"/>
        <v>V</v>
      </c>
    </row>
    <row r="782" ht="15.75" customHeight="1">
      <c r="A782" s="370">
        <v>46055.0</v>
      </c>
      <c r="B782" s="371" t="s">
        <v>1490</v>
      </c>
      <c r="C782" s="371" t="s">
        <v>1493</v>
      </c>
      <c r="D782" s="371" t="s">
        <v>1500</v>
      </c>
      <c r="E782" s="373">
        <v>4.48</v>
      </c>
      <c r="G782" s="371">
        <v>816.0</v>
      </c>
      <c r="H782" s="371">
        <v>16.0</v>
      </c>
      <c r="K782" s="374"/>
      <c r="L782" s="269" t="str">
        <f t="shared" si="1"/>
        <v>V</v>
      </c>
    </row>
    <row r="783" ht="15.75" customHeight="1">
      <c r="A783" s="370">
        <v>46055.0</v>
      </c>
      <c r="B783" s="371" t="s">
        <v>1490</v>
      </c>
      <c r="C783" s="371" t="s">
        <v>1493</v>
      </c>
      <c r="D783" s="371" t="s">
        <v>1501</v>
      </c>
      <c r="E783" s="373">
        <v>0.7</v>
      </c>
      <c r="G783" s="371">
        <v>119.0</v>
      </c>
      <c r="H783" s="371">
        <v>3.0</v>
      </c>
      <c r="I783" s="371"/>
      <c r="K783" s="374"/>
      <c r="L783" s="269" t="str">
        <f t="shared" si="1"/>
        <v>V</v>
      </c>
    </row>
    <row r="784" ht="15.75" customHeight="1">
      <c r="A784" s="370">
        <v>46055.0</v>
      </c>
      <c r="B784" s="371" t="s">
        <v>1490</v>
      </c>
      <c r="C784" s="371" t="s">
        <v>1504</v>
      </c>
      <c r="D784" s="371" t="s">
        <v>1494</v>
      </c>
      <c r="E784" s="373">
        <v>6.77</v>
      </c>
      <c r="G784" s="371">
        <v>559.0</v>
      </c>
      <c r="H784" s="371">
        <v>27.0</v>
      </c>
      <c r="I784" s="371"/>
      <c r="K784" s="374">
        <v>2.0</v>
      </c>
      <c r="L784" s="269" t="str">
        <f t="shared" si="1"/>
        <v>V</v>
      </c>
    </row>
    <row r="785" ht="15.75" customHeight="1">
      <c r="A785" s="370">
        <v>46055.0</v>
      </c>
      <c r="B785" s="371" t="s">
        <v>1490</v>
      </c>
      <c r="C785" s="371" t="s">
        <v>1503</v>
      </c>
      <c r="D785" s="371" t="s">
        <v>1494</v>
      </c>
      <c r="E785" s="373">
        <v>0.38</v>
      </c>
      <c r="G785" s="371">
        <v>65.0</v>
      </c>
      <c r="H785" s="371">
        <v>2.0</v>
      </c>
      <c r="I785" s="371"/>
      <c r="K785" s="374"/>
      <c r="L785" s="269" t="str">
        <f t="shared" si="1"/>
        <v>V</v>
      </c>
    </row>
    <row r="786" ht="15.75" customHeight="1">
      <c r="A786" s="370">
        <v>46055.0</v>
      </c>
      <c r="B786" s="371" t="s">
        <v>1495</v>
      </c>
      <c r="C786" s="371" t="s">
        <v>1496</v>
      </c>
      <c r="D786" s="371" t="s">
        <v>1497</v>
      </c>
      <c r="E786" s="373">
        <v>10.89</v>
      </c>
      <c r="G786" s="371">
        <v>5940.0</v>
      </c>
      <c r="H786" s="371">
        <v>42.0</v>
      </c>
      <c r="K786" s="374"/>
      <c r="L786" s="269" t="str">
        <f t="shared" si="1"/>
        <v>AD</v>
      </c>
    </row>
    <row r="787" ht="15.75" customHeight="1">
      <c r="A787" s="370">
        <v>46054.0</v>
      </c>
      <c r="B787" s="371" t="s">
        <v>1490</v>
      </c>
      <c r="C787" s="371" t="s">
        <v>1493</v>
      </c>
      <c r="D787" s="371" t="s">
        <v>1494</v>
      </c>
      <c r="E787" s="373">
        <v>8.02</v>
      </c>
      <c r="G787" s="371">
        <v>918.0</v>
      </c>
      <c r="H787" s="371">
        <v>33.0</v>
      </c>
      <c r="I787" s="371"/>
      <c r="K787" s="374">
        <v>1.0</v>
      </c>
      <c r="L787" s="269" t="str">
        <f t="shared" si="1"/>
        <v>V</v>
      </c>
    </row>
    <row r="788" ht="15.75" customHeight="1">
      <c r="A788" s="370">
        <v>46054.0</v>
      </c>
      <c r="B788" s="371" t="s">
        <v>1490</v>
      </c>
      <c r="C788" s="371" t="s">
        <v>1504</v>
      </c>
      <c r="D788" s="371" t="s">
        <v>1498</v>
      </c>
      <c r="E788" s="373">
        <v>0.26</v>
      </c>
      <c r="G788" s="371">
        <v>24.0</v>
      </c>
      <c r="H788" s="371">
        <v>0.0</v>
      </c>
      <c r="I788" s="371"/>
      <c r="K788" s="374"/>
      <c r="L788" s="269" t="str">
        <f t="shared" si="1"/>
        <v>V</v>
      </c>
    </row>
    <row r="789" ht="15.75" customHeight="1">
      <c r="A789" s="370">
        <v>46054.0</v>
      </c>
      <c r="B789" s="371" t="s">
        <v>1490</v>
      </c>
      <c r="C789" s="371" t="s">
        <v>1503</v>
      </c>
      <c r="D789" s="371" t="s">
        <v>1509</v>
      </c>
      <c r="E789" s="373">
        <v>0.14</v>
      </c>
      <c r="G789" s="371">
        <v>9.0</v>
      </c>
      <c r="H789" s="371">
        <v>1.0</v>
      </c>
      <c r="I789" s="371"/>
      <c r="K789" s="374"/>
      <c r="L789" s="269" t="str">
        <f t="shared" si="1"/>
        <v>V</v>
      </c>
    </row>
    <row r="790" ht="15.75" customHeight="1">
      <c r="A790" s="370">
        <v>46054.0</v>
      </c>
      <c r="B790" s="371" t="s">
        <v>1490</v>
      </c>
      <c r="C790" s="371" t="s">
        <v>1493</v>
      </c>
      <c r="D790" s="371" t="s">
        <v>1509</v>
      </c>
      <c r="E790" s="373">
        <v>3.52</v>
      </c>
      <c r="G790" s="371">
        <v>303.0</v>
      </c>
      <c r="H790" s="371">
        <v>3.0</v>
      </c>
      <c r="I790" s="371"/>
      <c r="K790" s="374"/>
      <c r="L790" s="269" t="str">
        <f t="shared" si="1"/>
        <v>V</v>
      </c>
    </row>
    <row r="791" ht="15.75" customHeight="1">
      <c r="A791" s="370">
        <v>46054.0</v>
      </c>
      <c r="B791" s="371" t="s">
        <v>1490</v>
      </c>
      <c r="C791" s="371" t="s">
        <v>1503</v>
      </c>
      <c r="D791" s="371" t="s">
        <v>1508</v>
      </c>
      <c r="E791" s="373">
        <v>12.5</v>
      </c>
      <c r="G791" s="371">
        <v>1346.0</v>
      </c>
      <c r="H791" s="371">
        <v>44.0</v>
      </c>
      <c r="I791" s="371"/>
      <c r="K791" s="374">
        <v>2.0</v>
      </c>
      <c r="L791" s="269" t="str">
        <f t="shared" si="1"/>
        <v>V</v>
      </c>
    </row>
    <row r="792" ht="15.75" customHeight="1">
      <c r="A792" s="370">
        <v>46054.0</v>
      </c>
      <c r="B792" s="371" t="s">
        <v>1490</v>
      </c>
      <c r="C792" s="371" t="s">
        <v>1504</v>
      </c>
      <c r="D792" s="371" t="s">
        <v>1508</v>
      </c>
      <c r="E792" s="373">
        <v>13.93</v>
      </c>
      <c r="G792" s="371">
        <v>1247.0</v>
      </c>
      <c r="H792" s="371">
        <v>45.0</v>
      </c>
      <c r="I792" s="371"/>
      <c r="K792" s="374">
        <v>1.0</v>
      </c>
      <c r="L792" s="269" t="str">
        <f t="shared" si="1"/>
        <v>V</v>
      </c>
    </row>
    <row r="793" ht="15.75" customHeight="1">
      <c r="A793" s="370">
        <v>46054.0</v>
      </c>
      <c r="B793" s="371" t="s">
        <v>1490</v>
      </c>
      <c r="C793" s="371" t="s">
        <v>1493</v>
      </c>
      <c r="D793" s="371" t="s">
        <v>1500</v>
      </c>
      <c r="E793" s="373">
        <v>3.26</v>
      </c>
      <c r="G793" s="371">
        <v>594.0</v>
      </c>
      <c r="H793" s="371">
        <v>11.0</v>
      </c>
      <c r="I793" s="371"/>
      <c r="K793" s="374"/>
      <c r="L793" s="269" t="str">
        <f t="shared" si="1"/>
        <v>V</v>
      </c>
    </row>
    <row r="794" ht="15.75" customHeight="1">
      <c r="A794" s="370">
        <v>46054.0</v>
      </c>
      <c r="B794" s="371" t="s">
        <v>1490</v>
      </c>
      <c r="C794" s="371" t="s">
        <v>1493</v>
      </c>
      <c r="D794" s="371" t="s">
        <v>1501</v>
      </c>
      <c r="E794" s="373">
        <v>0.84</v>
      </c>
      <c r="G794" s="371">
        <v>107.0</v>
      </c>
      <c r="H794" s="371">
        <v>0.0</v>
      </c>
      <c r="I794" s="371"/>
      <c r="K794" s="374"/>
      <c r="L794" s="269" t="str">
        <f t="shared" si="1"/>
        <v>V</v>
      </c>
    </row>
    <row r="795" ht="15.75" customHeight="1">
      <c r="A795" s="370">
        <v>46054.0</v>
      </c>
      <c r="B795" s="371" t="s">
        <v>1490</v>
      </c>
      <c r="C795" s="371" t="s">
        <v>1504</v>
      </c>
      <c r="D795" s="371" t="s">
        <v>1494</v>
      </c>
      <c r="E795" s="373">
        <v>2.64</v>
      </c>
      <c r="G795" s="371">
        <v>276.0</v>
      </c>
      <c r="H795" s="371">
        <v>9.0</v>
      </c>
      <c r="I795" s="371"/>
      <c r="K795" s="374">
        <v>1.0</v>
      </c>
      <c r="L795" s="269" t="str">
        <f t="shared" si="1"/>
        <v>V</v>
      </c>
    </row>
    <row r="796" ht="15.75" customHeight="1">
      <c r="A796" s="370">
        <v>46054.0</v>
      </c>
      <c r="B796" s="371" t="s">
        <v>1490</v>
      </c>
      <c r="C796" s="371" t="s">
        <v>1503</v>
      </c>
      <c r="D796" s="371" t="s">
        <v>1494</v>
      </c>
      <c r="E796" s="373">
        <v>2.44</v>
      </c>
      <c r="G796" s="371">
        <v>220.0</v>
      </c>
      <c r="H796" s="371">
        <v>10.0</v>
      </c>
      <c r="I796" s="371"/>
      <c r="K796" s="374">
        <v>1.0</v>
      </c>
      <c r="L796" s="269" t="str">
        <f t="shared" si="1"/>
        <v>V</v>
      </c>
    </row>
    <row r="797" ht="15.75" customHeight="1">
      <c r="A797" s="370">
        <v>46054.0</v>
      </c>
      <c r="B797" s="371" t="s">
        <v>1495</v>
      </c>
      <c r="C797" s="371" t="s">
        <v>1496</v>
      </c>
      <c r="D797" s="371" t="s">
        <v>1497</v>
      </c>
      <c r="E797" s="373">
        <v>12.85</v>
      </c>
      <c r="G797" s="371">
        <v>6594.0</v>
      </c>
      <c r="H797" s="371">
        <v>79.0</v>
      </c>
      <c r="K797" s="374"/>
      <c r="L797" s="269" t="str">
        <f t="shared" si="1"/>
        <v>AD</v>
      </c>
    </row>
    <row r="798" ht="15.75" customHeight="1">
      <c r="A798" s="370">
        <v>46053.0</v>
      </c>
      <c r="B798" s="371" t="s">
        <v>1490</v>
      </c>
      <c r="C798" s="371" t="s">
        <v>1493</v>
      </c>
      <c r="D798" s="371" t="s">
        <v>1494</v>
      </c>
      <c r="E798" s="373">
        <v>11.05</v>
      </c>
      <c r="G798" s="371">
        <v>799.0</v>
      </c>
      <c r="H798" s="371">
        <v>19.0</v>
      </c>
      <c r="K798" s="374">
        <v>1.0</v>
      </c>
      <c r="L798" s="269" t="str">
        <f t="shared" si="1"/>
        <v>V</v>
      </c>
    </row>
    <row r="799" ht="15.75" customHeight="1">
      <c r="A799" s="370">
        <v>46053.0</v>
      </c>
      <c r="B799" s="371" t="s">
        <v>1490</v>
      </c>
      <c r="C799" s="371" t="s">
        <v>1503</v>
      </c>
      <c r="D799" s="371" t="s">
        <v>1498</v>
      </c>
      <c r="E799" s="373">
        <v>0.33</v>
      </c>
      <c r="G799" s="371">
        <v>4.0</v>
      </c>
      <c r="H799" s="371">
        <v>1.0</v>
      </c>
      <c r="I799" s="371"/>
      <c r="K799" s="374"/>
      <c r="L799" s="269" t="str">
        <f t="shared" si="1"/>
        <v>V</v>
      </c>
    </row>
    <row r="800" ht="15.75" customHeight="1">
      <c r="A800" s="370">
        <v>46053.0</v>
      </c>
      <c r="B800" s="371" t="s">
        <v>1490</v>
      </c>
      <c r="C800" s="371" t="s">
        <v>1504</v>
      </c>
      <c r="D800" s="371" t="s">
        <v>1498</v>
      </c>
      <c r="E800" s="373">
        <v>0.04</v>
      </c>
      <c r="G800" s="371">
        <v>1.0</v>
      </c>
      <c r="H800" s="371">
        <v>0.0</v>
      </c>
      <c r="I800" s="371"/>
      <c r="K800" s="374"/>
      <c r="L800" s="269" t="str">
        <f t="shared" si="1"/>
        <v>V</v>
      </c>
    </row>
    <row r="801" ht="15.75" customHeight="1">
      <c r="A801" s="370">
        <v>46053.0</v>
      </c>
      <c r="B801" s="371" t="s">
        <v>1490</v>
      </c>
      <c r="C801" s="371" t="s">
        <v>1493</v>
      </c>
      <c r="D801" s="371" t="s">
        <v>1498</v>
      </c>
      <c r="E801" s="373">
        <v>1.28</v>
      </c>
      <c r="G801" s="371">
        <v>54.0</v>
      </c>
      <c r="H801" s="371">
        <v>1.0</v>
      </c>
      <c r="I801" s="371"/>
      <c r="K801" s="374"/>
      <c r="L801" s="269" t="str">
        <f t="shared" si="1"/>
        <v>V</v>
      </c>
    </row>
    <row r="802" ht="15.75" customHeight="1">
      <c r="A802" s="370">
        <v>46053.0</v>
      </c>
      <c r="B802" s="371" t="s">
        <v>1490</v>
      </c>
      <c r="C802" s="371" t="s">
        <v>1503</v>
      </c>
      <c r="D802" s="371" t="s">
        <v>1509</v>
      </c>
      <c r="E802" s="373">
        <v>0.26</v>
      </c>
      <c r="G802" s="371">
        <v>8.0</v>
      </c>
      <c r="H802" s="371">
        <v>0.0</v>
      </c>
      <c r="I802" s="371"/>
      <c r="K802" s="374"/>
      <c r="L802" s="269" t="str">
        <f t="shared" si="1"/>
        <v>V</v>
      </c>
    </row>
    <row r="803" ht="15.75" customHeight="1">
      <c r="A803" s="370">
        <v>46053.0</v>
      </c>
      <c r="B803" s="371" t="s">
        <v>1490</v>
      </c>
      <c r="C803" s="371" t="s">
        <v>1503</v>
      </c>
      <c r="D803" s="371" t="s">
        <v>1505</v>
      </c>
      <c r="E803" s="373">
        <v>0.01</v>
      </c>
      <c r="G803" s="371">
        <v>1.0</v>
      </c>
      <c r="H803" s="371">
        <v>0.0</v>
      </c>
      <c r="K803" s="374"/>
      <c r="L803" s="269" t="str">
        <f t="shared" si="1"/>
        <v>V-video</v>
      </c>
    </row>
    <row r="804" ht="15.75" customHeight="1">
      <c r="A804" s="370">
        <v>46053.0</v>
      </c>
      <c r="B804" s="371" t="s">
        <v>1490</v>
      </c>
      <c r="C804" s="371" t="s">
        <v>1504</v>
      </c>
      <c r="D804" s="371" t="s">
        <v>1506</v>
      </c>
      <c r="E804" s="373">
        <v>0.05</v>
      </c>
      <c r="G804" s="371">
        <v>5.0</v>
      </c>
      <c r="H804" s="371">
        <v>0.0</v>
      </c>
      <c r="K804" s="374"/>
      <c r="L804" s="269" t="str">
        <f t="shared" si="1"/>
        <v>V</v>
      </c>
    </row>
    <row r="805" ht="15.75" customHeight="1">
      <c r="A805" s="370">
        <v>46053.0</v>
      </c>
      <c r="B805" s="371" t="s">
        <v>1490</v>
      </c>
      <c r="C805" s="371" t="s">
        <v>1493</v>
      </c>
      <c r="D805" s="371" t="s">
        <v>1499</v>
      </c>
      <c r="E805" s="373">
        <v>0.09</v>
      </c>
      <c r="G805" s="371">
        <v>6.0</v>
      </c>
      <c r="H805" s="371">
        <v>1.0</v>
      </c>
      <c r="I805" s="371"/>
      <c r="K805" s="374"/>
      <c r="L805" s="269" t="str">
        <f t="shared" si="1"/>
        <v>V</v>
      </c>
    </row>
    <row r="806" ht="15.75" customHeight="1">
      <c r="A806" s="370">
        <v>46053.0</v>
      </c>
      <c r="B806" s="371" t="s">
        <v>1490</v>
      </c>
      <c r="C806" s="371" t="s">
        <v>1503</v>
      </c>
      <c r="D806" s="371" t="s">
        <v>1507</v>
      </c>
      <c r="E806" s="373">
        <v>1.99</v>
      </c>
      <c r="G806" s="371">
        <v>243.0</v>
      </c>
      <c r="H806" s="371">
        <v>7.0</v>
      </c>
      <c r="I806" s="371"/>
      <c r="K806" s="374"/>
      <c r="L806" s="269" t="str">
        <f t="shared" si="1"/>
        <v>V</v>
      </c>
    </row>
    <row r="807" ht="15.75" customHeight="1">
      <c r="A807" s="370">
        <v>46053.0</v>
      </c>
      <c r="B807" s="371" t="s">
        <v>1490</v>
      </c>
      <c r="C807" s="371" t="s">
        <v>1504</v>
      </c>
      <c r="D807" s="371" t="s">
        <v>1508</v>
      </c>
      <c r="E807" s="373">
        <v>4.82</v>
      </c>
      <c r="G807" s="371">
        <v>187.0</v>
      </c>
      <c r="H807" s="371">
        <v>10.0</v>
      </c>
      <c r="K807" s="374">
        <v>1.0</v>
      </c>
      <c r="L807" s="269" t="str">
        <f t="shared" si="1"/>
        <v>V</v>
      </c>
    </row>
    <row r="808" ht="15.75" customHeight="1">
      <c r="A808" s="370">
        <v>46053.0</v>
      </c>
      <c r="B808" s="371" t="s">
        <v>1490</v>
      </c>
      <c r="C808" s="371" t="s">
        <v>1504</v>
      </c>
      <c r="D808" s="371" t="s">
        <v>1507</v>
      </c>
      <c r="E808" s="373">
        <v>1.86</v>
      </c>
      <c r="G808" s="371">
        <v>109.0</v>
      </c>
      <c r="H808" s="371">
        <v>3.0</v>
      </c>
      <c r="I808" s="371"/>
      <c r="K808" s="374"/>
      <c r="L808" s="269" t="str">
        <f t="shared" si="1"/>
        <v>V</v>
      </c>
    </row>
    <row r="809" ht="15.75" customHeight="1">
      <c r="A809" s="370">
        <v>46053.0</v>
      </c>
      <c r="B809" s="371" t="s">
        <v>1490</v>
      </c>
      <c r="C809" s="371" t="s">
        <v>1504</v>
      </c>
      <c r="D809" s="371" t="s">
        <v>1494</v>
      </c>
      <c r="E809" s="373">
        <v>10.25</v>
      </c>
      <c r="G809" s="371">
        <v>1000.0</v>
      </c>
      <c r="H809" s="371">
        <v>41.0</v>
      </c>
      <c r="K809" s="374">
        <v>1.0</v>
      </c>
      <c r="L809" s="269" t="str">
        <f t="shared" si="1"/>
        <v>V</v>
      </c>
    </row>
    <row r="810" ht="15.75" customHeight="1">
      <c r="A810" s="370">
        <v>46053.0</v>
      </c>
      <c r="B810" s="371" t="s">
        <v>1490</v>
      </c>
      <c r="C810" s="371" t="s">
        <v>1503</v>
      </c>
      <c r="D810" s="371" t="s">
        <v>1494</v>
      </c>
      <c r="E810" s="373">
        <v>11.29</v>
      </c>
      <c r="G810" s="371">
        <v>630.0</v>
      </c>
      <c r="H810" s="371">
        <v>23.0</v>
      </c>
      <c r="K810" s="374"/>
      <c r="L810" s="269" t="str">
        <f t="shared" si="1"/>
        <v>V</v>
      </c>
    </row>
    <row r="811" ht="15.75" customHeight="1">
      <c r="A811" s="370">
        <v>46053.0</v>
      </c>
      <c r="B811" s="371" t="s">
        <v>1495</v>
      </c>
      <c r="C811" s="371" t="s">
        <v>1496</v>
      </c>
      <c r="D811" s="371" t="s">
        <v>1497</v>
      </c>
      <c r="E811" s="373">
        <v>10.23</v>
      </c>
      <c r="G811" s="371">
        <v>4223.0</v>
      </c>
      <c r="H811" s="371">
        <v>43.0</v>
      </c>
      <c r="K811" s="374"/>
      <c r="L811" s="269" t="str">
        <f t="shared" si="1"/>
        <v>AD</v>
      </c>
    </row>
    <row r="812" ht="15.75" customHeight="1">
      <c r="A812" s="370">
        <v>46052.0</v>
      </c>
      <c r="B812" s="371" t="s">
        <v>1490</v>
      </c>
      <c r="C812" s="371" t="s">
        <v>1493</v>
      </c>
      <c r="D812" s="371" t="s">
        <v>1494</v>
      </c>
      <c r="E812" s="373">
        <v>11.12</v>
      </c>
      <c r="G812" s="371">
        <v>888.0</v>
      </c>
      <c r="H812" s="371">
        <v>28.0</v>
      </c>
      <c r="I812" s="371"/>
      <c r="K812" s="374">
        <v>1.0</v>
      </c>
      <c r="L812" s="269" t="str">
        <f t="shared" si="1"/>
        <v>V</v>
      </c>
    </row>
    <row r="813" ht="15.75" customHeight="1">
      <c r="A813" s="370">
        <v>46052.0</v>
      </c>
      <c r="B813" s="371" t="s">
        <v>1490</v>
      </c>
      <c r="C813" s="371" t="s">
        <v>1503</v>
      </c>
      <c r="D813" s="371" t="s">
        <v>1498</v>
      </c>
      <c r="E813" s="373">
        <v>0.01</v>
      </c>
      <c r="G813" s="371">
        <v>1.0</v>
      </c>
      <c r="H813" s="371">
        <v>0.0</v>
      </c>
      <c r="I813" s="371"/>
      <c r="K813" s="374"/>
      <c r="L813" s="269" t="str">
        <f t="shared" si="1"/>
        <v>V</v>
      </c>
    </row>
    <row r="814" ht="15.75" customHeight="1">
      <c r="A814" s="370">
        <v>46052.0</v>
      </c>
      <c r="B814" s="371" t="s">
        <v>1490</v>
      </c>
      <c r="C814" s="371" t="s">
        <v>1493</v>
      </c>
      <c r="D814" s="371" t="s">
        <v>1509</v>
      </c>
      <c r="E814" s="373">
        <v>1.16</v>
      </c>
      <c r="G814" s="371">
        <v>94.0</v>
      </c>
      <c r="H814" s="371">
        <v>0.0</v>
      </c>
      <c r="I814" s="371"/>
      <c r="K814" s="374"/>
      <c r="L814" s="269" t="str">
        <f t="shared" si="1"/>
        <v>V</v>
      </c>
    </row>
    <row r="815" ht="15.75" customHeight="1">
      <c r="A815" s="370">
        <v>46052.0</v>
      </c>
      <c r="B815" s="371" t="s">
        <v>1490</v>
      </c>
      <c r="C815" s="371" t="s">
        <v>1503</v>
      </c>
      <c r="D815" s="371" t="s">
        <v>1505</v>
      </c>
      <c r="E815" s="373">
        <v>0.08</v>
      </c>
      <c r="G815" s="371">
        <v>7.0</v>
      </c>
      <c r="H815" s="371">
        <v>0.0</v>
      </c>
      <c r="I815" s="371"/>
      <c r="K815" s="374"/>
      <c r="L815" s="269" t="str">
        <f t="shared" si="1"/>
        <v>V-video</v>
      </c>
    </row>
    <row r="816" ht="15.75" customHeight="1">
      <c r="A816" s="370">
        <v>46052.0</v>
      </c>
      <c r="B816" s="371" t="s">
        <v>1490</v>
      </c>
      <c r="C816" s="371" t="s">
        <v>1493</v>
      </c>
      <c r="D816" s="371" t="s">
        <v>1499</v>
      </c>
      <c r="E816" s="373">
        <v>0.0</v>
      </c>
      <c r="G816" s="371">
        <v>1.0</v>
      </c>
      <c r="H816" s="371">
        <v>0.0</v>
      </c>
      <c r="I816" s="371"/>
      <c r="K816" s="374"/>
      <c r="L816" s="269" t="str">
        <f t="shared" si="1"/>
        <v>V</v>
      </c>
    </row>
    <row r="817" ht="15.75" customHeight="1">
      <c r="A817" s="370">
        <v>46052.0</v>
      </c>
      <c r="B817" s="371" t="s">
        <v>1490</v>
      </c>
      <c r="C817" s="371" t="s">
        <v>1503</v>
      </c>
      <c r="D817" s="371" t="s">
        <v>1508</v>
      </c>
      <c r="E817" s="373">
        <v>2.5</v>
      </c>
      <c r="G817" s="371">
        <v>230.0</v>
      </c>
      <c r="H817" s="371">
        <v>9.0</v>
      </c>
      <c r="I817" s="371"/>
      <c r="K817" s="374"/>
      <c r="L817" s="269" t="str">
        <f t="shared" si="1"/>
        <v>V</v>
      </c>
    </row>
    <row r="818" ht="15.75" customHeight="1">
      <c r="A818" s="370">
        <v>46052.0</v>
      </c>
      <c r="B818" s="371" t="s">
        <v>1490</v>
      </c>
      <c r="C818" s="371" t="s">
        <v>1503</v>
      </c>
      <c r="D818" s="371" t="s">
        <v>1507</v>
      </c>
      <c r="E818" s="373">
        <v>0.41</v>
      </c>
      <c r="G818" s="371">
        <v>27.0</v>
      </c>
      <c r="H818" s="371">
        <v>2.0</v>
      </c>
      <c r="I818" s="371"/>
      <c r="K818" s="374">
        <v>1.0</v>
      </c>
      <c r="L818" s="269" t="str">
        <f t="shared" si="1"/>
        <v>V</v>
      </c>
    </row>
    <row r="819" ht="15.75" customHeight="1">
      <c r="A819" s="370">
        <v>46052.0</v>
      </c>
      <c r="B819" s="371" t="s">
        <v>1490</v>
      </c>
      <c r="C819" s="371" t="s">
        <v>1504</v>
      </c>
      <c r="D819" s="371" t="s">
        <v>1507</v>
      </c>
      <c r="E819" s="373">
        <v>4.04</v>
      </c>
      <c r="G819" s="371">
        <v>242.0</v>
      </c>
      <c r="H819" s="371">
        <v>12.0</v>
      </c>
      <c r="I819" s="371"/>
      <c r="K819" s="374">
        <v>1.0</v>
      </c>
      <c r="L819" s="269" t="str">
        <f t="shared" si="1"/>
        <v>V</v>
      </c>
    </row>
    <row r="820" ht="15.75" customHeight="1">
      <c r="A820" s="370">
        <v>46052.0</v>
      </c>
      <c r="B820" s="371" t="s">
        <v>1490</v>
      </c>
      <c r="C820" s="371" t="s">
        <v>1504</v>
      </c>
      <c r="D820" s="371" t="s">
        <v>1494</v>
      </c>
      <c r="E820" s="373">
        <v>12.73</v>
      </c>
      <c r="G820" s="371">
        <v>1262.0</v>
      </c>
      <c r="H820" s="371">
        <v>65.0</v>
      </c>
      <c r="I820" s="371"/>
      <c r="K820" s="374">
        <v>3.0</v>
      </c>
      <c r="L820" s="269" t="str">
        <f t="shared" si="1"/>
        <v>V</v>
      </c>
    </row>
    <row r="821" ht="15.75" customHeight="1">
      <c r="A821" s="370">
        <v>46052.0</v>
      </c>
      <c r="B821" s="371" t="s">
        <v>1490</v>
      </c>
      <c r="C821" s="371" t="s">
        <v>1503</v>
      </c>
      <c r="D821" s="371" t="s">
        <v>1494</v>
      </c>
      <c r="E821" s="373">
        <v>10.43</v>
      </c>
      <c r="G821" s="371">
        <v>864.0</v>
      </c>
      <c r="H821" s="371">
        <v>25.0</v>
      </c>
      <c r="I821" s="371"/>
      <c r="K821" s="374">
        <v>1.0</v>
      </c>
      <c r="L821" s="269" t="str">
        <f t="shared" si="1"/>
        <v>V</v>
      </c>
    </row>
    <row r="822" ht="15.75" customHeight="1">
      <c r="A822" s="370">
        <v>46052.0</v>
      </c>
      <c r="B822" s="371" t="s">
        <v>1495</v>
      </c>
      <c r="C822" s="371" t="s">
        <v>1496</v>
      </c>
      <c r="D822" s="371" t="s">
        <v>1497</v>
      </c>
      <c r="E822" s="373">
        <v>12.26</v>
      </c>
      <c r="G822" s="371">
        <v>4886.0</v>
      </c>
      <c r="H822" s="371">
        <v>56.0</v>
      </c>
      <c r="I822" s="371"/>
      <c r="K822" s="374">
        <v>1.0</v>
      </c>
      <c r="L822" s="269" t="str">
        <f t="shared" si="1"/>
        <v>AD</v>
      </c>
    </row>
    <row r="823" ht="15.75" customHeight="1">
      <c r="A823" s="370">
        <v>46051.0</v>
      </c>
      <c r="B823" s="371" t="s">
        <v>1490</v>
      </c>
      <c r="C823" s="371" t="s">
        <v>1493</v>
      </c>
      <c r="D823" s="371" t="s">
        <v>1494</v>
      </c>
      <c r="E823" s="373">
        <v>9.99</v>
      </c>
      <c r="G823" s="371">
        <v>740.0</v>
      </c>
      <c r="H823" s="371">
        <v>25.0</v>
      </c>
      <c r="I823" s="371"/>
      <c r="K823" s="374">
        <v>2.0</v>
      </c>
      <c r="L823" s="269" t="str">
        <f t="shared" si="1"/>
        <v>V</v>
      </c>
    </row>
    <row r="824" ht="15.75" customHeight="1">
      <c r="A824" s="370">
        <v>46051.0</v>
      </c>
      <c r="B824" s="371" t="s">
        <v>1490</v>
      </c>
      <c r="C824" s="371" t="s">
        <v>1493</v>
      </c>
      <c r="D824" s="371" t="s">
        <v>1498</v>
      </c>
      <c r="E824" s="373">
        <v>1.84</v>
      </c>
      <c r="G824" s="371">
        <v>149.0</v>
      </c>
      <c r="H824" s="371">
        <v>1.0</v>
      </c>
      <c r="K824" s="374"/>
      <c r="L824" s="269" t="str">
        <f t="shared" si="1"/>
        <v>V</v>
      </c>
    </row>
    <row r="825" ht="15.75" customHeight="1">
      <c r="A825" s="370">
        <v>46051.0</v>
      </c>
      <c r="B825" s="371" t="s">
        <v>1490</v>
      </c>
      <c r="C825" s="371" t="s">
        <v>1503</v>
      </c>
      <c r="D825" s="371" t="s">
        <v>1509</v>
      </c>
      <c r="E825" s="373">
        <v>1.36</v>
      </c>
      <c r="G825" s="371">
        <v>72.0</v>
      </c>
      <c r="H825" s="371">
        <v>2.0</v>
      </c>
      <c r="K825" s="374"/>
      <c r="L825" s="269" t="str">
        <f t="shared" si="1"/>
        <v>V</v>
      </c>
    </row>
    <row r="826" ht="15.75" customHeight="1">
      <c r="A826" s="370">
        <v>46051.0</v>
      </c>
      <c r="B826" s="371" t="s">
        <v>1490</v>
      </c>
      <c r="C826" s="371" t="s">
        <v>1503</v>
      </c>
      <c r="D826" s="371" t="s">
        <v>1508</v>
      </c>
      <c r="E826" s="373">
        <v>1.0</v>
      </c>
      <c r="G826" s="371">
        <v>113.0</v>
      </c>
      <c r="H826" s="371">
        <v>5.0</v>
      </c>
      <c r="I826" s="371"/>
      <c r="K826" s="374"/>
      <c r="L826" s="269" t="str">
        <f t="shared" si="1"/>
        <v>V</v>
      </c>
    </row>
    <row r="827" ht="15.75" customHeight="1">
      <c r="A827" s="370">
        <v>46051.0</v>
      </c>
      <c r="B827" s="371" t="s">
        <v>1490</v>
      </c>
      <c r="C827" s="371" t="s">
        <v>1504</v>
      </c>
      <c r="D827" s="371" t="s">
        <v>1507</v>
      </c>
      <c r="E827" s="373">
        <v>4.07</v>
      </c>
      <c r="G827" s="371">
        <v>191.0</v>
      </c>
      <c r="H827" s="371">
        <v>10.0</v>
      </c>
      <c r="I827" s="371"/>
      <c r="K827" s="374">
        <v>1.0</v>
      </c>
      <c r="L827" s="269" t="str">
        <f t="shared" si="1"/>
        <v>V</v>
      </c>
    </row>
    <row r="828" ht="15.75" customHeight="1">
      <c r="A828" s="370">
        <v>46051.0</v>
      </c>
      <c r="B828" s="371" t="s">
        <v>1490</v>
      </c>
      <c r="C828" s="371" t="s">
        <v>1493</v>
      </c>
      <c r="D828" s="371" t="s">
        <v>1500</v>
      </c>
      <c r="E828" s="373">
        <v>0.2</v>
      </c>
      <c r="G828" s="371">
        <v>20.0</v>
      </c>
      <c r="H828" s="371">
        <v>0.0</v>
      </c>
      <c r="I828" s="371"/>
      <c r="K828" s="374"/>
      <c r="L828" s="269" t="str">
        <f t="shared" si="1"/>
        <v>V</v>
      </c>
    </row>
    <row r="829" ht="15.75" customHeight="1">
      <c r="A829" s="370">
        <v>46051.0</v>
      </c>
      <c r="B829" s="371" t="s">
        <v>1490</v>
      </c>
      <c r="C829" s="371" t="s">
        <v>1493</v>
      </c>
      <c r="D829" s="371" t="s">
        <v>1501</v>
      </c>
      <c r="E829" s="373">
        <v>0.18</v>
      </c>
      <c r="G829" s="371">
        <v>17.0</v>
      </c>
      <c r="H829" s="371">
        <v>0.0</v>
      </c>
      <c r="K829" s="374"/>
      <c r="L829" s="269" t="str">
        <f t="shared" si="1"/>
        <v>V</v>
      </c>
    </row>
    <row r="830" ht="15.75" customHeight="1">
      <c r="A830" s="370">
        <v>46051.0</v>
      </c>
      <c r="B830" s="371" t="s">
        <v>1490</v>
      </c>
      <c r="C830" s="371" t="s">
        <v>1504</v>
      </c>
      <c r="D830" s="371" t="s">
        <v>1494</v>
      </c>
      <c r="E830" s="373">
        <v>12.51</v>
      </c>
      <c r="G830" s="371">
        <v>1237.0</v>
      </c>
      <c r="H830" s="371">
        <v>69.0</v>
      </c>
      <c r="I830" s="371"/>
      <c r="K830" s="374">
        <v>1.0</v>
      </c>
      <c r="L830" s="269" t="str">
        <f t="shared" si="1"/>
        <v>V</v>
      </c>
    </row>
    <row r="831" ht="15.75" customHeight="1">
      <c r="A831" s="370">
        <v>46051.0</v>
      </c>
      <c r="B831" s="371" t="s">
        <v>1490</v>
      </c>
      <c r="C831" s="371" t="s">
        <v>1503</v>
      </c>
      <c r="D831" s="371" t="s">
        <v>1494</v>
      </c>
      <c r="E831" s="373">
        <v>11.83</v>
      </c>
      <c r="G831" s="371">
        <v>991.0</v>
      </c>
      <c r="H831" s="371">
        <v>28.0</v>
      </c>
      <c r="I831" s="371"/>
      <c r="K831" s="374">
        <v>1.0</v>
      </c>
      <c r="L831" s="269" t="str">
        <f t="shared" si="1"/>
        <v>V</v>
      </c>
    </row>
    <row r="832" ht="15.75" customHeight="1">
      <c r="A832" s="370">
        <v>46051.0</v>
      </c>
      <c r="B832" s="371" t="s">
        <v>1495</v>
      </c>
      <c r="C832" s="371" t="s">
        <v>1496</v>
      </c>
      <c r="D832" s="371" t="s">
        <v>1497</v>
      </c>
      <c r="E832" s="373">
        <v>12.02</v>
      </c>
      <c r="G832" s="371">
        <v>4781.0</v>
      </c>
      <c r="H832" s="371">
        <v>44.0</v>
      </c>
      <c r="K832" s="374">
        <v>1.0</v>
      </c>
      <c r="L832" s="269" t="str">
        <f t="shared" si="1"/>
        <v>AD</v>
      </c>
    </row>
    <row r="833" ht="15.75" customHeight="1">
      <c r="A833" s="370">
        <v>46050.0</v>
      </c>
      <c r="B833" s="371" t="s">
        <v>1490</v>
      </c>
      <c r="C833" s="371" t="s">
        <v>1493</v>
      </c>
      <c r="D833" s="371" t="s">
        <v>1494</v>
      </c>
      <c r="E833" s="373">
        <v>12.28</v>
      </c>
      <c r="G833" s="371">
        <v>952.0</v>
      </c>
      <c r="H833" s="371">
        <v>31.0</v>
      </c>
      <c r="I833" s="371"/>
      <c r="K833" s="374">
        <v>3.0</v>
      </c>
      <c r="L833" s="269" t="str">
        <f t="shared" si="1"/>
        <v>V</v>
      </c>
    </row>
    <row r="834" ht="15.75" customHeight="1">
      <c r="A834" s="370">
        <v>46050.0</v>
      </c>
      <c r="B834" s="371" t="s">
        <v>1490</v>
      </c>
      <c r="C834" s="371" t="s">
        <v>1503</v>
      </c>
      <c r="D834" s="371" t="s">
        <v>1505</v>
      </c>
      <c r="E834" s="373">
        <v>0.09</v>
      </c>
      <c r="G834" s="371">
        <v>9.0</v>
      </c>
      <c r="H834" s="371">
        <v>0.0</v>
      </c>
      <c r="I834" s="371"/>
      <c r="K834" s="374"/>
      <c r="L834" s="269" t="str">
        <f t="shared" si="1"/>
        <v>V-video</v>
      </c>
    </row>
    <row r="835" ht="15.75" customHeight="1">
      <c r="A835" s="370">
        <v>46050.0</v>
      </c>
      <c r="B835" s="371" t="s">
        <v>1490</v>
      </c>
      <c r="C835" s="371" t="s">
        <v>1504</v>
      </c>
      <c r="D835" s="371" t="s">
        <v>1506</v>
      </c>
      <c r="E835" s="373">
        <v>0.04</v>
      </c>
      <c r="G835" s="371">
        <v>2.0</v>
      </c>
      <c r="H835" s="371">
        <v>0.0</v>
      </c>
      <c r="K835" s="374"/>
      <c r="L835" s="269" t="str">
        <f t="shared" si="1"/>
        <v>V</v>
      </c>
    </row>
    <row r="836" ht="15.75" customHeight="1">
      <c r="A836" s="370">
        <v>46050.0</v>
      </c>
      <c r="B836" s="371" t="s">
        <v>1490</v>
      </c>
      <c r="C836" s="371" t="s">
        <v>1493</v>
      </c>
      <c r="D836" s="371" t="s">
        <v>1499</v>
      </c>
      <c r="E836" s="373">
        <v>0.08</v>
      </c>
      <c r="G836" s="371">
        <v>11.0</v>
      </c>
      <c r="H836" s="371">
        <v>0.0</v>
      </c>
      <c r="K836" s="374"/>
      <c r="L836" s="269" t="str">
        <f t="shared" si="1"/>
        <v>V</v>
      </c>
    </row>
    <row r="837" ht="15.75" customHeight="1">
      <c r="A837" s="370">
        <v>46050.0</v>
      </c>
      <c r="B837" s="371" t="s">
        <v>1490</v>
      </c>
      <c r="C837" s="371" t="s">
        <v>1503</v>
      </c>
      <c r="D837" s="371" t="s">
        <v>1508</v>
      </c>
      <c r="E837" s="373">
        <v>0.16</v>
      </c>
      <c r="G837" s="371">
        <v>26.0</v>
      </c>
      <c r="H837" s="371">
        <v>2.0</v>
      </c>
      <c r="I837" s="371"/>
      <c r="K837" s="374"/>
      <c r="L837" s="269" t="str">
        <f t="shared" si="1"/>
        <v>V</v>
      </c>
    </row>
    <row r="838" ht="15.75" customHeight="1">
      <c r="A838" s="370">
        <v>46050.0</v>
      </c>
      <c r="B838" s="371" t="s">
        <v>1490</v>
      </c>
      <c r="C838" s="371" t="s">
        <v>1504</v>
      </c>
      <c r="D838" s="371" t="s">
        <v>1508</v>
      </c>
      <c r="E838" s="373">
        <v>0.4</v>
      </c>
      <c r="G838" s="371">
        <v>32.0</v>
      </c>
      <c r="H838" s="371">
        <v>0.0</v>
      </c>
      <c r="I838" s="371"/>
      <c r="K838" s="374"/>
      <c r="L838" s="269" t="str">
        <f t="shared" si="1"/>
        <v>V</v>
      </c>
    </row>
    <row r="839" ht="15.75" customHeight="1">
      <c r="A839" s="370">
        <v>46050.0</v>
      </c>
      <c r="B839" s="371" t="s">
        <v>1490</v>
      </c>
      <c r="C839" s="371" t="s">
        <v>1504</v>
      </c>
      <c r="D839" s="371" t="s">
        <v>1494</v>
      </c>
      <c r="E839" s="373">
        <v>17.16</v>
      </c>
      <c r="G839" s="371">
        <v>1436.0</v>
      </c>
      <c r="H839" s="371">
        <v>78.0</v>
      </c>
      <c r="I839" s="371"/>
      <c r="K839" s="374">
        <v>4.0</v>
      </c>
      <c r="L839" s="269" t="str">
        <f t="shared" si="1"/>
        <v>V</v>
      </c>
    </row>
    <row r="840" ht="15.75" customHeight="1">
      <c r="A840" s="370">
        <v>46050.0</v>
      </c>
      <c r="B840" s="371" t="s">
        <v>1490</v>
      </c>
      <c r="C840" s="371" t="s">
        <v>1503</v>
      </c>
      <c r="D840" s="371" t="s">
        <v>1494</v>
      </c>
      <c r="E840" s="373">
        <v>14.32</v>
      </c>
      <c r="G840" s="371">
        <v>1193.0</v>
      </c>
      <c r="H840" s="371">
        <v>53.0</v>
      </c>
      <c r="I840" s="371"/>
      <c r="K840" s="374">
        <v>6.0</v>
      </c>
      <c r="L840" s="269" t="str">
        <f t="shared" si="1"/>
        <v>V</v>
      </c>
    </row>
    <row r="841" ht="15.75" customHeight="1">
      <c r="A841" s="370">
        <v>46050.0</v>
      </c>
      <c r="B841" s="371" t="s">
        <v>1495</v>
      </c>
      <c r="C841" s="371" t="s">
        <v>1496</v>
      </c>
      <c r="D841" s="371" t="s">
        <v>1497</v>
      </c>
      <c r="E841" s="373">
        <v>12.37</v>
      </c>
      <c r="G841" s="371">
        <v>5188.0</v>
      </c>
      <c r="H841" s="371">
        <v>57.0</v>
      </c>
      <c r="I841" s="371"/>
      <c r="K841" s="374"/>
      <c r="L841" s="269" t="str">
        <f t="shared" si="1"/>
        <v>AD</v>
      </c>
    </row>
    <row r="842" ht="15.75" customHeight="1">
      <c r="A842" s="370">
        <v>46049.0</v>
      </c>
      <c r="B842" s="371" t="s">
        <v>1490</v>
      </c>
      <c r="C842" s="371" t="s">
        <v>1493</v>
      </c>
      <c r="D842" s="371" t="s">
        <v>1494</v>
      </c>
      <c r="E842" s="373">
        <v>9.16</v>
      </c>
      <c r="G842" s="371">
        <v>730.0</v>
      </c>
      <c r="H842" s="371">
        <v>17.0</v>
      </c>
      <c r="K842" s="374">
        <v>1.0</v>
      </c>
      <c r="L842" s="269" t="str">
        <f t="shared" si="1"/>
        <v>V</v>
      </c>
    </row>
    <row r="843" ht="15.75" customHeight="1">
      <c r="A843" s="370">
        <v>46049.0</v>
      </c>
      <c r="B843" s="371" t="s">
        <v>1490</v>
      </c>
      <c r="C843" s="371" t="s">
        <v>1493</v>
      </c>
      <c r="D843" s="371" t="s">
        <v>1498</v>
      </c>
      <c r="E843" s="373">
        <v>4.55</v>
      </c>
      <c r="G843" s="371">
        <v>384.0</v>
      </c>
      <c r="H843" s="371">
        <v>7.0</v>
      </c>
      <c r="I843" s="371"/>
      <c r="K843" s="374">
        <v>2.0</v>
      </c>
      <c r="L843" s="269" t="str">
        <f t="shared" si="1"/>
        <v>V</v>
      </c>
    </row>
    <row r="844" ht="15.75" customHeight="1">
      <c r="A844" s="370">
        <v>46049.0</v>
      </c>
      <c r="B844" s="371" t="s">
        <v>1490</v>
      </c>
      <c r="C844" s="371" t="s">
        <v>1503</v>
      </c>
      <c r="D844" s="371" t="s">
        <v>1505</v>
      </c>
      <c r="E844" s="373">
        <v>0.31</v>
      </c>
      <c r="G844" s="371">
        <v>12.0</v>
      </c>
      <c r="H844" s="371">
        <v>0.0</v>
      </c>
      <c r="I844" s="371"/>
      <c r="K844" s="374"/>
      <c r="L844" s="269" t="str">
        <f t="shared" si="1"/>
        <v>V-video</v>
      </c>
    </row>
    <row r="845" ht="15.75" customHeight="1">
      <c r="A845" s="370">
        <v>46049.0</v>
      </c>
      <c r="B845" s="371" t="s">
        <v>1490</v>
      </c>
      <c r="C845" s="371" t="s">
        <v>1503</v>
      </c>
      <c r="D845" s="371" t="s">
        <v>1508</v>
      </c>
      <c r="E845" s="373">
        <v>0.69</v>
      </c>
      <c r="G845" s="371">
        <v>49.0</v>
      </c>
      <c r="H845" s="371">
        <v>3.0</v>
      </c>
      <c r="I845" s="371"/>
      <c r="K845" s="374"/>
      <c r="L845" s="269" t="str">
        <f t="shared" si="1"/>
        <v>V</v>
      </c>
    </row>
    <row r="846" ht="15.75" customHeight="1">
      <c r="A846" s="370">
        <v>46049.0</v>
      </c>
      <c r="B846" s="371" t="s">
        <v>1490</v>
      </c>
      <c r="C846" s="371" t="s">
        <v>1504</v>
      </c>
      <c r="D846" s="371" t="s">
        <v>1507</v>
      </c>
      <c r="E846" s="373">
        <v>0.29</v>
      </c>
      <c r="G846" s="371">
        <v>12.0</v>
      </c>
      <c r="H846" s="371">
        <v>0.0</v>
      </c>
      <c r="K846" s="374"/>
      <c r="L846" s="269" t="str">
        <f t="shared" si="1"/>
        <v>V</v>
      </c>
    </row>
    <row r="847" ht="15.75" customHeight="1">
      <c r="A847" s="370">
        <v>46049.0</v>
      </c>
      <c r="B847" s="371" t="s">
        <v>1490</v>
      </c>
      <c r="C847" s="371" t="s">
        <v>1493</v>
      </c>
      <c r="D847" s="371" t="s">
        <v>1500</v>
      </c>
      <c r="E847" s="373">
        <v>0.71</v>
      </c>
      <c r="G847" s="371">
        <v>87.0</v>
      </c>
      <c r="H847" s="371">
        <v>1.0</v>
      </c>
      <c r="I847" s="371"/>
      <c r="K847" s="374"/>
      <c r="L847" s="269" t="str">
        <f t="shared" si="1"/>
        <v>V</v>
      </c>
    </row>
    <row r="848" ht="15.75" customHeight="1">
      <c r="A848" s="370">
        <v>46049.0</v>
      </c>
      <c r="B848" s="371" t="s">
        <v>1490</v>
      </c>
      <c r="C848" s="371" t="s">
        <v>1493</v>
      </c>
      <c r="D848" s="371" t="s">
        <v>1501</v>
      </c>
      <c r="E848" s="373">
        <v>1.29</v>
      </c>
      <c r="G848" s="371">
        <v>112.0</v>
      </c>
      <c r="H848" s="371">
        <v>1.0</v>
      </c>
      <c r="I848" s="371"/>
      <c r="K848" s="374">
        <v>1.0</v>
      </c>
      <c r="L848" s="269" t="str">
        <f t="shared" si="1"/>
        <v>V</v>
      </c>
    </row>
    <row r="849" ht="15.75" customHeight="1">
      <c r="A849" s="370">
        <v>46049.0</v>
      </c>
      <c r="B849" s="371" t="s">
        <v>1490</v>
      </c>
      <c r="C849" s="371" t="s">
        <v>1504</v>
      </c>
      <c r="D849" s="371" t="s">
        <v>1494</v>
      </c>
      <c r="E849" s="373">
        <v>17.04</v>
      </c>
      <c r="G849" s="371">
        <v>1330.0</v>
      </c>
      <c r="H849" s="371">
        <v>95.0</v>
      </c>
      <c r="I849" s="371"/>
      <c r="K849" s="374">
        <v>6.0</v>
      </c>
      <c r="L849" s="269" t="str">
        <f t="shared" si="1"/>
        <v>V</v>
      </c>
    </row>
    <row r="850" ht="15.75" customHeight="1">
      <c r="A850" s="370">
        <v>46049.0</v>
      </c>
      <c r="B850" s="371" t="s">
        <v>1490</v>
      </c>
      <c r="C850" s="371" t="s">
        <v>1503</v>
      </c>
      <c r="D850" s="371" t="s">
        <v>1494</v>
      </c>
      <c r="E850" s="373">
        <v>16.86</v>
      </c>
      <c r="G850" s="371">
        <v>1309.0</v>
      </c>
      <c r="H850" s="371">
        <v>47.0</v>
      </c>
      <c r="I850" s="371"/>
      <c r="K850" s="374"/>
      <c r="L850" s="269" t="str">
        <f t="shared" si="1"/>
        <v>V</v>
      </c>
    </row>
    <row r="851" ht="15.75" customHeight="1">
      <c r="A851" s="370">
        <v>46049.0</v>
      </c>
      <c r="B851" s="371" t="s">
        <v>1495</v>
      </c>
      <c r="C851" s="371" t="s">
        <v>1496</v>
      </c>
      <c r="D851" s="371" t="s">
        <v>1497</v>
      </c>
      <c r="E851" s="373">
        <v>11.78</v>
      </c>
      <c r="G851" s="371">
        <v>4846.0</v>
      </c>
      <c r="H851" s="371">
        <v>56.0</v>
      </c>
      <c r="I851" s="371"/>
      <c r="K851" s="374"/>
      <c r="L851" s="269" t="str">
        <f t="shared" si="1"/>
        <v>AD</v>
      </c>
    </row>
    <row r="852" ht="15.75" customHeight="1">
      <c r="A852" s="370">
        <v>46048.0</v>
      </c>
      <c r="B852" s="371" t="s">
        <v>1490</v>
      </c>
      <c r="C852" s="371" t="s">
        <v>1493</v>
      </c>
      <c r="D852" s="371" t="s">
        <v>1494</v>
      </c>
      <c r="E852" s="373">
        <v>10.39</v>
      </c>
      <c r="G852" s="371">
        <v>800.0</v>
      </c>
      <c r="H852" s="371">
        <v>28.0</v>
      </c>
      <c r="K852" s="374">
        <v>1.0</v>
      </c>
      <c r="L852" s="269" t="str">
        <f t="shared" si="1"/>
        <v>V</v>
      </c>
    </row>
    <row r="853" ht="15.75" customHeight="1">
      <c r="A853" s="370">
        <v>46048.0</v>
      </c>
      <c r="B853" s="371" t="s">
        <v>1490</v>
      </c>
      <c r="C853" s="371" t="s">
        <v>1503</v>
      </c>
      <c r="D853" s="371" t="s">
        <v>1498</v>
      </c>
      <c r="E853" s="373">
        <v>0.26</v>
      </c>
      <c r="G853" s="371">
        <v>12.0</v>
      </c>
      <c r="H853" s="371">
        <v>0.0</v>
      </c>
      <c r="I853" s="371"/>
      <c r="K853" s="374"/>
      <c r="L853" s="269" t="str">
        <f t="shared" si="1"/>
        <v>V</v>
      </c>
    </row>
    <row r="854" ht="15.75" customHeight="1">
      <c r="A854" s="370">
        <v>46048.0</v>
      </c>
      <c r="B854" s="371" t="s">
        <v>1490</v>
      </c>
      <c r="C854" s="371" t="s">
        <v>1504</v>
      </c>
      <c r="D854" s="371" t="s">
        <v>1498</v>
      </c>
      <c r="E854" s="373">
        <v>0.08</v>
      </c>
      <c r="G854" s="371">
        <v>4.0</v>
      </c>
      <c r="H854" s="371">
        <v>0.0</v>
      </c>
      <c r="I854" s="371"/>
      <c r="K854" s="374"/>
      <c r="L854" s="269" t="str">
        <f t="shared" si="1"/>
        <v>V</v>
      </c>
    </row>
    <row r="855" ht="15.75" customHeight="1">
      <c r="A855" s="370">
        <v>46048.0</v>
      </c>
      <c r="B855" s="371" t="s">
        <v>1490</v>
      </c>
      <c r="C855" s="371" t="s">
        <v>1493</v>
      </c>
      <c r="D855" s="371" t="s">
        <v>1498</v>
      </c>
      <c r="E855" s="373">
        <v>2.81</v>
      </c>
      <c r="G855" s="371">
        <v>223.0</v>
      </c>
      <c r="H855" s="371">
        <v>3.0</v>
      </c>
      <c r="I855" s="371"/>
      <c r="K855" s="374"/>
      <c r="L855" s="269" t="str">
        <f t="shared" si="1"/>
        <v>V</v>
      </c>
    </row>
    <row r="856" ht="15.75" customHeight="1">
      <c r="A856" s="370">
        <v>46048.0</v>
      </c>
      <c r="B856" s="371" t="s">
        <v>1490</v>
      </c>
      <c r="C856" s="371" t="s">
        <v>1503</v>
      </c>
      <c r="D856" s="371" t="s">
        <v>1509</v>
      </c>
      <c r="E856" s="373">
        <v>13.26</v>
      </c>
      <c r="G856" s="371">
        <v>442.0</v>
      </c>
      <c r="H856" s="371">
        <v>9.0</v>
      </c>
      <c r="I856" s="371"/>
      <c r="K856" s="374">
        <v>1.0</v>
      </c>
      <c r="L856" s="269" t="str">
        <f t="shared" si="1"/>
        <v>V</v>
      </c>
    </row>
    <row r="857" ht="15.75" customHeight="1">
      <c r="A857" s="370">
        <v>46048.0</v>
      </c>
      <c r="B857" s="371" t="s">
        <v>1490</v>
      </c>
      <c r="C857" s="371" t="s">
        <v>1503</v>
      </c>
      <c r="D857" s="371" t="s">
        <v>1505</v>
      </c>
      <c r="E857" s="373">
        <v>0.07</v>
      </c>
      <c r="G857" s="371">
        <v>4.0</v>
      </c>
      <c r="H857" s="371">
        <v>0.0</v>
      </c>
      <c r="K857" s="374"/>
      <c r="L857" s="269" t="str">
        <f t="shared" si="1"/>
        <v>V-video</v>
      </c>
    </row>
    <row r="858" ht="15.75" customHeight="1">
      <c r="A858" s="370">
        <v>46048.0</v>
      </c>
      <c r="B858" s="371" t="s">
        <v>1490</v>
      </c>
      <c r="C858" s="371" t="s">
        <v>1504</v>
      </c>
      <c r="D858" s="371" t="s">
        <v>1506</v>
      </c>
      <c r="E858" s="373">
        <v>0.0</v>
      </c>
      <c r="G858" s="371">
        <v>1.0</v>
      </c>
      <c r="H858" s="371">
        <v>0.0</v>
      </c>
      <c r="K858" s="374"/>
      <c r="L858" s="269" t="str">
        <f t="shared" si="1"/>
        <v>V</v>
      </c>
    </row>
    <row r="859" ht="15.75" customHeight="1">
      <c r="A859" s="370">
        <v>46048.0</v>
      </c>
      <c r="B859" s="371" t="s">
        <v>1490</v>
      </c>
      <c r="C859" s="371" t="s">
        <v>1493</v>
      </c>
      <c r="D859" s="371" t="s">
        <v>1499</v>
      </c>
      <c r="E859" s="373">
        <v>0.01</v>
      </c>
      <c r="G859" s="371">
        <v>1.0</v>
      </c>
      <c r="H859" s="371">
        <v>0.0</v>
      </c>
      <c r="I859" s="371"/>
      <c r="K859" s="374"/>
      <c r="L859" s="269" t="str">
        <f t="shared" si="1"/>
        <v>V</v>
      </c>
    </row>
    <row r="860" ht="15.75" customHeight="1">
      <c r="A860" s="370">
        <v>46048.0</v>
      </c>
      <c r="B860" s="371" t="s">
        <v>1490</v>
      </c>
      <c r="C860" s="371" t="s">
        <v>1503</v>
      </c>
      <c r="D860" s="371" t="s">
        <v>1508</v>
      </c>
      <c r="E860" s="373">
        <v>0.0</v>
      </c>
      <c r="G860" s="371">
        <v>0.0</v>
      </c>
      <c r="H860" s="371">
        <v>0.0</v>
      </c>
      <c r="K860" s="374"/>
      <c r="L860" s="269" t="str">
        <f t="shared" si="1"/>
        <v>V</v>
      </c>
    </row>
    <row r="861" ht="15.75" customHeight="1">
      <c r="A861" s="370">
        <v>46048.0</v>
      </c>
      <c r="B861" s="371" t="s">
        <v>1490</v>
      </c>
      <c r="C861" s="371" t="s">
        <v>1504</v>
      </c>
      <c r="D861" s="371" t="s">
        <v>1507</v>
      </c>
      <c r="E861" s="373">
        <v>15.45</v>
      </c>
      <c r="G861" s="371">
        <v>1136.0</v>
      </c>
      <c r="H861" s="371">
        <v>50.0</v>
      </c>
      <c r="I861" s="371"/>
      <c r="K861" s="374">
        <v>2.0</v>
      </c>
      <c r="L861" s="269" t="str">
        <f t="shared" si="1"/>
        <v>V</v>
      </c>
    </row>
    <row r="862" ht="15.75" customHeight="1">
      <c r="A862" s="370">
        <v>46048.0</v>
      </c>
      <c r="B862" s="371" t="s">
        <v>1490</v>
      </c>
      <c r="C862" s="371" t="s">
        <v>1504</v>
      </c>
      <c r="D862" s="371" t="s">
        <v>1494</v>
      </c>
      <c r="E862" s="373">
        <v>3.02</v>
      </c>
      <c r="G862" s="371">
        <v>316.0</v>
      </c>
      <c r="H862" s="371">
        <v>9.0</v>
      </c>
      <c r="I862" s="371"/>
      <c r="K862" s="374"/>
      <c r="L862" s="269" t="str">
        <f t="shared" si="1"/>
        <v>V</v>
      </c>
    </row>
    <row r="863" ht="15.75" customHeight="1">
      <c r="A863" s="370">
        <v>46048.0</v>
      </c>
      <c r="B863" s="371" t="s">
        <v>1490</v>
      </c>
      <c r="C863" s="371" t="s">
        <v>1503</v>
      </c>
      <c r="D863" s="371" t="s">
        <v>1494</v>
      </c>
      <c r="E863" s="373">
        <v>0.81</v>
      </c>
      <c r="G863" s="371">
        <v>75.0</v>
      </c>
      <c r="H863" s="371">
        <v>1.0</v>
      </c>
      <c r="I863" s="371"/>
      <c r="K863" s="374"/>
      <c r="L863" s="269" t="str">
        <f t="shared" si="1"/>
        <v>V</v>
      </c>
    </row>
    <row r="864" ht="15.75" customHeight="1">
      <c r="A864" s="370">
        <v>46048.0</v>
      </c>
      <c r="B864" s="371" t="s">
        <v>1495</v>
      </c>
      <c r="C864" s="371" t="s">
        <v>1496</v>
      </c>
      <c r="D864" s="371" t="s">
        <v>1497</v>
      </c>
      <c r="E864" s="373">
        <v>11.34</v>
      </c>
      <c r="G864" s="371">
        <v>4652.0</v>
      </c>
      <c r="H864" s="371">
        <v>57.0</v>
      </c>
      <c r="K864" s="374">
        <v>1.0</v>
      </c>
      <c r="L864" s="269" t="str">
        <f t="shared" si="1"/>
        <v>AD</v>
      </c>
    </row>
    <row r="865" ht="15.75" customHeight="1">
      <c r="A865" s="370">
        <v>46047.0</v>
      </c>
      <c r="B865" s="371" t="s">
        <v>1490</v>
      </c>
      <c r="C865" s="371" t="s">
        <v>1493</v>
      </c>
      <c r="D865" s="371" t="s">
        <v>1494</v>
      </c>
      <c r="E865" s="373">
        <v>10.98</v>
      </c>
      <c r="G865" s="371">
        <v>973.0</v>
      </c>
      <c r="H865" s="371">
        <v>27.0</v>
      </c>
      <c r="I865" s="371"/>
      <c r="K865" s="374">
        <v>1.0</v>
      </c>
      <c r="L865" s="269" t="str">
        <f t="shared" si="1"/>
        <v>V</v>
      </c>
    </row>
    <row r="866" ht="15.75" customHeight="1">
      <c r="A866" s="370">
        <v>46047.0</v>
      </c>
      <c r="B866" s="371" t="s">
        <v>1490</v>
      </c>
      <c r="C866" s="371" t="s">
        <v>1493</v>
      </c>
      <c r="D866" s="371" t="s">
        <v>1498</v>
      </c>
      <c r="E866" s="373">
        <v>0.27</v>
      </c>
      <c r="G866" s="371">
        <v>23.0</v>
      </c>
      <c r="H866" s="371">
        <v>1.0</v>
      </c>
      <c r="I866" s="371"/>
      <c r="K866" s="374"/>
      <c r="L866" s="269" t="str">
        <f t="shared" si="1"/>
        <v>V</v>
      </c>
    </row>
    <row r="867" ht="15.75" customHeight="1">
      <c r="A867" s="370">
        <v>46047.0</v>
      </c>
      <c r="B867" s="371" t="s">
        <v>1490</v>
      </c>
      <c r="C867" s="371" t="s">
        <v>1503</v>
      </c>
      <c r="D867" s="371" t="s">
        <v>1505</v>
      </c>
      <c r="E867" s="373">
        <v>0.81</v>
      </c>
      <c r="G867" s="371">
        <v>45.0</v>
      </c>
      <c r="H867" s="371">
        <v>0.0</v>
      </c>
      <c r="I867" s="371"/>
      <c r="K867" s="374"/>
      <c r="L867" s="269" t="str">
        <f t="shared" si="1"/>
        <v>V-video</v>
      </c>
    </row>
    <row r="868" ht="15.75" customHeight="1">
      <c r="A868" s="370">
        <v>46047.0</v>
      </c>
      <c r="B868" s="371" t="s">
        <v>1490</v>
      </c>
      <c r="C868" s="371" t="s">
        <v>1493</v>
      </c>
      <c r="D868" s="371" t="s">
        <v>1499</v>
      </c>
      <c r="E868" s="373">
        <v>0.0</v>
      </c>
      <c r="G868" s="371">
        <v>1.0</v>
      </c>
      <c r="H868" s="371">
        <v>0.0</v>
      </c>
      <c r="I868" s="371"/>
      <c r="K868" s="374"/>
      <c r="L868" s="269" t="str">
        <f t="shared" si="1"/>
        <v>V</v>
      </c>
    </row>
    <row r="869" ht="15.75" customHeight="1">
      <c r="A869" s="370">
        <v>46047.0</v>
      </c>
      <c r="B869" s="371" t="s">
        <v>1490</v>
      </c>
      <c r="C869" s="371" t="s">
        <v>1503</v>
      </c>
      <c r="D869" s="371" t="s">
        <v>1507</v>
      </c>
      <c r="E869" s="373">
        <v>7.01</v>
      </c>
      <c r="G869" s="371">
        <v>557.0</v>
      </c>
      <c r="H869" s="371">
        <v>14.0</v>
      </c>
      <c r="I869" s="371"/>
      <c r="K869" s="374"/>
      <c r="L869" s="269" t="str">
        <f t="shared" si="1"/>
        <v>V</v>
      </c>
    </row>
    <row r="870" ht="15.75" customHeight="1">
      <c r="A870" s="370">
        <v>46047.0</v>
      </c>
      <c r="B870" s="371" t="s">
        <v>1490</v>
      </c>
      <c r="C870" s="371" t="s">
        <v>1504</v>
      </c>
      <c r="D870" s="371" t="s">
        <v>1507</v>
      </c>
      <c r="E870" s="373">
        <v>19.0</v>
      </c>
      <c r="G870" s="371">
        <v>1680.0</v>
      </c>
      <c r="H870" s="371">
        <v>78.0</v>
      </c>
      <c r="K870" s="374">
        <v>4.0</v>
      </c>
      <c r="L870" s="269" t="str">
        <f t="shared" si="1"/>
        <v>V</v>
      </c>
    </row>
    <row r="871" ht="15.75" customHeight="1">
      <c r="A871" s="370">
        <v>46047.0</v>
      </c>
      <c r="B871" s="371" t="s">
        <v>1490</v>
      </c>
      <c r="C871" s="371" t="s">
        <v>1493</v>
      </c>
      <c r="D871" s="371" t="s">
        <v>1500</v>
      </c>
      <c r="E871" s="373">
        <v>0.39</v>
      </c>
      <c r="G871" s="371">
        <v>52.0</v>
      </c>
      <c r="H871" s="371">
        <v>0.0</v>
      </c>
      <c r="I871" s="371"/>
      <c r="K871" s="374"/>
      <c r="L871" s="269" t="str">
        <f t="shared" si="1"/>
        <v>V</v>
      </c>
    </row>
    <row r="872" ht="15.75" customHeight="1">
      <c r="A872" s="370">
        <v>46047.0</v>
      </c>
      <c r="B872" s="371" t="s">
        <v>1490</v>
      </c>
      <c r="C872" s="371" t="s">
        <v>1493</v>
      </c>
      <c r="D872" s="371" t="s">
        <v>1501</v>
      </c>
      <c r="E872" s="373">
        <v>0.14</v>
      </c>
      <c r="G872" s="371">
        <v>24.0</v>
      </c>
      <c r="H872" s="371">
        <v>0.0</v>
      </c>
      <c r="I872" s="371"/>
      <c r="K872" s="374"/>
      <c r="L872" s="269" t="str">
        <f t="shared" si="1"/>
        <v>V</v>
      </c>
    </row>
    <row r="873" ht="15.75" customHeight="1">
      <c r="A873" s="370">
        <v>46047.0</v>
      </c>
      <c r="B873" s="371" t="s">
        <v>1490</v>
      </c>
      <c r="C873" s="371" t="s">
        <v>1504</v>
      </c>
      <c r="D873" s="371" t="s">
        <v>1494</v>
      </c>
      <c r="E873" s="373">
        <v>0.38</v>
      </c>
      <c r="G873" s="371">
        <v>35.0</v>
      </c>
      <c r="H873" s="371">
        <v>1.0</v>
      </c>
      <c r="I873" s="371"/>
      <c r="K873" s="374"/>
      <c r="L873" s="269" t="str">
        <f t="shared" si="1"/>
        <v>V</v>
      </c>
    </row>
    <row r="874" ht="15.75" customHeight="1">
      <c r="A874" s="370">
        <v>46047.0</v>
      </c>
      <c r="B874" s="371" t="s">
        <v>1490</v>
      </c>
      <c r="C874" s="371" t="s">
        <v>1503</v>
      </c>
      <c r="D874" s="371" t="s">
        <v>1494</v>
      </c>
      <c r="E874" s="373">
        <v>5.29</v>
      </c>
      <c r="G874" s="371">
        <v>502.0</v>
      </c>
      <c r="H874" s="371">
        <v>16.0</v>
      </c>
      <c r="I874" s="371"/>
      <c r="K874" s="374">
        <v>4.0</v>
      </c>
      <c r="L874" s="269" t="str">
        <f t="shared" si="1"/>
        <v>V</v>
      </c>
    </row>
    <row r="875" ht="15.75" customHeight="1">
      <c r="A875" s="370">
        <v>46046.0</v>
      </c>
      <c r="B875" s="371" t="s">
        <v>1490</v>
      </c>
      <c r="C875" s="371" t="s">
        <v>1493</v>
      </c>
      <c r="D875" s="371" t="s">
        <v>1494</v>
      </c>
      <c r="E875" s="373">
        <v>10.34</v>
      </c>
      <c r="G875" s="371">
        <v>832.0</v>
      </c>
      <c r="H875" s="371">
        <v>26.0</v>
      </c>
      <c r="K875" s="374">
        <v>2.0</v>
      </c>
      <c r="L875" s="269" t="str">
        <f t="shared" si="1"/>
        <v>V</v>
      </c>
    </row>
    <row r="876" ht="15.75" customHeight="1">
      <c r="A876" s="370">
        <v>46046.0</v>
      </c>
      <c r="B876" s="371" t="s">
        <v>1490</v>
      </c>
      <c r="C876" s="371" t="s">
        <v>1503</v>
      </c>
      <c r="D876" s="371" t="s">
        <v>1498</v>
      </c>
      <c r="E876" s="373">
        <v>1.64</v>
      </c>
      <c r="G876" s="371">
        <v>66.0</v>
      </c>
      <c r="H876" s="371">
        <v>3.0</v>
      </c>
      <c r="K876" s="374"/>
      <c r="L876" s="269" t="str">
        <f t="shared" si="1"/>
        <v>V</v>
      </c>
    </row>
    <row r="877" ht="15.75" customHeight="1">
      <c r="A877" s="370">
        <v>46046.0</v>
      </c>
      <c r="B877" s="371" t="s">
        <v>1490</v>
      </c>
      <c r="C877" s="371" t="s">
        <v>1493</v>
      </c>
      <c r="D877" s="371" t="s">
        <v>1498</v>
      </c>
      <c r="E877" s="373">
        <v>1.09</v>
      </c>
      <c r="G877" s="371">
        <v>91.0</v>
      </c>
      <c r="H877" s="371">
        <v>2.0</v>
      </c>
      <c r="I877" s="371"/>
      <c r="K877" s="374"/>
      <c r="L877" s="269" t="str">
        <f t="shared" si="1"/>
        <v>V</v>
      </c>
    </row>
    <row r="878" ht="15.75" customHeight="1">
      <c r="A878" s="370">
        <v>46046.0</v>
      </c>
      <c r="B878" s="371" t="s">
        <v>1490</v>
      </c>
      <c r="C878" s="371" t="s">
        <v>1503</v>
      </c>
      <c r="D878" s="371" t="s">
        <v>1509</v>
      </c>
      <c r="E878" s="373">
        <v>2.69</v>
      </c>
      <c r="G878" s="371">
        <v>75.0</v>
      </c>
      <c r="H878" s="371">
        <v>0.0</v>
      </c>
      <c r="I878" s="371"/>
      <c r="K878" s="374"/>
      <c r="L878" s="269" t="str">
        <f t="shared" si="1"/>
        <v>V</v>
      </c>
    </row>
    <row r="879" ht="15.75" customHeight="1">
      <c r="A879" s="370">
        <v>46046.0</v>
      </c>
      <c r="B879" s="371" t="s">
        <v>1490</v>
      </c>
      <c r="C879" s="371" t="s">
        <v>1493</v>
      </c>
      <c r="D879" s="371" t="s">
        <v>1509</v>
      </c>
      <c r="E879" s="373">
        <v>0.05</v>
      </c>
      <c r="G879" s="371">
        <v>9.0</v>
      </c>
      <c r="H879" s="371">
        <v>0.0</v>
      </c>
      <c r="I879" s="371"/>
      <c r="K879" s="374"/>
      <c r="L879" s="269" t="str">
        <f t="shared" si="1"/>
        <v>V</v>
      </c>
    </row>
    <row r="880" ht="15.75" customHeight="1">
      <c r="A880" s="370">
        <v>46046.0</v>
      </c>
      <c r="B880" s="371" t="s">
        <v>1490</v>
      </c>
      <c r="C880" s="371" t="s">
        <v>1503</v>
      </c>
      <c r="D880" s="371" t="s">
        <v>1508</v>
      </c>
      <c r="E880" s="373">
        <v>1.21</v>
      </c>
      <c r="G880" s="371">
        <v>60.0</v>
      </c>
      <c r="H880" s="371">
        <v>3.0</v>
      </c>
      <c r="I880" s="371"/>
      <c r="K880" s="374"/>
      <c r="L880" s="269" t="str">
        <f t="shared" si="1"/>
        <v>V</v>
      </c>
    </row>
    <row r="881" ht="15.75" customHeight="1">
      <c r="A881" s="370">
        <v>46046.0</v>
      </c>
      <c r="B881" s="371" t="s">
        <v>1490</v>
      </c>
      <c r="C881" s="371" t="s">
        <v>1503</v>
      </c>
      <c r="D881" s="371" t="s">
        <v>1507</v>
      </c>
      <c r="E881" s="373">
        <v>6.01</v>
      </c>
      <c r="G881" s="371">
        <v>535.0</v>
      </c>
      <c r="H881" s="371">
        <v>13.0</v>
      </c>
      <c r="I881" s="371"/>
      <c r="K881" s="374"/>
      <c r="L881" s="269" t="str">
        <f t="shared" si="1"/>
        <v>V</v>
      </c>
    </row>
    <row r="882" ht="15.75" customHeight="1">
      <c r="A882" s="370">
        <v>46046.0</v>
      </c>
      <c r="B882" s="371" t="s">
        <v>1490</v>
      </c>
      <c r="C882" s="371" t="s">
        <v>1504</v>
      </c>
      <c r="D882" s="371" t="s">
        <v>1508</v>
      </c>
      <c r="E882" s="373">
        <v>1.35</v>
      </c>
      <c r="G882" s="371">
        <v>153.0</v>
      </c>
      <c r="H882" s="371">
        <v>6.0</v>
      </c>
      <c r="I882" s="371"/>
      <c r="K882" s="374"/>
      <c r="L882" s="269" t="str">
        <f t="shared" si="1"/>
        <v>V</v>
      </c>
    </row>
    <row r="883" ht="15.75" customHeight="1">
      <c r="A883" s="370">
        <v>46046.0</v>
      </c>
      <c r="B883" s="371" t="s">
        <v>1490</v>
      </c>
      <c r="C883" s="371" t="s">
        <v>1504</v>
      </c>
      <c r="D883" s="371" t="s">
        <v>1507</v>
      </c>
      <c r="E883" s="373">
        <v>12.41</v>
      </c>
      <c r="G883" s="371">
        <v>914.0</v>
      </c>
      <c r="H883" s="371">
        <v>32.0</v>
      </c>
      <c r="I883" s="371"/>
      <c r="K883" s="374">
        <v>2.0</v>
      </c>
      <c r="L883" s="269" t="str">
        <f t="shared" si="1"/>
        <v>V</v>
      </c>
    </row>
    <row r="884" ht="15.75" customHeight="1">
      <c r="A884" s="370">
        <v>46046.0</v>
      </c>
      <c r="B884" s="371" t="s">
        <v>1490</v>
      </c>
      <c r="C884" s="371" t="s">
        <v>1503</v>
      </c>
      <c r="D884" s="371" t="s">
        <v>1494</v>
      </c>
      <c r="E884" s="373">
        <v>0.85</v>
      </c>
      <c r="G884" s="371">
        <v>37.0</v>
      </c>
      <c r="H884" s="371">
        <v>1.0</v>
      </c>
      <c r="I884" s="371"/>
      <c r="K884" s="374"/>
      <c r="L884" s="269" t="str">
        <f t="shared" si="1"/>
        <v>V</v>
      </c>
    </row>
    <row r="885" ht="15.75" customHeight="1">
      <c r="A885" s="370">
        <v>46045.0</v>
      </c>
      <c r="B885" s="371" t="s">
        <v>1490</v>
      </c>
      <c r="C885" s="371" t="s">
        <v>1493</v>
      </c>
      <c r="D885" s="371" t="s">
        <v>1494</v>
      </c>
      <c r="E885" s="373">
        <v>12.24</v>
      </c>
      <c r="G885" s="371">
        <v>884.0</v>
      </c>
      <c r="H885" s="371">
        <v>22.0</v>
      </c>
      <c r="I885" s="371"/>
      <c r="K885" s="374">
        <v>2.0</v>
      </c>
      <c r="L885" s="269" t="str">
        <f t="shared" si="1"/>
        <v>V</v>
      </c>
    </row>
    <row r="886" ht="15.75" customHeight="1">
      <c r="A886" s="370">
        <v>46045.0</v>
      </c>
      <c r="B886" s="371" t="s">
        <v>1490</v>
      </c>
      <c r="C886" s="371" t="s">
        <v>1493</v>
      </c>
      <c r="D886" s="371" t="s">
        <v>1498</v>
      </c>
      <c r="E886" s="373">
        <v>0.0</v>
      </c>
      <c r="G886" s="371">
        <v>1.0</v>
      </c>
      <c r="H886" s="371">
        <v>0.0</v>
      </c>
      <c r="K886" s="374"/>
      <c r="L886" s="269" t="str">
        <f t="shared" si="1"/>
        <v>V</v>
      </c>
    </row>
    <row r="887" ht="15.75" customHeight="1">
      <c r="A887" s="370">
        <v>46045.0</v>
      </c>
      <c r="B887" s="371" t="s">
        <v>1490</v>
      </c>
      <c r="C887" s="371" t="s">
        <v>1503</v>
      </c>
      <c r="D887" s="371" t="s">
        <v>1505</v>
      </c>
      <c r="E887" s="373">
        <v>0.44</v>
      </c>
      <c r="G887" s="371">
        <v>20.0</v>
      </c>
      <c r="H887" s="371">
        <v>3.0</v>
      </c>
      <c r="I887" s="371"/>
      <c r="K887" s="374">
        <v>1.0</v>
      </c>
      <c r="L887" s="269" t="str">
        <f t="shared" si="1"/>
        <v>V-video</v>
      </c>
    </row>
    <row r="888" ht="15.75" customHeight="1">
      <c r="A888" s="370">
        <v>46045.0</v>
      </c>
      <c r="B888" s="371" t="s">
        <v>1490</v>
      </c>
      <c r="C888" s="371" t="s">
        <v>1493</v>
      </c>
      <c r="D888" s="371" t="s">
        <v>1499</v>
      </c>
      <c r="E888" s="373">
        <v>0.19</v>
      </c>
      <c r="G888" s="371">
        <v>10.0</v>
      </c>
      <c r="H888" s="371">
        <v>0.0</v>
      </c>
      <c r="K888" s="374"/>
      <c r="L888" s="269" t="str">
        <f t="shared" si="1"/>
        <v>V</v>
      </c>
    </row>
    <row r="889" ht="15.75" customHeight="1">
      <c r="A889" s="370">
        <v>46045.0</v>
      </c>
      <c r="B889" s="371" t="s">
        <v>1490</v>
      </c>
      <c r="C889" s="371" t="s">
        <v>1503</v>
      </c>
      <c r="D889" s="371" t="s">
        <v>1508</v>
      </c>
      <c r="E889" s="373">
        <v>0.81</v>
      </c>
      <c r="G889" s="371">
        <v>70.0</v>
      </c>
      <c r="H889" s="371">
        <v>3.0</v>
      </c>
      <c r="I889" s="371"/>
      <c r="K889" s="374">
        <v>1.0</v>
      </c>
      <c r="L889" s="269" t="str">
        <f t="shared" si="1"/>
        <v>V</v>
      </c>
    </row>
    <row r="890" ht="15.75" customHeight="1">
      <c r="A890" s="370">
        <v>46045.0</v>
      </c>
      <c r="B890" s="371" t="s">
        <v>1490</v>
      </c>
      <c r="C890" s="371" t="s">
        <v>1503</v>
      </c>
      <c r="D890" s="371" t="s">
        <v>1507</v>
      </c>
      <c r="E890" s="373">
        <v>11.97</v>
      </c>
      <c r="G890" s="371">
        <v>903.0</v>
      </c>
      <c r="H890" s="371">
        <v>25.0</v>
      </c>
      <c r="I890" s="371"/>
      <c r="K890" s="374">
        <v>1.0</v>
      </c>
      <c r="L890" s="269" t="str">
        <f t="shared" si="1"/>
        <v>V</v>
      </c>
    </row>
    <row r="891" ht="15.75" customHeight="1">
      <c r="A891" s="370">
        <v>46045.0</v>
      </c>
      <c r="B891" s="371" t="s">
        <v>1490</v>
      </c>
      <c r="C891" s="371" t="s">
        <v>1504</v>
      </c>
      <c r="D891" s="371" t="s">
        <v>1508</v>
      </c>
      <c r="E891" s="373">
        <v>1.83</v>
      </c>
      <c r="G891" s="371">
        <v>146.0</v>
      </c>
      <c r="H891" s="371">
        <v>14.0</v>
      </c>
      <c r="I891" s="371"/>
      <c r="K891" s="374">
        <v>2.0</v>
      </c>
      <c r="L891" s="269" t="str">
        <f t="shared" si="1"/>
        <v>V</v>
      </c>
    </row>
    <row r="892" ht="15.75" customHeight="1">
      <c r="A892" s="370">
        <v>46045.0</v>
      </c>
      <c r="B892" s="371" t="s">
        <v>1490</v>
      </c>
      <c r="C892" s="371" t="s">
        <v>1504</v>
      </c>
      <c r="D892" s="371" t="s">
        <v>1507</v>
      </c>
      <c r="E892" s="373">
        <v>14.27</v>
      </c>
      <c r="G892" s="371">
        <v>855.0</v>
      </c>
      <c r="H892" s="371">
        <v>42.0</v>
      </c>
      <c r="I892" s="371"/>
      <c r="K892" s="374">
        <v>4.0</v>
      </c>
      <c r="L892" s="269" t="str">
        <f t="shared" si="1"/>
        <v>V</v>
      </c>
    </row>
    <row r="893" ht="15.75" customHeight="1">
      <c r="A893" s="370">
        <v>46045.0</v>
      </c>
      <c r="B893" s="371" t="s">
        <v>1490</v>
      </c>
      <c r="C893" s="371" t="s">
        <v>1493</v>
      </c>
      <c r="D893" s="371" t="s">
        <v>1500</v>
      </c>
      <c r="E893" s="373">
        <v>0.39</v>
      </c>
      <c r="G893" s="371">
        <v>55.0</v>
      </c>
      <c r="H893" s="371">
        <v>2.0</v>
      </c>
      <c r="K893" s="374"/>
      <c r="L893" s="269" t="str">
        <f t="shared" si="1"/>
        <v>V</v>
      </c>
    </row>
    <row r="894" ht="15.75" customHeight="1">
      <c r="A894" s="370">
        <v>46045.0</v>
      </c>
      <c r="B894" s="371" t="s">
        <v>1490</v>
      </c>
      <c r="C894" s="371" t="s">
        <v>1504</v>
      </c>
      <c r="D894" s="371" t="s">
        <v>1494</v>
      </c>
      <c r="E894" s="373">
        <v>1.38</v>
      </c>
      <c r="G894" s="371">
        <v>45.0</v>
      </c>
      <c r="H894" s="371">
        <v>3.0</v>
      </c>
      <c r="I894" s="371"/>
      <c r="K894" s="374"/>
      <c r="L894" s="269" t="str">
        <f t="shared" si="1"/>
        <v>V</v>
      </c>
    </row>
    <row r="895" ht="15.75" customHeight="1">
      <c r="A895" s="370">
        <v>46045.0</v>
      </c>
      <c r="B895" s="371" t="s">
        <v>1490</v>
      </c>
      <c r="C895" s="371" t="s">
        <v>1503</v>
      </c>
      <c r="D895" s="371" t="s">
        <v>1494</v>
      </c>
      <c r="E895" s="373">
        <v>0.02</v>
      </c>
      <c r="G895" s="371">
        <v>2.0</v>
      </c>
      <c r="H895" s="371">
        <v>0.0</v>
      </c>
      <c r="I895" s="371"/>
      <c r="K895" s="374"/>
      <c r="L895" s="269" t="str">
        <f t="shared" si="1"/>
        <v>V</v>
      </c>
    </row>
    <row r="896" ht="15.75" customHeight="1">
      <c r="A896" s="370">
        <v>46044.0</v>
      </c>
      <c r="B896" s="371" t="s">
        <v>1490</v>
      </c>
      <c r="C896" s="371" t="s">
        <v>1493</v>
      </c>
      <c r="D896" s="371" t="s">
        <v>1494</v>
      </c>
      <c r="E896" s="373">
        <v>9.57</v>
      </c>
      <c r="G896" s="371">
        <v>874.0</v>
      </c>
      <c r="H896" s="371">
        <v>27.0</v>
      </c>
      <c r="I896" s="371"/>
      <c r="K896" s="374">
        <v>2.0</v>
      </c>
      <c r="L896" s="269" t="str">
        <f t="shared" si="1"/>
        <v>V</v>
      </c>
    </row>
    <row r="897" ht="15.75" customHeight="1">
      <c r="A897" s="370">
        <v>46044.0</v>
      </c>
      <c r="B897" s="371" t="s">
        <v>1490</v>
      </c>
      <c r="C897" s="371" t="s">
        <v>1503</v>
      </c>
      <c r="D897" s="371" t="s">
        <v>1498</v>
      </c>
      <c r="E897" s="373">
        <v>0.34</v>
      </c>
      <c r="G897" s="371">
        <v>9.0</v>
      </c>
      <c r="H897" s="371">
        <v>0.0</v>
      </c>
      <c r="I897" s="371"/>
      <c r="K897" s="374"/>
      <c r="L897" s="269" t="str">
        <f t="shared" si="1"/>
        <v>V</v>
      </c>
    </row>
    <row r="898" ht="15.75" customHeight="1">
      <c r="A898" s="370">
        <v>46044.0</v>
      </c>
      <c r="B898" s="371" t="s">
        <v>1490</v>
      </c>
      <c r="C898" s="371" t="s">
        <v>1504</v>
      </c>
      <c r="D898" s="371" t="s">
        <v>1498</v>
      </c>
      <c r="E898" s="373">
        <v>0.0</v>
      </c>
      <c r="G898" s="371">
        <v>3.0</v>
      </c>
      <c r="H898" s="371">
        <v>0.0</v>
      </c>
      <c r="K898" s="374"/>
      <c r="L898" s="269" t="str">
        <f t="shared" si="1"/>
        <v>V</v>
      </c>
    </row>
    <row r="899" ht="15.75" customHeight="1">
      <c r="A899" s="370">
        <v>46044.0</v>
      </c>
      <c r="B899" s="371" t="s">
        <v>1490</v>
      </c>
      <c r="C899" s="371" t="s">
        <v>1503</v>
      </c>
      <c r="D899" s="371" t="s">
        <v>1509</v>
      </c>
      <c r="E899" s="373">
        <v>0.03</v>
      </c>
      <c r="G899" s="371">
        <v>1.0</v>
      </c>
      <c r="H899" s="371">
        <v>0.0</v>
      </c>
      <c r="I899" s="371"/>
      <c r="K899" s="374"/>
      <c r="L899" s="269" t="str">
        <f t="shared" si="1"/>
        <v>V</v>
      </c>
    </row>
    <row r="900" ht="15.75" customHeight="1">
      <c r="A900" s="370">
        <v>46044.0</v>
      </c>
      <c r="B900" s="371" t="s">
        <v>1490</v>
      </c>
      <c r="C900" s="371" t="s">
        <v>1503</v>
      </c>
      <c r="D900" s="371" t="s">
        <v>1505</v>
      </c>
      <c r="E900" s="373">
        <v>0.92</v>
      </c>
      <c r="G900" s="371">
        <v>20.0</v>
      </c>
      <c r="H900" s="371">
        <v>2.0</v>
      </c>
      <c r="I900" s="371"/>
      <c r="K900" s="374">
        <v>1.0</v>
      </c>
      <c r="L900" s="269" t="str">
        <f t="shared" si="1"/>
        <v>V-video</v>
      </c>
    </row>
    <row r="901" ht="15.75" customHeight="1">
      <c r="A901" s="370">
        <v>46044.0</v>
      </c>
      <c r="B901" s="371" t="s">
        <v>1490</v>
      </c>
      <c r="C901" s="371" t="s">
        <v>1503</v>
      </c>
      <c r="D901" s="371" t="s">
        <v>1508</v>
      </c>
      <c r="E901" s="373">
        <v>1.91</v>
      </c>
      <c r="G901" s="371">
        <v>124.0</v>
      </c>
      <c r="H901" s="371">
        <v>5.0</v>
      </c>
      <c r="K901" s="374">
        <v>1.0</v>
      </c>
      <c r="L901" s="269" t="str">
        <f t="shared" si="1"/>
        <v>V</v>
      </c>
    </row>
    <row r="902" ht="15.75" customHeight="1">
      <c r="A902" s="370">
        <v>46044.0</v>
      </c>
      <c r="B902" s="371" t="s">
        <v>1490</v>
      </c>
      <c r="C902" s="371" t="s">
        <v>1503</v>
      </c>
      <c r="D902" s="371" t="s">
        <v>1507</v>
      </c>
      <c r="E902" s="373">
        <v>10.4</v>
      </c>
      <c r="G902" s="371">
        <v>770.0</v>
      </c>
      <c r="H902" s="371">
        <v>40.0</v>
      </c>
      <c r="I902" s="371"/>
      <c r="K902" s="374">
        <v>3.0</v>
      </c>
      <c r="L902" s="269" t="str">
        <f t="shared" si="1"/>
        <v>V</v>
      </c>
    </row>
    <row r="903" ht="15.75" customHeight="1">
      <c r="A903" s="370">
        <v>46044.0</v>
      </c>
      <c r="B903" s="371" t="s">
        <v>1490</v>
      </c>
      <c r="C903" s="371" t="s">
        <v>1504</v>
      </c>
      <c r="D903" s="371" t="s">
        <v>1508</v>
      </c>
      <c r="E903" s="373">
        <v>8.63</v>
      </c>
      <c r="G903" s="371">
        <v>581.0</v>
      </c>
      <c r="H903" s="371">
        <v>24.0</v>
      </c>
      <c r="I903" s="371"/>
      <c r="K903" s="374">
        <v>3.0</v>
      </c>
      <c r="L903" s="269" t="str">
        <f t="shared" si="1"/>
        <v>V</v>
      </c>
    </row>
    <row r="904" ht="15.75" customHeight="1">
      <c r="A904" s="370">
        <v>46044.0</v>
      </c>
      <c r="B904" s="371" t="s">
        <v>1490</v>
      </c>
      <c r="C904" s="371" t="s">
        <v>1504</v>
      </c>
      <c r="D904" s="371" t="s">
        <v>1507</v>
      </c>
      <c r="E904" s="373">
        <v>9.08</v>
      </c>
      <c r="G904" s="371">
        <v>555.0</v>
      </c>
      <c r="H904" s="371">
        <v>30.0</v>
      </c>
      <c r="I904" s="371"/>
      <c r="K904" s="374">
        <v>3.0</v>
      </c>
      <c r="L904" s="269" t="str">
        <f t="shared" si="1"/>
        <v>V</v>
      </c>
    </row>
    <row r="905" ht="15.75" customHeight="1">
      <c r="A905" s="370">
        <v>46044.0</v>
      </c>
      <c r="B905" s="371" t="s">
        <v>1490</v>
      </c>
      <c r="C905" s="371" t="s">
        <v>1493</v>
      </c>
      <c r="D905" s="371" t="s">
        <v>1500</v>
      </c>
      <c r="E905" s="373">
        <v>1.94</v>
      </c>
      <c r="G905" s="371">
        <v>275.0</v>
      </c>
      <c r="H905" s="371">
        <v>11.0</v>
      </c>
      <c r="I905" s="371"/>
      <c r="K905" s="374"/>
      <c r="L905" s="269" t="str">
        <f t="shared" si="1"/>
        <v>V</v>
      </c>
    </row>
    <row r="906" ht="15.75" customHeight="1">
      <c r="A906" s="370">
        <v>46044.0</v>
      </c>
      <c r="B906" s="371" t="s">
        <v>1490</v>
      </c>
      <c r="C906" s="371" t="s">
        <v>1493</v>
      </c>
      <c r="D906" s="371" t="s">
        <v>1501</v>
      </c>
      <c r="E906" s="373">
        <v>0.71</v>
      </c>
      <c r="G906" s="371">
        <v>80.0</v>
      </c>
      <c r="H906" s="371">
        <v>0.0</v>
      </c>
      <c r="I906" s="371"/>
      <c r="K906" s="374"/>
      <c r="L906" s="269" t="str">
        <f t="shared" si="1"/>
        <v>V</v>
      </c>
    </row>
    <row r="907" ht="15.75" customHeight="1">
      <c r="A907" s="370">
        <v>46044.0</v>
      </c>
      <c r="B907" s="371" t="s">
        <v>1490</v>
      </c>
      <c r="C907" s="371" t="s">
        <v>1504</v>
      </c>
      <c r="D907" s="371" t="s">
        <v>1494</v>
      </c>
      <c r="E907" s="373">
        <v>0.32</v>
      </c>
      <c r="G907" s="371">
        <v>38.0</v>
      </c>
      <c r="H907" s="371">
        <v>2.0</v>
      </c>
      <c r="I907" s="371"/>
      <c r="K907" s="374"/>
      <c r="L907" s="269" t="str">
        <f t="shared" si="1"/>
        <v>V</v>
      </c>
    </row>
    <row r="908" ht="15.75" customHeight="1">
      <c r="A908" s="370">
        <v>46043.0</v>
      </c>
      <c r="B908" s="371" t="s">
        <v>1490</v>
      </c>
      <c r="C908" s="371" t="s">
        <v>1493</v>
      </c>
      <c r="D908" s="371" t="s">
        <v>1494</v>
      </c>
      <c r="E908" s="373">
        <v>10.12</v>
      </c>
      <c r="G908" s="371">
        <v>804.0</v>
      </c>
      <c r="H908" s="371">
        <v>26.0</v>
      </c>
      <c r="K908" s="374">
        <v>1.0</v>
      </c>
      <c r="L908" s="269" t="str">
        <f t="shared" si="1"/>
        <v>V</v>
      </c>
    </row>
    <row r="909" ht="15.75" customHeight="1">
      <c r="A909" s="370">
        <v>46043.0</v>
      </c>
      <c r="B909" s="371" t="s">
        <v>1490</v>
      </c>
      <c r="C909" s="371" t="s">
        <v>1504</v>
      </c>
      <c r="D909" s="371" t="s">
        <v>1498</v>
      </c>
      <c r="E909" s="373">
        <v>0.68</v>
      </c>
      <c r="G909" s="371">
        <v>23.0</v>
      </c>
      <c r="H909" s="371">
        <v>0.0</v>
      </c>
      <c r="I909" s="371"/>
      <c r="K909" s="374">
        <v>1.0</v>
      </c>
      <c r="L909" s="269" t="str">
        <f t="shared" si="1"/>
        <v>V</v>
      </c>
    </row>
    <row r="910" ht="15.75" customHeight="1">
      <c r="A910" s="370">
        <v>46043.0</v>
      </c>
      <c r="B910" s="371" t="s">
        <v>1490</v>
      </c>
      <c r="C910" s="371" t="s">
        <v>1504</v>
      </c>
      <c r="D910" s="371" t="s">
        <v>1506</v>
      </c>
      <c r="E910" s="373">
        <v>0.07</v>
      </c>
      <c r="G910" s="371">
        <v>9.0</v>
      </c>
      <c r="H910" s="371">
        <v>0.0</v>
      </c>
      <c r="K910" s="374"/>
      <c r="L910" s="269" t="str">
        <f t="shared" si="1"/>
        <v>V</v>
      </c>
    </row>
    <row r="911" ht="15.75" customHeight="1">
      <c r="A911" s="370">
        <v>46043.0</v>
      </c>
      <c r="B911" s="371" t="s">
        <v>1490</v>
      </c>
      <c r="C911" s="371" t="s">
        <v>1493</v>
      </c>
      <c r="D911" s="371" t="s">
        <v>1499</v>
      </c>
      <c r="E911" s="373">
        <v>0.13</v>
      </c>
      <c r="G911" s="371">
        <v>13.0</v>
      </c>
      <c r="H911" s="371">
        <v>0.0</v>
      </c>
      <c r="K911" s="374"/>
      <c r="L911" s="269" t="str">
        <f t="shared" si="1"/>
        <v>V</v>
      </c>
    </row>
    <row r="912" ht="15.75" customHeight="1">
      <c r="A912" s="370">
        <v>46043.0</v>
      </c>
      <c r="B912" s="371" t="s">
        <v>1490</v>
      </c>
      <c r="C912" s="371" t="s">
        <v>1503</v>
      </c>
      <c r="D912" s="371" t="s">
        <v>1507</v>
      </c>
      <c r="E912" s="373">
        <v>17.85</v>
      </c>
      <c r="G912" s="371">
        <v>1169.0</v>
      </c>
      <c r="H912" s="371">
        <v>38.0</v>
      </c>
      <c r="I912" s="371"/>
      <c r="K912" s="374">
        <v>4.0</v>
      </c>
      <c r="L912" s="269" t="str">
        <f t="shared" si="1"/>
        <v>V</v>
      </c>
    </row>
    <row r="913" ht="15.75" customHeight="1">
      <c r="A913" s="370">
        <v>46043.0</v>
      </c>
      <c r="B913" s="371" t="s">
        <v>1490</v>
      </c>
      <c r="C913" s="371" t="s">
        <v>1504</v>
      </c>
      <c r="D913" s="371" t="s">
        <v>1508</v>
      </c>
      <c r="E913" s="373">
        <v>4.53</v>
      </c>
      <c r="G913" s="371">
        <v>162.0</v>
      </c>
      <c r="H913" s="371">
        <v>9.0</v>
      </c>
      <c r="I913" s="371"/>
      <c r="K913" s="374">
        <v>1.0</v>
      </c>
      <c r="L913" s="269" t="str">
        <f t="shared" si="1"/>
        <v>V</v>
      </c>
    </row>
    <row r="914" ht="15.75" customHeight="1">
      <c r="A914" s="370">
        <v>46043.0</v>
      </c>
      <c r="B914" s="371" t="s">
        <v>1490</v>
      </c>
      <c r="C914" s="371" t="s">
        <v>1504</v>
      </c>
      <c r="D914" s="371" t="s">
        <v>1507</v>
      </c>
      <c r="E914" s="373">
        <v>0.75</v>
      </c>
      <c r="G914" s="371">
        <v>35.0</v>
      </c>
      <c r="H914" s="371">
        <v>2.0</v>
      </c>
      <c r="K914" s="374">
        <v>1.0</v>
      </c>
      <c r="L914" s="269" t="str">
        <f t="shared" si="1"/>
        <v>V</v>
      </c>
    </row>
    <row r="915" ht="15.75" customHeight="1">
      <c r="A915" s="370">
        <v>46043.0</v>
      </c>
      <c r="B915" s="371" t="s">
        <v>1490</v>
      </c>
      <c r="C915" s="371" t="s">
        <v>1493</v>
      </c>
      <c r="D915" s="371" t="s">
        <v>1500</v>
      </c>
      <c r="E915" s="373">
        <v>2.08</v>
      </c>
      <c r="G915" s="371">
        <v>265.0</v>
      </c>
      <c r="H915" s="371">
        <v>7.0</v>
      </c>
      <c r="K915" s="374"/>
      <c r="L915" s="269" t="str">
        <f t="shared" si="1"/>
        <v>V</v>
      </c>
    </row>
    <row r="916" ht="15.75" customHeight="1">
      <c r="A916" s="370">
        <v>46043.0</v>
      </c>
      <c r="B916" s="371" t="s">
        <v>1490</v>
      </c>
      <c r="C916" s="371" t="s">
        <v>1504</v>
      </c>
      <c r="D916" s="371" t="s">
        <v>1494</v>
      </c>
      <c r="E916" s="373">
        <v>12.19</v>
      </c>
      <c r="G916" s="371">
        <v>1058.0</v>
      </c>
      <c r="H916" s="371">
        <v>41.0</v>
      </c>
      <c r="I916" s="371">
        <v>1.0</v>
      </c>
      <c r="K916" s="374">
        <v>7.0</v>
      </c>
      <c r="L916" s="269" t="str">
        <f t="shared" si="1"/>
        <v>V</v>
      </c>
    </row>
    <row r="917" ht="15.75" customHeight="1">
      <c r="A917" s="370">
        <v>46042.0</v>
      </c>
      <c r="B917" s="371" t="s">
        <v>1490</v>
      </c>
      <c r="C917" s="371" t="s">
        <v>1493</v>
      </c>
      <c r="D917" s="371" t="s">
        <v>1494</v>
      </c>
      <c r="E917" s="373">
        <v>8.23</v>
      </c>
      <c r="G917" s="371">
        <v>641.0</v>
      </c>
      <c r="H917" s="371">
        <v>16.0</v>
      </c>
      <c r="I917" s="371"/>
      <c r="K917" s="374">
        <v>2.0</v>
      </c>
      <c r="L917" s="269" t="str">
        <f t="shared" si="1"/>
        <v>V</v>
      </c>
    </row>
    <row r="918" ht="15.75" customHeight="1">
      <c r="A918" s="370">
        <v>46042.0</v>
      </c>
      <c r="B918" s="371" t="s">
        <v>1490</v>
      </c>
      <c r="C918" s="371" t="s">
        <v>1493</v>
      </c>
      <c r="D918" s="371" t="s">
        <v>1509</v>
      </c>
      <c r="E918" s="373">
        <v>0.86</v>
      </c>
      <c r="G918" s="371">
        <v>88.0</v>
      </c>
      <c r="H918" s="371">
        <v>5.0</v>
      </c>
      <c r="K918" s="374"/>
      <c r="L918" s="269" t="str">
        <f t="shared" si="1"/>
        <v>V</v>
      </c>
    </row>
    <row r="919" ht="15.75" customHeight="1">
      <c r="A919" s="370">
        <v>46042.0</v>
      </c>
      <c r="B919" s="371" t="s">
        <v>1490</v>
      </c>
      <c r="C919" s="371" t="s">
        <v>1503</v>
      </c>
      <c r="D919" s="371" t="s">
        <v>1505</v>
      </c>
      <c r="E919" s="373">
        <v>0.08</v>
      </c>
      <c r="G919" s="371">
        <v>3.0</v>
      </c>
      <c r="H919" s="371">
        <v>0.0</v>
      </c>
      <c r="I919" s="371"/>
      <c r="K919" s="374"/>
      <c r="L919" s="269" t="str">
        <f t="shared" si="1"/>
        <v>V-video</v>
      </c>
    </row>
    <row r="920" ht="15.75" customHeight="1">
      <c r="A920" s="370">
        <v>46042.0</v>
      </c>
      <c r="B920" s="371" t="s">
        <v>1490</v>
      </c>
      <c r="C920" s="371" t="s">
        <v>1504</v>
      </c>
      <c r="D920" s="371" t="s">
        <v>1506</v>
      </c>
      <c r="E920" s="373">
        <v>0.04</v>
      </c>
      <c r="G920" s="371">
        <v>4.0</v>
      </c>
      <c r="H920" s="371">
        <v>0.0</v>
      </c>
      <c r="I920" s="371"/>
      <c r="K920" s="374"/>
      <c r="L920" s="269" t="str">
        <f t="shared" si="1"/>
        <v>V</v>
      </c>
    </row>
    <row r="921" ht="15.75" customHeight="1">
      <c r="A921" s="370">
        <v>46042.0</v>
      </c>
      <c r="B921" s="371" t="s">
        <v>1490</v>
      </c>
      <c r="C921" s="371" t="s">
        <v>1493</v>
      </c>
      <c r="D921" s="371" t="s">
        <v>1499</v>
      </c>
      <c r="E921" s="373">
        <v>0.01</v>
      </c>
      <c r="G921" s="371">
        <v>1.0</v>
      </c>
      <c r="H921" s="371">
        <v>0.0</v>
      </c>
      <c r="K921" s="374"/>
      <c r="L921" s="269" t="str">
        <f t="shared" si="1"/>
        <v>V</v>
      </c>
    </row>
    <row r="922" ht="15.75" customHeight="1">
      <c r="A922" s="370">
        <v>46042.0</v>
      </c>
      <c r="B922" s="371" t="s">
        <v>1490</v>
      </c>
      <c r="C922" s="371" t="s">
        <v>1503</v>
      </c>
      <c r="D922" s="371" t="s">
        <v>1507</v>
      </c>
      <c r="E922" s="373">
        <v>16.63</v>
      </c>
      <c r="G922" s="371">
        <v>1394.0</v>
      </c>
      <c r="H922" s="371">
        <v>47.0</v>
      </c>
      <c r="I922" s="371"/>
      <c r="K922" s="374">
        <v>1.0</v>
      </c>
      <c r="L922" s="269" t="str">
        <f t="shared" si="1"/>
        <v>V</v>
      </c>
    </row>
    <row r="923" ht="15.75" customHeight="1">
      <c r="A923" s="370">
        <v>46042.0</v>
      </c>
      <c r="B923" s="371" t="s">
        <v>1490</v>
      </c>
      <c r="C923" s="371" t="s">
        <v>1504</v>
      </c>
      <c r="D923" s="371" t="s">
        <v>1507</v>
      </c>
      <c r="E923" s="373">
        <v>0.0</v>
      </c>
      <c r="G923" s="371">
        <v>0.0</v>
      </c>
      <c r="H923" s="371">
        <v>0.0</v>
      </c>
      <c r="I923" s="371">
        <v>1.0</v>
      </c>
      <c r="K923" s="374"/>
      <c r="L923" s="269" t="str">
        <f t="shared" si="1"/>
        <v>V</v>
      </c>
    </row>
    <row r="924" ht="15.75" customHeight="1">
      <c r="A924" s="370">
        <v>46042.0</v>
      </c>
      <c r="B924" s="371" t="s">
        <v>1490</v>
      </c>
      <c r="C924" s="371" t="s">
        <v>1493</v>
      </c>
      <c r="D924" s="371" t="s">
        <v>1500</v>
      </c>
      <c r="E924" s="373">
        <v>3.25</v>
      </c>
      <c r="G924" s="371">
        <v>364.0</v>
      </c>
      <c r="H924" s="371">
        <v>10.0</v>
      </c>
      <c r="K924" s="374"/>
      <c r="L924" s="269" t="str">
        <f t="shared" si="1"/>
        <v>V</v>
      </c>
    </row>
    <row r="925" ht="15.75" customHeight="1">
      <c r="A925" s="370">
        <v>46042.0</v>
      </c>
      <c r="B925" s="371" t="s">
        <v>1490</v>
      </c>
      <c r="C925" s="371" t="s">
        <v>1504</v>
      </c>
      <c r="D925" s="371" t="s">
        <v>1494</v>
      </c>
      <c r="E925" s="373">
        <v>17.06</v>
      </c>
      <c r="G925" s="371">
        <v>1567.0</v>
      </c>
      <c r="H925" s="371">
        <v>68.0</v>
      </c>
      <c r="I925" s="371"/>
      <c r="K925" s="374">
        <v>6.0</v>
      </c>
      <c r="L925" s="269" t="str">
        <f t="shared" si="1"/>
        <v>V</v>
      </c>
    </row>
    <row r="926" ht="15.75" customHeight="1">
      <c r="A926" s="370">
        <v>46042.0</v>
      </c>
      <c r="B926" s="371" t="s">
        <v>1490</v>
      </c>
      <c r="C926" s="371" t="s">
        <v>1503</v>
      </c>
      <c r="D926" s="371" t="s">
        <v>1494</v>
      </c>
      <c r="E926" s="373">
        <v>1.18</v>
      </c>
      <c r="G926" s="371">
        <v>105.0</v>
      </c>
      <c r="H926" s="371">
        <v>2.0</v>
      </c>
      <c r="K926" s="374"/>
      <c r="L926" s="269" t="str">
        <f t="shared" si="1"/>
        <v>V</v>
      </c>
    </row>
    <row r="927" ht="15.75" customHeight="1">
      <c r="A927" s="370">
        <v>46041.0</v>
      </c>
      <c r="B927" s="371" t="s">
        <v>1490</v>
      </c>
      <c r="C927" s="371" t="s">
        <v>1493</v>
      </c>
      <c r="D927" s="371" t="s">
        <v>1494</v>
      </c>
      <c r="E927" s="373">
        <v>6.16</v>
      </c>
      <c r="G927" s="371">
        <v>597.0</v>
      </c>
      <c r="H927" s="371">
        <v>20.0</v>
      </c>
      <c r="I927" s="371"/>
      <c r="K927" s="374">
        <v>3.0</v>
      </c>
      <c r="L927" s="269" t="str">
        <f t="shared" si="1"/>
        <v>V</v>
      </c>
    </row>
    <row r="928" ht="15.75" customHeight="1">
      <c r="A928" s="370">
        <v>46041.0</v>
      </c>
      <c r="B928" s="371" t="s">
        <v>1490</v>
      </c>
      <c r="C928" s="371" t="s">
        <v>1510</v>
      </c>
      <c r="D928" s="371" t="s">
        <v>1511</v>
      </c>
      <c r="E928" s="373">
        <v>3.62</v>
      </c>
      <c r="G928" s="371">
        <v>96.0</v>
      </c>
      <c r="H928" s="371">
        <v>2.0</v>
      </c>
      <c r="K928" s="374"/>
      <c r="L928" s="269" t="str">
        <f t="shared" si="1"/>
        <v>medicos</v>
      </c>
    </row>
    <row r="929" ht="15.75" customHeight="1">
      <c r="A929" s="370">
        <v>46041.0</v>
      </c>
      <c r="B929" s="371" t="s">
        <v>1490</v>
      </c>
      <c r="C929" s="371" t="s">
        <v>1493</v>
      </c>
      <c r="D929" s="371" t="s">
        <v>1498</v>
      </c>
      <c r="E929" s="373">
        <v>0.43</v>
      </c>
      <c r="G929" s="371">
        <v>61.0</v>
      </c>
      <c r="H929" s="371">
        <v>0.0</v>
      </c>
      <c r="I929" s="371"/>
      <c r="K929" s="374"/>
      <c r="L929" s="269" t="str">
        <f t="shared" si="1"/>
        <v>V</v>
      </c>
    </row>
    <row r="930" ht="15.75" customHeight="1">
      <c r="A930" s="370">
        <v>46041.0</v>
      </c>
      <c r="B930" s="371" t="s">
        <v>1490</v>
      </c>
      <c r="C930" s="371" t="s">
        <v>1503</v>
      </c>
      <c r="D930" s="371" t="s">
        <v>1509</v>
      </c>
      <c r="E930" s="373">
        <v>1.62</v>
      </c>
      <c r="G930" s="371">
        <v>73.0</v>
      </c>
      <c r="H930" s="371">
        <v>0.0</v>
      </c>
      <c r="K930" s="374"/>
      <c r="L930" s="269" t="str">
        <f t="shared" si="1"/>
        <v>V</v>
      </c>
    </row>
    <row r="931" ht="15.75" customHeight="1">
      <c r="A931" s="370">
        <v>46041.0</v>
      </c>
      <c r="B931" s="371" t="s">
        <v>1490</v>
      </c>
      <c r="C931" s="371" t="s">
        <v>1503</v>
      </c>
      <c r="D931" s="371" t="s">
        <v>1507</v>
      </c>
      <c r="E931" s="373">
        <v>14.98</v>
      </c>
      <c r="G931" s="371">
        <v>1331.0</v>
      </c>
      <c r="H931" s="371">
        <v>56.0</v>
      </c>
      <c r="K931" s="374">
        <v>4.0</v>
      </c>
      <c r="L931" s="269" t="str">
        <f t="shared" si="1"/>
        <v>V</v>
      </c>
    </row>
    <row r="932" ht="15.75" customHeight="1">
      <c r="A932" s="370">
        <v>46041.0</v>
      </c>
      <c r="B932" s="371" t="s">
        <v>1490</v>
      </c>
      <c r="C932" s="371" t="s">
        <v>1493</v>
      </c>
      <c r="D932" s="371" t="s">
        <v>1500</v>
      </c>
      <c r="E932" s="373">
        <v>5.11</v>
      </c>
      <c r="G932" s="371">
        <v>708.0</v>
      </c>
      <c r="H932" s="371">
        <v>21.0</v>
      </c>
      <c r="I932" s="371"/>
      <c r="K932" s="374">
        <v>1.0</v>
      </c>
      <c r="L932" s="269" t="str">
        <f t="shared" si="1"/>
        <v>V</v>
      </c>
    </row>
    <row r="933" ht="15.75" customHeight="1">
      <c r="A933" s="370">
        <v>46041.0</v>
      </c>
      <c r="B933" s="371" t="s">
        <v>1490</v>
      </c>
      <c r="C933" s="371" t="s">
        <v>1493</v>
      </c>
      <c r="D933" s="371" t="s">
        <v>1501</v>
      </c>
      <c r="E933" s="373">
        <v>0.03</v>
      </c>
      <c r="G933" s="371">
        <v>6.0</v>
      </c>
      <c r="H933" s="371">
        <v>0.0</v>
      </c>
      <c r="I933" s="371"/>
      <c r="K933" s="374"/>
      <c r="L933" s="269" t="str">
        <f t="shared" si="1"/>
        <v>V</v>
      </c>
    </row>
    <row r="934" ht="15.75" customHeight="1">
      <c r="A934" s="370">
        <v>46041.0</v>
      </c>
      <c r="B934" s="371" t="s">
        <v>1490</v>
      </c>
      <c r="C934" s="371" t="s">
        <v>1504</v>
      </c>
      <c r="D934" s="371" t="s">
        <v>1494</v>
      </c>
      <c r="E934" s="373">
        <v>19.36</v>
      </c>
      <c r="G934" s="371">
        <v>1583.0</v>
      </c>
      <c r="H934" s="371">
        <v>82.0</v>
      </c>
      <c r="K934" s="374">
        <v>9.0</v>
      </c>
      <c r="L934" s="269" t="str">
        <f t="shared" si="1"/>
        <v>V</v>
      </c>
    </row>
    <row r="935" ht="15.75" customHeight="1">
      <c r="A935" s="370">
        <v>46040.0</v>
      </c>
      <c r="B935" s="371" t="s">
        <v>1490</v>
      </c>
      <c r="C935" s="371" t="s">
        <v>1493</v>
      </c>
      <c r="D935" s="371" t="s">
        <v>1494</v>
      </c>
      <c r="E935" s="373">
        <v>8.22</v>
      </c>
      <c r="G935" s="371">
        <v>810.0</v>
      </c>
      <c r="H935" s="371">
        <v>19.0</v>
      </c>
      <c r="K935" s="374">
        <v>3.0</v>
      </c>
      <c r="L935" s="269" t="str">
        <f t="shared" si="1"/>
        <v>V</v>
      </c>
    </row>
    <row r="936" ht="15.75" customHeight="1">
      <c r="A936" s="370">
        <v>46040.0</v>
      </c>
      <c r="B936" s="371" t="s">
        <v>1490</v>
      </c>
      <c r="C936" s="371" t="s">
        <v>1510</v>
      </c>
      <c r="D936" s="371" t="s">
        <v>1511</v>
      </c>
      <c r="E936" s="373">
        <v>17.0</v>
      </c>
      <c r="G936" s="371">
        <v>248.0</v>
      </c>
      <c r="H936" s="371">
        <v>8.0</v>
      </c>
      <c r="K936" s="374">
        <v>2.0</v>
      </c>
      <c r="L936" s="269" t="str">
        <f t="shared" si="1"/>
        <v>medicos</v>
      </c>
    </row>
    <row r="937" ht="15.75" customHeight="1">
      <c r="A937" s="370">
        <v>46040.0</v>
      </c>
      <c r="B937" s="371" t="s">
        <v>1490</v>
      </c>
      <c r="C937" s="371" t="s">
        <v>1503</v>
      </c>
      <c r="D937" s="371" t="s">
        <v>1498</v>
      </c>
      <c r="E937" s="373">
        <v>2.57</v>
      </c>
      <c r="G937" s="371">
        <v>83.0</v>
      </c>
      <c r="H937" s="371">
        <v>2.0</v>
      </c>
      <c r="K937" s="374"/>
      <c r="L937" s="269" t="str">
        <f t="shared" si="1"/>
        <v>V</v>
      </c>
    </row>
    <row r="938" ht="15.75" customHeight="1">
      <c r="A938" s="370">
        <v>46040.0</v>
      </c>
      <c r="B938" s="371" t="s">
        <v>1490</v>
      </c>
      <c r="C938" s="371" t="s">
        <v>1493</v>
      </c>
      <c r="D938" s="371" t="s">
        <v>1498</v>
      </c>
      <c r="E938" s="373">
        <v>0.0</v>
      </c>
      <c r="G938" s="371">
        <v>1.0</v>
      </c>
      <c r="H938" s="371">
        <v>0.0</v>
      </c>
      <c r="I938" s="371"/>
      <c r="K938" s="374"/>
      <c r="L938" s="269" t="str">
        <f t="shared" si="1"/>
        <v>V</v>
      </c>
    </row>
    <row r="939" ht="15.75" customHeight="1">
      <c r="A939" s="370">
        <v>46040.0</v>
      </c>
      <c r="B939" s="371" t="s">
        <v>1490</v>
      </c>
      <c r="C939" s="371" t="s">
        <v>1503</v>
      </c>
      <c r="D939" s="371" t="s">
        <v>1509</v>
      </c>
      <c r="E939" s="373">
        <v>3.06</v>
      </c>
      <c r="G939" s="371">
        <v>113.0</v>
      </c>
      <c r="H939" s="371">
        <v>4.0</v>
      </c>
      <c r="K939" s="374"/>
      <c r="L939" s="269" t="str">
        <f t="shared" si="1"/>
        <v>V</v>
      </c>
    </row>
    <row r="940" ht="15.75" customHeight="1">
      <c r="A940" s="370">
        <v>46040.0</v>
      </c>
      <c r="B940" s="371" t="s">
        <v>1490</v>
      </c>
      <c r="C940" s="371" t="s">
        <v>1493</v>
      </c>
      <c r="D940" s="371" t="s">
        <v>1499</v>
      </c>
      <c r="E940" s="373">
        <v>0.04</v>
      </c>
      <c r="G940" s="371">
        <v>3.0</v>
      </c>
      <c r="H940" s="371">
        <v>0.0</v>
      </c>
      <c r="I940" s="371"/>
      <c r="K940" s="374"/>
      <c r="L940" s="269" t="str">
        <f t="shared" si="1"/>
        <v>V</v>
      </c>
    </row>
    <row r="941" ht="15.75" customHeight="1">
      <c r="A941" s="370">
        <v>46040.0</v>
      </c>
      <c r="B941" s="371" t="s">
        <v>1490</v>
      </c>
      <c r="C941" s="371" t="s">
        <v>1503</v>
      </c>
      <c r="D941" s="371" t="s">
        <v>1508</v>
      </c>
      <c r="E941" s="373">
        <v>0.24</v>
      </c>
      <c r="G941" s="371">
        <v>12.0</v>
      </c>
      <c r="H941" s="371">
        <v>1.0</v>
      </c>
      <c r="K941" s="374">
        <v>1.0</v>
      </c>
      <c r="L941" s="269" t="str">
        <f t="shared" si="1"/>
        <v>V</v>
      </c>
    </row>
    <row r="942" ht="15.75" customHeight="1">
      <c r="A942" s="370">
        <v>46040.0</v>
      </c>
      <c r="B942" s="371" t="s">
        <v>1490</v>
      </c>
      <c r="C942" s="371" t="s">
        <v>1503</v>
      </c>
      <c r="D942" s="371" t="s">
        <v>1507</v>
      </c>
      <c r="E942" s="373">
        <v>12.96</v>
      </c>
      <c r="G942" s="371">
        <v>1153.0</v>
      </c>
      <c r="H942" s="371">
        <v>46.0</v>
      </c>
      <c r="K942" s="374">
        <v>4.0</v>
      </c>
      <c r="L942" s="269" t="str">
        <f t="shared" si="1"/>
        <v>V</v>
      </c>
    </row>
    <row r="943" ht="15.75" customHeight="1">
      <c r="A943" s="370">
        <v>46040.0</v>
      </c>
      <c r="B943" s="371" t="s">
        <v>1490</v>
      </c>
      <c r="C943" s="371" t="s">
        <v>1504</v>
      </c>
      <c r="D943" s="371" t="s">
        <v>1508</v>
      </c>
      <c r="E943" s="373">
        <v>7.08</v>
      </c>
      <c r="G943" s="371">
        <v>401.0</v>
      </c>
      <c r="H943" s="371">
        <v>23.0</v>
      </c>
      <c r="I943" s="371"/>
      <c r="K943" s="374">
        <v>2.0</v>
      </c>
      <c r="L943" s="269" t="str">
        <f t="shared" si="1"/>
        <v>V</v>
      </c>
    </row>
    <row r="944" ht="15.75" customHeight="1">
      <c r="A944" s="370">
        <v>46040.0</v>
      </c>
      <c r="B944" s="371" t="s">
        <v>1490</v>
      </c>
      <c r="C944" s="371" t="s">
        <v>1493</v>
      </c>
      <c r="D944" s="371" t="s">
        <v>1500</v>
      </c>
      <c r="E944" s="373">
        <v>4.46</v>
      </c>
      <c r="G944" s="371">
        <v>458.0</v>
      </c>
      <c r="H944" s="371">
        <v>13.0</v>
      </c>
      <c r="I944" s="371"/>
      <c r="K944" s="374"/>
      <c r="L944" s="269" t="str">
        <f t="shared" si="1"/>
        <v>V</v>
      </c>
    </row>
    <row r="945" ht="15.75" customHeight="1">
      <c r="A945" s="370">
        <v>46040.0</v>
      </c>
      <c r="B945" s="371" t="s">
        <v>1490</v>
      </c>
      <c r="C945" s="371" t="s">
        <v>1504</v>
      </c>
      <c r="D945" s="371" t="s">
        <v>1494</v>
      </c>
      <c r="E945" s="373">
        <v>12.2</v>
      </c>
      <c r="G945" s="371">
        <v>771.0</v>
      </c>
      <c r="H945" s="371">
        <v>51.0</v>
      </c>
      <c r="K945" s="374">
        <v>5.0</v>
      </c>
      <c r="L945" s="269" t="str">
        <f t="shared" si="1"/>
        <v>V</v>
      </c>
    </row>
    <row r="946" ht="15.75" customHeight="1">
      <c r="A946" s="370">
        <v>46039.0</v>
      </c>
      <c r="B946" s="371" t="s">
        <v>1490</v>
      </c>
      <c r="C946" s="371" t="s">
        <v>1493</v>
      </c>
      <c r="D946" s="371" t="s">
        <v>1494</v>
      </c>
      <c r="E946" s="373">
        <v>11.27</v>
      </c>
      <c r="G946" s="371">
        <v>951.0</v>
      </c>
      <c r="H946" s="371">
        <v>23.0</v>
      </c>
      <c r="I946" s="371"/>
      <c r="K946" s="374"/>
      <c r="L946" s="269" t="str">
        <f t="shared" si="1"/>
        <v>V</v>
      </c>
    </row>
    <row r="947" ht="15.75" customHeight="1">
      <c r="A947" s="370">
        <v>46039.0</v>
      </c>
      <c r="B947" s="371" t="s">
        <v>1490</v>
      </c>
      <c r="C947" s="371" t="s">
        <v>1510</v>
      </c>
      <c r="D947" s="371" t="s">
        <v>1511</v>
      </c>
      <c r="E947" s="373">
        <v>16.83</v>
      </c>
      <c r="G947" s="371">
        <v>367.0</v>
      </c>
      <c r="H947" s="371">
        <v>19.0</v>
      </c>
      <c r="K947" s="374">
        <v>7.0</v>
      </c>
      <c r="L947" s="269" t="str">
        <f t="shared" si="1"/>
        <v>medicos</v>
      </c>
    </row>
    <row r="948" ht="15.75" customHeight="1">
      <c r="A948" s="370">
        <v>46039.0</v>
      </c>
      <c r="B948" s="371" t="s">
        <v>1490</v>
      </c>
      <c r="C948" s="371" t="s">
        <v>1503</v>
      </c>
      <c r="D948" s="371" t="s">
        <v>1498</v>
      </c>
      <c r="E948" s="373">
        <v>1.68</v>
      </c>
      <c r="G948" s="371">
        <v>76.0</v>
      </c>
      <c r="H948" s="371">
        <v>0.0</v>
      </c>
      <c r="K948" s="374"/>
      <c r="L948" s="269" t="str">
        <f t="shared" si="1"/>
        <v>V</v>
      </c>
    </row>
    <row r="949" ht="15.75" customHeight="1">
      <c r="A949" s="370">
        <v>46039.0</v>
      </c>
      <c r="B949" s="371" t="s">
        <v>1490</v>
      </c>
      <c r="C949" s="371" t="s">
        <v>1503</v>
      </c>
      <c r="D949" s="371" t="s">
        <v>1509</v>
      </c>
      <c r="E949" s="373">
        <v>3.44</v>
      </c>
      <c r="G949" s="371">
        <v>142.0</v>
      </c>
      <c r="H949" s="371">
        <v>3.0</v>
      </c>
      <c r="K949" s="374"/>
      <c r="L949" s="269" t="str">
        <f t="shared" si="1"/>
        <v>V</v>
      </c>
    </row>
    <row r="950" ht="15.75" customHeight="1">
      <c r="A950" s="370">
        <v>46039.0</v>
      </c>
      <c r="B950" s="371" t="s">
        <v>1490</v>
      </c>
      <c r="C950" s="371" t="s">
        <v>1503</v>
      </c>
      <c r="D950" s="371" t="s">
        <v>1508</v>
      </c>
      <c r="E950" s="373">
        <v>7.34</v>
      </c>
      <c r="G950" s="371">
        <v>499.0</v>
      </c>
      <c r="H950" s="371">
        <v>17.0</v>
      </c>
      <c r="K950" s="374"/>
      <c r="L950" s="269" t="str">
        <f t="shared" si="1"/>
        <v>V</v>
      </c>
    </row>
    <row r="951" ht="15.75" customHeight="1">
      <c r="A951" s="370">
        <v>46039.0</v>
      </c>
      <c r="B951" s="371" t="s">
        <v>1490</v>
      </c>
      <c r="C951" s="371" t="s">
        <v>1504</v>
      </c>
      <c r="D951" s="371" t="s">
        <v>1508</v>
      </c>
      <c r="E951" s="373">
        <v>5.79</v>
      </c>
      <c r="G951" s="371">
        <v>263.0</v>
      </c>
      <c r="H951" s="371">
        <v>12.0</v>
      </c>
      <c r="I951" s="371"/>
      <c r="K951" s="374">
        <v>1.0</v>
      </c>
      <c r="L951" s="269" t="str">
        <f t="shared" si="1"/>
        <v>V</v>
      </c>
    </row>
    <row r="952" ht="15.75" customHeight="1">
      <c r="A952" s="370">
        <v>46039.0</v>
      </c>
      <c r="B952" s="371" t="s">
        <v>1490</v>
      </c>
      <c r="C952" s="371" t="s">
        <v>1504</v>
      </c>
      <c r="D952" s="371" t="s">
        <v>1507</v>
      </c>
      <c r="E952" s="373">
        <v>12.82</v>
      </c>
      <c r="G952" s="371">
        <v>760.0</v>
      </c>
      <c r="H952" s="371">
        <v>44.0</v>
      </c>
      <c r="K952" s="374">
        <v>4.0</v>
      </c>
      <c r="L952" s="269" t="str">
        <f t="shared" si="1"/>
        <v>V</v>
      </c>
    </row>
    <row r="953" ht="15.75" customHeight="1">
      <c r="A953" s="370">
        <v>46039.0</v>
      </c>
      <c r="B953" s="371" t="s">
        <v>1490</v>
      </c>
      <c r="C953" s="371" t="s">
        <v>1493</v>
      </c>
      <c r="D953" s="371" t="s">
        <v>1500</v>
      </c>
      <c r="E953" s="373">
        <v>0.81</v>
      </c>
      <c r="G953" s="371">
        <v>87.0</v>
      </c>
      <c r="H953" s="371">
        <v>3.0</v>
      </c>
      <c r="K953" s="374"/>
      <c r="L953" s="269" t="str">
        <f t="shared" si="1"/>
        <v>V</v>
      </c>
    </row>
    <row r="954" ht="15.75" customHeight="1">
      <c r="A954" s="370">
        <v>46039.0</v>
      </c>
      <c r="B954" s="371" t="s">
        <v>1490</v>
      </c>
      <c r="C954" s="371" t="s">
        <v>1493</v>
      </c>
      <c r="D954" s="371" t="s">
        <v>1501</v>
      </c>
      <c r="E954" s="373">
        <v>0.08</v>
      </c>
      <c r="G954" s="371">
        <v>14.0</v>
      </c>
      <c r="H954" s="371">
        <v>1.0</v>
      </c>
      <c r="K954" s="374"/>
      <c r="L954" s="269" t="str">
        <f t="shared" si="1"/>
        <v>V</v>
      </c>
    </row>
    <row r="955" ht="15.75" customHeight="1">
      <c r="A955" s="370">
        <v>46039.0</v>
      </c>
      <c r="B955" s="371" t="s">
        <v>1490</v>
      </c>
      <c r="C955" s="371" t="s">
        <v>1503</v>
      </c>
      <c r="D955" s="371" t="s">
        <v>1494</v>
      </c>
      <c r="E955" s="373">
        <v>0.95</v>
      </c>
      <c r="G955" s="371">
        <v>67.0</v>
      </c>
      <c r="H955" s="371">
        <v>5.0</v>
      </c>
      <c r="K955" s="374"/>
      <c r="L955" s="269" t="str">
        <f t="shared" si="1"/>
        <v>V</v>
      </c>
    </row>
    <row r="956" ht="15.75" customHeight="1">
      <c r="A956" s="370">
        <v>46038.0</v>
      </c>
      <c r="B956" s="371" t="s">
        <v>1490</v>
      </c>
      <c r="C956" s="371" t="s">
        <v>1493</v>
      </c>
      <c r="D956" s="371" t="s">
        <v>1494</v>
      </c>
      <c r="E956" s="373">
        <v>10.17</v>
      </c>
      <c r="G956" s="371">
        <v>700.0</v>
      </c>
      <c r="H956" s="371">
        <v>17.0</v>
      </c>
      <c r="I956" s="371"/>
      <c r="K956" s="374"/>
      <c r="L956" s="269" t="str">
        <f t="shared" si="1"/>
        <v>V</v>
      </c>
    </row>
    <row r="957" ht="15.75" customHeight="1">
      <c r="A957" s="370">
        <v>46038.0</v>
      </c>
      <c r="B957" s="371" t="s">
        <v>1490</v>
      </c>
      <c r="C957" s="371" t="s">
        <v>1510</v>
      </c>
      <c r="D957" s="371" t="s">
        <v>1511</v>
      </c>
      <c r="E957" s="373">
        <v>19.07</v>
      </c>
      <c r="G957" s="371">
        <v>389.0</v>
      </c>
      <c r="H957" s="371">
        <v>13.0</v>
      </c>
      <c r="I957" s="371"/>
      <c r="K957" s="374">
        <v>4.0</v>
      </c>
      <c r="L957" s="269" t="str">
        <f t="shared" si="1"/>
        <v>medicos</v>
      </c>
    </row>
    <row r="958" ht="15.75" customHeight="1">
      <c r="A958" s="370">
        <v>46038.0</v>
      </c>
      <c r="B958" s="371" t="s">
        <v>1490</v>
      </c>
      <c r="C958" s="371" t="s">
        <v>1504</v>
      </c>
      <c r="D958" s="371" t="s">
        <v>1498</v>
      </c>
      <c r="E958" s="373">
        <v>0.11</v>
      </c>
      <c r="G958" s="371">
        <v>7.0</v>
      </c>
      <c r="H958" s="371">
        <v>1.0</v>
      </c>
      <c r="K958" s="374"/>
      <c r="L958" s="269" t="str">
        <f t="shared" si="1"/>
        <v>V</v>
      </c>
    </row>
    <row r="959" ht="15.75" customHeight="1">
      <c r="A959" s="370">
        <v>46038.0</v>
      </c>
      <c r="B959" s="371" t="s">
        <v>1490</v>
      </c>
      <c r="C959" s="371" t="s">
        <v>1493</v>
      </c>
      <c r="D959" s="371" t="s">
        <v>1498</v>
      </c>
      <c r="E959" s="373">
        <v>0.93</v>
      </c>
      <c r="G959" s="371">
        <v>89.0</v>
      </c>
      <c r="H959" s="371">
        <v>0.0</v>
      </c>
      <c r="K959" s="374"/>
      <c r="L959" s="269" t="str">
        <f t="shared" si="1"/>
        <v>V</v>
      </c>
    </row>
    <row r="960" ht="15.75" customHeight="1">
      <c r="A960" s="370">
        <v>46038.0</v>
      </c>
      <c r="B960" s="371" t="s">
        <v>1490</v>
      </c>
      <c r="C960" s="371" t="s">
        <v>1504</v>
      </c>
      <c r="D960" s="371" t="s">
        <v>1506</v>
      </c>
      <c r="E960" s="373">
        <v>0.02</v>
      </c>
      <c r="G960" s="371">
        <v>1.0</v>
      </c>
      <c r="H960" s="371">
        <v>0.0</v>
      </c>
      <c r="I960" s="371"/>
      <c r="K960" s="374"/>
      <c r="L960" s="269" t="str">
        <f t="shared" si="1"/>
        <v>V</v>
      </c>
    </row>
    <row r="961" ht="15.75" customHeight="1">
      <c r="A961" s="370">
        <v>46038.0</v>
      </c>
      <c r="B961" s="371" t="s">
        <v>1490</v>
      </c>
      <c r="C961" s="371" t="s">
        <v>1493</v>
      </c>
      <c r="D961" s="371" t="s">
        <v>1499</v>
      </c>
      <c r="E961" s="373">
        <v>0.05</v>
      </c>
      <c r="G961" s="371">
        <v>5.0</v>
      </c>
      <c r="H961" s="371">
        <v>0.0</v>
      </c>
      <c r="I961" s="371"/>
      <c r="K961" s="374"/>
      <c r="L961" s="269" t="str">
        <f t="shared" si="1"/>
        <v>V</v>
      </c>
    </row>
    <row r="962" ht="15.75" customHeight="1">
      <c r="A962" s="370">
        <v>46038.0</v>
      </c>
      <c r="B962" s="371" t="s">
        <v>1490</v>
      </c>
      <c r="C962" s="371" t="s">
        <v>1503</v>
      </c>
      <c r="D962" s="371" t="s">
        <v>1508</v>
      </c>
      <c r="E962" s="373">
        <v>11.39</v>
      </c>
      <c r="G962" s="371">
        <v>936.0</v>
      </c>
      <c r="H962" s="371">
        <v>33.0</v>
      </c>
      <c r="I962" s="371"/>
      <c r="K962" s="374">
        <v>2.0</v>
      </c>
      <c r="L962" s="269" t="str">
        <f t="shared" si="1"/>
        <v>V</v>
      </c>
    </row>
    <row r="963" ht="15.75" customHeight="1">
      <c r="A963" s="370">
        <v>46038.0</v>
      </c>
      <c r="B963" s="371" t="s">
        <v>1490</v>
      </c>
      <c r="C963" s="371" t="s">
        <v>1504</v>
      </c>
      <c r="D963" s="371" t="s">
        <v>1508</v>
      </c>
      <c r="E963" s="373">
        <v>5.04</v>
      </c>
      <c r="G963" s="371">
        <v>215.0</v>
      </c>
      <c r="H963" s="371">
        <v>13.0</v>
      </c>
      <c r="K963" s="374">
        <v>1.0</v>
      </c>
      <c r="L963" s="269" t="str">
        <f t="shared" si="1"/>
        <v>V</v>
      </c>
    </row>
    <row r="964" ht="15.75" customHeight="1">
      <c r="A964" s="370">
        <v>46038.0</v>
      </c>
      <c r="B964" s="371" t="s">
        <v>1490</v>
      </c>
      <c r="C964" s="371" t="s">
        <v>1504</v>
      </c>
      <c r="D964" s="371" t="s">
        <v>1507</v>
      </c>
      <c r="E964" s="373">
        <v>11.36</v>
      </c>
      <c r="G964" s="371">
        <v>863.0</v>
      </c>
      <c r="H964" s="371">
        <v>40.0</v>
      </c>
      <c r="K964" s="374">
        <v>2.0</v>
      </c>
      <c r="L964" s="269" t="str">
        <f t="shared" si="1"/>
        <v>V</v>
      </c>
    </row>
    <row r="965" ht="15.75" customHeight="1">
      <c r="A965" s="370">
        <v>46038.0</v>
      </c>
      <c r="B965" s="371" t="s">
        <v>1490</v>
      </c>
      <c r="C965" s="371" t="s">
        <v>1493</v>
      </c>
      <c r="D965" s="371" t="s">
        <v>1500</v>
      </c>
      <c r="E965" s="373">
        <v>1.45</v>
      </c>
      <c r="G965" s="371">
        <v>146.0</v>
      </c>
      <c r="H965" s="371">
        <v>4.0</v>
      </c>
      <c r="I965" s="371"/>
      <c r="K965" s="374">
        <v>1.0</v>
      </c>
      <c r="L965" s="269" t="str">
        <f t="shared" si="1"/>
        <v>V</v>
      </c>
    </row>
    <row r="966" ht="15.75" customHeight="1">
      <c r="A966" s="370">
        <v>46038.0</v>
      </c>
      <c r="B966" s="371" t="s">
        <v>1490</v>
      </c>
      <c r="C966" s="371" t="s">
        <v>1504</v>
      </c>
      <c r="D966" s="371" t="s">
        <v>1494</v>
      </c>
      <c r="E966" s="373">
        <v>0.52</v>
      </c>
      <c r="G966" s="371">
        <v>45.0</v>
      </c>
      <c r="H966" s="371">
        <v>4.0</v>
      </c>
      <c r="I966" s="371"/>
      <c r="K966" s="374">
        <v>1.0</v>
      </c>
      <c r="L966" s="269" t="str">
        <f t="shared" si="1"/>
        <v>V</v>
      </c>
    </row>
    <row r="967" ht="15.75" customHeight="1">
      <c r="A967" s="370">
        <v>46038.0</v>
      </c>
      <c r="B967" s="371" t="s">
        <v>1490</v>
      </c>
      <c r="C967" s="371" t="s">
        <v>1503</v>
      </c>
      <c r="D967" s="371" t="s">
        <v>1494</v>
      </c>
      <c r="E967" s="373">
        <v>3.11</v>
      </c>
      <c r="G967" s="371">
        <v>163.0</v>
      </c>
      <c r="H967" s="371">
        <v>9.0</v>
      </c>
      <c r="K967" s="374"/>
      <c r="L967" s="269" t="str">
        <f t="shared" si="1"/>
        <v>V</v>
      </c>
    </row>
    <row r="968" ht="15.75" customHeight="1">
      <c r="A968" s="370">
        <v>46037.0</v>
      </c>
      <c r="B968" s="371" t="s">
        <v>1490</v>
      </c>
      <c r="C968" s="371" t="s">
        <v>1493</v>
      </c>
      <c r="D968" s="371" t="s">
        <v>1494</v>
      </c>
      <c r="E968" s="373">
        <v>8.22</v>
      </c>
      <c r="G968" s="371">
        <v>661.0</v>
      </c>
      <c r="H968" s="371">
        <v>28.0</v>
      </c>
      <c r="I968" s="371"/>
      <c r="K968" s="374">
        <v>2.0</v>
      </c>
      <c r="L968" s="269" t="str">
        <f t="shared" si="1"/>
        <v>V</v>
      </c>
    </row>
    <row r="969" ht="15.75" customHeight="1">
      <c r="A969" s="370">
        <v>46037.0</v>
      </c>
      <c r="B969" s="371" t="s">
        <v>1490</v>
      </c>
      <c r="C969" s="371" t="s">
        <v>1510</v>
      </c>
      <c r="D969" s="371" t="s">
        <v>1511</v>
      </c>
      <c r="E969" s="373">
        <v>21.17</v>
      </c>
      <c r="G969" s="371">
        <v>467.0</v>
      </c>
      <c r="H969" s="371">
        <v>14.0</v>
      </c>
      <c r="K969" s="374">
        <v>5.0</v>
      </c>
      <c r="L969" s="269" t="str">
        <f t="shared" si="1"/>
        <v>medicos</v>
      </c>
    </row>
    <row r="970" ht="15.75" customHeight="1">
      <c r="A970" s="370">
        <v>46037.0</v>
      </c>
      <c r="B970" s="371" t="s">
        <v>1490</v>
      </c>
      <c r="C970" s="371" t="s">
        <v>1493</v>
      </c>
      <c r="D970" s="371" t="s">
        <v>1509</v>
      </c>
      <c r="E970" s="373">
        <v>1.26</v>
      </c>
      <c r="G970" s="371">
        <v>92.0</v>
      </c>
      <c r="H970" s="371">
        <v>1.0</v>
      </c>
      <c r="K970" s="374"/>
      <c r="L970" s="269" t="str">
        <f t="shared" si="1"/>
        <v>V</v>
      </c>
    </row>
    <row r="971" ht="15.75" customHeight="1">
      <c r="A971" s="370">
        <v>46037.0</v>
      </c>
      <c r="B971" s="371" t="s">
        <v>1490</v>
      </c>
      <c r="C971" s="371" t="s">
        <v>1503</v>
      </c>
      <c r="D971" s="371" t="s">
        <v>1505</v>
      </c>
      <c r="E971" s="373">
        <v>0.21</v>
      </c>
      <c r="G971" s="371">
        <v>6.0</v>
      </c>
      <c r="H971" s="371">
        <v>0.0</v>
      </c>
      <c r="K971" s="374"/>
      <c r="L971" s="269" t="str">
        <f t="shared" si="1"/>
        <v>V-video</v>
      </c>
    </row>
    <row r="972" ht="15.75" customHeight="1">
      <c r="A972" s="370">
        <v>46037.0</v>
      </c>
      <c r="B972" s="371" t="s">
        <v>1490</v>
      </c>
      <c r="C972" s="371" t="s">
        <v>1504</v>
      </c>
      <c r="D972" s="371" t="s">
        <v>1506</v>
      </c>
      <c r="E972" s="373">
        <v>0.06</v>
      </c>
      <c r="G972" s="371">
        <v>1.0</v>
      </c>
      <c r="H972" s="371">
        <v>0.0</v>
      </c>
      <c r="I972" s="371"/>
      <c r="K972" s="374"/>
      <c r="L972" s="269" t="str">
        <f t="shared" si="1"/>
        <v>V</v>
      </c>
    </row>
    <row r="973" ht="15.75" customHeight="1">
      <c r="A973" s="370">
        <v>46037.0</v>
      </c>
      <c r="B973" s="371" t="s">
        <v>1490</v>
      </c>
      <c r="C973" s="371" t="s">
        <v>1503</v>
      </c>
      <c r="D973" s="371" t="s">
        <v>1508</v>
      </c>
      <c r="E973" s="373">
        <v>4.13</v>
      </c>
      <c r="G973" s="371">
        <v>320.0</v>
      </c>
      <c r="H973" s="371">
        <v>12.0</v>
      </c>
      <c r="K973" s="374"/>
      <c r="L973" s="269" t="str">
        <f t="shared" si="1"/>
        <v>V</v>
      </c>
    </row>
    <row r="974" ht="15.75" customHeight="1">
      <c r="A974" s="370">
        <v>46037.0</v>
      </c>
      <c r="B974" s="371" t="s">
        <v>1490</v>
      </c>
      <c r="C974" s="371" t="s">
        <v>1503</v>
      </c>
      <c r="D974" s="371" t="s">
        <v>1507</v>
      </c>
      <c r="E974" s="373">
        <v>0.39</v>
      </c>
      <c r="G974" s="371">
        <v>30.0</v>
      </c>
      <c r="H974" s="371">
        <v>0.0</v>
      </c>
      <c r="I974" s="371"/>
      <c r="K974" s="374"/>
      <c r="L974" s="269" t="str">
        <f t="shared" si="1"/>
        <v>V</v>
      </c>
    </row>
    <row r="975" ht="15.75" customHeight="1">
      <c r="A975" s="370">
        <v>46037.0</v>
      </c>
      <c r="B975" s="371" t="s">
        <v>1490</v>
      </c>
      <c r="C975" s="371" t="s">
        <v>1504</v>
      </c>
      <c r="D975" s="371" t="s">
        <v>1507</v>
      </c>
      <c r="E975" s="373">
        <v>16.96</v>
      </c>
      <c r="G975" s="371">
        <v>963.0</v>
      </c>
      <c r="H975" s="371">
        <v>70.0</v>
      </c>
      <c r="K975" s="374">
        <v>7.0</v>
      </c>
      <c r="L975" s="269" t="str">
        <f t="shared" si="1"/>
        <v>V</v>
      </c>
    </row>
    <row r="976" ht="15.75" customHeight="1">
      <c r="A976" s="370">
        <v>46037.0</v>
      </c>
      <c r="B976" s="371" t="s">
        <v>1490</v>
      </c>
      <c r="C976" s="371" t="s">
        <v>1493</v>
      </c>
      <c r="D976" s="371" t="s">
        <v>1500</v>
      </c>
      <c r="E976" s="373">
        <v>2.72</v>
      </c>
      <c r="G976" s="371">
        <v>229.0</v>
      </c>
      <c r="H976" s="371">
        <v>8.0</v>
      </c>
      <c r="K976" s="374"/>
      <c r="L976" s="269" t="str">
        <f t="shared" si="1"/>
        <v>V</v>
      </c>
    </row>
    <row r="977" ht="15.75" customHeight="1">
      <c r="A977" s="370">
        <v>46037.0</v>
      </c>
      <c r="B977" s="371" t="s">
        <v>1490</v>
      </c>
      <c r="C977" s="371" t="s">
        <v>1504</v>
      </c>
      <c r="D977" s="371" t="s">
        <v>1494</v>
      </c>
      <c r="E977" s="373">
        <v>0.61</v>
      </c>
      <c r="G977" s="371">
        <v>56.0</v>
      </c>
      <c r="H977" s="371">
        <v>5.0</v>
      </c>
      <c r="K977" s="374"/>
      <c r="L977" s="269" t="str">
        <f t="shared" si="1"/>
        <v>V</v>
      </c>
    </row>
    <row r="978" ht="15.75" customHeight="1">
      <c r="A978" s="370">
        <v>46037.0</v>
      </c>
      <c r="B978" s="371" t="s">
        <v>1490</v>
      </c>
      <c r="C978" s="371" t="s">
        <v>1503</v>
      </c>
      <c r="D978" s="371" t="s">
        <v>1494</v>
      </c>
      <c r="E978" s="373">
        <v>9.74</v>
      </c>
      <c r="G978" s="371">
        <v>507.0</v>
      </c>
      <c r="H978" s="371">
        <v>30.0</v>
      </c>
      <c r="K978" s="374">
        <v>2.0</v>
      </c>
      <c r="L978" s="269" t="str">
        <f t="shared" si="1"/>
        <v>V</v>
      </c>
    </row>
    <row r="979" ht="15.75" customHeight="1">
      <c r="A979" s="370">
        <v>46036.0</v>
      </c>
      <c r="B979" s="371" t="s">
        <v>1490</v>
      </c>
      <c r="C979" s="371" t="s">
        <v>1493</v>
      </c>
      <c r="D979" s="371" t="s">
        <v>1494</v>
      </c>
      <c r="E979" s="373">
        <v>8.95</v>
      </c>
      <c r="G979" s="371">
        <v>624.0</v>
      </c>
      <c r="H979" s="371">
        <v>30.0</v>
      </c>
      <c r="I979" s="371"/>
      <c r="K979" s="374">
        <v>4.0</v>
      </c>
      <c r="L979" s="269" t="str">
        <f t="shared" si="1"/>
        <v>V</v>
      </c>
    </row>
    <row r="980" ht="15.75" customHeight="1">
      <c r="A980" s="370">
        <v>46036.0</v>
      </c>
      <c r="B980" s="371" t="s">
        <v>1490</v>
      </c>
      <c r="C980" s="371" t="s">
        <v>1510</v>
      </c>
      <c r="D980" s="371" t="s">
        <v>1511</v>
      </c>
      <c r="E980" s="373">
        <v>16.89</v>
      </c>
      <c r="G980" s="371">
        <v>352.0</v>
      </c>
      <c r="H980" s="371">
        <v>12.0</v>
      </c>
      <c r="K980" s="374">
        <v>1.0</v>
      </c>
      <c r="L980" s="269" t="str">
        <f t="shared" si="1"/>
        <v>medicos</v>
      </c>
    </row>
    <row r="981" ht="15.75" customHeight="1">
      <c r="A981" s="370">
        <v>46036.0</v>
      </c>
      <c r="B981" s="371" t="s">
        <v>1490</v>
      </c>
      <c r="C981" s="371" t="s">
        <v>1493</v>
      </c>
      <c r="D981" s="371" t="s">
        <v>1498</v>
      </c>
      <c r="E981" s="373">
        <v>0.09</v>
      </c>
      <c r="G981" s="371">
        <v>11.0</v>
      </c>
      <c r="H981" s="371">
        <v>2.0</v>
      </c>
      <c r="I981" s="371"/>
      <c r="K981" s="374"/>
      <c r="L981" s="269" t="str">
        <f t="shared" si="1"/>
        <v>V</v>
      </c>
    </row>
    <row r="982" ht="15.75" customHeight="1">
      <c r="A982" s="370">
        <v>46036.0</v>
      </c>
      <c r="B982" s="371" t="s">
        <v>1490</v>
      </c>
      <c r="C982" s="371" t="s">
        <v>1503</v>
      </c>
      <c r="D982" s="371" t="s">
        <v>1508</v>
      </c>
      <c r="E982" s="373">
        <v>0.14</v>
      </c>
      <c r="G982" s="371">
        <v>11.0</v>
      </c>
      <c r="H982" s="371">
        <v>0.0</v>
      </c>
      <c r="K982" s="374"/>
      <c r="L982" s="269" t="str">
        <f t="shared" si="1"/>
        <v>V</v>
      </c>
    </row>
    <row r="983" ht="15.75" customHeight="1">
      <c r="A983" s="370">
        <v>46036.0</v>
      </c>
      <c r="B983" s="371" t="s">
        <v>1490</v>
      </c>
      <c r="C983" s="371" t="s">
        <v>1504</v>
      </c>
      <c r="D983" s="371" t="s">
        <v>1508</v>
      </c>
      <c r="E983" s="373">
        <v>0.02</v>
      </c>
      <c r="G983" s="371">
        <v>5.0</v>
      </c>
      <c r="H983" s="371">
        <v>0.0</v>
      </c>
      <c r="K983" s="374"/>
      <c r="L983" s="269" t="str">
        <f t="shared" si="1"/>
        <v>V</v>
      </c>
    </row>
    <row r="984" ht="15.75" customHeight="1">
      <c r="A984" s="370">
        <v>46036.0</v>
      </c>
      <c r="B984" s="371" t="s">
        <v>1490</v>
      </c>
      <c r="C984" s="371" t="s">
        <v>1504</v>
      </c>
      <c r="D984" s="371" t="s">
        <v>1507</v>
      </c>
      <c r="E984" s="373">
        <v>16.71</v>
      </c>
      <c r="G984" s="371">
        <v>954.0</v>
      </c>
      <c r="H984" s="371">
        <v>76.0</v>
      </c>
      <c r="K984" s="374">
        <v>4.0</v>
      </c>
      <c r="L984" s="269" t="str">
        <f t="shared" si="1"/>
        <v>V</v>
      </c>
    </row>
    <row r="985" ht="15.75" customHeight="1">
      <c r="A985" s="370">
        <v>46036.0</v>
      </c>
      <c r="B985" s="371" t="s">
        <v>1490</v>
      </c>
      <c r="C985" s="371" t="s">
        <v>1493</v>
      </c>
      <c r="D985" s="371" t="s">
        <v>1500</v>
      </c>
      <c r="E985" s="373">
        <v>3.42</v>
      </c>
      <c r="G985" s="371">
        <v>290.0</v>
      </c>
      <c r="H985" s="371">
        <v>11.0</v>
      </c>
      <c r="I985" s="371"/>
      <c r="K985" s="374">
        <v>1.0</v>
      </c>
      <c r="L985" s="269" t="str">
        <f t="shared" si="1"/>
        <v>V</v>
      </c>
    </row>
    <row r="986" ht="15.75" customHeight="1">
      <c r="A986" s="370">
        <v>46036.0</v>
      </c>
      <c r="B986" s="371" t="s">
        <v>1490</v>
      </c>
      <c r="C986" s="371" t="s">
        <v>1493</v>
      </c>
      <c r="D986" s="371" t="s">
        <v>1501</v>
      </c>
      <c r="E986" s="373">
        <v>0.05</v>
      </c>
      <c r="G986" s="371">
        <v>8.0</v>
      </c>
      <c r="H986" s="371">
        <v>0.0</v>
      </c>
      <c r="I986" s="371"/>
      <c r="K986" s="374"/>
      <c r="L986" s="269" t="str">
        <f t="shared" si="1"/>
        <v>V</v>
      </c>
    </row>
    <row r="987" ht="15.75" customHeight="1">
      <c r="A987" s="370">
        <v>46036.0</v>
      </c>
      <c r="B987" s="371" t="s">
        <v>1490</v>
      </c>
      <c r="C987" s="371" t="s">
        <v>1504</v>
      </c>
      <c r="D987" s="371" t="s">
        <v>1494</v>
      </c>
      <c r="E987" s="373">
        <v>1.57</v>
      </c>
      <c r="G987" s="371">
        <v>123.0</v>
      </c>
      <c r="H987" s="371">
        <v>5.0</v>
      </c>
      <c r="K987" s="374">
        <v>1.0</v>
      </c>
      <c r="L987" s="269" t="str">
        <f t="shared" si="1"/>
        <v>V</v>
      </c>
    </row>
    <row r="988" ht="15.75" customHeight="1">
      <c r="A988" s="370">
        <v>46036.0</v>
      </c>
      <c r="B988" s="371" t="s">
        <v>1490</v>
      </c>
      <c r="C988" s="371" t="s">
        <v>1503</v>
      </c>
      <c r="D988" s="371" t="s">
        <v>1494</v>
      </c>
      <c r="E988" s="373">
        <v>13.76</v>
      </c>
      <c r="G988" s="371">
        <v>1067.0</v>
      </c>
      <c r="H988" s="371">
        <v>37.0</v>
      </c>
      <c r="I988" s="371"/>
      <c r="K988" s="374">
        <v>1.0</v>
      </c>
      <c r="L988" s="269" t="str">
        <f t="shared" si="1"/>
        <v>V</v>
      </c>
    </row>
    <row r="989" ht="15.75" customHeight="1">
      <c r="A989" s="370">
        <v>46036.0</v>
      </c>
      <c r="B989" s="371" t="s">
        <v>1495</v>
      </c>
      <c r="C989" s="371" t="s">
        <v>1496</v>
      </c>
      <c r="D989" s="371" t="s">
        <v>1497</v>
      </c>
      <c r="E989" s="373">
        <v>0.44</v>
      </c>
      <c r="G989" s="371">
        <v>159.0</v>
      </c>
      <c r="H989" s="371">
        <v>1.0</v>
      </c>
      <c r="K989" s="374"/>
      <c r="L989" s="269" t="str">
        <f t="shared" si="1"/>
        <v>AD</v>
      </c>
    </row>
    <row r="990" ht="15.75" customHeight="1">
      <c r="A990" s="370">
        <v>46035.0</v>
      </c>
      <c r="B990" s="371" t="s">
        <v>1490</v>
      </c>
      <c r="C990" s="371" t="s">
        <v>1493</v>
      </c>
      <c r="D990" s="371" t="s">
        <v>1494</v>
      </c>
      <c r="E990" s="373">
        <v>10.68</v>
      </c>
      <c r="G990" s="371">
        <v>935.0</v>
      </c>
      <c r="H990" s="371">
        <v>27.0</v>
      </c>
      <c r="K990" s="374">
        <v>2.0</v>
      </c>
      <c r="L990" s="269" t="str">
        <f t="shared" si="1"/>
        <v>V</v>
      </c>
    </row>
    <row r="991" ht="15.75" customHeight="1">
      <c r="A991" s="370">
        <v>46035.0</v>
      </c>
      <c r="B991" s="371" t="s">
        <v>1490</v>
      </c>
      <c r="C991" s="371" t="s">
        <v>1510</v>
      </c>
      <c r="D991" s="371" t="s">
        <v>1511</v>
      </c>
      <c r="E991" s="373">
        <v>20.91</v>
      </c>
      <c r="G991" s="371">
        <v>415.0</v>
      </c>
      <c r="H991" s="371">
        <v>11.0</v>
      </c>
      <c r="K991" s="374">
        <v>4.0</v>
      </c>
      <c r="L991" s="269" t="str">
        <f t="shared" si="1"/>
        <v>medicos</v>
      </c>
    </row>
    <row r="992" ht="15.75" customHeight="1">
      <c r="A992" s="370">
        <v>46035.0</v>
      </c>
      <c r="B992" s="371" t="s">
        <v>1490</v>
      </c>
      <c r="C992" s="371" t="s">
        <v>1503</v>
      </c>
      <c r="D992" s="371" t="s">
        <v>1509</v>
      </c>
      <c r="E992" s="373">
        <v>0.96</v>
      </c>
      <c r="G992" s="371">
        <v>26.0</v>
      </c>
      <c r="H992" s="371">
        <v>1.0</v>
      </c>
      <c r="K992" s="374">
        <v>1.0</v>
      </c>
      <c r="L992" s="269" t="str">
        <f t="shared" si="1"/>
        <v>V</v>
      </c>
    </row>
    <row r="993" ht="15.75" customHeight="1">
      <c r="A993" s="370">
        <v>46035.0</v>
      </c>
      <c r="B993" s="371" t="s">
        <v>1490</v>
      </c>
      <c r="C993" s="371" t="s">
        <v>1503</v>
      </c>
      <c r="D993" s="371" t="s">
        <v>1505</v>
      </c>
      <c r="E993" s="373">
        <v>0.07</v>
      </c>
      <c r="G993" s="371">
        <v>6.0</v>
      </c>
      <c r="H993" s="371">
        <v>0.0</v>
      </c>
      <c r="I993" s="371"/>
      <c r="K993" s="374"/>
      <c r="L993" s="269" t="str">
        <f t="shared" si="1"/>
        <v>V-video</v>
      </c>
    </row>
    <row r="994" ht="15.75" customHeight="1">
      <c r="A994" s="370">
        <v>46035.0</v>
      </c>
      <c r="B994" s="371" t="s">
        <v>1490</v>
      </c>
      <c r="C994" s="371" t="s">
        <v>1504</v>
      </c>
      <c r="D994" s="371" t="s">
        <v>1506</v>
      </c>
      <c r="E994" s="373">
        <v>0.02</v>
      </c>
      <c r="G994" s="371">
        <v>3.0</v>
      </c>
      <c r="H994" s="371">
        <v>1.0</v>
      </c>
      <c r="I994" s="371"/>
      <c r="K994" s="374"/>
      <c r="L994" s="269" t="str">
        <f t="shared" si="1"/>
        <v>V</v>
      </c>
    </row>
    <row r="995" ht="15.75" customHeight="1">
      <c r="A995" s="370">
        <v>46035.0</v>
      </c>
      <c r="B995" s="371" t="s">
        <v>1490</v>
      </c>
      <c r="C995" s="371" t="s">
        <v>1493</v>
      </c>
      <c r="D995" s="371" t="s">
        <v>1499</v>
      </c>
      <c r="E995" s="373">
        <v>0.0</v>
      </c>
      <c r="G995" s="371">
        <v>1.0</v>
      </c>
      <c r="H995" s="371">
        <v>0.0</v>
      </c>
      <c r="K995" s="374"/>
      <c r="L995" s="269" t="str">
        <f t="shared" si="1"/>
        <v>V</v>
      </c>
    </row>
    <row r="996" ht="15.75" customHeight="1">
      <c r="A996" s="370">
        <v>46035.0</v>
      </c>
      <c r="B996" s="371" t="s">
        <v>1490</v>
      </c>
      <c r="C996" s="371" t="s">
        <v>1503</v>
      </c>
      <c r="D996" s="371" t="s">
        <v>1507</v>
      </c>
      <c r="E996" s="373">
        <v>0.22</v>
      </c>
      <c r="G996" s="371">
        <v>16.0</v>
      </c>
      <c r="H996" s="371">
        <v>0.0</v>
      </c>
      <c r="K996" s="374"/>
      <c r="L996" s="269" t="str">
        <f t="shared" si="1"/>
        <v>V</v>
      </c>
    </row>
    <row r="997" ht="15.75" customHeight="1">
      <c r="A997" s="370">
        <v>46035.0</v>
      </c>
      <c r="B997" s="371" t="s">
        <v>1490</v>
      </c>
      <c r="C997" s="371" t="s">
        <v>1504</v>
      </c>
      <c r="D997" s="371" t="s">
        <v>1508</v>
      </c>
      <c r="E997" s="373">
        <v>0.0</v>
      </c>
      <c r="G997" s="371">
        <v>0.0</v>
      </c>
      <c r="H997" s="371">
        <v>0.0</v>
      </c>
      <c r="K997" s="374"/>
      <c r="L997" s="269" t="str">
        <f t="shared" si="1"/>
        <v>V</v>
      </c>
    </row>
    <row r="998" ht="15.75" customHeight="1">
      <c r="A998" s="370">
        <v>46035.0</v>
      </c>
      <c r="B998" s="371" t="s">
        <v>1490</v>
      </c>
      <c r="C998" s="371" t="s">
        <v>1504</v>
      </c>
      <c r="D998" s="371" t="s">
        <v>1507</v>
      </c>
      <c r="E998" s="373">
        <v>11.96</v>
      </c>
      <c r="G998" s="371">
        <v>816.0</v>
      </c>
      <c r="H998" s="371">
        <v>40.0</v>
      </c>
      <c r="K998" s="374">
        <v>1.0</v>
      </c>
      <c r="L998" s="269" t="str">
        <f t="shared" si="1"/>
        <v>V</v>
      </c>
    </row>
    <row r="999" ht="15.75" customHeight="1">
      <c r="A999" s="370">
        <v>46035.0</v>
      </c>
      <c r="B999" s="371" t="s">
        <v>1490</v>
      </c>
      <c r="C999" s="371" t="s">
        <v>1493</v>
      </c>
      <c r="D999" s="371" t="s">
        <v>1500</v>
      </c>
      <c r="E999" s="373">
        <v>1.93</v>
      </c>
      <c r="G999" s="371">
        <v>221.0</v>
      </c>
      <c r="H999" s="371">
        <v>4.0</v>
      </c>
      <c r="I999" s="371"/>
      <c r="K999" s="374"/>
      <c r="L999" s="269" t="str">
        <f t="shared" si="1"/>
        <v>V</v>
      </c>
    </row>
    <row r="1000" ht="15.75" customHeight="1">
      <c r="A1000" s="370">
        <v>46035.0</v>
      </c>
      <c r="B1000" s="371" t="s">
        <v>1490</v>
      </c>
      <c r="C1000" s="371" t="s">
        <v>1493</v>
      </c>
      <c r="D1000" s="371" t="s">
        <v>1501</v>
      </c>
      <c r="E1000" s="373">
        <v>0.11</v>
      </c>
      <c r="G1000" s="371">
        <v>23.0</v>
      </c>
      <c r="H1000" s="371">
        <v>0.0</v>
      </c>
      <c r="I1000" s="371"/>
      <c r="K1000" s="374"/>
      <c r="L1000" s="269" t="str">
        <f t="shared" si="1"/>
        <v>V</v>
      </c>
    </row>
    <row r="1001" ht="15.75" customHeight="1">
      <c r="A1001" s="370">
        <v>46035.0</v>
      </c>
      <c r="B1001" s="371" t="s">
        <v>1490</v>
      </c>
      <c r="C1001" s="371" t="s">
        <v>1504</v>
      </c>
      <c r="D1001" s="371" t="s">
        <v>1494</v>
      </c>
      <c r="E1001" s="373">
        <v>5.91</v>
      </c>
      <c r="G1001" s="371">
        <v>504.0</v>
      </c>
      <c r="H1001" s="371">
        <v>22.0</v>
      </c>
      <c r="K1001" s="374">
        <v>2.0</v>
      </c>
      <c r="L1001" s="269" t="str">
        <f t="shared" si="1"/>
        <v>V</v>
      </c>
    </row>
    <row r="1002" ht="15.75" customHeight="1">
      <c r="A1002" s="370">
        <v>46035.0</v>
      </c>
      <c r="B1002" s="371" t="s">
        <v>1490</v>
      </c>
      <c r="C1002" s="371" t="s">
        <v>1503</v>
      </c>
      <c r="D1002" s="371" t="s">
        <v>1494</v>
      </c>
      <c r="E1002" s="373">
        <v>12.28</v>
      </c>
      <c r="G1002" s="371">
        <v>895.0</v>
      </c>
      <c r="H1002" s="371">
        <v>46.0</v>
      </c>
      <c r="K1002" s="374">
        <v>2.0</v>
      </c>
      <c r="L1002" s="269" t="str">
        <f t="shared" si="1"/>
        <v>V</v>
      </c>
    </row>
    <row r="1003" ht="15.75" customHeight="1">
      <c r="A1003" s="370">
        <v>46035.0</v>
      </c>
      <c r="B1003" s="371" t="s">
        <v>1495</v>
      </c>
      <c r="C1003" s="371" t="s">
        <v>1496</v>
      </c>
      <c r="D1003" s="371" t="s">
        <v>1497</v>
      </c>
      <c r="E1003" s="373">
        <v>8.22</v>
      </c>
      <c r="G1003" s="371">
        <v>3830.0</v>
      </c>
      <c r="H1003" s="371">
        <v>47.0</v>
      </c>
      <c r="K1003" s="374"/>
      <c r="L1003" s="269" t="str">
        <f t="shared" si="1"/>
        <v>AD</v>
      </c>
    </row>
    <row r="1004" ht="15.75" customHeight="1">
      <c r="A1004" s="370">
        <v>46034.0</v>
      </c>
      <c r="B1004" s="371" t="s">
        <v>1490</v>
      </c>
      <c r="C1004" s="371" t="s">
        <v>1493</v>
      </c>
      <c r="D1004" s="371" t="s">
        <v>1494</v>
      </c>
      <c r="E1004" s="373">
        <v>9.85</v>
      </c>
      <c r="G1004" s="371">
        <v>1003.0</v>
      </c>
      <c r="H1004" s="371">
        <v>33.0</v>
      </c>
      <c r="I1004" s="371"/>
      <c r="K1004" s="374">
        <v>2.0</v>
      </c>
      <c r="L1004" s="269" t="str">
        <f t="shared" si="1"/>
        <v>V</v>
      </c>
    </row>
    <row r="1005" ht="15.75" customHeight="1">
      <c r="A1005" s="370">
        <v>46034.0</v>
      </c>
      <c r="B1005" s="371" t="s">
        <v>1490</v>
      </c>
      <c r="C1005" s="371" t="s">
        <v>1510</v>
      </c>
      <c r="D1005" s="371" t="s">
        <v>1511</v>
      </c>
      <c r="E1005" s="373">
        <v>19.66</v>
      </c>
      <c r="G1005" s="371">
        <v>517.0</v>
      </c>
      <c r="H1005" s="371">
        <v>12.0</v>
      </c>
      <c r="K1005" s="374">
        <v>2.0</v>
      </c>
      <c r="L1005" s="269" t="str">
        <f t="shared" si="1"/>
        <v>medicos</v>
      </c>
    </row>
    <row r="1006" ht="15.75" customHeight="1">
      <c r="A1006" s="370">
        <v>46034.0</v>
      </c>
      <c r="B1006" s="371" t="s">
        <v>1490</v>
      </c>
      <c r="C1006" s="371" t="s">
        <v>1503</v>
      </c>
      <c r="D1006" s="371" t="s">
        <v>1498</v>
      </c>
      <c r="E1006" s="373">
        <v>0.1</v>
      </c>
      <c r="G1006" s="371">
        <v>12.0</v>
      </c>
      <c r="H1006" s="371">
        <v>1.0</v>
      </c>
      <c r="I1006" s="371"/>
      <c r="K1006" s="374"/>
      <c r="L1006" s="269" t="str">
        <f t="shared" si="1"/>
        <v>V</v>
      </c>
    </row>
    <row r="1007" ht="15.75" customHeight="1">
      <c r="A1007" s="370">
        <v>46034.0</v>
      </c>
      <c r="B1007" s="371" t="s">
        <v>1490</v>
      </c>
      <c r="C1007" s="371" t="s">
        <v>1503</v>
      </c>
      <c r="D1007" s="371" t="s">
        <v>1509</v>
      </c>
      <c r="E1007" s="373">
        <v>2.76</v>
      </c>
      <c r="G1007" s="371">
        <v>199.0</v>
      </c>
      <c r="H1007" s="371">
        <v>4.0</v>
      </c>
      <c r="I1007" s="371"/>
      <c r="K1007" s="374"/>
      <c r="L1007" s="269" t="str">
        <f t="shared" si="1"/>
        <v>V</v>
      </c>
    </row>
    <row r="1008" ht="15.75" customHeight="1">
      <c r="A1008" s="370">
        <v>46034.0</v>
      </c>
      <c r="B1008" s="371" t="s">
        <v>1490</v>
      </c>
      <c r="C1008" s="371" t="s">
        <v>1493</v>
      </c>
      <c r="D1008" s="371" t="s">
        <v>1509</v>
      </c>
      <c r="E1008" s="373">
        <v>0.09</v>
      </c>
      <c r="G1008" s="371">
        <v>9.0</v>
      </c>
      <c r="H1008" s="371">
        <v>0.0</v>
      </c>
      <c r="K1008" s="374"/>
      <c r="L1008" s="269" t="str">
        <f t="shared" si="1"/>
        <v>V</v>
      </c>
    </row>
    <row r="1009" ht="15.75" customHeight="1">
      <c r="A1009" s="370">
        <v>46034.0</v>
      </c>
      <c r="B1009" s="371" t="s">
        <v>1490</v>
      </c>
      <c r="C1009" s="371" t="s">
        <v>1503</v>
      </c>
      <c r="D1009" s="371" t="s">
        <v>1505</v>
      </c>
      <c r="E1009" s="373">
        <v>0.09</v>
      </c>
      <c r="G1009" s="371">
        <v>8.0</v>
      </c>
      <c r="H1009" s="371">
        <v>0.0</v>
      </c>
      <c r="K1009" s="374"/>
      <c r="L1009" s="269" t="str">
        <f t="shared" si="1"/>
        <v>V-video</v>
      </c>
    </row>
    <row r="1010" ht="15.75" customHeight="1">
      <c r="A1010" s="370">
        <v>46034.0</v>
      </c>
      <c r="B1010" s="371" t="s">
        <v>1490</v>
      </c>
      <c r="C1010" s="371" t="s">
        <v>1504</v>
      </c>
      <c r="D1010" s="371" t="s">
        <v>1508</v>
      </c>
      <c r="E1010" s="373">
        <v>5.86</v>
      </c>
      <c r="G1010" s="371">
        <v>319.0</v>
      </c>
      <c r="H1010" s="371">
        <v>19.0</v>
      </c>
      <c r="K1010" s="374">
        <v>1.0</v>
      </c>
      <c r="L1010" s="269" t="str">
        <f t="shared" si="1"/>
        <v>V</v>
      </c>
    </row>
    <row r="1011" ht="15.75" customHeight="1">
      <c r="A1011" s="370">
        <v>46034.0</v>
      </c>
      <c r="B1011" s="371" t="s">
        <v>1490</v>
      </c>
      <c r="C1011" s="371" t="s">
        <v>1504</v>
      </c>
      <c r="D1011" s="371" t="s">
        <v>1507</v>
      </c>
      <c r="E1011" s="373">
        <v>12.02</v>
      </c>
      <c r="G1011" s="371">
        <v>925.0</v>
      </c>
      <c r="H1011" s="371">
        <v>63.0</v>
      </c>
      <c r="I1011" s="371"/>
      <c r="K1011" s="374">
        <v>2.0</v>
      </c>
      <c r="L1011" s="269" t="str">
        <f t="shared" si="1"/>
        <v>V</v>
      </c>
    </row>
    <row r="1012" ht="15.75" customHeight="1">
      <c r="A1012" s="370">
        <v>46034.0</v>
      </c>
      <c r="B1012" s="371" t="s">
        <v>1490</v>
      </c>
      <c r="C1012" s="371" t="s">
        <v>1493</v>
      </c>
      <c r="D1012" s="371" t="s">
        <v>1500</v>
      </c>
      <c r="E1012" s="373">
        <v>3.11</v>
      </c>
      <c r="G1012" s="371">
        <v>342.0</v>
      </c>
      <c r="H1012" s="371">
        <v>8.0</v>
      </c>
      <c r="K1012" s="374">
        <v>1.0</v>
      </c>
      <c r="L1012" s="269" t="str">
        <f t="shared" si="1"/>
        <v>V</v>
      </c>
    </row>
    <row r="1013" ht="15.75" customHeight="1">
      <c r="A1013" s="370">
        <v>46034.0</v>
      </c>
      <c r="B1013" s="371" t="s">
        <v>1490</v>
      </c>
      <c r="C1013" s="371" t="s">
        <v>1493</v>
      </c>
      <c r="D1013" s="371" t="s">
        <v>1501</v>
      </c>
      <c r="E1013" s="373">
        <v>1.0</v>
      </c>
      <c r="G1013" s="371">
        <v>118.0</v>
      </c>
      <c r="H1013" s="371">
        <v>1.0</v>
      </c>
      <c r="K1013" s="374"/>
      <c r="L1013" s="269" t="str">
        <f t="shared" si="1"/>
        <v>V</v>
      </c>
    </row>
    <row r="1014" ht="15.75" customHeight="1">
      <c r="A1014" s="370">
        <v>46034.0</v>
      </c>
      <c r="B1014" s="371" t="s">
        <v>1490</v>
      </c>
      <c r="C1014" s="371" t="s">
        <v>1503</v>
      </c>
      <c r="D1014" s="371" t="s">
        <v>1494</v>
      </c>
      <c r="E1014" s="373">
        <v>7.4</v>
      </c>
      <c r="G1014" s="371">
        <v>689.0</v>
      </c>
      <c r="H1014" s="371">
        <v>23.0</v>
      </c>
      <c r="K1014" s="374">
        <v>1.0</v>
      </c>
      <c r="L1014" s="269" t="str">
        <f t="shared" si="1"/>
        <v>V</v>
      </c>
    </row>
    <row r="1015" ht="15.75" customHeight="1">
      <c r="A1015" s="370">
        <v>46034.0</v>
      </c>
      <c r="B1015" s="371" t="s">
        <v>1495</v>
      </c>
      <c r="C1015" s="371" t="s">
        <v>1496</v>
      </c>
      <c r="D1015" s="371" t="s">
        <v>1497</v>
      </c>
      <c r="E1015" s="373">
        <v>10.46</v>
      </c>
      <c r="G1015" s="371">
        <v>5580.0</v>
      </c>
      <c r="H1015" s="371">
        <v>54.0</v>
      </c>
      <c r="K1015" s="374"/>
      <c r="L1015" s="269" t="str">
        <f t="shared" si="1"/>
        <v>AD</v>
      </c>
    </row>
    <row r="1016" ht="15.75" customHeight="1">
      <c r="A1016" s="370">
        <v>46033.0</v>
      </c>
      <c r="B1016" s="371" t="s">
        <v>1490</v>
      </c>
      <c r="C1016" s="371" t="s">
        <v>1493</v>
      </c>
      <c r="D1016" s="371" t="s">
        <v>1494</v>
      </c>
      <c r="E1016" s="373">
        <v>3.52</v>
      </c>
      <c r="G1016" s="371">
        <v>366.0</v>
      </c>
      <c r="H1016" s="371">
        <v>12.0</v>
      </c>
      <c r="I1016" s="371"/>
      <c r="K1016" s="374">
        <v>5.0</v>
      </c>
      <c r="L1016" s="269" t="str">
        <f t="shared" si="1"/>
        <v>V</v>
      </c>
    </row>
    <row r="1017" ht="15.75" customHeight="1">
      <c r="A1017" s="370">
        <v>46033.0</v>
      </c>
      <c r="B1017" s="371" t="s">
        <v>1490</v>
      </c>
      <c r="C1017" s="371" t="s">
        <v>1510</v>
      </c>
      <c r="D1017" s="371" t="s">
        <v>1511</v>
      </c>
      <c r="E1017" s="373">
        <v>23.38</v>
      </c>
      <c r="G1017" s="371">
        <v>592.0</v>
      </c>
      <c r="H1017" s="371">
        <v>16.0</v>
      </c>
      <c r="I1017" s="371"/>
      <c r="K1017" s="374">
        <v>5.0</v>
      </c>
      <c r="L1017" s="269" t="str">
        <f t="shared" si="1"/>
        <v>medicos</v>
      </c>
    </row>
    <row r="1018" ht="15.75" customHeight="1">
      <c r="A1018" s="370">
        <v>46033.0</v>
      </c>
      <c r="B1018" s="371" t="s">
        <v>1490</v>
      </c>
      <c r="C1018" s="371" t="s">
        <v>1503</v>
      </c>
      <c r="D1018" s="371" t="s">
        <v>1498</v>
      </c>
      <c r="E1018" s="373">
        <v>0.22</v>
      </c>
      <c r="G1018" s="371">
        <v>8.0</v>
      </c>
      <c r="H1018" s="371">
        <v>0.0</v>
      </c>
      <c r="K1018" s="374"/>
      <c r="L1018" s="269" t="str">
        <f t="shared" si="1"/>
        <v>V</v>
      </c>
    </row>
    <row r="1019" ht="15.75" customHeight="1">
      <c r="A1019" s="370">
        <v>46033.0</v>
      </c>
      <c r="B1019" s="371" t="s">
        <v>1490</v>
      </c>
      <c r="C1019" s="371" t="s">
        <v>1504</v>
      </c>
      <c r="D1019" s="371" t="s">
        <v>1498</v>
      </c>
      <c r="E1019" s="373">
        <v>0.11</v>
      </c>
      <c r="G1019" s="371">
        <v>4.0</v>
      </c>
      <c r="H1019" s="371">
        <v>0.0</v>
      </c>
      <c r="K1019" s="374"/>
      <c r="L1019" s="269" t="str">
        <f t="shared" si="1"/>
        <v>V</v>
      </c>
    </row>
    <row r="1020" ht="15.75" customHeight="1">
      <c r="A1020" s="370">
        <v>46033.0</v>
      </c>
      <c r="B1020" s="371" t="s">
        <v>1490</v>
      </c>
      <c r="C1020" s="371" t="s">
        <v>1493</v>
      </c>
      <c r="D1020" s="371" t="s">
        <v>1498</v>
      </c>
      <c r="E1020" s="373">
        <v>0.39</v>
      </c>
      <c r="G1020" s="371">
        <v>44.0</v>
      </c>
      <c r="H1020" s="371">
        <v>1.0</v>
      </c>
      <c r="I1020" s="371"/>
      <c r="K1020" s="374"/>
      <c r="L1020" s="269" t="str">
        <f t="shared" si="1"/>
        <v>V</v>
      </c>
    </row>
    <row r="1021" ht="15.75" customHeight="1">
      <c r="A1021" s="370">
        <v>46033.0</v>
      </c>
      <c r="B1021" s="371" t="s">
        <v>1490</v>
      </c>
      <c r="C1021" s="371" t="s">
        <v>1503</v>
      </c>
      <c r="D1021" s="371" t="s">
        <v>1505</v>
      </c>
      <c r="E1021" s="373">
        <v>0.21</v>
      </c>
      <c r="G1021" s="371">
        <v>22.0</v>
      </c>
      <c r="H1021" s="371">
        <v>0.0</v>
      </c>
      <c r="I1021" s="371"/>
      <c r="K1021" s="374"/>
      <c r="L1021" s="269" t="str">
        <f t="shared" si="1"/>
        <v>V-video</v>
      </c>
    </row>
    <row r="1022" ht="15.75" customHeight="1">
      <c r="A1022" s="370">
        <v>46033.0</v>
      </c>
      <c r="B1022" s="371" t="s">
        <v>1490</v>
      </c>
      <c r="C1022" s="371" t="s">
        <v>1493</v>
      </c>
      <c r="D1022" s="371" t="s">
        <v>1499</v>
      </c>
      <c r="E1022" s="373">
        <v>0.04</v>
      </c>
      <c r="G1022" s="371">
        <v>7.0</v>
      </c>
      <c r="H1022" s="371">
        <v>0.0</v>
      </c>
      <c r="I1022" s="371"/>
      <c r="K1022" s="374"/>
      <c r="L1022" s="269" t="str">
        <f t="shared" si="1"/>
        <v>V</v>
      </c>
    </row>
    <row r="1023" ht="15.75" customHeight="1">
      <c r="A1023" s="370">
        <v>46033.0</v>
      </c>
      <c r="B1023" s="371" t="s">
        <v>1490</v>
      </c>
      <c r="C1023" s="371" t="s">
        <v>1503</v>
      </c>
      <c r="D1023" s="371" t="s">
        <v>1508</v>
      </c>
      <c r="E1023" s="373">
        <v>0.0</v>
      </c>
      <c r="G1023" s="371">
        <v>1.0</v>
      </c>
      <c r="H1023" s="371">
        <v>0.0</v>
      </c>
      <c r="K1023" s="374"/>
      <c r="L1023" s="269" t="str">
        <f t="shared" si="1"/>
        <v>V</v>
      </c>
    </row>
    <row r="1024" ht="15.75" customHeight="1">
      <c r="A1024" s="370">
        <v>46033.0</v>
      </c>
      <c r="B1024" s="371" t="s">
        <v>1490</v>
      </c>
      <c r="C1024" s="371" t="s">
        <v>1504</v>
      </c>
      <c r="D1024" s="371" t="s">
        <v>1508</v>
      </c>
      <c r="E1024" s="373">
        <v>15.99</v>
      </c>
      <c r="G1024" s="371">
        <v>793.0</v>
      </c>
      <c r="H1024" s="371">
        <v>29.0</v>
      </c>
      <c r="K1024" s="374">
        <v>2.0</v>
      </c>
      <c r="L1024" s="269" t="str">
        <f t="shared" si="1"/>
        <v>V</v>
      </c>
    </row>
    <row r="1025" ht="15.75" customHeight="1">
      <c r="A1025" s="370">
        <v>46033.0</v>
      </c>
      <c r="B1025" s="371" t="s">
        <v>1490</v>
      </c>
      <c r="C1025" s="371" t="s">
        <v>1504</v>
      </c>
      <c r="D1025" s="371" t="s">
        <v>1507</v>
      </c>
      <c r="E1025" s="373">
        <v>0.31</v>
      </c>
      <c r="G1025" s="371">
        <v>39.0</v>
      </c>
      <c r="H1025" s="371">
        <v>1.0</v>
      </c>
      <c r="K1025" s="374"/>
      <c r="L1025" s="269" t="str">
        <f t="shared" si="1"/>
        <v>V</v>
      </c>
    </row>
    <row r="1026" ht="15.75" customHeight="1">
      <c r="A1026" s="370">
        <v>46033.0</v>
      </c>
      <c r="B1026" s="371" t="s">
        <v>1490</v>
      </c>
      <c r="C1026" s="371" t="s">
        <v>1493</v>
      </c>
      <c r="D1026" s="371" t="s">
        <v>1500</v>
      </c>
      <c r="E1026" s="373">
        <v>8.53</v>
      </c>
      <c r="G1026" s="371">
        <v>984.0</v>
      </c>
      <c r="H1026" s="371">
        <v>27.0</v>
      </c>
      <c r="K1026" s="374">
        <v>4.0</v>
      </c>
      <c r="L1026" s="269" t="str">
        <f t="shared" si="1"/>
        <v>V</v>
      </c>
    </row>
    <row r="1027" ht="15.75" customHeight="1">
      <c r="A1027" s="370">
        <v>46033.0</v>
      </c>
      <c r="B1027" s="371" t="s">
        <v>1490</v>
      </c>
      <c r="C1027" s="371" t="s">
        <v>1493</v>
      </c>
      <c r="D1027" s="371" t="s">
        <v>1501</v>
      </c>
      <c r="E1027" s="373">
        <v>2.33</v>
      </c>
      <c r="G1027" s="371">
        <v>154.0</v>
      </c>
      <c r="H1027" s="371">
        <v>1.0</v>
      </c>
      <c r="I1027" s="371"/>
      <c r="K1027" s="374"/>
      <c r="L1027" s="269" t="str">
        <f t="shared" si="1"/>
        <v>V</v>
      </c>
    </row>
    <row r="1028" ht="15.75" customHeight="1">
      <c r="A1028" s="370">
        <v>46033.0</v>
      </c>
      <c r="B1028" s="371" t="s">
        <v>1490</v>
      </c>
      <c r="C1028" s="371" t="s">
        <v>1503</v>
      </c>
      <c r="D1028" s="371" t="s">
        <v>1494</v>
      </c>
      <c r="E1028" s="373">
        <v>12.69</v>
      </c>
      <c r="G1028" s="371">
        <v>1141.0</v>
      </c>
      <c r="H1028" s="371">
        <v>34.0</v>
      </c>
      <c r="K1028" s="374">
        <v>2.0</v>
      </c>
      <c r="L1028" s="269" t="str">
        <f t="shared" si="1"/>
        <v>V</v>
      </c>
    </row>
    <row r="1029" ht="15.75" customHeight="1">
      <c r="A1029" s="370">
        <v>46033.0</v>
      </c>
      <c r="B1029" s="371" t="s">
        <v>1495</v>
      </c>
      <c r="C1029" s="371" t="s">
        <v>1496</v>
      </c>
      <c r="D1029" s="371" t="s">
        <v>1497</v>
      </c>
      <c r="E1029" s="373">
        <v>11.13</v>
      </c>
      <c r="G1029" s="371">
        <v>5276.0</v>
      </c>
      <c r="H1029" s="371">
        <v>65.0</v>
      </c>
      <c r="I1029" s="371"/>
      <c r="K1029" s="374">
        <v>1.0</v>
      </c>
      <c r="L1029" s="269" t="str">
        <f t="shared" si="1"/>
        <v>AD</v>
      </c>
    </row>
    <row r="1030" ht="15.75" customHeight="1">
      <c r="A1030" s="370">
        <v>46032.0</v>
      </c>
      <c r="B1030" s="371" t="s">
        <v>1490</v>
      </c>
      <c r="C1030" s="371" t="s">
        <v>1510</v>
      </c>
      <c r="D1030" s="371" t="s">
        <v>1511</v>
      </c>
      <c r="E1030" s="373">
        <v>22.93</v>
      </c>
      <c r="G1030" s="371">
        <v>563.0</v>
      </c>
      <c r="H1030" s="371">
        <v>16.0</v>
      </c>
      <c r="K1030" s="374">
        <v>6.0</v>
      </c>
      <c r="L1030" s="269" t="str">
        <f t="shared" si="1"/>
        <v>medicos</v>
      </c>
    </row>
    <row r="1031" ht="15.75" customHeight="1">
      <c r="A1031" s="370">
        <v>46032.0</v>
      </c>
      <c r="B1031" s="371" t="s">
        <v>1490</v>
      </c>
      <c r="C1031" s="371" t="s">
        <v>1503</v>
      </c>
      <c r="D1031" s="371" t="s">
        <v>1505</v>
      </c>
      <c r="E1031" s="373">
        <v>2.38</v>
      </c>
      <c r="G1031" s="371">
        <v>56.0</v>
      </c>
      <c r="H1031" s="371">
        <v>0.0</v>
      </c>
      <c r="K1031" s="374"/>
      <c r="L1031" s="269" t="str">
        <f t="shared" si="1"/>
        <v>V-video</v>
      </c>
    </row>
    <row r="1032" ht="15.75" customHeight="1">
      <c r="A1032" s="370">
        <v>46032.0</v>
      </c>
      <c r="B1032" s="371" t="s">
        <v>1490</v>
      </c>
      <c r="C1032" s="371" t="s">
        <v>1493</v>
      </c>
      <c r="D1032" s="371" t="s">
        <v>1499</v>
      </c>
      <c r="E1032" s="373">
        <v>0.11</v>
      </c>
      <c r="G1032" s="371">
        <v>4.0</v>
      </c>
      <c r="H1032" s="371">
        <v>0.0</v>
      </c>
      <c r="I1032" s="371"/>
      <c r="K1032" s="374"/>
      <c r="L1032" s="269" t="str">
        <f t="shared" si="1"/>
        <v>V</v>
      </c>
    </row>
    <row r="1033" ht="15.75" customHeight="1">
      <c r="A1033" s="370">
        <v>46032.0</v>
      </c>
      <c r="B1033" s="371" t="s">
        <v>1490</v>
      </c>
      <c r="C1033" s="371" t="s">
        <v>1503</v>
      </c>
      <c r="D1033" s="371" t="s">
        <v>1508</v>
      </c>
      <c r="E1033" s="373">
        <v>6.37</v>
      </c>
      <c r="G1033" s="371">
        <v>459.0</v>
      </c>
      <c r="H1033" s="371">
        <v>17.0</v>
      </c>
      <c r="K1033" s="374"/>
      <c r="L1033" s="269" t="str">
        <f t="shared" si="1"/>
        <v>V</v>
      </c>
    </row>
    <row r="1034" ht="15.75" customHeight="1">
      <c r="A1034" s="370">
        <v>46032.0</v>
      </c>
      <c r="B1034" s="371" t="s">
        <v>1490</v>
      </c>
      <c r="C1034" s="371" t="s">
        <v>1503</v>
      </c>
      <c r="D1034" s="371" t="s">
        <v>1507</v>
      </c>
      <c r="E1034" s="373">
        <v>0.43</v>
      </c>
      <c r="G1034" s="371">
        <v>33.0</v>
      </c>
      <c r="H1034" s="371">
        <v>1.0</v>
      </c>
      <c r="I1034" s="371"/>
      <c r="K1034" s="374"/>
      <c r="L1034" s="269" t="str">
        <f t="shared" si="1"/>
        <v>V</v>
      </c>
    </row>
    <row r="1035" ht="15.75" customHeight="1">
      <c r="A1035" s="370">
        <v>46032.0</v>
      </c>
      <c r="B1035" s="371" t="s">
        <v>1490</v>
      </c>
      <c r="C1035" s="371" t="s">
        <v>1504</v>
      </c>
      <c r="D1035" s="371" t="s">
        <v>1507</v>
      </c>
      <c r="E1035" s="373">
        <v>13.73</v>
      </c>
      <c r="G1035" s="371">
        <v>1021.0</v>
      </c>
      <c r="H1035" s="371">
        <v>57.0</v>
      </c>
      <c r="I1035" s="371"/>
      <c r="K1035" s="374">
        <v>1.0</v>
      </c>
      <c r="L1035" s="269" t="str">
        <f t="shared" si="1"/>
        <v>V</v>
      </c>
    </row>
    <row r="1036" ht="15.75" customHeight="1">
      <c r="A1036" s="370">
        <v>46032.0</v>
      </c>
      <c r="B1036" s="371" t="s">
        <v>1490</v>
      </c>
      <c r="C1036" s="371" t="s">
        <v>1493</v>
      </c>
      <c r="D1036" s="371" t="s">
        <v>1500</v>
      </c>
      <c r="E1036" s="373">
        <v>12.91</v>
      </c>
      <c r="G1036" s="371">
        <v>1122.0</v>
      </c>
      <c r="H1036" s="371">
        <v>18.0</v>
      </c>
      <c r="K1036" s="374">
        <v>2.0</v>
      </c>
      <c r="L1036" s="269" t="str">
        <f t="shared" si="1"/>
        <v>V</v>
      </c>
    </row>
    <row r="1037" ht="15.75" customHeight="1">
      <c r="A1037" s="370">
        <v>46032.0</v>
      </c>
      <c r="B1037" s="371" t="s">
        <v>1490</v>
      </c>
      <c r="C1037" s="371" t="s">
        <v>1493</v>
      </c>
      <c r="D1037" s="371" t="s">
        <v>1501</v>
      </c>
      <c r="E1037" s="373">
        <v>2.99</v>
      </c>
      <c r="G1037" s="371">
        <v>239.0</v>
      </c>
      <c r="H1037" s="371">
        <v>6.0</v>
      </c>
      <c r="K1037" s="374">
        <v>2.0</v>
      </c>
      <c r="L1037" s="269" t="str">
        <f t="shared" si="1"/>
        <v>V</v>
      </c>
    </row>
    <row r="1038" ht="15.75" customHeight="1">
      <c r="A1038" s="370">
        <v>46032.0</v>
      </c>
      <c r="B1038" s="371" t="s">
        <v>1490</v>
      </c>
      <c r="C1038" s="371" t="s">
        <v>1504</v>
      </c>
      <c r="D1038" s="371" t="s">
        <v>1494</v>
      </c>
      <c r="E1038" s="373">
        <v>0.18</v>
      </c>
      <c r="G1038" s="371">
        <v>28.0</v>
      </c>
      <c r="H1038" s="371">
        <v>0.0</v>
      </c>
      <c r="K1038" s="374"/>
      <c r="L1038" s="269" t="str">
        <f t="shared" si="1"/>
        <v>V</v>
      </c>
    </row>
    <row r="1039" ht="15.75" customHeight="1">
      <c r="A1039" s="370">
        <v>46032.0</v>
      </c>
      <c r="B1039" s="371" t="s">
        <v>1490</v>
      </c>
      <c r="C1039" s="371" t="s">
        <v>1503</v>
      </c>
      <c r="D1039" s="371" t="s">
        <v>1494</v>
      </c>
      <c r="E1039" s="373">
        <v>3.55</v>
      </c>
      <c r="G1039" s="371">
        <v>240.0</v>
      </c>
      <c r="H1039" s="371">
        <v>12.0</v>
      </c>
      <c r="K1039" s="374"/>
      <c r="L1039" s="269" t="str">
        <f t="shared" si="1"/>
        <v>V</v>
      </c>
    </row>
    <row r="1040" ht="15.75" customHeight="1">
      <c r="A1040" s="370">
        <v>46032.0</v>
      </c>
      <c r="B1040" s="371" t="s">
        <v>1495</v>
      </c>
      <c r="C1040" s="371" t="s">
        <v>1496</v>
      </c>
      <c r="D1040" s="371" t="s">
        <v>1497</v>
      </c>
      <c r="E1040" s="373">
        <v>9.69</v>
      </c>
      <c r="G1040" s="371">
        <v>4575.0</v>
      </c>
      <c r="H1040" s="371">
        <v>49.0</v>
      </c>
      <c r="I1040" s="371"/>
      <c r="K1040" s="374"/>
      <c r="L1040" s="269" t="str">
        <f t="shared" si="1"/>
        <v>AD</v>
      </c>
    </row>
    <row r="1041" ht="15.75" customHeight="1">
      <c r="A1041" s="370">
        <v>46031.0</v>
      </c>
      <c r="B1041" s="371" t="s">
        <v>1490</v>
      </c>
      <c r="C1041" s="371" t="s">
        <v>1510</v>
      </c>
      <c r="D1041" s="371" t="s">
        <v>1511</v>
      </c>
      <c r="E1041" s="373">
        <v>21.38</v>
      </c>
      <c r="G1041" s="371">
        <v>568.0</v>
      </c>
      <c r="H1041" s="371">
        <v>18.0</v>
      </c>
      <c r="K1041" s="374">
        <v>4.0</v>
      </c>
      <c r="L1041" s="269" t="str">
        <f t="shared" si="1"/>
        <v>medicos</v>
      </c>
    </row>
    <row r="1042" ht="15.75" customHeight="1">
      <c r="A1042" s="370">
        <v>46031.0</v>
      </c>
      <c r="B1042" s="371" t="s">
        <v>1490</v>
      </c>
      <c r="C1042" s="371" t="s">
        <v>1503</v>
      </c>
      <c r="D1042" s="371" t="s">
        <v>1498</v>
      </c>
      <c r="E1042" s="373">
        <v>0.06</v>
      </c>
      <c r="G1042" s="371">
        <v>5.0</v>
      </c>
      <c r="H1042" s="371">
        <v>0.0</v>
      </c>
      <c r="K1042" s="374"/>
      <c r="L1042" s="269" t="str">
        <f t="shared" si="1"/>
        <v>V</v>
      </c>
    </row>
    <row r="1043" ht="15.75" customHeight="1">
      <c r="A1043" s="370">
        <v>46031.0</v>
      </c>
      <c r="B1043" s="371" t="s">
        <v>1490</v>
      </c>
      <c r="C1043" s="371" t="s">
        <v>1503</v>
      </c>
      <c r="D1043" s="371" t="s">
        <v>1508</v>
      </c>
      <c r="E1043" s="373">
        <v>12.67</v>
      </c>
      <c r="G1043" s="371">
        <v>985.0</v>
      </c>
      <c r="H1043" s="371">
        <v>47.0</v>
      </c>
      <c r="K1043" s="374">
        <v>1.0</v>
      </c>
      <c r="L1043" s="269" t="str">
        <f t="shared" si="1"/>
        <v>V</v>
      </c>
    </row>
    <row r="1044" ht="15.75" customHeight="1">
      <c r="A1044" s="370">
        <v>46031.0</v>
      </c>
      <c r="B1044" s="371" t="s">
        <v>1490</v>
      </c>
      <c r="C1044" s="371" t="s">
        <v>1504</v>
      </c>
      <c r="D1044" s="371" t="s">
        <v>1508</v>
      </c>
      <c r="E1044" s="373">
        <v>1.31</v>
      </c>
      <c r="G1044" s="371">
        <v>92.0</v>
      </c>
      <c r="H1044" s="371">
        <v>6.0</v>
      </c>
      <c r="I1044" s="371"/>
      <c r="K1044" s="374"/>
      <c r="L1044" s="269" t="str">
        <f t="shared" si="1"/>
        <v>V</v>
      </c>
    </row>
    <row r="1045" ht="15.75" customHeight="1">
      <c r="A1045" s="370">
        <v>46031.0</v>
      </c>
      <c r="B1045" s="371" t="s">
        <v>1490</v>
      </c>
      <c r="C1045" s="371" t="s">
        <v>1504</v>
      </c>
      <c r="D1045" s="371" t="s">
        <v>1507</v>
      </c>
      <c r="E1045" s="373">
        <v>15.24</v>
      </c>
      <c r="G1045" s="371">
        <v>1046.0</v>
      </c>
      <c r="H1045" s="371">
        <v>66.0</v>
      </c>
      <c r="I1045" s="371"/>
      <c r="K1045" s="374">
        <v>6.0</v>
      </c>
      <c r="L1045" s="269" t="str">
        <f t="shared" si="1"/>
        <v>V</v>
      </c>
    </row>
    <row r="1046" ht="15.75" customHeight="1">
      <c r="A1046" s="370">
        <v>46031.0</v>
      </c>
      <c r="B1046" s="371" t="s">
        <v>1490</v>
      </c>
      <c r="C1046" s="371" t="s">
        <v>1493</v>
      </c>
      <c r="D1046" s="371" t="s">
        <v>1500</v>
      </c>
      <c r="E1046" s="373">
        <v>9.75</v>
      </c>
      <c r="G1046" s="371">
        <v>989.0</v>
      </c>
      <c r="H1046" s="371">
        <v>28.0</v>
      </c>
      <c r="I1046" s="371"/>
      <c r="K1046" s="374">
        <v>1.0</v>
      </c>
      <c r="L1046" s="269" t="str">
        <f t="shared" si="1"/>
        <v>V</v>
      </c>
    </row>
    <row r="1047" ht="15.75" customHeight="1">
      <c r="A1047" s="370">
        <v>46031.0</v>
      </c>
      <c r="B1047" s="371" t="s">
        <v>1490</v>
      </c>
      <c r="C1047" s="371" t="s">
        <v>1493</v>
      </c>
      <c r="D1047" s="371" t="s">
        <v>1501</v>
      </c>
      <c r="E1047" s="373">
        <v>6.79</v>
      </c>
      <c r="G1047" s="371">
        <v>565.0</v>
      </c>
      <c r="H1047" s="371">
        <v>8.0</v>
      </c>
      <c r="K1047" s="374">
        <v>2.0</v>
      </c>
      <c r="L1047" s="269" t="str">
        <f t="shared" si="1"/>
        <v>V</v>
      </c>
    </row>
    <row r="1048" ht="15.75" customHeight="1">
      <c r="A1048" s="370">
        <v>46031.0</v>
      </c>
      <c r="B1048" s="371" t="s">
        <v>1490</v>
      </c>
      <c r="C1048" s="371" t="s">
        <v>1504</v>
      </c>
      <c r="D1048" s="371" t="s">
        <v>1494</v>
      </c>
      <c r="E1048" s="373">
        <v>0.37</v>
      </c>
      <c r="G1048" s="371">
        <v>66.0</v>
      </c>
      <c r="H1048" s="371">
        <v>0.0</v>
      </c>
      <c r="K1048" s="374"/>
      <c r="L1048" s="269" t="str">
        <f t="shared" si="1"/>
        <v>V</v>
      </c>
    </row>
    <row r="1049" ht="15.75" customHeight="1">
      <c r="A1049" s="370">
        <v>46031.0</v>
      </c>
      <c r="B1049" s="371" t="s">
        <v>1495</v>
      </c>
      <c r="C1049" s="371" t="s">
        <v>1496</v>
      </c>
      <c r="D1049" s="371" t="s">
        <v>1497</v>
      </c>
      <c r="E1049" s="373">
        <v>9.77</v>
      </c>
      <c r="G1049" s="371">
        <v>3375.0</v>
      </c>
      <c r="H1049" s="371">
        <v>58.0</v>
      </c>
      <c r="K1049" s="374"/>
      <c r="L1049" s="269" t="str">
        <f t="shared" si="1"/>
        <v>AD</v>
      </c>
    </row>
    <row r="1050" ht="15.75" customHeight="1">
      <c r="A1050" s="370">
        <v>46030.0</v>
      </c>
      <c r="B1050" s="371" t="s">
        <v>1490</v>
      </c>
      <c r="C1050" s="371" t="s">
        <v>1510</v>
      </c>
      <c r="D1050" s="371" t="s">
        <v>1511</v>
      </c>
      <c r="E1050" s="373">
        <v>23.86</v>
      </c>
      <c r="G1050" s="371">
        <v>652.0</v>
      </c>
      <c r="H1050" s="371">
        <v>11.0</v>
      </c>
      <c r="I1050" s="371"/>
      <c r="K1050" s="374">
        <v>5.0</v>
      </c>
      <c r="L1050" s="269" t="str">
        <f t="shared" si="1"/>
        <v>medicos</v>
      </c>
    </row>
    <row r="1051" ht="15.75" customHeight="1">
      <c r="A1051" s="370">
        <v>46030.0</v>
      </c>
      <c r="B1051" s="371" t="s">
        <v>1490</v>
      </c>
      <c r="C1051" s="371" t="s">
        <v>1503</v>
      </c>
      <c r="D1051" s="371" t="s">
        <v>1509</v>
      </c>
      <c r="E1051" s="373">
        <v>2.36</v>
      </c>
      <c r="G1051" s="371">
        <v>128.0</v>
      </c>
      <c r="H1051" s="371">
        <v>7.0</v>
      </c>
      <c r="I1051" s="371"/>
      <c r="K1051" s="374"/>
      <c r="L1051" s="269" t="str">
        <f t="shared" si="1"/>
        <v>V</v>
      </c>
    </row>
    <row r="1052" ht="15.75" customHeight="1">
      <c r="A1052" s="370">
        <v>46030.0</v>
      </c>
      <c r="B1052" s="371" t="s">
        <v>1490</v>
      </c>
      <c r="C1052" s="371" t="s">
        <v>1503</v>
      </c>
      <c r="D1052" s="371" t="s">
        <v>1505</v>
      </c>
      <c r="E1052" s="373">
        <v>0.04</v>
      </c>
      <c r="G1052" s="371">
        <v>4.0</v>
      </c>
      <c r="H1052" s="371">
        <v>0.0</v>
      </c>
      <c r="K1052" s="374"/>
      <c r="L1052" s="269" t="str">
        <f t="shared" si="1"/>
        <v>V-video</v>
      </c>
    </row>
    <row r="1053" ht="15.75" customHeight="1">
      <c r="A1053" s="370">
        <v>46030.0</v>
      </c>
      <c r="B1053" s="371" t="s">
        <v>1490</v>
      </c>
      <c r="C1053" s="371" t="s">
        <v>1504</v>
      </c>
      <c r="D1053" s="371" t="s">
        <v>1506</v>
      </c>
      <c r="E1053" s="373">
        <v>0.01</v>
      </c>
      <c r="G1053" s="371">
        <v>1.0</v>
      </c>
      <c r="H1053" s="371">
        <v>0.0</v>
      </c>
      <c r="K1053" s="374"/>
      <c r="L1053" s="269" t="str">
        <f t="shared" si="1"/>
        <v>V</v>
      </c>
    </row>
    <row r="1054" ht="15.75" customHeight="1">
      <c r="A1054" s="370">
        <v>46030.0</v>
      </c>
      <c r="B1054" s="371" t="s">
        <v>1490</v>
      </c>
      <c r="C1054" s="371" t="s">
        <v>1493</v>
      </c>
      <c r="D1054" s="371" t="s">
        <v>1499</v>
      </c>
      <c r="E1054" s="373">
        <v>0.27</v>
      </c>
      <c r="G1054" s="371">
        <v>23.0</v>
      </c>
      <c r="H1054" s="371">
        <v>0.0</v>
      </c>
      <c r="K1054" s="374"/>
      <c r="L1054" s="269" t="str">
        <f t="shared" si="1"/>
        <v>V</v>
      </c>
    </row>
    <row r="1055" ht="15.75" customHeight="1">
      <c r="A1055" s="370">
        <v>46030.0</v>
      </c>
      <c r="B1055" s="371" t="s">
        <v>1490</v>
      </c>
      <c r="C1055" s="371" t="s">
        <v>1503</v>
      </c>
      <c r="D1055" s="371" t="s">
        <v>1508</v>
      </c>
      <c r="E1055" s="373">
        <v>10.63</v>
      </c>
      <c r="G1055" s="371">
        <v>822.0</v>
      </c>
      <c r="H1055" s="371">
        <v>51.0</v>
      </c>
      <c r="K1055" s="374"/>
      <c r="L1055" s="269" t="str">
        <f t="shared" si="1"/>
        <v>V</v>
      </c>
    </row>
    <row r="1056" ht="15.75" customHeight="1">
      <c r="A1056" s="370">
        <v>46030.0</v>
      </c>
      <c r="B1056" s="371" t="s">
        <v>1490</v>
      </c>
      <c r="C1056" s="371" t="s">
        <v>1504</v>
      </c>
      <c r="D1056" s="371" t="s">
        <v>1508</v>
      </c>
      <c r="E1056" s="373">
        <v>9.53</v>
      </c>
      <c r="G1056" s="371">
        <v>662.0</v>
      </c>
      <c r="H1056" s="371">
        <v>59.0</v>
      </c>
      <c r="I1056" s="371"/>
      <c r="K1056" s="374"/>
      <c r="L1056" s="269" t="str">
        <f t="shared" si="1"/>
        <v>V</v>
      </c>
    </row>
    <row r="1057" ht="15.75" customHeight="1">
      <c r="A1057" s="370">
        <v>46030.0</v>
      </c>
      <c r="B1057" s="371" t="s">
        <v>1490</v>
      </c>
      <c r="C1057" s="371" t="s">
        <v>1493</v>
      </c>
      <c r="D1057" s="371" t="s">
        <v>1500</v>
      </c>
      <c r="E1057" s="373">
        <v>11.06</v>
      </c>
      <c r="G1057" s="371">
        <v>1258.0</v>
      </c>
      <c r="H1057" s="371">
        <v>28.0</v>
      </c>
      <c r="I1057" s="371"/>
      <c r="K1057" s="374"/>
      <c r="L1057" s="269" t="str">
        <f t="shared" si="1"/>
        <v>V</v>
      </c>
    </row>
    <row r="1058" ht="15.75" customHeight="1">
      <c r="A1058" s="370">
        <v>46030.0</v>
      </c>
      <c r="B1058" s="371" t="s">
        <v>1490</v>
      </c>
      <c r="C1058" s="371" t="s">
        <v>1493</v>
      </c>
      <c r="D1058" s="371" t="s">
        <v>1501</v>
      </c>
      <c r="E1058" s="373">
        <v>5.43</v>
      </c>
      <c r="G1058" s="371">
        <v>490.0</v>
      </c>
      <c r="H1058" s="371">
        <v>7.0</v>
      </c>
      <c r="K1058" s="374"/>
      <c r="L1058" s="269" t="str">
        <f t="shared" si="1"/>
        <v>V</v>
      </c>
    </row>
    <row r="1059" ht="15.75" customHeight="1">
      <c r="A1059" s="370">
        <v>46030.0</v>
      </c>
      <c r="B1059" s="371" t="s">
        <v>1490</v>
      </c>
      <c r="C1059" s="371" t="s">
        <v>1504</v>
      </c>
      <c r="D1059" s="371" t="s">
        <v>1494</v>
      </c>
      <c r="E1059" s="373">
        <v>8.35</v>
      </c>
      <c r="G1059" s="371">
        <v>764.0</v>
      </c>
      <c r="H1059" s="371">
        <v>35.0</v>
      </c>
      <c r="K1059" s="374">
        <v>3.0</v>
      </c>
      <c r="L1059" s="269" t="str">
        <f t="shared" si="1"/>
        <v>V</v>
      </c>
    </row>
    <row r="1060" ht="15.75" customHeight="1">
      <c r="A1060" s="370">
        <v>46030.0</v>
      </c>
      <c r="B1060" s="371" t="s">
        <v>1490</v>
      </c>
      <c r="C1060" s="371" t="s">
        <v>1503</v>
      </c>
      <c r="D1060" s="371" t="s">
        <v>1494</v>
      </c>
      <c r="E1060" s="373">
        <v>1.38</v>
      </c>
      <c r="G1060" s="371">
        <v>78.0</v>
      </c>
      <c r="H1060" s="371">
        <v>0.0</v>
      </c>
      <c r="I1060" s="371"/>
      <c r="K1060" s="374"/>
      <c r="L1060" s="269" t="str">
        <f t="shared" si="1"/>
        <v>V</v>
      </c>
    </row>
    <row r="1061" ht="15.75" customHeight="1">
      <c r="A1061" s="370">
        <v>46030.0</v>
      </c>
      <c r="B1061" s="371" t="s">
        <v>1495</v>
      </c>
      <c r="C1061" s="371" t="s">
        <v>1496</v>
      </c>
      <c r="D1061" s="371" t="s">
        <v>1497</v>
      </c>
      <c r="E1061" s="373">
        <v>10.14</v>
      </c>
      <c r="G1061" s="371">
        <v>4183.0</v>
      </c>
      <c r="H1061" s="371">
        <v>68.0</v>
      </c>
      <c r="K1061" s="374"/>
      <c r="L1061" s="269" t="str">
        <f t="shared" si="1"/>
        <v>AD</v>
      </c>
    </row>
    <row r="1062" ht="15.75" customHeight="1">
      <c r="A1062" s="370">
        <v>46029.0</v>
      </c>
      <c r="B1062" s="371" t="s">
        <v>1490</v>
      </c>
      <c r="C1062" s="371" t="s">
        <v>1510</v>
      </c>
      <c r="D1062" s="371" t="s">
        <v>1511</v>
      </c>
      <c r="E1062" s="373">
        <v>24.33</v>
      </c>
      <c r="G1062" s="371">
        <v>677.0</v>
      </c>
      <c r="H1062" s="371">
        <v>20.0</v>
      </c>
      <c r="I1062" s="371"/>
      <c r="K1062" s="374">
        <v>7.0</v>
      </c>
      <c r="L1062" s="269" t="str">
        <f t="shared" si="1"/>
        <v>medicos</v>
      </c>
    </row>
    <row r="1063" ht="15.75" customHeight="1">
      <c r="A1063" s="370">
        <v>46029.0</v>
      </c>
      <c r="B1063" s="371" t="s">
        <v>1490</v>
      </c>
      <c r="C1063" s="371" t="s">
        <v>1503</v>
      </c>
      <c r="D1063" s="371" t="s">
        <v>1498</v>
      </c>
      <c r="E1063" s="373">
        <v>0.11</v>
      </c>
      <c r="G1063" s="371">
        <v>10.0</v>
      </c>
      <c r="H1063" s="371">
        <v>0.0</v>
      </c>
      <c r="I1063" s="371"/>
      <c r="K1063" s="374"/>
      <c r="L1063" s="269" t="str">
        <f t="shared" si="1"/>
        <v>V</v>
      </c>
    </row>
    <row r="1064" ht="15.75" customHeight="1">
      <c r="A1064" s="370">
        <v>46029.0</v>
      </c>
      <c r="B1064" s="371" t="s">
        <v>1490</v>
      </c>
      <c r="C1064" s="371" t="s">
        <v>1493</v>
      </c>
      <c r="D1064" s="371" t="s">
        <v>1498</v>
      </c>
      <c r="E1064" s="373">
        <v>0.93</v>
      </c>
      <c r="G1064" s="371">
        <v>107.0</v>
      </c>
      <c r="H1064" s="371">
        <v>1.0</v>
      </c>
      <c r="K1064" s="374"/>
      <c r="L1064" s="269" t="str">
        <f t="shared" si="1"/>
        <v>V</v>
      </c>
    </row>
    <row r="1065" ht="15.75" customHeight="1">
      <c r="A1065" s="370">
        <v>46029.0</v>
      </c>
      <c r="B1065" s="371" t="s">
        <v>1490</v>
      </c>
      <c r="C1065" s="371" t="s">
        <v>1503</v>
      </c>
      <c r="D1065" s="371" t="s">
        <v>1509</v>
      </c>
      <c r="E1065" s="373">
        <v>3.89</v>
      </c>
      <c r="G1065" s="371">
        <v>291.0</v>
      </c>
      <c r="H1065" s="371">
        <v>5.0</v>
      </c>
      <c r="K1065" s="374"/>
      <c r="L1065" s="269" t="str">
        <f t="shared" si="1"/>
        <v>V</v>
      </c>
    </row>
    <row r="1066" ht="15.75" customHeight="1">
      <c r="A1066" s="370">
        <v>46029.0</v>
      </c>
      <c r="B1066" s="371" t="s">
        <v>1490</v>
      </c>
      <c r="C1066" s="371" t="s">
        <v>1503</v>
      </c>
      <c r="D1066" s="371" t="s">
        <v>1505</v>
      </c>
      <c r="E1066" s="373">
        <v>0.0</v>
      </c>
      <c r="G1066" s="371">
        <v>1.0</v>
      </c>
      <c r="H1066" s="371">
        <v>0.0</v>
      </c>
      <c r="K1066" s="374"/>
      <c r="L1066" s="269" t="str">
        <f t="shared" si="1"/>
        <v>V-video</v>
      </c>
    </row>
    <row r="1067" ht="15.75" customHeight="1">
      <c r="A1067" s="370">
        <v>46029.0</v>
      </c>
      <c r="B1067" s="371" t="s">
        <v>1490</v>
      </c>
      <c r="C1067" s="371" t="s">
        <v>1503</v>
      </c>
      <c r="D1067" s="371" t="s">
        <v>1508</v>
      </c>
      <c r="E1067" s="373">
        <v>4.49</v>
      </c>
      <c r="G1067" s="371">
        <v>298.0</v>
      </c>
      <c r="H1067" s="371">
        <v>15.0</v>
      </c>
      <c r="K1067" s="374">
        <v>1.0</v>
      </c>
      <c r="L1067" s="269" t="str">
        <f t="shared" si="1"/>
        <v>V</v>
      </c>
    </row>
    <row r="1068" ht="15.75" customHeight="1">
      <c r="A1068" s="370">
        <v>46029.0</v>
      </c>
      <c r="B1068" s="371" t="s">
        <v>1490</v>
      </c>
      <c r="C1068" s="371" t="s">
        <v>1504</v>
      </c>
      <c r="D1068" s="371" t="s">
        <v>1508</v>
      </c>
      <c r="E1068" s="373">
        <v>1.4</v>
      </c>
      <c r="G1068" s="371">
        <v>124.0</v>
      </c>
      <c r="H1068" s="371">
        <v>5.0</v>
      </c>
      <c r="I1068" s="371"/>
      <c r="K1068" s="374"/>
      <c r="L1068" s="269" t="str">
        <f t="shared" si="1"/>
        <v>V</v>
      </c>
    </row>
    <row r="1069" ht="15.75" customHeight="1">
      <c r="A1069" s="370">
        <v>46029.0</v>
      </c>
      <c r="B1069" s="371" t="s">
        <v>1490</v>
      </c>
      <c r="C1069" s="371" t="s">
        <v>1493</v>
      </c>
      <c r="D1069" s="371" t="s">
        <v>1500</v>
      </c>
      <c r="E1069" s="373">
        <v>11.24</v>
      </c>
      <c r="G1069" s="371">
        <v>1343.0</v>
      </c>
      <c r="H1069" s="371">
        <v>21.0</v>
      </c>
      <c r="K1069" s="374"/>
      <c r="L1069" s="269" t="str">
        <f t="shared" si="1"/>
        <v>V</v>
      </c>
    </row>
    <row r="1070" ht="15.75" customHeight="1">
      <c r="A1070" s="370">
        <v>46029.0</v>
      </c>
      <c r="B1070" s="371" t="s">
        <v>1490</v>
      </c>
      <c r="C1070" s="371" t="s">
        <v>1493</v>
      </c>
      <c r="D1070" s="371" t="s">
        <v>1501</v>
      </c>
      <c r="E1070" s="373">
        <v>4.03</v>
      </c>
      <c r="G1070" s="371">
        <v>405.0</v>
      </c>
      <c r="H1070" s="371">
        <v>4.0</v>
      </c>
      <c r="K1070" s="374"/>
      <c r="L1070" s="269" t="str">
        <f t="shared" si="1"/>
        <v>V</v>
      </c>
    </row>
    <row r="1071" ht="15.75" customHeight="1">
      <c r="A1071" s="370">
        <v>46029.0</v>
      </c>
      <c r="B1071" s="371" t="s">
        <v>1490</v>
      </c>
      <c r="C1071" s="371" t="s">
        <v>1504</v>
      </c>
      <c r="D1071" s="371" t="s">
        <v>1494</v>
      </c>
      <c r="E1071" s="373">
        <v>16.0</v>
      </c>
      <c r="G1071" s="371">
        <v>1636.0</v>
      </c>
      <c r="H1071" s="371">
        <v>67.0</v>
      </c>
      <c r="K1071" s="374">
        <v>3.0</v>
      </c>
      <c r="L1071" s="269" t="str">
        <f t="shared" si="1"/>
        <v>V</v>
      </c>
    </row>
    <row r="1072" ht="15.75" customHeight="1">
      <c r="A1072" s="370">
        <v>46029.0</v>
      </c>
      <c r="B1072" s="371" t="s">
        <v>1490</v>
      </c>
      <c r="C1072" s="371" t="s">
        <v>1503</v>
      </c>
      <c r="D1072" s="371" t="s">
        <v>1494</v>
      </c>
      <c r="E1072" s="373">
        <v>3.23</v>
      </c>
      <c r="G1072" s="371">
        <v>407.0</v>
      </c>
      <c r="H1072" s="371">
        <v>18.0</v>
      </c>
      <c r="I1072" s="371"/>
      <c r="K1072" s="374">
        <v>2.0</v>
      </c>
      <c r="L1072" s="269" t="str">
        <f t="shared" si="1"/>
        <v>V</v>
      </c>
    </row>
    <row r="1073" ht="15.75" customHeight="1">
      <c r="A1073" s="370">
        <v>46029.0</v>
      </c>
      <c r="B1073" s="371" t="s">
        <v>1495</v>
      </c>
      <c r="C1073" s="371" t="s">
        <v>1496</v>
      </c>
      <c r="D1073" s="371" t="s">
        <v>1497</v>
      </c>
      <c r="E1073" s="373">
        <v>9.76</v>
      </c>
      <c r="G1073" s="371">
        <v>4678.0</v>
      </c>
      <c r="H1073" s="371">
        <v>61.0</v>
      </c>
      <c r="I1073" s="371"/>
      <c r="K1073" s="374"/>
      <c r="L1073" s="269" t="str">
        <f t="shared" si="1"/>
        <v>AD</v>
      </c>
    </row>
    <row r="1074" ht="15.75" customHeight="1">
      <c r="A1074" s="370">
        <v>46028.0</v>
      </c>
      <c r="B1074" s="371" t="s">
        <v>1490</v>
      </c>
      <c r="C1074" s="371" t="s">
        <v>1510</v>
      </c>
      <c r="D1074" s="371" t="s">
        <v>1511</v>
      </c>
      <c r="E1074" s="373">
        <v>23.94</v>
      </c>
      <c r="G1074" s="371">
        <v>731.0</v>
      </c>
      <c r="H1074" s="371">
        <v>19.0</v>
      </c>
      <c r="K1074" s="374">
        <v>7.0</v>
      </c>
      <c r="L1074" s="269" t="str">
        <f t="shared" si="1"/>
        <v>medicos</v>
      </c>
    </row>
    <row r="1075" ht="15.75" customHeight="1">
      <c r="A1075" s="370">
        <v>46028.0</v>
      </c>
      <c r="B1075" s="371" t="s">
        <v>1490</v>
      </c>
      <c r="C1075" s="371" t="s">
        <v>1504</v>
      </c>
      <c r="D1075" s="371" t="s">
        <v>1498</v>
      </c>
      <c r="E1075" s="373">
        <v>0.2</v>
      </c>
      <c r="G1075" s="371">
        <v>12.0</v>
      </c>
      <c r="H1075" s="371">
        <v>0.0</v>
      </c>
      <c r="I1075" s="371"/>
      <c r="K1075" s="374"/>
      <c r="L1075" s="269" t="str">
        <f t="shared" si="1"/>
        <v>V</v>
      </c>
    </row>
    <row r="1076" ht="15.75" customHeight="1">
      <c r="A1076" s="370">
        <v>46028.0</v>
      </c>
      <c r="B1076" s="371" t="s">
        <v>1490</v>
      </c>
      <c r="C1076" s="371" t="s">
        <v>1493</v>
      </c>
      <c r="D1076" s="371" t="s">
        <v>1498</v>
      </c>
      <c r="E1076" s="373">
        <v>0.94</v>
      </c>
      <c r="G1076" s="371">
        <v>122.0</v>
      </c>
      <c r="H1076" s="371">
        <v>3.0</v>
      </c>
      <c r="K1076" s="374">
        <v>1.0</v>
      </c>
      <c r="L1076" s="269" t="str">
        <f t="shared" si="1"/>
        <v>V</v>
      </c>
    </row>
    <row r="1077" ht="15.75" customHeight="1">
      <c r="A1077" s="370">
        <v>46028.0</v>
      </c>
      <c r="B1077" s="371" t="s">
        <v>1490</v>
      </c>
      <c r="C1077" s="371" t="s">
        <v>1493</v>
      </c>
      <c r="D1077" s="371" t="s">
        <v>1509</v>
      </c>
      <c r="E1077" s="373">
        <v>0.03</v>
      </c>
      <c r="G1077" s="371">
        <v>12.0</v>
      </c>
      <c r="H1077" s="371">
        <v>1.0</v>
      </c>
      <c r="K1077" s="374">
        <v>1.0</v>
      </c>
      <c r="L1077" s="269" t="str">
        <f t="shared" si="1"/>
        <v>V</v>
      </c>
    </row>
    <row r="1078" ht="15.75" customHeight="1">
      <c r="A1078" s="370">
        <v>46028.0</v>
      </c>
      <c r="B1078" s="371" t="s">
        <v>1490</v>
      </c>
      <c r="C1078" s="371" t="s">
        <v>1503</v>
      </c>
      <c r="D1078" s="371" t="s">
        <v>1505</v>
      </c>
      <c r="E1078" s="373">
        <v>0.0</v>
      </c>
      <c r="G1078" s="371">
        <v>1.0</v>
      </c>
      <c r="H1078" s="371">
        <v>0.0</v>
      </c>
      <c r="I1078" s="371"/>
      <c r="K1078" s="374"/>
      <c r="L1078" s="269" t="str">
        <f t="shared" si="1"/>
        <v>V-video</v>
      </c>
    </row>
    <row r="1079" ht="15.75" customHeight="1">
      <c r="A1079" s="370">
        <v>46028.0</v>
      </c>
      <c r="B1079" s="371" t="s">
        <v>1490</v>
      </c>
      <c r="C1079" s="371" t="s">
        <v>1493</v>
      </c>
      <c r="D1079" s="371" t="s">
        <v>1499</v>
      </c>
      <c r="E1079" s="373">
        <v>0.17</v>
      </c>
      <c r="G1079" s="371">
        <v>22.0</v>
      </c>
      <c r="H1079" s="371">
        <v>0.0</v>
      </c>
      <c r="I1079" s="371"/>
      <c r="K1079" s="374"/>
      <c r="L1079" s="269" t="str">
        <f t="shared" si="1"/>
        <v>V</v>
      </c>
    </row>
    <row r="1080" ht="15.75" customHeight="1">
      <c r="A1080" s="370">
        <v>46028.0</v>
      </c>
      <c r="B1080" s="371" t="s">
        <v>1490</v>
      </c>
      <c r="C1080" s="371" t="s">
        <v>1503</v>
      </c>
      <c r="D1080" s="371" t="s">
        <v>1507</v>
      </c>
      <c r="E1080" s="373">
        <v>1.39</v>
      </c>
      <c r="G1080" s="371">
        <v>120.0</v>
      </c>
      <c r="H1080" s="371">
        <v>5.0</v>
      </c>
      <c r="K1080" s="374"/>
      <c r="L1080" s="269" t="str">
        <f t="shared" si="1"/>
        <v>V</v>
      </c>
    </row>
    <row r="1081" ht="15.75" customHeight="1">
      <c r="A1081" s="370">
        <v>46028.0</v>
      </c>
      <c r="B1081" s="371" t="s">
        <v>1490</v>
      </c>
      <c r="C1081" s="371" t="s">
        <v>1504</v>
      </c>
      <c r="D1081" s="371" t="s">
        <v>1508</v>
      </c>
      <c r="E1081" s="373">
        <v>13.89</v>
      </c>
      <c r="G1081" s="371">
        <v>947.0</v>
      </c>
      <c r="H1081" s="371">
        <v>53.0</v>
      </c>
      <c r="K1081" s="374">
        <v>1.0</v>
      </c>
      <c r="L1081" s="269" t="str">
        <f t="shared" si="1"/>
        <v>V</v>
      </c>
    </row>
    <row r="1082" ht="15.75" customHeight="1">
      <c r="A1082" s="370">
        <v>46028.0</v>
      </c>
      <c r="B1082" s="371" t="s">
        <v>1490</v>
      </c>
      <c r="C1082" s="371" t="s">
        <v>1504</v>
      </c>
      <c r="D1082" s="371" t="s">
        <v>1507</v>
      </c>
      <c r="E1082" s="373">
        <v>0.56</v>
      </c>
      <c r="G1082" s="371">
        <v>44.0</v>
      </c>
      <c r="H1082" s="371">
        <v>4.0</v>
      </c>
      <c r="K1082" s="374"/>
      <c r="L1082" s="269" t="str">
        <f t="shared" si="1"/>
        <v>V</v>
      </c>
    </row>
    <row r="1083" ht="15.75" customHeight="1">
      <c r="A1083" s="370">
        <v>46028.0</v>
      </c>
      <c r="B1083" s="371" t="s">
        <v>1490</v>
      </c>
      <c r="C1083" s="371" t="s">
        <v>1493</v>
      </c>
      <c r="D1083" s="371" t="s">
        <v>1500</v>
      </c>
      <c r="E1083" s="373">
        <v>8.97</v>
      </c>
      <c r="G1083" s="371">
        <v>1182.0</v>
      </c>
      <c r="H1083" s="371">
        <v>20.0</v>
      </c>
      <c r="K1083" s="374"/>
      <c r="L1083" s="269" t="str">
        <f t="shared" si="1"/>
        <v>V</v>
      </c>
    </row>
    <row r="1084" ht="15.75" customHeight="1">
      <c r="A1084" s="370">
        <v>46028.0</v>
      </c>
      <c r="B1084" s="371" t="s">
        <v>1490</v>
      </c>
      <c r="C1084" s="371" t="s">
        <v>1493</v>
      </c>
      <c r="D1084" s="371" t="s">
        <v>1501</v>
      </c>
      <c r="E1084" s="373">
        <v>6.07</v>
      </c>
      <c r="G1084" s="371">
        <v>679.0</v>
      </c>
      <c r="H1084" s="371">
        <v>15.0</v>
      </c>
      <c r="K1084" s="374">
        <v>3.0</v>
      </c>
      <c r="L1084" s="269" t="str">
        <f t="shared" si="1"/>
        <v>V</v>
      </c>
    </row>
    <row r="1085" ht="15.75" customHeight="1">
      <c r="A1085" s="370">
        <v>46028.0</v>
      </c>
      <c r="B1085" s="371" t="s">
        <v>1490</v>
      </c>
      <c r="C1085" s="371" t="s">
        <v>1504</v>
      </c>
      <c r="D1085" s="371" t="s">
        <v>1494</v>
      </c>
      <c r="E1085" s="373">
        <v>2.75</v>
      </c>
      <c r="G1085" s="371">
        <v>283.0</v>
      </c>
      <c r="H1085" s="371">
        <v>19.0</v>
      </c>
      <c r="I1085" s="371"/>
      <c r="K1085" s="374"/>
      <c r="L1085" s="269" t="str">
        <f t="shared" si="1"/>
        <v>V</v>
      </c>
    </row>
    <row r="1086" ht="15.75" customHeight="1">
      <c r="A1086" s="370">
        <v>46028.0</v>
      </c>
      <c r="B1086" s="371" t="s">
        <v>1490</v>
      </c>
      <c r="C1086" s="371" t="s">
        <v>1503</v>
      </c>
      <c r="D1086" s="371" t="s">
        <v>1494</v>
      </c>
      <c r="E1086" s="373">
        <v>12.76</v>
      </c>
      <c r="G1086" s="371">
        <v>1314.0</v>
      </c>
      <c r="H1086" s="371">
        <v>58.0</v>
      </c>
      <c r="I1086" s="371"/>
      <c r="K1086" s="374">
        <v>6.0</v>
      </c>
      <c r="L1086" s="269" t="str">
        <f t="shared" si="1"/>
        <v>V</v>
      </c>
    </row>
    <row r="1087" ht="15.75" customHeight="1">
      <c r="A1087" s="370">
        <v>46028.0</v>
      </c>
      <c r="B1087" s="371" t="s">
        <v>1495</v>
      </c>
      <c r="C1087" s="371" t="s">
        <v>1496</v>
      </c>
      <c r="D1087" s="371" t="s">
        <v>1497</v>
      </c>
      <c r="E1087" s="373">
        <v>9.92</v>
      </c>
      <c r="G1087" s="371">
        <v>5340.0</v>
      </c>
      <c r="H1087" s="371">
        <v>57.0</v>
      </c>
      <c r="K1087" s="374"/>
      <c r="L1087" s="269" t="str">
        <f t="shared" si="1"/>
        <v>AD</v>
      </c>
    </row>
    <row r="1088" ht="15.75" customHeight="1">
      <c r="A1088" s="370">
        <v>46027.0</v>
      </c>
      <c r="B1088" s="371" t="s">
        <v>1490</v>
      </c>
      <c r="C1088" s="371" t="s">
        <v>1510</v>
      </c>
      <c r="D1088" s="371" t="s">
        <v>1511</v>
      </c>
      <c r="E1088" s="373">
        <v>23.79</v>
      </c>
      <c r="G1088" s="371">
        <v>998.0</v>
      </c>
      <c r="H1088" s="371">
        <v>20.0</v>
      </c>
      <c r="K1088" s="374">
        <v>4.0</v>
      </c>
      <c r="L1088" s="269" t="str">
        <f t="shared" si="1"/>
        <v>medicos</v>
      </c>
    </row>
    <row r="1089" ht="15.75" customHeight="1">
      <c r="A1089" s="370">
        <v>46027.0</v>
      </c>
      <c r="B1089" s="371" t="s">
        <v>1490</v>
      </c>
      <c r="C1089" s="371" t="s">
        <v>1503</v>
      </c>
      <c r="D1089" s="371" t="s">
        <v>1498</v>
      </c>
      <c r="E1089" s="373">
        <v>0.0</v>
      </c>
      <c r="G1089" s="371">
        <v>0.0</v>
      </c>
      <c r="H1089" s="371">
        <v>0.0</v>
      </c>
      <c r="I1089" s="371">
        <v>1.0</v>
      </c>
      <c r="K1089" s="374"/>
      <c r="L1089" s="269" t="str">
        <f t="shared" si="1"/>
        <v>V</v>
      </c>
    </row>
    <row r="1090" ht="15.75" customHeight="1">
      <c r="A1090" s="370">
        <v>46027.0</v>
      </c>
      <c r="B1090" s="371" t="s">
        <v>1490</v>
      </c>
      <c r="C1090" s="371" t="s">
        <v>1493</v>
      </c>
      <c r="D1090" s="371" t="s">
        <v>1509</v>
      </c>
      <c r="E1090" s="373">
        <v>2.95</v>
      </c>
      <c r="G1090" s="371">
        <v>415.0</v>
      </c>
      <c r="H1090" s="371">
        <v>7.0</v>
      </c>
      <c r="K1090" s="374">
        <v>1.0</v>
      </c>
      <c r="L1090" s="269" t="str">
        <f t="shared" si="1"/>
        <v>V</v>
      </c>
    </row>
    <row r="1091" ht="15.75" customHeight="1">
      <c r="A1091" s="370">
        <v>46027.0</v>
      </c>
      <c r="B1091" s="371" t="s">
        <v>1490</v>
      </c>
      <c r="C1091" s="371" t="s">
        <v>1503</v>
      </c>
      <c r="D1091" s="371" t="s">
        <v>1505</v>
      </c>
      <c r="E1091" s="373">
        <v>0.0</v>
      </c>
      <c r="G1091" s="371">
        <v>1.0</v>
      </c>
      <c r="H1091" s="371">
        <v>0.0</v>
      </c>
      <c r="K1091" s="374"/>
      <c r="L1091" s="269" t="str">
        <f t="shared" si="1"/>
        <v>V-video</v>
      </c>
    </row>
    <row r="1092" ht="15.75" customHeight="1">
      <c r="A1092" s="370">
        <v>46027.0</v>
      </c>
      <c r="B1092" s="371" t="s">
        <v>1490</v>
      </c>
      <c r="C1092" s="371" t="s">
        <v>1493</v>
      </c>
      <c r="D1092" s="371" t="s">
        <v>1499</v>
      </c>
      <c r="E1092" s="373">
        <v>0.55</v>
      </c>
      <c r="G1092" s="371">
        <v>36.0</v>
      </c>
      <c r="H1092" s="371">
        <v>1.0</v>
      </c>
      <c r="K1092" s="374"/>
      <c r="L1092" s="269" t="str">
        <f t="shared" si="1"/>
        <v>V</v>
      </c>
    </row>
    <row r="1093" ht="15.75" customHeight="1">
      <c r="A1093" s="370">
        <v>46027.0</v>
      </c>
      <c r="B1093" s="371" t="s">
        <v>1490</v>
      </c>
      <c r="C1093" s="371" t="s">
        <v>1503</v>
      </c>
      <c r="D1093" s="371" t="s">
        <v>1508</v>
      </c>
      <c r="E1093" s="373">
        <v>6.04</v>
      </c>
      <c r="G1093" s="371">
        <v>653.0</v>
      </c>
      <c r="H1093" s="371">
        <v>22.0</v>
      </c>
      <c r="K1093" s="374">
        <v>1.0</v>
      </c>
      <c r="L1093" s="269" t="str">
        <f t="shared" si="1"/>
        <v>V</v>
      </c>
    </row>
    <row r="1094" ht="15.75" customHeight="1">
      <c r="A1094" s="370">
        <v>46027.0</v>
      </c>
      <c r="B1094" s="371" t="s">
        <v>1490</v>
      </c>
      <c r="C1094" s="371" t="s">
        <v>1503</v>
      </c>
      <c r="D1094" s="371" t="s">
        <v>1507</v>
      </c>
      <c r="E1094" s="373">
        <v>4.09</v>
      </c>
      <c r="G1094" s="371">
        <v>337.0</v>
      </c>
      <c r="H1094" s="371">
        <v>19.0</v>
      </c>
      <c r="K1094" s="374"/>
      <c r="L1094" s="269" t="str">
        <f t="shared" si="1"/>
        <v>V</v>
      </c>
    </row>
    <row r="1095" ht="15.75" customHeight="1">
      <c r="A1095" s="370">
        <v>46027.0</v>
      </c>
      <c r="B1095" s="371" t="s">
        <v>1490</v>
      </c>
      <c r="C1095" s="371" t="s">
        <v>1504</v>
      </c>
      <c r="D1095" s="371" t="s">
        <v>1507</v>
      </c>
      <c r="E1095" s="373">
        <v>17.63</v>
      </c>
      <c r="G1095" s="371">
        <v>1460.0</v>
      </c>
      <c r="H1095" s="371">
        <v>94.0</v>
      </c>
      <c r="K1095" s="374">
        <v>2.0</v>
      </c>
      <c r="L1095" s="269" t="str">
        <f t="shared" si="1"/>
        <v>V</v>
      </c>
    </row>
    <row r="1096" ht="15.75" customHeight="1">
      <c r="A1096" s="370">
        <v>46027.0</v>
      </c>
      <c r="B1096" s="371" t="s">
        <v>1490</v>
      </c>
      <c r="C1096" s="371" t="s">
        <v>1493</v>
      </c>
      <c r="D1096" s="371" t="s">
        <v>1500</v>
      </c>
      <c r="E1096" s="373">
        <v>5.74</v>
      </c>
      <c r="G1096" s="371">
        <v>807.0</v>
      </c>
      <c r="H1096" s="371">
        <v>24.0</v>
      </c>
      <c r="K1096" s="374">
        <v>2.0</v>
      </c>
      <c r="L1096" s="269" t="str">
        <f t="shared" si="1"/>
        <v>V</v>
      </c>
    </row>
    <row r="1097" ht="15.75" customHeight="1">
      <c r="A1097" s="370">
        <v>46027.0</v>
      </c>
      <c r="B1097" s="371" t="s">
        <v>1490</v>
      </c>
      <c r="C1097" s="371" t="s">
        <v>1493</v>
      </c>
      <c r="D1097" s="371" t="s">
        <v>1501</v>
      </c>
      <c r="E1097" s="373">
        <v>3.22</v>
      </c>
      <c r="G1097" s="371">
        <v>350.0</v>
      </c>
      <c r="H1097" s="371">
        <v>12.0</v>
      </c>
      <c r="K1097" s="374"/>
      <c r="L1097" s="269" t="str">
        <f t="shared" si="1"/>
        <v>V</v>
      </c>
    </row>
    <row r="1098" ht="15.75" customHeight="1">
      <c r="A1098" s="370">
        <v>46027.0</v>
      </c>
      <c r="B1098" s="371" t="s">
        <v>1490</v>
      </c>
      <c r="C1098" s="371" t="s">
        <v>1503</v>
      </c>
      <c r="D1098" s="371" t="s">
        <v>1494</v>
      </c>
      <c r="E1098" s="373">
        <v>2.47</v>
      </c>
      <c r="G1098" s="371">
        <v>206.0</v>
      </c>
      <c r="H1098" s="371">
        <v>12.0</v>
      </c>
      <c r="K1098" s="374"/>
      <c r="L1098" s="269" t="str">
        <f t="shared" si="1"/>
        <v>V</v>
      </c>
    </row>
    <row r="1099" ht="15.75" customHeight="1">
      <c r="A1099" s="370">
        <v>46027.0</v>
      </c>
      <c r="B1099" s="371" t="s">
        <v>1495</v>
      </c>
      <c r="C1099" s="371" t="s">
        <v>1496</v>
      </c>
      <c r="D1099" s="371" t="s">
        <v>1497</v>
      </c>
      <c r="E1099" s="373">
        <v>9.82</v>
      </c>
      <c r="G1099" s="371">
        <v>6172.0</v>
      </c>
      <c r="H1099" s="371">
        <v>65.0</v>
      </c>
      <c r="K1099" s="374"/>
      <c r="L1099" s="269" t="str">
        <f t="shared" si="1"/>
        <v>AD</v>
      </c>
    </row>
    <row r="1100" ht="15.75" customHeight="1">
      <c r="A1100" s="370">
        <v>46026.0</v>
      </c>
      <c r="B1100" s="371" t="s">
        <v>1490</v>
      </c>
      <c r="C1100" s="371" t="s">
        <v>1510</v>
      </c>
      <c r="D1100" s="371" t="s">
        <v>1511</v>
      </c>
      <c r="E1100" s="373">
        <v>23.92</v>
      </c>
      <c r="G1100" s="371">
        <v>951.0</v>
      </c>
      <c r="H1100" s="371">
        <v>14.0</v>
      </c>
      <c r="K1100" s="374">
        <v>6.0</v>
      </c>
      <c r="L1100" s="269" t="str">
        <f t="shared" si="1"/>
        <v>medicos</v>
      </c>
    </row>
    <row r="1101" ht="15.75" customHeight="1">
      <c r="A1101" s="370">
        <v>46026.0</v>
      </c>
      <c r="B1101" s="371" t="s">
        <v>1490</v>
      </c>
      <c r="C1101" s="371" t="s">
        <v>1503</v>
      </c>
      <c r="D1101" s="371" t="s">
        <v>1498</v>
      </c>
      <c r="E1101" s="373">
        <v>2.99</v>
      </c>
      <c r="G1101" s="371">
        <v>186.0</v>
      </c>
      <c r="H1101" s="371">
        <v>3.0</v>
      </c>
      <c r="K1101" s="374"/>
      <c r="L1101" s="269" t="str">
        <f t="shared" si="1"/>
        <v>V</v>
      </c>
    </row>
    <row r="1102" ht="15.75" customHeight="1">
      <c r="A1102" s="370">
        <v>46026.0</v>
      </c>
      <c r="B1102" s="371" t="s">
        <v>1490</v>
      </c>
      <c r="C1102" s="371" t="s">
        <v>1493</v>
      </c>
      <c r="D1102" s="371" t="s">
        <v>1499</v>
      </c>
      <c r="E1102" s="373">
        <v>0.9</v>
      </c>
      <c r="G1102" s="371">
        <v>112.0</v>
      </c>
      <c r="H1102" s="371">
        <v>6.0</v>
      </c>
      <c r="K1102" s="374">
        <v>1.0</v>
      </c>
      <c r="L1102" s="269" t="str">
        <f t="shared" si="1"/>
        <v>V</v>
      </c>
    </row>
    <row r="1103" ht="15.75" customHeight="1">
      <c r="A1103" s="370">
        <v>46026.0</v>
      </c>
      <c r="B1103" s="371" t="s">
        <v>1490</v>
      </c>
      <c r="C1103" s="371" t="s">
        <v>1503</v>
      </c>
      <c r="D1103" s="371" t="s">
        <v>1508</v>
      </c>
      <c r="E1103" s="373">
        <v>9.68</v>
      </c>
      <c r="G1103" s="371">
        <v>897.0</v>
      </c>
      <c r="H1103" s="371">
        <v>46.0</v>
      </c>
      <c r="K1103" s="374">
        <v>1.0</v>
      </c>
      <c r="L1103" s="269" t="str">
        <f t="shared" si="1"/>
        <v>V</v>
      </c>
    </row>
    <row r="1104" ht="15.75" customHeight="1">
      <c r="A1104" s="370">
        <v>46026.0</v>
      </c>
      <c r="B1104" s="371" t="s">
        <v>1490</v>
      </c>
      <c r="C1104" s="371" t="s">
        <v>1503</v>
      </c>
      <c r="D1104" s="371" t="s">
        <v>1507</v>
      </c>
      <c r="E1104" s="373">
        <v>2.42</v>
      </c>
      <c r="G1104" s="371">
        <v>84.0</v>
      </c>
      <c r="H1104" s="371">
        <v>9.0</v>
      </c>
      <c r="K1104" s="374">
        <v>1.0</v>
      </c>
      <c r="L1104" s="269" t="str">
        <f t="shared" si="1"/>
        <v>V</v>
      </c>
    </row>
    <row r="1105" ht="15.75" customHeight="1">
      <c r="A1105" s="370">
        <v>46026.0</v>
      </c>
      <c r="B1105" s="371" t="s">
        <v>1490</v>
      </c>
      <c r="C1105" s="371" t="s">
        <v>1504</v>
      </c>
      <c r="D1105" s="371" t="s">
        <v>1507</v>
      </c>
      <c r="E1105" s="373">
        <v>17.3</v>
      </c>
      <c r="G1105" s="371">
        <v>1157.0</v>
      </c>
      <c r="H1105" s="371">
        <v>93.0</v>
      </c>
      <c r="K1105" s="374">
        <v>6.0</v>
      </c>
      <c r="L1105" s="269" t="str">
        <f t="shared" si="1"/>
        <v>V</v>
      </c>
    </row>
    <row r="1106" ht="15.75" customHeight="1">
      <c r="A1106" s="370">
        <v>46026.0</v>
      </c>
      <c r="B1106" s="371" t="s">
        <v>1490</v>
      </c>
      <c r="C1106" s="371" t="s">
        <v>1493</v>
      </c>
      <c r="D1106" s="371" t="s">
        <v>1500</v>
      </c>
      <c r="E1106" s="373">
        <v>8.19</v>
      </c>
      <c r="G1106" s="371">
        <v>1144.0</v>
      </c>
      <c r="H1106" s="371">
        <v>27.0</v>
      </c>
      <c r="K1106" s="374">
        <v>2.0</v>
      </c>
      <c r="L1106" s="269" t="str">
        <f t="shared" si="1"/>
        <v>V</v>
      </c>
    </row>
    <row r="1107" ht="15.75" customHeight="1">
      <c r="A1107" s="370">
        <v>46026.0</v>
      </c>
      <c r="B1107" s="371" t="s">
        <v>1490</v>
      </c>
      <c r="C1107" s="371" t="s">
        <v>1493</v>
      </c>
      <c r="D1107" s="371" t="s">
        <v>1501</v>
      </c>
      <c r="E1107" s="373">
        <v>7.41</v>
      </c>
      <c r="G1107" s="371">
        <v>744.0</v>
      </c>
      <c r="H1107" s="371">
        <v>17.0</v>
      </c>
      <c r="K1107" s="374"/>
      <c r="L1107" s="269" t="str">
        <f t="shared" si="1"/>
        <v>V</v>
      </c>
    </row>
    <row r="1108" ht="15.75" customHeight="1">
      <c r="A1108" s="370">
        <v>46026.0</v>
      </c>
      <c r="B1108" s="371" t="s">
        <v>1490</v>
      </c>
      <c r="C1108" s="371" t="s">
        <v>1504</v>
      </c>
      <c r="D1108" s="371" t="s">
        <v>1494</v>
      </c>
      <c r="E1108" s="373">
        <v>1.51</v>
      </c>
      <c r="G1108" s="371">
        <v>224.0</v>
      </c>
      <c r="H1108" s="371">
        <v>15.0</v>
      </c>
      <c r="K1108" s="374">
        <v>1.0</v>
      </c>
      <c r="L1108" s="269" t="str">
        <f t="shared" si="1"/>
        <v>V</v>
      </c>
    </row>
    <row r="1109" ht="15.75" customHeight="1">
      <c r="A1109" s="370">
        <v>46026.0</v>
      </c>
      <c r="B1109" s="371" t="s">
        <v>1495</v>
      </c>
      <c r="C1109" s="371" t="s">
        <v>1496</v>
      </c>
      <c r="D1109" s="371" t="s">
        <v>1497</v>
      </c>
      <c r="E1109" s="373">
        <v>10.77</v>
      </c>
      <c r="G1109" s="371">
        <v>5631.0</v>
      </c>
      <c r="H1109" s="371">
        <v>84.0</v>
      </c>
      <c r="K1109" s="374">
        <v>1.0</v>
      </c>
      <c r="L1109" s="269" t="str">
        <f t="shared" si="1"/>
        <v>AD</v>
      </c>
    </row>
    <row r="1110" ht="15.75" customHeight="1">
      <c r="A1110" s="370">
        <v>46025.0</v>
      </c>
      <c r="B1110" s="371" t="s">
        <v>1490</v>
      </c>
      <c r="C1110" s="371" t="s">
        <v>1510</v>
      </c>
      <c r="D1110" s="371" t="s">
        <v>1511</v>
      </c>
      <c r="E1110" s="373">
        <v>23.2</v>
      </c>
      <c r="G1110" s="371">
        <v>875.0</v>
      </c>
      <c r="H1110" s="371">
        <v>26.0</v>
      </c>
      <c r="K1110" s="374">
        <v>8.0</v>
      </c>
      <c r="L1110" s="269" t="str">
        <f t="shared" si="1"/>
        <v>medicos</v>
      </c>
    </row>
    <row r="1111" ht="15.75" customHeight="1">
      <c r="A1111" s="370">
        <v>46025.0</v>
      </c>
      <c r="B1111" s="371" t="s">
        <v>1490</v>
      </c>
      <c r="C1111" s="371" t="s">
        <v>1503</v>
      </c>
      <c r="D1111" s="371" t="s">
        <v>1509</v>
      </c>
      <c r="E1111" s="373">
        <v>0.61</v>
      </c>
      <c r="G1111" s="371">
        <v>41.0</v>
      </c>
      <c r="H1111" s="371">
        <v>1.0</v>
      </c>
      <c r="K1111" s="374"/>
      <c r="L1111" s="269" t="str">
        <f t="shared" si="1"/>
        <v>V</v>
      </c>
    </row>
    <row r="1112" ht="15.75" customHeight="1">
      <c r="A1112" s="370">
        <v>46025.0</v>
      </c>
      <c r="B1112" s="371" t="s">
        <v>1490</v>
      </c>
      <c r="C1112" s="371" t="s">
        <v>1503</v>
      </c>
      <c r="D1112" s="371" t="s">
        <v>1505</v>
      </c>
      <c r="E1112" s="373">
        <v>0.03</v>
      </c>
      <c r="G1112" s="371">
        <v>2.0</v>
      </c>
      <c r="H1112" s="371">
        <v>0.0</v>
      </c>
      <c r="K1112" s="374"/>
      <c r="L1112" s="269" t="str">
        <f t="shared" si="1"/>
        <v>V-video</v>
      </c>
    </row>
    <row r="1113" ht="15.75" customHeight="1">
      <c r="A1113" s="370">
        <v>46025.0</v>
      </c>
      <c r="B1113" s="371" t="s">
        <v>1490</v>
      </c>
      <c r="C1113" s="371" t="s">
        <v>1504</v>
      </c>
      <c r="D1113" s="371" t="s">
        <v>1506</v>
      </c>
      <c r="E1113" s="373">
        <v>0.0</v>
      </c>
      <c r="G1113" s="371">
        <v>1.0</v>
      </c>
      <c r="H1113" s="371">
        <v>0.0</v>
      </c>
      <c r="K1113" s="374"/>
      <c r="L1113" s="269" t="str">
        <f t="shared" si="1"/>
        <v>V</v>
      </c>
    </row>
    <row r="1114" ht="15.75" customHeight="1">
      <c r="A1114" s="370">
        <v>46025.0</v>
      </c>
      <c r="B1114" s="371" t="s">
        <v>1490</v>
      </c>
      <c r="C1114" s="371" t="s">
        <v>1493</v>
      </c>
      <c r="D1114" s="371" t="s">
        <v>1499</v>
      </c>
      <c r="E1114" s="373">
        <v>0.29</v>
      </c>
      <c r="G1114" s="371">
        <v>35.0</v>
      </c>
      <c r="H1114" s="371">
        <v>0.0</v>
      </c>
      <c r="K1114" s="374"/>
      <c r="L1114" s="269" t="str">
        <f t="shared" si="1"/>
        <v>V</v>
      </c>
    </row>
    <row r="1115" ht="15.75" customHeight="1">
      <c r="A1115" s="370">
        <v>46025.0</v>
      </c>
      <c r="B1115" s="371" t="s">
        <v>1490</v>
      </c>
      <c r="C1115" s="371" t="s">
        <v>1503</v>
      </c>
      <c r="D1115" s="371" t="s">
        <v>1508</v>
      </c>
      <c r="E1115" s="373">
        <v>0.05</v>
      </c>
      <c r="G1115" s="371">
        <v>7.0</v>
      </c>
      <c r="H1115" s="371">
        <v>0.0</v>
      </c>
      <c r="K1115" s="374"/>
      <c r="L1115" s="269" t="str">
        <f t="shared" si="1"/>
        <v>V</v>
      </c>
    </row>
    <row r="1116" ht="15.75" customHeight="1">
      <c r="A1116" s="370">
        <v>46025.0</v>
      </c>
      <c r="B1116" s="371" t="s">
        <v>1490</v>
      </c>
      <c r="C1116" s="371" t="s">
        <v>1503</v>
      </c>
      <c r="D1116" s="371" t="s">
        <v>1507</v>
      </c>
      <c r="E1116" s="373">
        <v>11.28</v>
      </c>
      <c r="G1116" s="371">
        <v>1027.0</v>
      </c>
      <c r="H1116" s="371">
        <v>51.0</v>
      </c>
      <c r="K1116" s="374">
        <v>4.0</v>
      </c>
      <c r="L1116" s="269" t="str">
        <f t="shared" si="1"/>
        <v>V</v>
      </c>
    </row>
    <row r="1117" ht="15.75" customHeight="1">
      <c r="A1117" s="370">
        <v>46025.0</v>
      </c>
      <c r="B1117" s="371" t="s">
        <v>1490</v>
      </c>
      <c r="C1117" s="371" t="s">
        <v>1493</v>
      </c>
      <c r="D1117" s="371" t="s">
        <v>1500</v>
      </c>
      <c r="E1117" s="373">
        <v>11.3</v>
      </c>
      <c r="G1117" s="371">
        <v>1744.0</v>
      </c>
      <c r="H1117" s="371">
        <v>27.0</v>
      </c>
      <c r="K1117" s="374">
        <v>2.0</v>
      </c>
      <c r="L1117" s="269" t="str">
        <f t="shared" si="1"/>
        <v>V</v>
      </c>
    </row>
    <row r="1118" ht="15.75" customHeight="1">
      <c r="A1118" s="370">
        <v>46025.0</v>
      </c>
      <c r="B1118" s="371" t="s">
        <v>1490</v>
      </c>
      <c r="C1118" s="371" t="s">
        <v>1493</v>
      </c>
      <c r="D1118" s="371" t="s">
        <v>1501</v>
      </c>
      <c r="E1118" s="373">
        <v>4.75</v>
      </c>
      <c r="G1118" s="371">
        <v>504.0</v>
      </c>
      <c r="H1118" s="371">
        <v>12.0</v>
      </c>
      <c r="K1118" s="374">
        <v>2.0</v>
      </c>
      <c r="L1118" s="269" t="str">
        <f t="shared" si="1"/>
        <v>V</v>
      </c>
    </row>
    <row r="1119" ht="15.75" customHeight="1">
      <c r="A1119" s="370">
        <v>46025.0</v>
      </c>
      <c r="B1119" s="371" t="s">
        <v>1490</v>
      </c>
      <c r="C1119" s="371" t="s">
        <v>1504</v>
      </c>
      <c r="D1119" s="371" t="s">
        <v>1494</v>
      </c>
      <c r="E1119" s="373">
        <v>13.03</v>
      </c>
      <c r="G1119" s="371">
        <v>1377.0</v>
      </c>
      <c r="H1119" s="371">
        <v>76.0</v>
      </c>
      <c r="K1119" s="374">
        <v>4.0</v>
      </c>
      <c r="L1119" s="269" t="str">
        <f t="shared" si="1"/>
        <v>V</v>
      </c>
    </row>
    <row r="1120" ht="15.75" customHeight="1">
      <c r="A1120" s="370">
        <v>46025.0</v>
      </c>
      <c r="B1120" s="371" t="s">
        <v>1490</v>
      </c>
      <c r="C1120" s="371" t="s">
        <v>1503</v>
      </c>
      <c r="D1120" s="371" t="s">
        <v>1494</v>
      </c>
      <c r="E1120" s="373">
        <v>0.84</v>
      </c>
      <c r="G1120" s="371">
        <v>114.0</v>
      </c>
      <c r="H1120" s="371">
        <v>4.0</v>
      </c>
      <c r="K1120" s="374"/>
      <c r="L1120" s="269" t="str">
        <f t="shared" si="1"/>
        <v>V</v>
      </c>
    </row>
    <row r="1121" ht="15.75" customHeight="1">
      <c r="A1121" s="370">
        <v>46025.0</v>
      </c>
      <c r="B1121" s="371" t="s">
        <v>1495</v>
      </c>
      <c r="C1121" s="371" t="s">
        <v>1496</v>
      </c>
      <c r="D1121" s="371" t="s">
        <v>1497</v>
      </c>
      <c r="E1121" s="373">
        <v>12.95</v>
      </c>
      <c r="G1121" s="371">
        <v>8984.0</v>
      </c>
      <c r="H1121" s="371">
        <v>78.0</v>
      </c>
      <c r="K1121" s="374"/>
      <c r="L1121" s="269" t="str">
        <f t="shared" si="1"/>
        <v>AD</v>
      </c>
    </row>
    <row r="1122" ht="15.75" customHeight="1">
      <c r="A1122" s="370">
        <v>46024.0</v>
      </c>
      <c r="B1122" s="371" t="s">
        <v>1490</v>
      </c>
      <c r="C1122" s="371" t="s">
        <v>1510</v>
      </c>
      <c r="D1122" s="371" t="s">
        <v>1511</v>
      </c>
      <c r="E1122" s="373">
        <v>26.04</v>
      </c>
      <c r="G1122" s="371">
        <v>969.0</v>
      </c>
      <c r="H1122" s="371">
        <v>40.0</v>
      </c>
      <c r="K1122" s="374">
        <v>13.0</v>
      </c>
      <c r="L1122" s="269" t="str">
        <f t="shared" si="1"/>
        <v>medicos</v>
      </c>
    </row>
    <row r="1123" ht="15.75" customHeight="1">
      <c r="A1123" s="370">
        <v>46024.0</v>
      </c>
      <c r="B1123" s="371" t="s">
        <v>1490</v>
      </c>
      <c r="C1123" s="371" t="s">
        <v>1493</v>
      </c>
      <c r="D1123" s="371" t="s">
        <v>1498</v>
      </c>
      <c r="E1123" s="373">
        <v>0.03</v>
      </c>
      <c r="G1123" s="371">
        <v>7.0</v>
      </c>
      <c r="H1123" s="371">
        <v>0.0</v>
      </c>
      <c r="K1123" s="374"/>
      <c r="L1123" s="269" t="str">
        <f t="shared" si="1"/>
        <v>V</v>
      </c>
    </row>
    <row r="1124" ht="15.75" customHeight="1">
      <c r="A1124" s="370">
        <v>46024.0</v>
      </c>
      <c r="B1124" s="371" t="s">
        <v>1490</v>
      </c>
      <c r="C1124" s="371" t="s">
        <v>1503</v>
      </c>
      <c r="D1124" s="371" t="s">
        <v>1505</v>
      </c>
      <c r="E1124" s="373">
        <v>0.04</v>
      </c>
      <c r="G1124" s="371">
        <v>2.0</v>
      </c>
      <c r="H1124" s="371">
        <v>0.0</v>
      </c>
      <c r="K1124" s="374"/>
      <c r="L1124" s="269" t="str">
        <f t="shared" si="1"/>
        <v>V-video</v>
      </c>
    </row>
    <row r="1125" ht="15.75" customHeight="1">
      <c r="A1125" s="370">
        <v>46024.0</v>
      </c>
      <c r="B1125" s="371" t="s">
        <v>1490</v>
      </c>
      <c r="C1125" s="371" t="s">
        <v>1493</v>
      </c>
      <c r="D1125" s="371" t="s">
        <v>1499</v>
      </c>
      <c r="E1125" s="373">
        <v>0.58</v>
      </c>
      <c r="G1125" s="371">
        <v>81.0</v>
      </c>
      <c r="H1125" s="371">
        <v>2.0</v>
      </c>
      <c r="K1125" s="374"/>
      <c r="L1125" s="269" t="str">
        <f t="shared" si="1"/>
        <v>V</v>
      </c>
    </row>
    <row r="1126" ht="15.75" customHeight="1">
      <c r="A1126" s="370">
        <v>46024.0</v>
      </c>
      <c r="B1126" s="371" t="s">
        <v>1490</v>
      </c>
      <c r="C1126" s="371" t="s">
        <v>1503</v>
      </c>
      <c r="D1126" s="371" t="s">
        <v>1507</v>
      </c>
      <c r="E1126" s="373">
        <v>2.8</v>
      </c>
      <c r="G1126" s="371">
        <v>224.0</v>
      </c>
      <c r="H1126" s="371">
        <v>16.0</v>
      </c>
      <c r="K1126" s="374"/>
      <c r="L1126" s="269" t="str">
        <f t="shared" si="1"/>
        <v>V</v>
      </c>
    </row>
    <row r="1127" ht="15.75" customHeight="1">
      <c r="A1127" s="370">
        <v>46024.0</v>
      </c>
      <c r="B1127" s="371" t="s">
        <v>1490</v>
      </c>
      <c r="C1127" s="371" t="s">
        <v>1504</v>
      </c>
      <c r="D1127" s="371" t="s">
        <v>1508</v>
      </c>
      <c r="E1127" s="373">
        <v>7.57</v>
      </c>
      <c r="G1127" s="371">
        <v>599.0</v>
      </c>
      <c r="H1127" s="371">
        <v>42.0</v>
      </c>
      <c r="K1127" s="374">
        <v>1.0</v>
      </c>
      <c r="L1127" s="269" t="str">
        <f t="shared" si="1"/>
        <v>V</v>
      </c>
    </row>
    <row r="1128" ht="15.75" customHeight="1">
      <c r="A1128" s="370">
        <v>46024.0</v>
      </c>
      <c r="B1128" s="371" t="s">
        <v>1490</v>
      </c>
      <c r="C1128" s="371" t="s">
        <v>1493</v>
      </c>
      <c r="D1128" s="371" t="s">
        <v>1500</v>
      </c>
      <c r="E1128" s="373">
        <v>10.72</v>
      </c>
      <c r="G1128" s="371">
        <v>1302.0</v>
      </c>
      <c r="H1128" s="371">
        <v>26.0</v>
      </c>
      <c r="K1128" s="374">
        <v>1.0</v>
      </c>
      <c r="L1128" s="269" t="str">
        <f t="shared" si="1"/>
        <v>V</v>
      </c>
    </row>
    <row r="1129" ht="15.75" customHeight="1">
      <c r="A1129" s="370">
        <v>46024.0</v>
      </c>
      <c r="B1129" s="371" t="s">
        <v>1490</v>
      </c>
      <c r="C1129" s="371" t="s">
        <v>1493</v>
      </c>
      <c r="D1129" s="371" t="s">
        <v>1501</v>
      </c>
      <c r="E1129" s="373">
        <v>4.58</v>
      </c>
      <c r="G1129" s="371">
        <v>415.0</v>
      </c>
      <c r="H1129" s="371">
        <v>9.0</v>
      </c>
      <c r="K1129" s="374"/>
      <c r="L1129" s="269" t="str">
        <f t="shared" si="1"/>
        <v>V</v>
      </c>
    </row>
    <row r="1130" ht="15.75" customHeight="1">
      <c r="A1130" s="370">
        <v>46024.0</v>
      </c>
      <c r="B1130" s="371" t="s">
        <v>1490</v>
      </c>
      <c r="C1130" s="371" t="s">
        <v>1504</v>
      </c>
      <c r="D1130" s="371" t="s">
        <v>1494</v>
      </c>
      <c r="E1130" s="373">
        <v>7.55</v>
      </c>
      <c r="G1130" s="371">
        <v>711.0</v>
      </c>
      <c r="H1130" s="371">
        <v>35.0</v>
      </c>
      <c r="K1130" s="374">
        <v>3.0</v>
      </c>
      <c r="L1130" s="269" t="str">
        <f t="shared" si="1"/>
        <v>V</v>
      </c>
    </row>
    <row r="1131" ht="15.75" customHeight="1">
      <c r="A1131" s="370">
        <v>46024.0</v>
      </c>
      <c r="B1131" s="371" t="s">
        <v>1490</v>
      </c>
      <c r="C1131" s="371" t="s">
        <v>1503</v>
      </c>
      <c r="D1131" s="371" t="s">
        <v>1494</v>
      </c>
      <c r="E1131" s="373">
        <v>10.57</v>
      </c>
      <c r="G1131" s="371">
        <v>982.0</v>
      </c>
      <c r="H1131" s="371">
        <v>58.0</v>
      </c>
      <c r="K1131" s="374">
        <v>2.0</v>
      </c>
      <c r="L1131" s="269" t="str">
        <f t="shared" si="1"/>
        <v>V</v>
      </c>
    </row>
    <row r="1132" ht="15.75" customHeight="1">
      <c r="A1132" s="370">
        <v>46024.0</v>
      </c>
      <c r="B1132" s="371" t="s">
        <v>1495</v>
      </c>
      <c r="C1132" s="371" t="s">
        <v>1496</v>
      </c>
      <c r="D1132" s="371" t="s">
        <v>1497</v>
      </c>
      <c r="E1132" s="373">
        <v>13.3</v>
      </c>
      <c r="G1132" s="371">
        <v>6603.0</v>
      </c>
      <c r="H1132" s="371">
        <v>94.0</v>
      </c>
      <c r="K1132" s="374"/>
      <c r="L1132" s="269" t="str">
        <f t="shared" si="1"/>
        <v>AD</v>
      </c>
    </row>
    <row r="1133" ht="15.75" customHeight="1">
      <c r="A1133" s="370">
        <v>46023.0</v>
      </c>
      <c r="B1133" s="371" t="s">
        <v>1490</v>
      </c>
      <c r="C1133" s="371" t="s">
        <v>1510</v>
      </c>
      <c r="D1133" s="371" t="s">
        <v>1511</v>
      </c>
      <c r="E1133" s="373">
        <v>19.15</v>
      </c>
      <c r="G1133" s="371">
        <v>946.0</v>
      </c>
      <c r="H1133" s="371">
        <v>17.0</v>
      </c>
      <c r="K1133" s="374">
        <v>2.0</v>
      </c>
      <c r="L1133" s="269" t="str">
        <f t="shared" si="1"/>
        <v>medicos</v>
      </c>
    </row>
    <row r="1134" ht="15.75" customHeight="1">
      <c r="A1134" s="370">
        <v>46023.0</v>
      </c>
      <c r="B1134" s="371" t="s">
        <v>1490</v>
      </c>
      <c r="C1134" s="371" t="s">
        <v>1504</v>
      </c>
      <c r="D1134" s="371" t="s">
        <v>1498</v>
      </c>
      <c r="E1134" s="373">
        <v>4.71</v>
      </c>
      <c r="G1134" s="371">
        <v>320.0</v>
      </c>
      <c r="H1134" s="371">
        <v>7.0</v>
      </c>
      <c r="K1134" s="374"/>
      <c r="L1134" s="269" t="str">
        <f t="shared" si="1"/>
        <v>V</v>
      </c>
    </row>
    <row r="1135" ht="15.75" customHeight="1">
      <c r="A1135" s="370">
        <v>46023.0</v>
      </c>
      <c r="B1135" s="371" t="s">
        <v>1490</v>
      </c>
      <c r="C1135" s="371" t="s">
        <v>1493</v>
      </c>
      <c r="D1135" s="371" t="s">
        <v>1498</v>
      </c>
      <c r="E1135" s="373">
        <v>4.41</v>
      </c>
      <c r="G1135" s="371">
        <v>607.0</v>
      </c>
      <c r="H1135" s="371">
        <v>11.0</v>
      </c>
      <c r="K1135" s="374">
        <v>1.0</v>
      </c>
      <c r="L1135" s="269" t="str">
        <f t="shared" si="1"/>
        <v>V</v>
      </c>
    </row>
    <row r="1136" ht="15.75" customHeight="1">
      <c r="A1136" s="370">
        <v>46023.0</v>
      </c>
      <c r="B1136" s="371" t="s">
        <v>1490</v>
      </c>
      <c r="C1136" s="371" t="s">
        <v>1503</v>
      </c>
      <c r="D1136" s="371" t="s">
        <v>1509</v>
      </c>
      <c r="E1136" s="373">
        <v>3.76</v>
      </c>
      <c r="G1136" s="371">
        <v>211.0</v>
      </c>
      <c r="H1136" s="371">
        <v>6.0</v>
      </c>
      <c r="K1136" s="374"/>
      <c r="L1136" s="269" t="str">
        <f t="shared" si="1"/>
        <v>V</v>
      </c>
    </row>
    <row r="1137" ht="15.75" customHeight="1">
      <c r="A1137" s="370">
        <v>46023.0</v>
      </c>
      <c r="B1137" s="371" t="s">
        <v>1490</v>
      </c>
      <c r="C1137" s="371" t="s">
        <v>1493</v>
      </c>
      <c r="D1137" s="371" t="s">
        <v>1509</v>
      </c>
      <c r="E1137" s="373">
        <v>0.09</v>
      </c>
      <c r="G1137" s="371">
        <v>8.0</v>
      </c>
      <c r="H1137" s="371">
        <v>0.0</v>
      </c>
      <c r="K1137" s="374"/>
      <c r="L1137" s="269" t="str">
        <f t="shared" si="1"/>
        <v>V</v>
      </c>
    </row>
    <row r="1138" ht="15.75" customHeight="1">
      <c r="A1138" s="370">
        <v>46023.0</v>
      </c>
      <c r="B1138" s="371" t="s">
        <v>1490</v>
      </c>
      <c r="C1138" s="371" t="s">
        <v>1503</v>
      </c>
      <c r="D1138" s="371" t="s">
        <v>1505</v>
      </c>
      <c r="E1138" s="373">
        <v>0.07</v>
      </c>
      <c r="G1138" s="371">
        <v>4.0</v>
      </c>
      <c r="H1138" s="371">
        <v>0.0</v>
      </c>
      <c r="K1138" s="374"/>
      <c r="L1138" s="269" t="str">
        <f t="shared" si="1"/>
        <v>V-video</v>
      </c>
    </row>
    <row r="1139" ht="15.75" customHeight="1">
      <c r="A1139" s="370">
        <v>46023.0</v>
      </c>
      <c r="B1139" s="371" t="s">
        <v>1490</v>
      </c>
      <c r="C1139" s="371" t="s">
        <v>1504</v>
      </c>
      <c r="D1139" s="371" t="s">
        <v>1506</v>
      </c>
      <c r="E1139" s="373">
        <v>0.06</v>
      </c>
      <c r="G1139" s="371">
        <v>4.0</v>
      </c>
      <c r="H1139" s="371">
        <v>0.0</v>
      </c>
      <c r="K1139" s="374"/>
      <c r="L1139" s="269" t="str">
        <f t="shared" si="1"/>
        <v>V</v>
      </c>
    </row>
    <row r="1140" ht="15.75" customHeight="1">
      <c r="A1140" s="370">
        <v>46023.0</v>
      </c>
      <c r="B1140" s="371" t="s">
        <v>1490</v>
      </c>
      <c r="C1140" s="371" t="s">
        <v>1493</v>
      </c>
      <c r="D1140" s="371" t="s">
        <v>1499</v>
      </c>
      <c r="E1140" s="373">
        <v>1.67</v>
      </c>
      <c r="G1140" s="371">
        <v>122.0</v>
      </c>
      <c r="H1140" s="371">
        <v>4.0</v>
      </c>
      <c r="K1140" s="374"/>
      <c r="L1140" s="269" t="str">
        <f t="shared" si="1"/>
        <v>V</v>
      </c>
    </row>
    <row r="1141" ht="15.75" customHeight="1">
      <c r="A1141" s="370">
        <v>46023.0</v>
      </c>
      <c r="B1141" s="371" t="s">
        <v>1490</v>
      </c>
      <c r="C1141" s="371" t="s">
        <v>1503</v>
      </c>
      <c r="D1141" s="371" t="s">
        <v>1507</v>
      </c>
      <c r="E1141" s="373">
        <v>2.76</v>
      </c>
      <c r="G1141" s="371">
        <v>332.0</v>
      </c>
      <c r="H1141" s="371">
        <v>17.0</v>
      </c>
      <c r="K1141" s="374">
        <v>1.0</v>
      </c>
      <c r="L1141" s="269" t="str">
        <f t="shared" si="1"/>
        <v>V</v>
      </c>
    </row>
    <row r="1142" ht="15.75" customHeight="1">
      <c r="A1142" s="370">
        <v>46023.0</v>
      </c>
      <c r="B1142" s="371" t="s">
        <v>1490</v>
      </c>
      <c r="C1142" s="371" t="s">
        <v>1493</v>
      </c>
      <c r="D1142" s="371" t="s">
        <v>1500</v>
      </c>
      <c r="E1142" s="373">
        <v>7.47</v>
      </c>
      <c r="G1142" s="371">
        <v>821.0</v>
      </c>
      <c r="H1142" s="371">
        <v>19.0</v>
      </c>
      <c r="K1142" s="374">
        <v>3.0</v>
      </c>
      <c r="L1142" s="269" t="str">
        <f t="shared" si="1"/>
        <v>V</v>
      </c>
    </row>
    <row r="1143" ht="15.75" customHeight="1">
      <c r="A1143" s="370">
        <v>46023.0</v>
      </c>
      <c r="B1143" s="371" t="s">
        <v>1490</v>
      </c>
      <c r="C1143" s="371" t="s">
        <v>1493</v>
      </c>
      <c r="D1143" s="371" t="s">
        <v>1501</v>
      </c>
      <c r="E1143" s="373">
        <v>2.79</v>
      </c>
      <c r="G1143" s="371">
        <v>306.0</v>
      </c>
      <c r="H1143" s="371">
        <v>10.0</v>
      </c>
      <c r="K1143" s="374">
        <v>1.0</v>
      </c>
      <c r="L1143" s="269" t="str">
        <f t="shared" si="1"/>
        <v>V</v>
      </c>
    </row>
    <row r="1144" ht="15.75" customHeight="1">
      <c r="A1144" s="370">
        <v>46023.0</v>
      </c>
      <c r="B1144" s="371" t="s">
        <v>1490</v>
      </c>
      <c r="C1144" s="371" t="s">
        <v>1504</v>
      </c>
      <c r="D1144" s="371" t="s">
        <v>1494</v>
      </c>
      <c r="E1144" s="373">
        <v>13.18</v>
      </c>
      <c r="G1144" s="371">
        <v>1489.0</v>
      </c>
      <c r="H1144" s="371">
        <v>78.0</v>
      </c>
      <c r="K1144" s="374">
        <v>5.0</v>
      </c>
      <c r="L1144" s="269" t="str">
        <f t="shared" si="1"/>
        <v>V</v>
      </c>
    </row>
    <row r="1145" ht="15.75" customHeight="1">
      <c r="A1145" s="370">
        <v>46023.0</v>
      </c>
      <c r="B1145" s="371" t="s">
        <v>1490</v>
      </c>
      <c r="C1145" s="371" t="s">
        <v>1503</v>
      </c>
      <c r="D1145" s="371" t="s">
        <v>1494</v>
      </c>
      <c r="E1145" s="373">
        <v>7.21</v>
      </c>
      <c r="G1145" s="371">
        <v>767.0</v>
      </c>
      <c r="H1145" s="371">
        <v>37.0</v>
      </c>
      <c r="K1145" s="269"/>
      <c r="L1145" s="269" t="str">
        <f t="shared" si="1"/>
        <v>V</v>
      </c>
    </row>
    <row r="1146" ht="15.75" customHeight="1">
      <c r="A1146" s="370">
        <v>46023.0</v>
      </c>
      <c r="B1146" s="371" t="s">
        <v>1495</v>
      </c>
      <c r="C1146" s="371" t="s">
        <v>1496</v>
      </c>
      <c r="D1146" s="371" t="s">
        <v>1497</v>
      </c>
      <c r="E1146" s="373">
        <v>14.83</v>
      </c>
      <c r="G1146" s="371">
        <v>7585.0</v>
      </c>
      <c r="H1146" s="371">
        <v>105.0</v>
      </c>
      <c r="K1146" s="374">
        <v>1.0</v>
      </c>
      <c r="L1146" s="269" t="str">
        <f t="shared" si="1"/>
        <v>AD</v>
      </c>
    </row>
    <row r="1147" ht="15.75" customHeight="1">
      <c r="A1147" s="375"/>
      <c r="K1147" s="269"/>
      <c r="L1147" s="269" t="str">
        <f t="shared" si="1"/>
        <v/>
      </c>
    </row>
    <row r="1148" ht="15.75" customHeight="1">
      <c r="A1148" s="375"/>
      <c r="K1148" s="269"/>
      <c r="L1148" s="269" t="str">
        <f t="shared" si="1"/>
        <v/>
      </c>
    </row>
    <row r="1149" ht="15.75" customHeight="1">
      <c r="A1149" s="375"/>
      <c r="K1149" s="269"/>
      <c r="L1149" s="269" t="str">
        <f t="shared" si="1"/>
        <v/>
      </c>
    </row>
    <row r="1150" ht="15.75" customHeight="1">
      <c r="A1150" s="375"/>
      <c r="K1150" s="269"/>
      <c r="L1150" s="269" t="str">
        <f t="shared" si="1"/>
        <v/>
      </c>
    </row>
    <row r="1151" ht="15.75" customHeight="1">
      <c r="A1151" s="375"/>
      <c r="K1151" s="269"/>
      <c r="L1151" s="269" t="str">
        <f t="shared" si="1"/>
        <v/>
      </c>
    </row>
    <row r="1152" ht="15.75" customHeight="1">
      <c r="A1152" s="375"/>
      <c r="K1152" s="269"/>
      <c r="L1152" s="269" t="str">
        <f t="shared" si="1"/>
        <v/>
      </c>
    </row>
    <row r="1153" ht="15.75" customHeight="1">
      <c r="A1153" s="375"/>
      <c r="K1153" s="269"/>
      <c r="L1153" s="269" t="str">
        <f t="shared" si="1"/>
        <v/>
      </c>
    </row>
    <row r="1154" ht="15.75" customHeight="1">
      <c r="A1154" s="375"/>
      <c r="K1154" s="269"/>
      <c r="L1154" s="269" t="str">
        <f t="shared" si="1"/>
        <v/>
      </c>
    </row>
    <row r="1155" ht="15.75" customHeight="1">
      <c r="A1155" s="375"/>
      <c r="K1155" s="269"/>
      <c r="L1155" s="269" t="str">
        <f t="shared" si="1"/>
        <v/>
      </c>
    </row>
    <row r="1156" ht="15.75" customHeight="1">
      <c r="A1156" s="375"/>
      <c r="K1156" s="269"/>
      <c r="L1156" s="269" t="str">
        <f t="shared" si="1"/>
        <v/>
      </c>
    </row>
    <row r="1157" ht="15.75" customHeight="1">
      <c r="A1157" s="375"/>
      <c r="K1157" s="269"/>
      <c r="L1157" s="269" t="str">
        <f t="shared" si="1"/>
        <v/>
      </c>
    </row>
    <row r="1158" ht="15.75" customHeight="1">
      <c r="A1158" s="375"/>
      <c r="K1158" s="269"/>
      <c r="L1158" s="269" t="str">
        <f t="shared" si="1"/>
        <v/>
      </c>
    </row>
    <row r="1159" ht="15.75" customHeight="1">
      <c r="A1159" s="375"/>
      <c r="K1159" s="269"/>
      <c r="L1159" s="269" t="str">
        <f t="shared" si="1"/>
        <v/>
      </c>
    </row>
    <row r="1160" ht="15.75" customHeight="1">
      <c r="A1160" s="375"/>
      <c r="K1160" s="269"/>
      <c r="L1160" s="269" t="str">
        <f t="shared" si="1"/>
        <v/>
      </c>
    </row>
    <row r="1161" ht="15.75" customHeight="1">
      <c r="A1161" s="375"/>
      <c r="K1161" s="269"/>
      <c r="L1161" s="269" t="str">
        <f t="shared" si="1"/>
        <v/>
      </c>
    </row>
    <row r="1162" ht="15.75" customHeight="1">
      <c r="A1162" s="375"/>
      <c r="K1162" s="269"/>
      <c r="L1162" s="269" t="str">
        <f t="shared" si="1"/>
        <v/>
      </c>
    </row>
    <row r="1163" ht="15.75" customHeight="1">
      <c r="A1163" s="375"/>
      <c r="K1163" s="269"/>
      <c r="L1163" s="269" t="str">
        <f t="shared" si="1"/>
        <v/>
      </c>
    </row>
    <row r="1164" ht="15.75" customHeight="1">
      <c r="A1164" s="375"/>
      <c r="K1164" s="269"/>
      <c r="L1164" s="269" t="str">
        <f t="shared" si="1"/>
        <v/>
      </c>
    </row>
    <row r="1165" ht="15.75" customHeight="1">
      <c r="A1165" s="375"/>
      <c r="K1165" s="269"/>
      <c r="L1165" s="269" t="str">
        <f t="shared" si="1"/>
        <v/>
      </c>
    </row>
    <row r="1166" ht="15.75" customHeight="1">
      <c r="A1166" s="375"/>
      <c r="K1166" s="269"/>
      <c r="L1166" s="269" t="str">
        <f t="shared" si="1"/>
        <v/>
      </c>
    </row>
    <row r="1167" ht="15.75" customHeight="1">
      <c r="A1167" s="375"/>
      <c r="K1167" s="269"/>
      <c r="L1167" s="269" t="str">
        <f t="shared" si="1"/>
        <v/>
      </c>
    </row>
    <row r="1168" ht="15.75" customHeight="1">
      <c r="A1168" s="375"/>
      <c r="K1168" s="269"/>
      <c r="L1168" s="269" t="str">
        <f t="shared" si="1"/>
        <v/>
      </c>
    </row>
    <row r="1169" ht="15.75" customHeight="1">
      <c r="A1169" s="375"/>
      <c r="K1169" s="269"/>
      <c r="L1169" s="269" t="str">
        <f t="shared" si="1"/>
        <v/>
      </c>
    </row>
    <row r="1170" ht="15.75" customHeight="1">
      <c r="A1170" s="375"/>
      <c r="K1170" s="269"/>
      <c r="L1170" s="269" t="str">
        <f t="shared" si="1"/>
        <v/>
      </c>
    </row>
    <row r="1171" ht="15.75" customHeight="1">
      <c r="A1171" s="375"/>
      <c r="K1171" s="269"/>
      <c r="L1171" s="269" t="str">
        <f t="shared" si="1"/>
        <v/>
      </c>
    </row>
    <row r="1172" ht="15.75" customHeight="1">
      <c r="A1172" s="375"/>
      <c r="K1172" s="269"/>
      <c r="L1172" s="269" t="str">
        <f t="shared" si="1"/>
        <v/>
      </c>
    </row>
    <row r="1173" ht="15.75" customHeight="1">
      <c r="A1173" s="375"/>
      <c r="K1173" s="269"/>
      <c r="L1173" s="269" t="str">
        <f t="shared" si="1"/>
        <v/>
      </c>
    </row>
    <row r="1174" ht="15.75" customHeight="1">
      <c r="A1174" s="375"/>
      <c r="K1174" s="269"/>
      <c r="L1174" s="269" t="str">
        <f t="shared" si="1"/>
        <v/>
      </c>
    </row>
    <row r="1175" ht="15.75" customHeight="1">
      <c r="A1175" s="375"/>
      <c r="K1175" s="269"/>
      <c r="L1175" s="269" t="str">
        <f t="shared" si="1"/>
        <v/>
      </c>
    </row>
    <row r="1176" ht="15.75" customHeight="1">
      <c r="A1176" s="375"/>
      <c r="K1176" s="269"/>
      <c r="L1176" s="269" t="str">
        <f t="shared" si="1"/>
        <v/>
      </c>
    </row>
    <row r="1177" ht="15.75" customHeight="1">
      <c r="A1177" s="375"/>
      <c r="K1177" s="269"/>
      <c r="L1177" s="269" t="str">
        <f t="shared" si="1"/>
        <v/>
      </c>
    </row>
    <row r="1178" ht="15.75" customHeight="1">
      <c r="A1178" s="375"/>
      <c r="K1178" s="269"/>
      <c r="L1178" s="269" t="str">
        <f t="shared" si="1"/>
        <v/>
      </c>
    </row>
    <row r="1179" ht="15.75" customHeight="1">
      <c r="A1179" s="375"/>
      <c r="K1179" s="269"/>
      <c r="L1179" s="269" t="str">
        <f t="shared" si="1"/>
        <v/>
      </c>
    </row>
    <row r="1180" ht="15.75" customHeight="1">
      <c r="A1180" s="375"/>
      <c r="K1180" s="269"/>
      <c r="L1180" s="269" t="str">
        <f t="shared" si="1"/>
        <v/>
      </c>
    </row>
    <row r="1181" ht="15.75" customHeight="1">
      <c r="A1181" s="375"/>
      <c r="K1181" s="269"/>
      <c r="L1181" s="269" t="str">
        <f t="shared" si="1"/>
        <v/>
      </c>
    </row>
    <row r="1182" ht="15.75" customHeight="1">
      <c r="A1182" s="375"/>
      <c r="K1182" s="269"/>
      <c r="L1182" s="269" t="str">
        <f t="shared" si="1"/>
        <v/>
      </c>
    </row>
    <row r="1183" ht="15.75" customHeight="1">
      <c r="A1183" s="375"/>
      <c r="K1183" s="269"/>
      <c r="L1183" s="269" t="str">
        <f t="shared" si="1"/>
        <v/>
      </c>
    </row>
    <row r="1184" ht="15.75" customHeight="1">
      <c r="A1184" s="375"/>
      <c r="K1184" s="269"/>
      <c r="L1184" s="269" t="str">
        <f t="shared" si="1"/>
        <v/>
      </c>
    </row>
    <row r="1185" ht="15.75" customHeight="1">
      <c r="A1185" s="375"/>
      <c r="K1185" s="269"/>
      <c r="L1185" s="269" t="str">
        <f t="shared" si="1"/>
        <v/>
      </c>
    </row>
    <row r="1186" ht="15.75" customHeight="1">
      <c r="A1186" s="375"/>
      <c r="K1186" s="269"/>
      <c r="L1186" s="269" t="str">
        <f t="shared" si="1"/>
        <v/>
      </c>
    </row>
    <row r="1187" ht="15.75" customHeight="1">
      <c r="A1187" s="375"/>
      <c r="K1187" s="269"/>
      <c r="L1187" s="269" t="str">
        <f t="shared" si="1"/>
        <v/>
      </c>
    </row>
    <row r="1188" ht="15.75" customHeight="1">
      <c r="A1188" s="375"/>
      <c r="K1188" s="269"/>
      <c r="L1188" s="269" t="str">
        <f t="shared" si="1"/>
        <v/>
      </c>
    </row>
    <row r="1189" ht="15.75" customHeight="1">
      <c r="A1189" s="375"/>
      <c r="K1189" s="269"/>
      <c r="L1189" s="269" t="str">
        <f t="shared" si="1"/>
        <v/>
      </c>
    </row>
    <row r="1190" ht="15.75" customHeight="1">
      <c r="A1190" s="375"/>
      <c r="K1190" s="269"/>
      <c r="L1190" s="269" t="str">
        <f t="shared" si="1"/>
        <v/>
      </c>
    </row>
    <row r="1191" ht="15.75" customHeight="1">
      <c r="A1191" s="375"/>
      <c r="K1191" s="269"/>
      <c r="L1191" s="269" t="str">
        <f t="shared" si="1"/>
        <v/>
      </c>
    </row>
    <row r="1192" ht="15.75" customHeight="1">
      <c r="A1192" s="375"/>
      <c r="K1192" s="269"/>
      <c r="L1192" s="269" t="str">
        <f t="shared" si="1"/>
        <v/>
      </c>
    </row>
    <row r="1193" ht="15.75" customHeight="1">
      <c r="A1193" s="375"/>
      <c r="K1193" s="269"/>
      <c r="L1193" s="269" t="str">
        <f t="shared" si="1"/>
        <v/>
      </c>
    </row>
    <row r="1194" ht="15.75" customHeight="1">
      <c r="A1194" s="375"/>
      <c r="K1194" s="269"/>
      <c r="L1194" s="269" t="str">
        <f t="shared" si="1"/>
        <v/>
      </c>
    </row>
    <row r="1195" ht="15.75" customHeight="1">
      <c r="A1195" s="375"/>
      <c r="K1195" s="269"/>
      <c r="L1195" s="269" t="str">
        <f t="shared" si="1"/>
        <v/>
      </c>
    </row>
    <row r="1196" ht="15.75" customHeight="1">
      <c r="A1196" s="375"/>
      <c r="K1196" s="269"/>
      <c r="L1196" s="269" t="str">
        <f t="shared" si="1"/>
        <v/>
      </c>
    </row>
    <row r="1197" ht="15.75" customHeight="1">
      <c r="A1197" s="375"/>
      <c r="K1197" s="269"/>
      <c r="L1197" s="269" t="str">
        <f t="shared" si="1"/>
        <v/>
      </c>
    </row>
    <row r="1198" ht="15.75" customHeight="1">
      <c r="A1198" s="375"/>
      <c r="K1198" s="269"/>
      <c r="L1198" s="269" t="str">
        <f t="shared" si="1"/>
        <v/>
      </c>
    </row>
    <row r="1199" ht="15.75" customHeight="1">
      <c r="A1199" s="375"/>
      <c r="K1199" s="269"/>
      <c r="L1199" s="269" t="str">
        <f t="shared" si="1"/>
        <v/>
      </c>
    </row>
    <row r="1200" ht="15.75" customHeight="1">
      <c r="A1200" s="375"/>
      <c r="K1200" s="269"/>
      <c r="L1200" s="269" t="str">
        <f t="shared" si="1"/>
        <v/>
      </c>
    </row>
    <row r="1201" ht="15.75" customHeight="1">
      <c r="A1201" s="375"/>
      <c r="K1201" s="269"/>
      <c r="L1201" s="269" t="str">
        <f t="shared" si="1"/>
        <v/>
      </c>
    </row>
    <row r="1202" ht="15.75" customHeight="1">
      <c r="A1202" s="375"/>
      <c r="K1202" s="269"/>
      <c r="L1202" s="269" t="str">
        <f t="shared" si="1"/>
        <v/>
      </c>
    </row>
    <row r="1203" ht="15.75" customHeight="1">
      <c r="A1203" s="375"/>
      <c r="K1203" s="269"/>
      <c r="L1203" s="269" t="str">
        <f t="shared" si="1"/>
        <v/>
      </c>
    </row>
    <row r="1204" ht="15.75" customHeight="1">
      <c r="A1204" s="375"/>
      <c r="K1204" s="269"/>
      <c r="L1204" s="269" t="str">
        <f t="shared" si="1"/>
        <v/>
      </c>
    </row>
    <row r="1205" ht="15.75" customHeight="1">
      <c r="A1205" s="375"/>
      <c r="K1205" s="269"/>
      <c r="L1205" s="269" t="str">
        <f t="shared" si="1"/>
        <v/>
      </c>
    </row>
    <row r="1206" ht="15.75" customHeight="1">
      <c r="A1206" s="375"/>
      <c r="K1206" s="269"/>
      <c r="L1206" s="269" t="str">
        <f t="shared" si="1"/>
        <v/>
      </c>
    </row>
    <row r="1207" ht="15.75" customHeight="1">
      <c r="A1207" s="375"/>
      <c r="K1207" s="269"/>
      <c r="L1207" s="269" t="str">
        <f t="shared" si="1"/>
        <v/>
      </c>
    </row>
    <row r="1208" ht="15.75" customHeight="1">
      <c r="A1208" s="375"/>
      <c r="K1208" s="269"/>
      <c r="L1208" s="269" t="str">
        <f t="shared" si="1"/>
        <v/>
      </c>
    </row>
    <row r="1209" ht="15.75" customHeight="1">
      <c r="A1209" s="375"/>
      <c r="K1209" s="269"/>
      <c r="L1209" s="269" t="str">
        <f t="shared" si="1"/>
        <v/>
      </c>
    </row>
    <row r="1210" ht="15.75" customHeight="1">
      <c r="A1210" s="375"/>
      <c r="K1210" s="269"/>
      <c r="L1210" s="269" t="str">
        <f t="shared" si="1"/>
        <v/>
      </c>
    </row>
    <row r="1211" ht="15.75" customHeight="1">
      <c r="A1211" s="375"/>
      <c r="K1211" s="269"/>
      <c r="L1211" s="269" t="str">
        <f t="shared" si="1"/>
        <v/>
      </c>
    </row>
    <row r="1212" ht="15.75" customHeight="1">
      <c r="A1212" s="375"/>
      <c r="K1212" s="269"/>
      <c r="L1212" s="269" t="str">
        <f t="shared" si="1"/>
        <v/>
      </c>
    </row>
    <row r="1213" ht="15.75" customHeight="1">
      <c r="A1213" s="375"/>
      <c r="K1213" s="269"/>
      <c r="L1213" s="269" t="str">
        <f t="shared" si="1"/>
        <v/>
      </c>
    </row>
    <row r="1214" ht="15.75" customHeight="1">
      <c r="A1214" s="375"/>
      <c r="K1214" s="269"/>
      <c r="L1214" s="269" t="str">
        <f t="shared" si="1"/>
        <v/>
      </c>
    </row>
    <row r="1215" ht="15.75" customHeight="1">
      <c r="A1215" s="375"/>
      <c r="K1215" s="269"/>
      <c r="L1215" s="269" t="str">
        <f t="shared" si="1"/>
        <v/>
      </c>
    </row>
    <row r="1216" ht="15.75" customHeight="1">
      <c r="A1216" s="375"/>
      <c r="K1216" s="269"/>
      <c r="L1216" s="269" t="str">
        <f t="shared" si="1"/>
        <v/>
      </c>
    </row>
    <row r="1217" ht="15.75" customHeight="1">
      <c r="A1217" s="375"/>
      <c r="K1217" s="269"/>
      <c r="L1217" s="269" t="str">
        <f t="shared" si="1"/>
        <v/>
      </c>
    </row>
    <row r="1218" ht="15.75" customHeight="1">
      <c r="A1218" s="375"/>
      <c r="K1218" s="269"/>
      <c r="L1218" s="269" t="str">
        <f t="shared" si="1"/>
        <v/>
      </c>
    </row>
    <row r="1219" ht="15.75" customHeight="1">
      <c r="A1219" s="375"/>
      <c r="K1219" s="269"/>
      <c r="L1219" s="269" t="str">
        <f t="shared" si="1"/>
        <v/>
      </c>
    </row>
    <row r="1220" ht="15.75" customHeight="1">
      <c r="A1220" s="375"/>
      <c r="K1220" s="269"/>
      <c r="L1220" s="269" t="str">
        <f t="shared" si="1"/>
        <v/>
      </c>
    </row>
    <row r="1221" ht="15.75" customHeight="1">
      <c r="A1221" s="375"/>
      <c r="K1221" s="269"/>
      <c r="L1221" s="269" t="str">
        <f t="shared" si="1"/>
        <v/>
      </c>
    </row>
    <row r="1222" ht="15.75" customHeight="1">
      <c r="A1222" s="375"/>
      <c r="K1222" s="269"/>
      <c r="L1222" s="269" t="str">
        <f t="shared" si="1"/>
        <v/>
      </c>
    </row>
    <row r="1223" ht="15.75" customHeight="1">
      <c r="A1223" s="375"/>
      <c r="K1223" s="269"/>
      <c r="L1223" s="269" t="str">
        <f t="shared" si="1"/>
        <v/>
      </c>
    </row>
    <row r="1224" ht="15.75" customHeight="1">
      <c r="A1224" s="375"/>
      <c r="K1224" s="269"/>
      <c r="L1224" s="269" t="str">
        <f t="shared" si="1"/>
        <v/>
      </c>
    </row>
    <row r="1225" ht="15.75" customHeight="1">
      <c r="A1225" s="375"/>
      <c r="K1225" s="269"/>
      <c r="L1225" s="269" t="str">
        <f t="shared" si="1"/>
        <v/>
      </c>
    </row>
    <row r="1226" ht="15.75" customHeight="1">
      <c r="A1226" s="375"/>
      <c r="K1226" s="269"/>
      <c r="L1226" s="269" t="str">
        <f t="shared" si="1"/>
        <v/>
      </c>
    </row>
    <row r="1227" ht="15.75" customHeight="1">
      <c r="A1227" s="375"/>
      <c r="K1227" s="269"/>
      <c r="L1227" s="269" t="str">
        <f t="shared" si="1"/>
        <v/>
      </c>
    </row>
    <row r="1228" ht="15.75" customHeight="1">
      <c r="A1228" s="375"/>
      <c r="K1228" s="269"/>
      <c r="L1228" s="269" t="str">
        <f t="shared" si="1"/>
        <v/>
      </c>
    </row>
    <row r="1229" ht="15.75" customHeight="1">
      <c r="A1229" s="375"/>
      <c r="K1229" s="269"/>
      <c r="L1229" s="269" t="str">
        <f t="shared" si="1"/>
        <v/>
      </c>
    </row>
    <row r="1230" ht="15.75" customHeight="1">
      <c r="A1230" s="375"/>
      <c r="K1230" s="269"/>
      <c r="L1230" s="269" t="str">
        <f t="shared" si="1"/>
        <v/>
      </c>
    </row>
    <row r="1231" ht="15.75" customHeight="1">
      <c r="A1231" s="375"/>
      <c r="K1231" s="269"/>
      <c r="L1231" s="269" t="str">
        <f t="shared" si="1"/>
        <v/>
      </c>
    </row>
    <row r="1232" ht="15.75" customHeight="1">
      <c r="A1232" s="375"/>
      <c r="K1232" s="269"/>
      <c r="L1232" s="269" t="str">
        <f t="shared" si="1"/>
        <v/>
      </c>
    </row>
    <row r="1233" ht="15.75" customHeight="1">
      <c r="A1233" s="375"/>
      <c r="K1233" s="269"/>
      <c r="L1233" s="269" t="str">
        <f t="shared" si="1"/>
        <v/>
      </c>
    </row>
    <row r="1234" ht="15.75" customHeight="1">
      <c r="A1234" s="375"/>
      <c r="K1234" s="269"/>
      <c r="L1234" s="269" t="str">
        <f t="shared" si="1"/>
        <v/>
      </c>
    </row>
    <row r="1235" ht="15.75" customHeight="1">
      <c r="A1235" s="375"/>
      <c r="K1235" s="269"/>
      <c r="L1235" s="269" t="str">
        <f t="shared" si="1"/>
        <v/>
      </c>
    </row>
    <row r="1236" ht="15.75" customHeight="1">
      <c r="A1236" s="375"/>
      <c r="K1236" s="269"/>
      <c r="L1236" s="269" t="str">
        <f t="shared" si="1"/>
        <v/>
      </c>
    </row>
    <row r="1237" ht="15.75" customHeight="1">
      <c r="A1237" s="375"/>
      <c r="K1237" s="269"/>
      <c r="L1237" s="269" t="str">
        <f t="shared" si="1"/>
        <v/>
      </c>
    </row>
    <row r="1238" ht="15.75" customHeight="1">
      <c r="A1238" s="375"/>
      <c r="K1238" s="269"/>
      <c r="L1238" s="269" t="str">
        <f t="shared" si="1"/>
        <v/>
      </c>
    </row>
    <row r="1239" ht="15.75" customHeight="1">
      <c r="A1239" s="375"/>
      <c r="K1239" s="269"/>
      <c r="L1239" s="269" t="str">
        <f t="shared" si="1"/>
        <v/>
      </c>
    </row>
    <row r="1240" ht="15.75" customHeight="1">
      <c r="A1240" s="375"/>
      <c r="K1240" s="269"/>
      <c r="L1240" s="269" t="str">
        <f t="shared" si="1"/>
        <v/>
      </c>
    </row>
    <row r="1241" ht="15.75" customHeight="1">
      <c r="A1241" s="375"/>
      <c r="K1241" s="269"/>
      <c r="L1241" s="269" t="str">
        <f t="shared" si="1"/>
        <v/>
      </c>
    </row>
    <row r="1242" ht="15.75" customHeight="1">
      <c r="A1242" s="375"/>
      <c r="K1242" s="269"/>
      <c r="L1242" s="269" t="str">
        <f t="shared" si="1"/>
        <v/>
      </c>
    </row>
    <row r="1243" ht="15.75" customHeight="1">
      <c r="A1243" s="375"/>
      <c r="K1243" s="269"/>
      <c r="L1243" s="269" t="str">
        <f t="shared" si="1"/>
        <v/>
      </c>
    </row>
    <row r="1244" ht="15.75" customHeight="1">
      <c r="A1244" s="375"/>
      <c r="K1244" s="269"/>
      <c r="L1244" s="269" t="str">
        <f t="shared" si="1"/>
        <v/>
      </c>
    </row>
    <row r="1245" ht="15.75" customHeight="1">
      <c r="A1245" s="375"/>
      <c r="K1245" s="269"/>
      <c r="L1245" s="269" t="str">
        <f t="shared" si="1"/>
        <v/>
      </c>
    </row>
    <row r="1246" ht="15.75" customHeight="1">
      <c r="A1246" s="375"/>
      <c r="K1246" s="269"/>
      <c r="L1246" s="269" t="str">
        <f t="shared" si="1"/>
        <v/>
      </c>
    </row>
    <row r="1247" ht="15.75" customHeight="1">
      <c r="A1247" s="375"/>
      <c r="K1247" s="269"/>
      <c r="L1247" s="269" t="str">
        <f t="shared" si="1"/>
        <v/>
      </c>
    </row>
    <row r="1248" ht="15.75" customHeight="1">
      <c r="A1248" s="375"/>
      <c r="K1248" s="269"/>
      <c r="L1248" s="269" t="str">
        <f t="shared" si="1"/>
        <v/>
      </c>
    </row>
    <row r="1249" ht="15.75" customHeight="1">
      <c r="A1249" s="375"/>
      <c r="K1249" s="269"/>
      <c r="L1249" s="269" t="str">
        <f t="shared" si="1"/>
        <v/>
      </c>
    </row>
    <row r="1250" ht="15.75" customHeight="1">
      <c r="A1250" s="375"/>
      <c r="K1250" s="269"/>
      <c r="L1250" s="269" t="str">
        <f t="shared" si="1"/>
        <v/>
      </c>
    </row>
    <row r="1251" ht="15.75" customHeight="1">
      <c r="A1251" s="375"/>
      <c r="K1251" s="269"/>
      <c r="L1251" s="269" t="str">
        <f t="shared" si="1"/>
        <v/>
      </c>
    </row>
    <row r="1252" ht="15.75" customHeight="1">
      <c r="A1252" s="375"/>
      <c r="K1252" s="269"/>
      <c r="L1252" s="269" t="str">
        <f t="shared" si="1"/>
        <v/>
      </c>
    </row>
    <row r="1253" ht="15.75" customHeight="1">
      <c r="A1253" s="375"/>
      <c r="K1253" s="269"/>
      <c r="L1253" s="269" t="str">
        <f t="shared" si="1"/>
        <v/>
      </c>
    </row>
    <row r="1254" ht="15.75" customHeight="1">
      <c r="A1254" s="375"/>
      <c r="K1254" s="269"/>
      <c r="L1254" s="269" t="str">
        <f t="shared" si="1"/>
        <v/>
      </c>
    </row>
    <row r="1255" ht="15.75" customHeight="1">
      <c r="A1255" s="375"/>
      <c r="K1255" s="269"/>
      <c r="L1255" s="269" t="str">
        <f t="shared" si="1"/>
        <v/>
      </c>
    </row>
    <row r="1256" ht="15.75" customHeight="1">
      <c r="A1256" s="375"/>
      <c r="K1256" s="269"/>
      <c r="L1256" s="269" t="str">
        <f t="shared" si="1"/>
        <v/>
      </c>
    </row>
    <row r="1257" ht="15.75" customHeight="1">
      <c r="A1257" s="375"/>
      <c r="K1257" s="269"/>
      <c r="L1257" s="269" t="str">
        <f t="shared" si="1"/>
        <v/>
      </c>
    </row>
    <row r="1258" ht="15.75" customHeight="1">
      <c r="A1258" s="375"/>
      <c r="K1258" s="269"/>
      <c r="L1258" s="269" t="str">
        <f t="shared" si="1"/>
        <v/>
      </c>
    </row>
    <row r="1259" ht="15.75" customHeight="1">
      <c r="A1259" s="375"/>
      <c r="K1259" s="269"/>
      <c r="L1259" s="269" t="str">
        <f t="shared" si="1"/>
        <v/>
      </c>
    </row>
    <row r="1260" ht="15.75" customHeight="1">
      <c r="A1260" s="375"/>
      <c r="K1260" s="269"/>
      <c r="L1260" s="269" t="str">
        <f t="shared" si="1"/>
        <v/>
      </c>
    </row>
    <row r="1261" ht="15.75" customHeight="1">
      <c r="A1261" s="375"/>
      <c r="K1261" s="269"/>
      <c r="L1261" s="269" t="str">
        <f t="shared" si="1"/>
        <v/>
      </c>
    </row>
    <row r="1262" ht="15.75" customHeight="1">
      <c r="A1262" s="375"/>
      <c r="K1262" s="269"/>
      <c r="L1262" s="269" t="str">
        <f t="shared" si="1"/>
        <v/>
      </c>
    </row>
    <row r="1263" ht="15.75" customHeight="1">
      <c r="A1263" s="375"/>
      <c r="K1263" s="269"/>
      <c r="L1263" s="269" t="str">
        <f t="shared" si="1"/>
        <v/>
      </c>
    </row>
    <row r="1264" ht="15.75" customHeight="1">
      <c r="A1264" s="375"/>
      <c r="K1264" s="269"/>
      <c r="L1264" s="269" t="str">
        <f t="shared" si="1"/>
        <v/>
      </c>
    </row>
    <row r="1265" ht="15.75" customHeight="1">
      <c r="A1265" s="375"/>
      <c r="K1265" s="269"/>
      <c r="L1265" s="269" t="str">
        <f t="shared" si="1"/>
        <v/>
      </c>
    </row>
    <row r="1266" ht="15.75" customHeight="1">
      <c r="A1266" s="375"/>
      <c r="K1266" s="269"/>
      <c r="L1266" s="269" t="str">
        <f t="shared" si="1"/>
        <v/>
      </c>
    </row>
    <row r="1267" ht="15.75" customHeight="1">
      <c r="A1267" s="375"/>
      <c r="K1267" s="269"/>
      <c r="L1267" s="269" t="str">
        <f t="shared" si="1"/>
        <v/>
      </c>
    </row>
    <row r="1268" ht="15.75" customHeight="1">
      <c r="A1268" s="375"/>
      <c r="K1268" s="269"/>
      <c r="L1268" s="269" t="str">
        <f t="shared" si="1"/>
        <v/>
      </c>
    </row>
    <row r="1269" ht="15.75" customHeight="1">
      <c r="A1269" s="375"/>
      <c r="K1269" s="269"/>
      <c r="L1269" s="269" t="str">
        <f t="shared" si="1"/>
        <v/>
      </c>
    </row>
    <row r="1270" ht="15.75" customHeight="1">
      <c r="A1270" s="375"/>
      <c r="K1270" s="269"/>
      <c r="L1270" s="269" t="str">
        <f t="shared" si="1"/>
        <v/>
      </c>
    </row>
    <row r="1271" ht="15.75" customHeight="1">
      <c r="A1271" s="375"/>
      <c r="K1271" s="269"/>
      <c r="L1271" s="269" t="str">
        <f t="shared" si="1"/>
        <v/>
      </c>
    </row>
    <row r="1272" ht="15.75" customHeight="1">
      <c r="A1272" s="375"/>
      <c r="K1272" s="269"/>
      <c r="L1272" s="269" t="str">
        <f t="shared" si="1"/>
        <v/>
      </c>
    </row>
    <row r="1273" ht="15.75" customHeight="1">
      <c r="A1273" s="375"/>
      <c r="K1273" s="269"/>
      <c r="L1273" s="269" t="str">
        <f t="shared" si="1"/>
        <v/>
      </c>
    </row>
    <row r="1274" ht="15.75" customHeight="1">
      <c r="A1274" s="375"/>
      <c r="K1274" s="269"/>
      <c r="L1274" s="269" t="str">
        <f t="shared" si="1"/>
        <v/>
      </c>
    </row>
    <row r="1275" ht="15.75" customHeight="1">
      <c r="A1275" s="375"/>
      <c r="K1275" s="269"/>
      <c r="L1275" s="269" t="str">
        <f t="shared" si="1"/>
        <v/>
      </c>
    </row>
    <row r="1276" ht="15.75" customHeight="1">
      <c r="A1276" s="375"/>
      <c r="K1276" s="269"/>
      <c r="L1276" s="269" t="str">
        <f t="shared" si="1"/>
        <v/>
      </c>
    </row>
    <row r="1277" ht="15.75" customHeight="1">
      <c r="A1277" s="375"/>
      <c r="K1277" s="269"/>
      <c r="L1277" s="269" t="str">
        <f t="shared" si="1"/>
        <v/>
      </c>
    </row>
    <row r="1278" ht="15.75" customHeight="1">
      <c r="A1278" s="375"/>
      <c r="K1278" s="269"/>
      <c r="L1278" s="269" t="str">
        <f t="shared" si="1"/>
        <v/>
      </c>
    </row>
    <row r="1279" ht="15.75" customHeight="1">
      <c r="A1279" s="375"/>
      <c r="K1279" s="269"/>
      <c r="L1279" s="269" t="str">
        <f t="shared" si="1"/>
        <v/>
      </c>
    </row>
    <row r="1280" ht="15.75" customHeight="1">
      <c r="A1280" s="375"/>
      <c r="K1280" s="269"/>
      <c r="L1280" s="269" t="str">
        <f t="shared" si="1"/>
        <v/>
      </c>
    </row>
    <row r="1281" ht="15.75" customHeight="1">
      <c r="A1281" s="375"/>
      <c r="K1281" s="269"/>
      <c r="L1281" s="269" t="str">
        <f t="shared" si="1"/>
        <v/>
      </c>
    </row>
    <row r="1282" ht="15.75" customHeight="1">
      <c r="A1282" s="375"/>
      <c r="K1282" s="269"/>
      <c r="L1282" s="269" t="str">
        <f t="shared" si="1"/>
        <v/>
      </c>
    </row>
    <row r="1283" ht="15.75" customHeight="1">
      <c r="A1283" s="375"/>
      <c r="K1283" s="269"/>
      <c r="L1283" s="269" t="str">
        <f t="shared" si="1"/>
        <v/>
      </c>
    </row>
    <row r="1284" ht="15.75" customHeight="1">
      <c r="A1284" s="375"/>
      <c r="K1284" s="269"/>
      <c r="L1284" s="269" t="str">
        <f t="shared" si="1"/>
        <v/>
      </c>
    </row>
    <row r="1285" ht="15.75" customHeight="1">
      <c r="A1285" s="375"/>
      <c r="K1285" s="269"/>
      <c r="L1285" s="269" t="str">
        <f t="shared" si="1"/>
        <v/>
      </c>
    </row>
    <row r="1286" ht="15.75" customHeight="1">
      <c r="A1286" s="375"/>
      <c r="K1286" s="269"/>
      <c r="L1286" s="269" t="str">
        <f t="shared" si="1"/>
        <v/>
      </c>
    </row>
    <row r="1287" ht="15.75" customHeight="1">
      <c r="A1287" s="375"/>
      <c r="K1287" s="269"/>
      <c r="L1287" s="269" t="str">
        <f t="shared" si="1"/>
        <v/>
      </c>
    </row>
    <row r="1288" ht="15.75" customHeight="1">
      <c r="A1288" s="375"/>
      <c r="K1288" s="269"/>
      <c r="L1288" s="269" t="str">
        <f t="shared" si="1"/>
        <v/>
      </c>
    </row>
    <row r="1289" ht="15.75" customHeight="1">
      <c r="A1289" s="375"/>
      <c r="K1289" s="269"/>
      <c r="L1289" s="269" t="str">
        <f t="shared" si="1"/>
        <v/>
      </c>
    </row>
    <row r="1290" ht="15.75" customHeight="1">
      <c r="A1290" s="375"/>
      <c r="K1290" s="269"/>
      <c r="L1290" s="269" t="str">
        <f t="shared" si="1"/>
        <v/>
      </c>
    </row>
    <row r="1291" ht="15.75" customHeight="1">
      <c r="A1291" s="375"/>
      <c r="K1291" s="269"/>
      <c r="L1291" s="269" t="str">
        <f t="shared" si="1"/>
        <v/>
      </c>
    </row>
    <row r="1292" ht="15.75" customHeight="1">
      <c r="A1292" s="375"/>
      <c r="K1292" s="269"/>
      <c r="L1292" s="269" t="str">
        <f t="shared" si="1"/>
        <v/>
      </c>
    </row>
    <row r="1293" ht="15.75" customHeight="1">
      <c r="A1293" s="375"/>
      <c r="K1293" s="269"/>
      <c r="L1293" s="269" t="str">
        <f t="shared" si="1"/>
        <v/>
      </c>
    </row>
    <row r="1294" ht="15.75" customHeight="1">
      <c r="A1294" s="375"/>
      <c r="K1294" s="269"/>
      <c r="L1294" s="269" t="str">
        <f t="shared" si="1"/>
        <v/>
      </c>
    </row>
    <row r="1295" ht="15.75" customHeight="1">
      <c r="A1295" s="375"/>
      <c r="K1295" s="269"/>
      <c r="L1295" s="269" t="str">
        <f t="shared" si="1"/>
        <v/>
      </c>
    </row>
    <row r="1296" ht="15.75" customHeight="1">
      <c r="A1296" s="375"/>
      <c r="K1296" s="269"/>
      <c r="L1296" s="269" t="str">
        <f t="shared" si="1"/>
        <v/>
      </c>
    </row>
    <row r="1297" ht="15.75" customHeight="1">
      <c r="A1297" s="375"/>
      <c r="K1297" s="269"/>
      <c r="L1297" s="269" t="str">
        <f t="shared" si="1"/>
        <v/>
      </c>
    </row>
    <row r="1298" ht="15.75" customHeight="1">
      <c r="A1298" s="375"/>
      <c r="K1298" s="269"/>
      <c r="L1298" s="269" t="str">
        <f t="shared" si="1"/>
        <v/>
      </c>
    </row>
    <row r="1299" ht="15.75" customHeight="1">
      <c r="A1299" s="375"/>
      <c r="K1299" s="269"/>
      <c r="L1299" s="269" t="str">
        <f t="shared" si="1"/>
        <v/>
      </c>
    </row>
    <row r="1300" ht="15.75" customHeight="1">
      <c r="A1300" s="375"/>
      <c r="K1300" s="269"/>
      <c r="L1300" s="269" t="str">
        <f t="shared" si="1"/>
        <v/>
      </c>
    </row>
    <row r="1301" ht="15.75" customHeight="1">
      <c r="A1301" s="375"/>
      <c r="K1301" s="269"/>
      <c r="L1301" s="269" t="str">
        <f t="shared" si="1"/>
        <v/>
      </c>
    </row>
    <row r="1302" ht="15.75" customHeight="1">
      <c r="A1302" s="375"/>
      <c r="K1302" s="269"/>
      <c r="L1302" s="269" t="str">
        <f t="shared" si="1"/>
        <v/>
      </c>
    </row>
    <row r="1303" ht="15.75" customHeight="1">
      <c r="A1303" s="375"/>
      <c r="K1303" s="269"/>
      <c r="L1303" s="269" t="str">
        <f t="shared" si="1"/>
        <v/>
      </c>
    </row>
    <row r="1304" ht="15.75" customHeight="1">
      <c r="A1304" s="375"/>
      <c r="K1304" s="269"/>
      <c r="L1304" s="269" t="str">
        <f t="shared" si="1"/>
        <v/>
      </c>
    </row>
    <row r="1305" ht="15.75" customHeight="1">
      <c r="A1305" s="375"/>
      <c r="K1305" s="269"/>
      <c r="L1305" s="269" t="str">
        <f t="shared" si="1"/>
        <v/>
      </c>
    </row>
    <row r="1306" ht="15.75" customHeight="1">
      <c r="A1306" s="375"/>
      <c r="K1306" s="269"/>
      <c r="L1306" s="269" t="str">
        <f t="shared" si="1"/>
        <v/>
      </c>
    </row>
    <row r="1307" ht="15.75" customHeight="1">
      <c r="A1307" s="375"/>
      <c r="K1307" s="269"/>
      <c r="L1307" s="269" t="str">
        <f t="shared" si="1"/>
        <v/>
      </c>
    </row>
    <row r="1308" ht="15.75" customHeight="1">
      <c r="A1308" s="375"/>
      <c r="K1308" s="269"/>
      <c r="L1308" s="269" t="str">
        <f t="shared" si="1"/>
        <v/>
      </c>
    </row>
    <row r="1309" ht="15.75" customHeight="1">
      <c r="A1309" s="375"/>
      <c r="K1309" s="269"/>
      <c r="L1309" s="269" t="str">
        <f t="shared" si="1"/>
        <v/>
      </c>
    </row>
    <row r="1310" ht="15.75" customHeight="1">
      <c r="A1310" s="375"/>
      <c r="K1310" s="269"/>
      <c r="L1310" s="269" t="str">
        <f t="shared" si="1"/>
        <v/>
      </c>
    </row>
    <row r="1311" ht="15.75" customHeight="1">
      <c r="A1311" s="375"/>
      <c r="K1311" s="269"/>
      <c r="L1311" s="269" t="str">
        <f t="shared" si="1"/>
        <v/>
      </c>
    </row>
    <row r="1312" ht="15.75" customHeight="1">
      <c r="A1312" s="375"/>
      <c r="K1312" s="269"/>
      <c r="L1312" s="269" t="str">
        <f t="shared" si="1"/>
        <v/>
      </c>
    </row>
    <row r="1313" ht="15.75" customHeight="1">
      <c r="A1313" s="375"/>
      <c r="K1313" s="269"/>
      <c r="L1313" s="269" t="str">
        <f t="shared" si="1"/>
        <v/>
      </c>
    </row>
    <row r="1314" ht="15.75" customHeight="1">
      <c r="A1314" s="375"/>
      <c r="K1314" s="269"/>
      <c r="L1314" s="269" t="str">
        <f t="shared" si="1"/>
        <v/>
      </c>
    </row>
    <row r="1315" ht="15.75" customHeight="1">
      <c r="A1315" s="375"/>
      <c r="K1315" s="269"/>
      <c r="L1315" s="269" t="str">
        <f t="shared" si="1"/>
        <v/>
      </c>
    </row>
    <row r="1316" ht="15.75" customHeight="1">
      <c r="A1316" s="375"/>
      <c r="K1316" s="269"/>
      <c r="L1316" s="269" t="str">
        <f t="shared" si="1"/>
        <v/>
      </c>
    </row>
    <row r="1317" ht="15.75" customHeight="1">
      <c r="A1317" s="375"/>
      <c r="K1317" s="269"/>
      <c r="L1317" s="269" t="str">
        <f t="shared" si="1"/>
        <v/>
      </c>
    </row>
    <row r="1318" ht="15.75" customHeight="1">
      <c r="A1318" s="375"/>
      <c r="K1318" s="269"/>
      <c r="L1318" s="269" t="str">
        <f t="shared" si="1"/>
        <v/>
      </c>
    </row>
    <row r="1319" ht="15.75" customHeight="1">
      <c r="A1319" s="375"/>
      <c r="K1319" s="269"/>
      <c r="L1319" s="269" t="str">
        <f t="shared" si="1"/>
        <v/>
      </c>
    </row>
    <row r="1320" ht="15.75" customHeight="1">
      <c r="A1320" s="375"/>
      <c r="K1320" s="269"/>
      <c r="L1320" s="269" t="str">
        <f t="shared" si="1"/>
        <v/>
      </c>
    </row>
    <row r="1321" ht="15.75" customHeight="1">
      <c r="A1321" s="375"/>
      <c r="K1321" s="269"/>
      <c r="L1321" s="269" t="str">
        <f t="shared" si="1"/>
        <v/>
      </c>
    </row>
    <row r="1322" ht="15.75" customHeight="1">
      <c r="A1322" s="375"/>
      <c r="K1322" s="269"/>
      <c r="L1322" s="269" t="str">
        <f t="shared" si="1"/>
        <v/>
      </c>
    </row>
    <row r="1323" ht="15.75" customHeight="1">
      <c r="A1323" s="375"/>
      <c r="K1323" s="269"/>
      <c r="L1323" s="269" t="str">
        <f t="shared" si="1"/>
        <v/>
      </c>
    </row>
    <row r="1324" ht="15.75" customHeight="1">
      <c r="A1324" s="375"/>
      <c r="K1324" s="269"/>
      <c r="L1324" s="269" t="str">
        <f t="shared" si="1"/>
        <v/>
      </c>
    </row>
    <row r="1325" ht="15.75" customHeight="1">
      <c r="A1325" s="375"/>
      <c r="K1325" s="269"/>
      <c r="L1325" s="269" t="str">
        <f t="shared" si="1"/>
        <v/>
      </c>
    </row>
    <row r="1326" ht="15.75" customHeight="1">
      <c r="A1326" s="375"/>
      <c r="K1326" s="269"/>
      <c r="L1326" s="269" t="str">
        <f t="shared" si="1"/>
        <v/>
      </c>
    </row>
    <row r="1327" ht="15.75" customHeight="1">
      <c r="A1327" s="375"/>
      <c r="K1327" s="269"/>
      <c r="L1327" s="269" t="str">
        <f t="shared" si="1"/>
        <v/>
      </c>
    </row>
    <row r="1328" ht="15.75" customHeight="1">
      <c r="A1328" s="375"/>
      <c r="K1328" s="269"/>
      <c r="L1328" s="269" t="str">
        <f t="shared" si="1"/>
        <v/>
      </c>
    </row>
    <row r="1329" ht="15.75" customHeight="1">
      <c r="A1329" s="375"/>
      <c r="K1329" s="269"/>
      <c r="L1329" s="269" t="str">
        <f t="shared" si="1"/>
        <v/>
      </c>
    </row>
    <row r="1330" ht="15.75" customHeight="1">
      <c r="A1330" s="375"/>
      <c r="K1330" s="269"/>
      <c r="L1330" s="269" t="str">
        <f t="shared" si="1"/>
        <v/>
      </c>
    </row>
    <row r="1331" ht="15.75" customHeight="1">
      <c r="A1331" s="375"/>
      <c r="K1331" s="269"/>
      <c r="L1331" s="269" t="str">
        <f t="shared" si="1"/>
        <v/>
      </c>
    </row>
    <row r="1332" ht="15.75" customHeight="1">
      <c r="A1332" s="375"/>
      <c r="K1332" s="269"/>
      <c r="L1332" s="269" t="str">
        <f t="shared" si="1"/>
        <v/>
      </c>
    </row>
    <row r="1333" ht="15.75" customHeight="1">
      <c r="A1333" s="375"/>
      <c r="K1333" s="269"/>
      <c r="L1333" s="269" t="str">
        <f t="shared" si="1"/>
        <v/>
      </c>
    </row>
    <row r="1334" ht="15.75" customHeight="1">
      <c r="A1334" s="375"/>
      <c r="K1334" s="269"/>
      <c r="L1334" s="269" t="str">
        <f t="shared" si="1"/>
        <v/>
      </c>
    </row>
    <row r="1335" ht="15.75" customHeight="1">
      <c r="A1335" s="375"/>
      <c r="K1335" s="269"/>
      <c r="L1335" s="269" t="str">
        <f t="shared" si="1"/>
        <v/>
      </c>
    </row>
    <row r="1336" ht="15.75" customHeight="1">
      <c r="A1336" s="375"/>
      <c r="K1336" s="269"/>
      <c r="L1336" s="269" t="str">
        <f t="shared" si="1"/>
        <v/>
      </c>
    </row>
    <row r="1337" ht="15.75" customHeight="1">
      <c r="A1337" s="375"/>
      <c r="K1337" s="269"/>
      <c r="L1337" s="269" t="str">
        <f t="shared" si="1"/>
        <v/>
      </c>
    </row>
    <row r="1338" ht="15.75" customHeight="1">
      <c r="A1338" s="375"/>
      <c r="K1338" s="269"/>
      <c r="L1338" s="269" t="str">
        <f t="shared" si="1"/>
        <v/>
      </c>
    </row>
    <row r="1339" ht="15.75" customHeight="1">
      <c r="A1339" s="375"/>
      <c r="K1339" s="269"/>
      <c r="L1339" s="269" t="str">
        <f t="shared" si="1"/>
        <v/>
      </c>
    </row>
    <row r="1340" ht="15.75" customHeight="1">
      <c r="A1340" s="375"/>
      <c r="K1340" s="269"/>
      <c r="L1340" s="269" t="str">
        <f t="shared" si="1"/>
        <v/>
      </c>
    </row>
    <row r="1341" ht="15.75" customHeight="1">
      <c r="A1341" s="375"/>
      <c r="K1341" s="269"/>
      <c r="L1341" s="269" t="str">
        <f t="shared" si="1"/>
        <v/>
      </c>
    </row>
    <row r="1342" ht="15.75" customHeight="1">
      <c r="A1342" s="375"/>
      <c r="K1342" s="269"/>
      <c r="L1342" s="269" t="str">
        <f t="shared" si="1"/>
        <v/>
      </c>
    </row>
    <row r="1343" ht="15.75" customHeight="1">
      <c r="A1343" s="375"/>
      <c r="K1343" s="269"/>
      <c r="L1343" s="269" t="str">
        <f t="shared" si="1"/>
        <v/>
      </c>
    </row>
    <row r="1344" ht="15.75" customHeight="1">
      <c r="A1344" s="375"/>
      <c r="K1344" s="269"/>
      <c r="L1344" s="269" t="str">
        <f t="shared" si="1"/>
        <v/>
      </c>
    </row>
    <row r="1345" ht="15.75" customHeight="1">
      <c r="A1345" s="375"/>
      <c r="K1345" s="269"/>
      <c r="L1345" s="269" t="str">
        <f t="shared" si="1"/>
        <v/>
      </c>
    </row>
    <row r="1346" ht="15.75" customHeight="1">
      <c r="A1346" s="375"/>
      <c r="K1346" s="269"/>
      <c r="L1346" s="269" t="str">
        <f t="shared" si="1"/>
        <v/>
      </c>
    </row>
    <row r="1347" ht="15.75" customHeight="1">
      <c r="A1347" s="375"/>
      <c r="K1347" s="269"/>
      <c r="L1347" s="269" t="str">
        <f t="shared" si="1"/>
        <v/>
      </c>
    </row>
    <row r="1348" ht="15.75" customHeight="1">
      <c r="A1348" s="375"/>
      <c r="K1348" s="269"/>
      <c r="L1348" s="269" t="str">
        <f t="shared" si="1"/>
        <v/>
      </c>
    </row>
    <row r="1349" ht="15.75" customHeight="1">
      <c r="A1349" s="375"/>
      <c r="K1349" s="269"/>
      <c r="L1349" s="269" t="str">
        <f t="shared" si="1"/>
        <v/>
      </c>
    </row>
    <row r="1350" ht="15.75" customHeight="1">
      <c r="A1350" s="375"/>
      <c r="K1350" s="269"/>
      <c r="L1350" s="269" t="str">
        <f t="shared" si="1"/>
        <v/>
      </c>
    </row>
    <row r="1351" ht="15.75" customHeight="1">
      <c r="A1351" s="375"/>
      <c r="K1351" s="269"/>
      <c r="L1351" s="269" t="str">
        <f t="shared" si="1"/>
        <v/>
      </c>
    </row>
    <row r="1352" ht="15.75" customHeight="1">
      <c r="A1352" s="375"/>
      <c r="K1352" s="269"/>
      <c r="L1352" s="269" t="str">
        <f t="shared" si="1"/>
        <v/>
      </c>
    </row>
    <row r="1353" ht="15.75" customHeight="1">
      <c r="A1353" s="375"/>
      <c r="K1353" s="269"/>
      <c r="L1353" s="269" t="str">
        <f t="shared" si="1"/>
        <v/>
      </c>
    </row>
    <row r="1354" ht="15.75" customHeight="1">
      <c r="A1354" s="375"/>
      <c r="K1354" s="269"/>
      <c r="L1354" s="269" t="str">
        <f t="shared" si="1"/>
        <v/>
      </c>
    </row>
    <row r="1355" ht="15.75" customHeight="1">
      <c r="A1355" s="375"/>
      <c r="K1355" s="269"/>
      <c r="L1355" s="269" t="str">
        <f t="shared" si="1"/>
        <v/>
      </c>
    </row>
    <row r="1356" ht="15.75" customHeight="1">
      <c r="A1356" s="375"/>
      <c r="K1356" s="269"/>
      <c r="L1356" s="269" t="str">
        <f t="shared" si="1"/>
        <v/>
      </c>
    </row>
    <row r="1357" ht="15.75" customHeight="1">
      <c r="A1357" s="375"/>
      <c r="K1357" s="269"/>
      <c r="L1357" s="269" t="str">
        <f t="shared" si="1"/>
        <v/>
      </c>
    </row>
    <row r="1358" ht="15.75" customHeight="1">
      <c r="A1358" s="375"/>
      <c r="K1358" s="269"/>
      <c r="L1358" s="269" t="str">
        <f t="shared" si="1"/>
        <v/>
      </c>
    </row>
    <row r="1359" ht="15.75" customHeight="1">
      <c r="A1359" s="375"/>
      <c r="K1359" s="269"/>
      <c r="L1359" s="269" t="str">
        <f t="shared" si="1"/>
        <v/>
      </c>
    </row>
    <row r="1360" ht="15.75" customHeight="1">
      <c r="A1360" s="375"/>
      <c r="K1360" s="269"/>
      <c r="L1360" s="269" t="str">
        <f t="shared" si="1"/>
        <v/>
      </c>
    </row>
    <row r="1361" ht="15.75" customHeight="1">
      <c r="A1361" s="375"/>
      <c r="K1361" s="269"/>
      <c r="L1361" s="269" t="str">
        <f t="shared" si="1"/>
        <v/>
      </c>
    </row>
    <row r="1362" ht="15.75" customHeight="1">
      <c r="A1362" s="375"/>
      <c r="K1362" s="269"/>
      <c r="L1362" s="269" t="str">
        <f t="shared" si="1"/>
        <v/>
      </c>
    </row>
    <row r="1363" ht="15.75" customHeight="1">
      <c r="A1363" s="375"/>
      <c r="K1363" s="269"/>
      <c r="L1363" s="269" t="str">
        <f t="shared" si="1"/>
        <v/>
      </c>
    </row>
    <row r="1364" ht="15.75" customHeight="1">
      <c r="A1364" s="375"/>
      <c r="K1364" s="269"/>
      <c r="L1364" s="269" t="str">
        <f t="shared" si="1"/>
        <v/>
      </c>
    </row>
    <row r="1365" ht="15.75" customHeight="1">
      <c r="A1365" s="375"/>
      <c r="K1365" s="269"/>
      <c r="L1365" s="269" t="str">
        <f t="shared" si="1"/>
        <v/>
      </c>
    </row>
    <row r="1366" ht="15.75" customHeight="1">
      <c r="A1366" s="375"/>
      <c r="K1366" s="269"/>
      <c r="L1366" s="269" t="str">
        <f t="shared" si="1"/>
        <v/>
      </c>
    </row>
    <row r="1367" ht="15.75" customHeight="1">
      <c r="A1367" s="375"/>
      <c r="K1367" s="269"/>
      <c r="L1367" s="269" t="str">
        <f t="shared" si="1"/>
        <v/>
      </c>
    </row>
    <row r="1368" ht="15.75" customHeight="1">
      <c r="A1368" s="375"/>
      <c r="K1368" s="269"/>
      <c r="L1368" s="269" t="str">
        <f t="shared" si="1"/>
        <v/>
      </c>
    </row>
    <row r="1369" ht="15.75" customHeight="1">
      <c r="A1369" s="375"/>
      <c r="K1369" s="269"/>
      <c r="L1369" s="269" t="str">
        <f t="shared" si="1"/>
        <v/>
      </c>
    </row>
    <row r="1370" ht="15.75" customHeight="1">
      <c r="A1370" s="375"/>
      <c r="K1370" s="269"/>
      <c r="L1370" s="269" t="str">
        <f t="shared" si="1"/>
        <v/>
      </c>
    </row>
    <row r="1371" ht="15.75" customHeight="1">
      <c r="A1371" s="375"/>
      <c r="K1371" s="269"/>
      <c r="L1371" s="269" t="str">
        <f t="shared" si="1"/>
        <v/>
      </c>
    </row>
    <row r="1372" ht="15.75" customHeight="1">
      <c r="A1372" s="375"/>
      <c r="K1372" s="269"/>
      <c r="L1372" s="269" t="str">
        <f t="shared" si="1"/>
        <v/>
      </c>
    </row>
    <row r="1373" ht="15.75" customHeight="1">
      <c r="A1373" s="375"/>
      <c r="K1373" s="269"/>
      <c r="L1373" s="269" t="str">
        <f t="shared" si="1"/>
        <v/>
      </c>
    </row>
    <row r="1374" ht="15.75" customHeight="1">
      <c r="A1374" s="375"/>
      <c r="K1374" s="269"/>
      <c r="L1374" s="269" t="str">
        <f t="shared" si="1"/>
        <v/>
      </c>
    </row>
    <row r="1375" ht="15.75" customHeight="1">
      <c r="A1375" s="375"/>
      <c r="K1375" s="269"/>
      <c r="L1375" s="269" t="str">
        <f t="shared" si="1"/>
        <v/>
      </c>
    </row>
    <row r="1376" ht="15.75" customHeight="1">
      <c r="A1376" s="375"/>
      <c r="K1376" s="269"/>
      <c r="L1376" s="269" t="str">
        <f t="shared" si="1"/>
        <v/>
      </c>
    </row>
    <row r="1377" ht="15.75" customHeight="1">
      <c r="A1377" s="375"/>
      <c r="K1377" s="269"/>
      <c r="L1377" s="269" t="str">
        <f t="shared" si="1"/>
        <v/>
      </c>
    </row>
    <row r="1378" ht="15.75" customHeight="1">
      <c r="A1378" s="375"/>
      <c r="K1378" s="269"/>
      <c r="L1378" s="269" t="str">
        <f t="shared" si="1"/>
        <v/>
      </c>
    </row>
    <row r="1379" ht="15.75" customHeight="1">
      <c r="A1379" s="375"/>
      <c r="K1379" s="269"/>
      <c r="L1379" s="269" t="str">
        <f t="shared" si="1"/>
        <v/>
      </c>
    </row>
    <row r="1380" ht="15.75" customHeight="1">
      <c r="A1380" s="375"/>
      <c r="K1380" s="269"/>
      <c r="L1380" s="269" t="str">
        <f t="shared" si="1"/>
        <v/>
      </c>
    </row>
    <row r="1381" ht="15.75" customHeight="1">
      <c r="A1381" s="375"/>
      <c r="K1381" s="269"/>
      <c r="L1381" s="269" t="str">
        <f t="shared" si="1"/>
        <v/>
      </c>
    </row>
    <row r="1382" ht="15.75" customHeight="1">
      <c r="A1382" s="375"/>
      <c r="K1382" s="269"/>
      <c r="L1382" s="269" t="str">
        <f t="shared" si="1"/>
        <v/>
      </c>
    </row>
    <row r="1383" ht="15.75" customHeight="1">
      <c r="A1383" s="375"/>
      <c r="K1383" s="269"/>
      <c r="L1383" s="269" t="str">
        <f t="shared" si="1"/>
        <v/>
      </c>
    </row>
    <row r="1384" ht="15.75" customHeight="1">
      <c r="A1384" s="375"/>
      <c r="K1384" s="269"/>
      <c r="L1384" s="269" t="str">
        <f t="shared" si="1"/>
        <v/>
      </c>
    </row>
    <row r="1385" ht="15.75" customHeight="1">
      <c r="A1385" s="375"/>
      <c r="K1385" s="269"/>
      <c r="L1385" s="269" t="str">
        <f t="shared" si="1"/>
        <v/>
      </c>
    </row>
    <row r="1386" ht="15.75" customHeight="1">
      <c r="A1386" s="375"/>
      <c r="K1386" s="269"/>
      <c r="L1386" s="269" t="str">
        <f t="shared" si="1"/>
        <v/>
      </c>
    </row>
    <row r="1387" ht="15.75" customHeight="1">
      <c r="A1387" s="375"/>
      <c r="K1387" s="269"/>
      <c r="L1387" s="269" t="str">
        <f t="shared" si="1"/>
        <v/>
      </c>
    </row>
    <row r="1388" ht="15.75" customHeight="1">
      <c r="A1388" s="375"/>
      <c r="K1388" s="269"/>
      <c r="L1388" s="269" t="str">
        <f t="shared" si="1"/>
        <v/>
      </c>
    </row>
    <row r="1389" ht="15.75" customHeight="1">
      <c r="A1389" s="375"/>
      <c r="K1389" s="269"/>
      <c r="L1389" s="269" t="str">
        <f t="shared" si="1"/>
        <v/>
      </c>
    </row>
    <row r="1390" ht="15.75" customHeight="1">
      <c r="A1390" s="375"/>
      <c r="K1390" s="269"/>
      <c r="L1390" s="269" t="str">
        <f t="shared" si="1"/>
        <v/>
      </c>
    </row>
    <row r="1391" ht="15.75" customHeight="1">
      <c r="A1391" s="375"/>
      <c r="K1391" s="269"/>
      <c r="L1391" s="269" t="str">
        <f t="shared" si="1"/>
        <v/>
      </c>
    </row>
    <row r="1392" ht="15.75" customHeight="1">
      <c r="A1392" s="375"/>
      <c r="K1392" s="269"/>
      <c r="L1392" s="269" t="str">
        <f t="shared" si="1"/>
        <v/>
      </c>
    </row>
    <row r="1393" ht="15.75" customHeight="1">
      <c r="A1393" s="375"/>
      <c r="K1393" s="269"/>
      <c r="L1393" s="269" t="str">
        <f t="shared" si="1"/>
        <v/>
      </c>
    </row>
    <row r="1394" ht="15.75" customHeight="1">
      <c r="A1394" s="375"/>
      <c r="K1394" s="269"/>
      <c r="L1394" s="269" t="str">
        <f t="shared" si="1"/>
        <v/>
      </c>
    </row>
    <row r="1395" ht="15.75" customHeight="1">
      <c r="A1395" s="375"/>
      <c r="K1395" s="269"/>
      <c r="L1395" s="269" t="str">
        <f t="shared" si="1"/>
        <v/>
      </c>
    </row>
    <row r="1396" ht="15.75" customHeight="1">
      <c r="A1396" s="375"/>
      <c r="K1396" s="269"/>
      <c r="L1396" s="269" t="str">
        <f t="shared" si="1"/>
        <v/>
      </c>
    </row>
    <row r="1397" ht="15.75" customHeight="1">
      <c r="A1397" s="375"/>
      <c r="K1397" s="269"/>
      <c r="L1397" s="269" t="str">
        <f t="shared" si="1"/>
        <v/>
      </c>
    </row>
    <row r="1398" ht="15.75" customHeight="1">
      <c r="A1398" s="375"/>
      <c r="K1398" s="269"/>
      <c r="L1398" s="269" t="str">
        <f t="shared" si="1"/>
        <v/>
      </c>
    </row>
    <row r="1399" ht="15.75" customHeight="1">
      <c r="A1399" s="375"/>
      <c r="K1399" s="269"/>
      <c r="L1399" s="269" t="str">
        <f t="shared" si="1"/>
        <v/>
      </c>
    </row>
    <row r="1400" ht="15.75" customHeight="1">
      <c r="A1400" s="375"/>
      <c r="K1400" s="269"/>
      <c r="L1400" s="269" t="str">
        <f t="shared" si="1"/>
        <v/>
      </c>
    </row>
    <row r="1401" ht="15.75" customHeight="1">
      <c r="A1401" s="375"/>
      <c r="K1401" s="269"/>
      <c r="L1401" s="269" t="str">
        <f t="shared" si="1"/>
        <v/>
      </c>
    </row>
    <row r="1402" ht="15.75" customHeight="1">
      <c r="A1402" s="375"/>
      <c r="K1402" s="269"/>
      <c r="L1402" s="269" t="str">
        <f t="shared" si="1"/>
        <v/>
      </c>
    </row>
    <row r="1403" ht="15.75" customHeight="1">
      <c r="A1403" s="375"/>
      <c r="K1403" s="269"/>
      <c r="L1403" s="269" t="str">
        <f t="shared" si="1"/>
        <v/>
      </c>
    </row>
    <row r="1404" ht="15.75" customHeight="1">
      <c r="A1404" s="375"/>
      <c r="K1404" s="269"/>
      <c r="L1404" s="269" t="str">
        <f t="shared" si="1"/>
        <v/>
      </c>
    </row>
    <row r="1405" ht="15.75" customHeight="1">
      <c r="A1405" s="375"/>
      <c r="K1405" s="269"/>
      <c r="L1405" s="269" t="str">
        <f t="shared" si="1"/>
        <v/>
      </c>
    </row>
    <row r="1406" ht="15.75" customHeight="1">
      <c r="A1406" s="375"/>
      <c r="K1406" s="269"/>
      <c r="L1406" s="269" t="str">
        <f t="shared" si="1"/>
        <v/>
      </c>
    </row>
    <row r="1407" ht="15.75" customHeight="1">
      <c r="A1407" s="375"/>
      <c r="K1407" s="269"/>
      <c r="L1407" s="269" t="str">
        <f t="shared" si="1"/>
        <v/>
      </c>
    </row>
    <row r="1408" ht="15.75" customHeight="1">
      <c r="A1408" s="375"/>
      <c r="K1408" s="269"/>
      <c r="L1408" s="269" t="str">
        <f t="shared" si="1"/>
        <v/>
      </c>
    </row>
    <row r="1409" ht="15.75" customHeight="1">
      <c r="A1409" s="375"/>
      <c r="K1409" s="269"/>
      <c r="L1409" s="269" t="str">
        <f t="shared" si="1"/>
        <v/>
      </c>
    </row>
    <row r="1410" ht="15.75" customHeight="1">
      <c r="A1410" s="375"/>
      <c r="K1410" s="269"/>
      <c r="L1410" s="269" t="str">
        <f t="shared" si="1"/>
        <v/>
      </c>
    </row>
    <row r="1411" ht="15.75" customHeight="1">
      <c r="A1411" s="375"/>
      <c r="K1411" s="269"/>
      <c r="L1411" s="269" t="str">
        <f t="shared" si="1"/>
        <v/>
      </c>
    </row>
    <row r="1412" ht="15.75" customHeight="1">
      <c r="A1412" s="375"/>
      <c r="K1412" s="269"/>
      <c r="L1412" s="269" t="str">
        <f t="shared" si="1"/>
        <v/>
      </c>
    </row>
    <row r="1413" ht="15.75" customHeight="1">
      <c r="A1413" s="375"/>
      <c r="K1413" s="269"/>
      <c r="L1413" s="269" t="str">
        <f t="shared" si="1"/>
        <v/>
      </c>
    </row>
    <row r="1414" ht="15.75" customHeight="1">
      <c r="A1414" s="375"/>
      <c r="K1414" s="269"/>
      <c r="L1414" s="269" t="str">
        <f t="shared" si="1"/>
        <v/>
      </c>
    </row>
    <row r="1415" ht="15.75" customHeight="1">
      <c r="A1415" s="375"/>
      <c r="K1415" s="269"/>
      <c r="L1415" s="269" t="str">
        <f t="shared" si="1"/>
        <v/>
      </c>
    </row>
    <row r="1416" ht="15.75" customHeight="1">
      <c r="A1416" s="375"/>
      <c r="K1416" s="269"/>
      <c r="L1416" s="269" t="str">
        <f t="shared" si="1"/>
        <v/>
      </c>
    </row>
    <row r="1417" ht="15.75" customHeight="1">
      <c r="A1417" s="375"/>
      <c r="K1417" s="269"/>
      <c r="L1417" s="269" t="str">
        <f t="shared" si="1"/>
        <v/>
      </c>
    </row>
    <row r="1418" ht="15.75" customHeight="1">
      <c r="A1418" s="375"/>
      <c r="K1418" s="269"/>
      <c r="L1418" s="269" t="str">
        <f t="shared" si="1"/>
        <v/>
      </c>
    </row>
    <row r="1419" ht="15.75" customHeight="1">
      <c r="A1419" s="375"/>
      <c r="K1419" s="269"/>
      <c r="L1419" s="269" t="str">
        <f t="shared" si="1"/>
        <v/>
      </c>
    </row>
    <row r="1420" ht="15.75" customHeight="1">
      <c r="A1420" s="375"/>
      <c r="K1420" s="269"/>
      <c r="L1420" s="269" t="str">
        <f t="shared" si="1"/>
        <v/>
      </c>
    </row>
    <row r="1421" ht="15.75" customHeight="1">
      <c r="A1421" s="375"/>
      <c r="K1421" s="269"/>
      <c r="L1421" s="269" t="str">
        <f t="shared" si="1"/>
        <v/>
      </c>
    </row>
    <row r="1422" ht="15.75" customHeight="1">
      <c r="A1422" s="375"/>
      <c r="K1422" s="269"/>
      <c r="L1422" s="269" t="str">
        <f t="shared" si="1"/>
        <v/>
      </c>
    </row>
    <row r="1423" ht="15.75" customHeight="1">
      <c r="A1423" s="375"/>
      <c r="K1423" s="269"/>
      <c r="L1423" s="269" t="str">
        <f t="shared" si="1"/>
        <v/>
      </c>
    </row>
    <row r="1424" ht="15.75" customHeight="1">
      <c r="A1424" s="375"/>
      <c r="K1424" s="269"/>
      <c r="L1424" s="269" t="str">
        <f t="shared" si="1"/>
        <v/>
      </c>
    </row>
    <row r="1425" ht="15.75" customHeight="1">
      <c r="A1425" s="375"/>
      <c r="K1425" s="269"/>
      <c r="L1425" s="269" t="str">
        <f t="shared" si="1"/>
        <v/>
      </c>
    </row>
    <row r="1426" ht="15.75" customHeight="1">
      <c r="A1426" s="375"/>
      <c r="K1426" s="269"/>
      <c r="L1426" s="269" t="str">
        <f t="shared" si="1"/>
        <v/>
      </c>
    </row>
    <row r="1427" ht="15.75" customHeight="1">
      <c r="A1427" s="375"/>
      <c r="K1427" s="269"/>
      <c r="L1427" s="269" t="str">
        <f t="shared" si="1"/>
        <v/>
      </c>
    </row>
    <row r="1428" ht="15.75" customHeight="1">
      <c r="A1428" s="375"/>
      <c r="K1428" s="269"/>
      <c r="L1428" s="269" t="str">
        <f t="shared" si="1"/>
        <v/>
      </c>
    </row>
    <row r="1429" ht="15.75" customHeight="1">
      <c r="A1429" s="375"/>
      <c r="K1429" s="269"/>
      <c r="L1429" s="269" t="str">
        <f t="shared" si="1"/>
        <v/>
      </c>
    </row>
    <row r="1430" ht="15.75" customHeight="1">
      <c r="A1430" s="375"/>
      <c r="K1430" s="269"/>
      <c r="L1430" s="269" t="str">
        <f t="shared" si="1"/>
        <v/>
      </c>
    </row>
    <row r="1431" ht="15.75" customHeight="1">
      <c r="A1431" s="375"/>
      <c r="K1431" s="269"/>
      <c r="L1431" s="269" t="str">
        <f t="shared" si="1"/>
        <v/>
      </c>
    </row>
    <row r="1432" ht="15.75" customHeight="1">
      <c r="A1432" s="375"/>
      <c r="K1432" s="269"/>
      <c r="L1432" s="269" t="str">
        <f t="shared" si="1"/>
        <v/>
      </c>
    </row>
    <row r="1433" ht="15.75" customHeight="1">
      <c r="A1433" s="375"/>
      <c r="K1433" s="269"/>
      <c r="L1433" s="269" t="str">
        <f t="shared" si="1"/>
        <v/>
      </c>
    </row>
    <row r="1434" ht="15.75" customHeight="1">
      <c r="A1434" s="375"/>
      <c r="K1434" s="269"/>
      <c r="L1434" s="269" t="str">
        <f t="shared" si="1"/>
        <v/>
      </c>
    </row>
    <row r="1435" ht="15.75" customHeight="1">
      <c r="A1435" s="375"/>
      <c r="K1435" s="269"/>
      <c r="L1435" s="269" t="str">
        <f t="shared" si="1"/>
        <v/>
      </c>
    </row>
    <row r="1436" ht="15.75" customHeight="1">
      <c r="A1436" s="375"/>
      <c r="K1436" s="269"/>
      <c r="L1436" s="269" t="str">
        <f t="shared" si="1"/>
        <v/>
      </c>
    </row>
    <row r="1437" ht="15.75" customHeight="1">
      <c r="A1437" s="375"/>
      <c r="K1437" s="269"/>
      <c r="L1437" s="269" t="str">
        <f t="shared" si="1"/>
        <v/>
      </c>
    </row>
    <row r="1438" ht="15.75" customHeight="1">
      <c r="A1438" s="375"/>
      <c r="K1438" s="269"/>
      <c r="L1438" s="269" t="str">
        <f t="shared" si="1"/>
        <v/>
      </c>
    </row>
    <row r="1439" ht="15.75" customHeight="1">
      <c r="A1439" s="375"/>
      <c r="K1439" s="269"/>
      <c r="L1439" s="269" t="str">
        <f t="shared" si="1"/>
        <v/>
      </c>
    </row>
    <row r="1440" ht="15.75" customHeight="1">
      <c r="A1440" s="375"/>
      <c r="K1440" s="269"/>
      <c r="L1440" s="269" t="str">
        <f t="shared" si="1"/>
        <v/>
      </c>
    </row>
    <row r="1441" ht="15.75" customHeight="1">
      <c r="A1441" s="375"/>
      <c r="K1441" s="269"/>
      <c r="L1441" s="269" t="str">
        <f t="shared" si="1"/>
        <v/>
      </c>
    </row>
    <row r="1442" ht="15.75" customHeight="1">
      <c r="A1442" s="375"/>
      <c r="K1442" s="269"/>
      <c r="L1442" s="269" t="str">
        <f t="shared" si="1"/>
        <v/>
      </c>
    </row>
    <row r="1443" ht="15.75" customHeight="1">
      <c r="A1443" s="375"/>
      <c r="K1443" s="269"/>
      <c r="L1443" s="269" t="str">
        <f t="shared" si="1"/>
        <v/>
      </c>
    </row>
    <row r="1444" ht="15.75" customHeight="1">
      <c r="A1444" s="375"/>
      <c r="K1444" s="269"/>
      <c r="L1444" s="269" t="str">
        <f t="shared" si="1"/>
        <v/>
      </c>
    </row>
    <row r="1445" ht="15.75" customHeight="1">
      <c r="A1445" s="375"/>
      <c r="K1445" s="269"/>
      <c r="L1445" s="269" t="str">
        <f t="shared" si="1"/>
        <v/>
      </c>
    </row>
    <row r="1446" ht="15.75" customHeight="1">
      <c r="A1446" s="375"/>
      <c r="K1446" s="269"/>
      <c r="L1446" s="269" t="str">
        <f t="shared" si="1"/>
        <v/>
      </c>
    </row>
    <row r="1447" ht="15.75" customHeight="1">
      <c r="A1447" s="375"/>
      <c r="K1447" s="269"/>
      <c r="L1447" s="269" t="str">
        <f t="shared" si="1"/>
        <v/>
      </c>
    </row>
    <row r="1448" ht="15.75" customHeight="1">
      <c r="A1448" s="375"/>
      <c r="K1448" s="269"/>
      <c r="L1448" s="269" t="str">
        <f t="shared" si="1"/>
        <v/>
      </c>
    </row>
    <row r="1449" ht="15.75" customHeight="1">
      <c r="A1449" s="375"/>
      <c r="K1449" s="269"/>
      <c r="L1449" s="269" t="str">
        <f t="shared" si="1"/>
        <v/>
      </c>
    </row>
    <row r="1450" ht="15.75" customHeight="1">
      <c r="A1450" s="375"/>
      <c r="K1450" s="269"/>
      <c r="L1450" s="269" t="str">
        <f t="shared" si="1"/>
        <v/>
      </c>
    </row>
    <row r="1451" ht="15.75" customHeight="1">
      <c r="A1451" s="375"/>
      <c r="K1451" s="269"/>
      <c r="L1451" s="269" t="str">
        <f t="shared" si="1"/>
        <v/>
      </c>
    </row>
    <row r="1452" ht="15.75" customHeight="1">
      <c r="A1452" s="375"/>
      <c r="K1452" s="269"/>
      <c r="L1452" s="269" t="str">
        <f t="shared" si="1"/>
        <v/>
      </c>
    </row>
    <row r="1453" ht="15.75" customHeight="1">
      <c r="A1453" s="375"/>
      <c r="K1453" s="269"/>
      <c r="L1453" s="269" t="str">
        <f t="shared" si="1"/>
        <v/>
      </c>
    </row>
    <row r="1454" ht="15.75" customHeight="1">
      <c r="A1454" s="375"/>
      <c r="K1454" s="269"/>
      <c r="L1454" s="269" t="str">
        <f t="shared" si="1"/>
        <v/>
      </c>
    </row>
    <row r="1455" ht="15.75" customHeight="1">
      <c r="A1455" s="375"/>
      <c r="K1455" s="269"/>
      <c r="L1455" s="269" t="str">
        <f t="shared" si="1"/>
        <v/>
      </c>
    </row>
    <row r="1456" ht="15.75" customHeight="1">
      <c r="A1456" s="375"/>
      <c r="K1456" s="269"/>
      <c r="L1456" s="269" t="str">
        <f t="shared" si="1"/>
        <v/>
      </c>
    </row>
    <row r="1457" ht="15.75" customHeight="1">
      <c r="A1457" s="375"/>
      <c r="K1457" s="269"/>
      <c r="L1457" s="269" t="str">
        <f t="shared" si="1"/>
        <v/>
      </c>
    </row>
    <row r="1458" ht="15.75" customHeight="1">
      <c r="A1458" s="375"/>
      <c r="K1458" s="269"/>
      <c r="L1458" s="269" t="str">
        <f t="shared" si="1"/>
        <v/>
      </c>
    </row>
    <row r="1459" ht="15.75" customHeight="1">
      <c r="A1459" s="375"/>
      <c r="K1459" s="269"/>
      <c r="L1459" s="269" t="str">
        <f t="shared" si="1"/>
        <v/>
      </c>
    </row>
    <row r="1460" ht="15.75" customHeight="1">
      <c r="A1460" s="375"/>
      <c r="K1460" s="269"/>
      <c r="L1460" s="269" t="str">
        <f t="shared" si="1"/>
        <v/>
      </c>
    </row>
    <row r="1461" ht="15.75" customHeight="1">
      <c r="A1461" s="375"/>
      <c r="K1461" s="269"/>
      <c r="L1461" s="269" t="str">
        <f t="shared" si="1"/>
        <v/>
      </c>
    </row>
    <row r="1462" ht="15.75" customHeight="1">
      <c r="A1462" s="375"/>
      <c r="K1462" s="269"/>
      <c r="L1462" s="269" t="str">
        <f t="shared" si="1"/>
        <v/>
      </c>
    </row>
    <row r="1463" ht="15.75" customHeight="1">
      <c r="A1463" s="375"/>
      <c r="K1463" s="269"/>
      <c r="L1463" s="269" t="str">
        <f t="shared" si="1"/>
        <v/>
      </c>
    </row>
    <row r="1464" ht="15.75" customHeight="1">
      <c r="A1464" s="375"/>
      <c r="K1464" s="269"/>
      <c r="L1464" s="269" t="str">
        <f t="shared" si="1"/>
        <v/>
      </c>
    </row>
    <row r="1465" ht="15.75" customHeight="1">
      <c r="A1465" s="375"/>
      <c r="K1465" s="269"/>
      <c r="L1465" s="269" t="str">
        <f t="shared" si="1"/>
        <v/>
      </c>
    </row>
    <row r="1466" ht="15.75" customHeight="1">
      <c r="A1466" s="375"/>
      <c r="K1466" s="269"/>
      <c r="L1466" s="269" t="str">
        <f t="shared" si="1"/>
        <v/>
      </c>
    </row>
    <row r="1467" ht="15.75" customHeight="1">
      <c r="A1467" s="375"/>
      <c r="K1467" s="269"/>
      <c r="L1467" s="269" t="str">
        <f t="shared" si="1"/>
        <v/>
      </c>
    </row>
    <row r="1468" ht="15.75" customHeight="1">
      <c r="A1468" s="375"/>
      <c r="K1468" s="269"/>
      <c r="L1468" s="269" t="str">
        <f t="shared" si="1"/>
        <v/>
      </c>
    </row>
    <row r="1469" ht="15.75" customHeight="1">
      <c r="A1469" s="375"/>
      <c r="K1469" s="269"/>
      <c r="L1469" s="269" t="str">
        <f t="shared" si="1"/>
        <v/>
      </c>
    </row>
    <row r="1470" ht="15.75" customHeight="1">
      <c r="A1470" s="375"/>
      <c r="K1470" s="269"/>
      <c r="L1470" s="269" t="str">
        <f t="shared" si="1"/>
        <v/>
      </c>
    </row>
    <row r="1471" ht="15.75" customHeight="1">
      <c r="A1471" s="375"/>
      <c r="K1471" s="269"/>
      <c r="L1471" s="269" t="str">
        <f t="shared" si="1"/>
        <v/>
      </c>
    </row>
    <row r="1472" ht="15.75" customHeight="1">
      <c r="A1472" s="375"/>
      <c r="K1472" s="269"/>
      <c r="L1472" s="269" t="str">
        <f t="shared" si="1"/>
        <v/>
      </c>
    </row>
    <row r="1473" ht="15.75" customHeight="1">
      <c r="A1473" s="375"/>
      <c r="K1473" s="269"/>
      <c r="L1473" s="269" t="str">
        <f t="shared" si="1"/>
        <v/>
      </c>
    </row>
    <row r="1474" ht="15.75" customHeight="1">
      <c r="A1474" s="375"/>
      <c r="K1474" s="269"/>
      <c r="L1474" s="269" t="str">
        <f t="shared" si="1"/>
        <v/>
      </c>
    </row>
    <row r="1475" ht="15.75" customHeight="1">
      <c r="A1475" s="375"/>
      <c r="K1475" s="269"/>
      <c r="L1475" s="269" t="str">
        <f t="shared" si="1"/>
        <v/>
      </c>
    </row>
    <row r="1476" ht="15.75" customHeight="1">
      <c r="A1476" s="375"/>
      <c r="K1476" s="269"/>
      <c r="L1476" s="269" t="str">
        <f t="shared" si="1"/>
        <v/>
      </c>
    </row>
    <row r="1477" ht="15.75" customHeight="1">
      <c r="A1477" s="375"/>
      <c r="K1477" s="269"/>
      <c r="L1477" s="269" t="str">
        <f t="shared" si="1"/>
        <v/>
      </c>
    </row>
    <row r="1478" ht="15.75" customHeight="1">
      <c r="A1478" s="375"/>
      <c r="K1478" s="269"/>
      <c r="L1478" s="269" t="str">
        <f t="shared" si="1"/>
        <v/>
      </c>
    </row>
    <row r="1479" ht="15.75" customHeight="1">
      <c r="A1479" s="375"/>
      <c r="K1479" s="269"/>
      <c r="L1479" s="269" t="str">
        <f t="shared" si="1"/>
        <v/>
      </c>
    </row>
    <row r="1480" ht="15.75" customHeight="1">
      <c r="A1480" s="375"/>
      <c r="K1480" s="269"/>
      <c r="L1480" s="269" t="str">
        <f t="shared" si="1"/>
        <v/>
      </c>
    </row>
    <row r="1481" ht="15.75" customHeight="1">
      <c r="A1481" s="375"/>
      <c r="K1481" s="269"/>
      <c r="L1481" s="269" t="str">
        <f t="shared" si="1"/>
        <v/>
      </c>
    </row>
    <row r="1482" ht="15.75" customHeight="1">
      <c r="A1482" s="375"/>
      <c r="K1482" s="269"/>
      <c r="L1482" s="269" t="str">
        <f t="shared" si="1"/>
        <v/>
      </c>
    </row>
    <row r="1483" ht="15.75" customHeight="1">
      <c r="A1483" s="375"/>
      <c r="K1483" s="269"/>
      <c r="L1483" s="269" t="str">
        <f t="shared" si="1"/>
        <v/>
      </c>
    </row>
    <row r="1484" ht="15.75" customHeight="1">
      <c r="A1484" s="375"/>
      <c r="K1484" s="269"/>
      <c r="L1484" s="269" t="str">
        <f t="shared" si="1"/>
        <v/>
      </c>
    </row>
    <row r="1485" ht="15.75" customHeight="1">
      <c r="A1485" s="375"/>
      <c r="K1485" s="269"/>
      <c r="L1485" s="269" t="str">
        <f t="shared" si="1"/>
        <v/>
      </c>
    </row>
    <row r="1486" ht="15.75" customHeight="1">
      <c r="A1486" s="375"/>
      <c r="K1486" s="269"/>
      <c r="L1486" s="269" t="str">
        <f t="shared" si="1"/>
        <v/>
      </c>
    </row>
    <row r="1487" ht="15.75" customHeight="1">
      <c r="A1487" s="375"/>
      <c r="K1487" s="269"/>
      <c r="L1487" s="269" t="str">
        <f t="shared" si="1"/>
        <v/>
      </c>
    </row>
    <row r="1488" ht="15.75" customHeight="1">
      <c r="A1488" s="375"/>
      <c r="K1488" s="269"/>
      <c r="L1488" s="269" t="str">
        <f t="shared" si="1"/>
        <v/>
      </c>
    </row>
    <row r="1489" ht="15.75" customHeight="1">
      <c r="A1489" s="375"/>
      <c r="K1489" s="269"/>
      <c r="L1489" s="269" t="str">
        <f t="shared" si="1"/>
        <v/>
      </c>
    </row>
    <row r="1490" ht="15.75" customHeight="1">
      <c r="A1490" s="375"/>
      <c r="K1490" s="269"/>
      <c r="L1490" s="269" t="str">
        <f t="shared" si="1"/>
        <v/>
      </c>
    </row>
    <row r="1491" ht="15.75" customHeight="1">
      <c r="A1491" s="375"/>
      <c r="K1491" s="269"/>
      <c r="L1491" s="269" t="str">
        <f t="shared" si="1"/>
        <v/>
      </c>
    </row>
    <row r="1492" ht="15.75" customHeight="1">
      <c r="A1492" s="375"/>
      <c r="K1492" s="269"/>
      <c r="L1492" s="269" t="str">
        <f t="shared" si="1"/>
        <v/>
      </c>
    </row>
    <row r="1493" ht="15.75" customHeight="1">
      <c r="A1493" s="375"/>
      <c r="K1493" s="269"/>
      <c r="L1493" s="269" t="str">
        <f t="shared" si="1"/>
        <v/>
      </c>
    </row>
    <row r="1494" ht="15.75" customHeight="1">
      <c r="A1494" s="375"/>
      <c r="K1494" s="269"/>
      <c r="L1494" s="269" t="str">
        <f t="shared" si="1"/>
        <v/>
      </c>
    </row>
    <row r="1495" ht="15.75" customHeight="1">
      <c r="A1495" s="375"/>
      <c r="K1495" s="269"/>
      <c r="L1495" s="269" t="str">
        <f t="shared" si="1"/>
        <v/>
      </c>
    </row>
    <row r="1496" ht="15.75" customHeight="1">
      <c r="A1496" s="375"/>
      <c r="K1496" s="269"/>
      <c r="L1496" s="269" t="str">
        <f t="shared" si="1"/>
        <v/>
      </c>
    </row>
    <row r="1497" ht="15.75" customHeight="1">
      <c r="A1497" s="375"/>
      <c r="K1497" s="269"/>
      <c r="L1497" s="269" t="str">
        <f t="shared" si="1"/>
        <v/>
      </c>
    </row>
    <row r="1498" ht="15.75" customHeight="1">
      <c r="A1498" s="375"/>
      <c r="K1498" s="269"/>
      <c r="L1498" s="269" t="str">
        <f t="shared" si="1"/>
        <v/>
      </c>
    </row>
    <row r="1499" ht="15.75" customHeight="1">
      <c r="A1499" s="375"/>
      <c r="K1499" s="269"/>
      <c r="L1499" s="269" t="str">
        <f t="shared" si="1"/>
        <v/>
      </c>
    </row>
    <row r="1500" ht="15.75" customHeight="1">
      <c r="A1500" s="375"/>
      <c r="K1500" s="269"/>
      <c r="L1500" s="269" t="str">
        <f t="shared" si="1"/>
        <v/>
      </c>
    </row>
    <row r="1501" ht="15.75" customHeight="1">
      <c r="A1501" s="375"/>
      <c r="K1501" s="269"/>
      <c r="L1501" s="269" t="str">
        <f t="shared" si="1"/>
        <v/>
      </c>
    </row>
    <row r="1502" ht="15.75" customHeight="1">
      <c r="A1502" s="375"/>
      <c r="K1502" s="269"/>
      <c r="L1502" s="269" t="str">
        <f t="shared" si="1"/>
        <v/>
      </c>
    </row>
    <row r="1503" ht="15.75" customHeight="1">
      <c r="A1503" s="375"/>
      <c r="K1503" s="269"/>
      <c r="L1503" s="269" t="str">
        <f t="shared" si="1"/>
        <v/>
      </c>
    </row>
    <row r="1504" ht="15.75" customHeight="1">
      <c r="A1504" s="375"/>
      <c r="K1504" s="269"/>
      <c r="L1504" s="269" t="str">
        <f t="shared" si="1"/>
        <v/>
      </c>
    </row>
    <row r="1505" ht="15.75" customHeight="1">
      <c r="A1505" s="375"/>
      <c r="K1505" s="269"/>
      <c r="L1505" s="269" t="str">
        <f t="shared" si="1"/>
        <v/>
      </c>
    </row>
    <row r="1506" ht="15.75" customHeight="1">
      <c r="A1506" s="375"/>
      <c r="K1506" s="269"/>
      <c r="L1506" s="269" t="str">
        <f t="shared" si="1"/>
        <v/>
      </c>
    </row>
    <row r="1507" ht="15.75" customHeight="1">
      <c r="A1507" s="375"/>
      <c r="K1507" s="269"/>
      <c r="L1507" s="269" t="str">
        <f t="shared" si="1"/>
        <v/>
      </c>
    </row>
    <row r="1508" ht="15.75" customHeight="1">
      <c r="A1508" s="375"/>
      <c r="K1508" s="269"/>
      <c r="L1508" s="269" t="str">
        <f t="shared" si="1"/>
        <v/>
      </c>
    </row>
    <row r="1509" ht="15.75" customHeight="1">
      <c r="A1509" s="375"/>
      <c r="K1509" s="269"/>
      <c r="L1509" s="269" t="str">
        <f t="shared" si="1"/>
        <v/>
      </c>
    </row>
    <row r="1510" ht="15.75" customHeight="1">
      <c r="A1510" s="375"/>
      <c r="K1510" s="269"/>
      <c r="L1510" s="269" t="str">
        <f t="shared" si="1"/>
        <v/>
      </c>
    </row>
    <row r="1511" ht="15.75" customHeight="1">
      <c r="A1511" s="375"/>
      <c r="K1511" s="269"/>
      <c r="L1511" s="269" t="str">
        <f t="shared" si="1"/>
        <v/>
      </c>
    </row>
    <row r="1512" ht="15.75" customHeight="1">
      <c r="A1512" s="375"/>
      <c r="K1512" s="269"/>
      <c r="L1512" s="269" t="str">
        <f t="shared" si="1"/>
        <v/>
      </c>
    </row>
    <row r="1513" ht="15.75" customHeight="1">
      <c r="A1513" s="375"/>
      <c r="K1513" s="269"/>
      <c r="L1513" s="269" t="str">
        <f t="shared" si="1"/>
        <v/>
      </c>
    </row>
    <row r="1514" ht="15.75" customHeight="1">
      <c r="A1514" s="375"/>
      <c r="K1514" s="269"/>
      <c r="L1514" s="269" t="str">
        <f t="shared" si="1"/>
        <v/>
      </c>
    </row>
    <row r="1515" ht="15.75" customHeight="1">
      <c r="A1515" s="375"/>
      <c r="K1515" s="269"/>
      <c r="L1515" s="269" t="str">
        <f t="shared" si="1"/>
        <v/>
      </c>
    </row>
    <row r="1516" ht="15.75" customHeight="1">
      <c r="A1516" s="375"/>
      <c r="K1516" s="269"/>
      <c r="L1516" s="269" t="str">
        <f t="shared" si="1"/>
        <v/>
      </c>
    </row>
    <row r="1517" ht="15.75" customHeight="1">
      <c r="A1517" s="375"/>
      <c r="K1517" s="269"/>
      <c r="L1517" s="269" t="str">
        <f t="shared" si="1"/>
        <v/>
      </c>
    </row>
    <row r="1518" ht="15.75" customHeight="1">
      <c r="A1518" s="375"/>
      <c r="K1518" s="269"/>
      <c r="L1518" s="269" t="str">
        <f t="shared" si="1"/>
        <v/>
      </c>
    </row>
    <row r="1519" ht="15.75" customHeight="1">
      <c r="A1519" s="375"/>
      <c r="K1519" s="269"/>
      <c r="L1519" s="269" t="str">
        <f t="shared" si="1"/>
        <v/>
      </c>
    </row>
    <row r="1520" ht="15.75" customHeight="1">
      <c r="A1520" s="375"/>
      <c r="K1520" s="269"/>
      <c r="L1520" s="269" t="str">
        <f t="shared" si="1"/>
        <v/>
      </c>
    </row>
    <row r="1521" ht="15.75" customHeight="1">
      <c r="A1521" s="375"/>
      <c r="K1521" s="269"/>
      <c r="L1521" s="269" t="str">
        <f t="shared" si="1"/>
        <v/>
      </c>
    </row>
    <row r="1522" ht="15.75" customHeight="1">
      <c r="A1522" s="375"/>
      <c r="K1522" s="269"/>
      <c r="L1522" s="269" t="str">
        <f t="shared" si="1"/>
        <v/>
      </c>
    </row>
    <row r="1523" ht="15.75" customHeight="1">
      <c r="A1523" s="375"/>
      <c r="K1523" s="269"/>
      <c r="L1523" s="269" t="str">
        <f t="shared" si="1"/>
        <v/>
      </c>
    </row>
    <row r="1524" ht="15.75" customHeight="1">
      <c r="A1524" s="375"/>
      <c r="K1524" s="269"/>
      <c r="L1524" s="269" t="str">
        <f t="shared" si="1"/>
        <v/>
      </c>
    </row>
    <row r="1525" ht="15.75" customHeight="1">
      <c r="A1525" s="375"/>
      <c r="K1525" s="269"/>
      <c r="L1525" s="269" t="str">
        <f t="shared" si="1"/>
        <v/>
      </c>
    </row>
    <row r="1526" ht="15.75" customHeight="1">
      <c r="A1526" s="375"/>
      <c r="K1526" s="269"/>
      <c r="L1526" s="269" t="str">
        <f t="shared" si="1"/>
        <v/>
      </c>
    </row>
    <row r="1527" ht="15.75" customHeight="1">
      <c r="A1527" s="375"/>
      <c r="K1527" s="269"/>
      <c r="L1527" s="269" t="str">
        <f t="shared" si="1"/>
        <v/>
      </c>
    </row>
    <row r="1528" ht="15.75" customHeight="1">
      <c r="A1528" s="375"/>
      <c r="K1528" s="269"/>
      <c r="L1528" s="269" t="str">
        <f t="shared" si="1"/>
        <v/>
      </c>
    </row>
    <row r="1529" ht="15.75" customHeight="1">
      <c r="A1529" s="375"/>
      <c r="K1529" s="269"/>
      <c r="L1529" s="269" t="str">
        <f t="shared" si="1"/>
        <v/>
      </c>
    </row>
    <row r="1530" ht="15.75" customHeight="1">
      <c r="A1530" s="375"/>
      <c r="K1530" s="269"/>
      <c r="L1530" s="269" t="str">
        <f t="shared" si="1"/>
        <v/>
      </c>
    </row>
    <row r="1531" ht="15.75" customHeight="1">
      <c r="A1531" s="375"/>
      <c r="K1531" s="269"/>
      <c r="L1531" s="269" t="str">
        <f t="shared" si="1"/>
        <v/>
      </c>
    </row>
    <row r="1532" ht="15.75" customHeight="1">
      <c r="A1532" s="375"/>
      <c r="K1532" s="269"/>
      <c r="L1532" s="269" t="str">
        <f t="shared" si="1"/>
        <v/>
      </c>
    </row>
    <row r="1533" ht="15.75" customHeight="1">
      <c r="A1533" s="375"/>
      <c r="K1533" s="269"/>
      <c r="L1533" s="269" t="str">
        <f t="shared" si="1"/>
        <v/>
      </c>
    </row>
    <row r="1534" ht="15.75" customHeight="1">
      <c r="A1534" s="375"/>
      <c r="K1534" s="269"/>
      <c r="L1534" s="269" t="str">
        <f t="shared" si="1"/>
        <v/>
      </c>
    </row>
    <row r="1535" ht="15.75" customHeight="1">
      <c r="A1535" s="375"/>
      <c r="K1535" s="269"/>
      <c r="L1535" s="269" t="str">
        <f t="shared" si="1"/>
        <v/>
      </c>
    </row>
    <row r="1536" ht="15.75" customHeight="1">
      <c r="A1536" s="375"/>
      <c r="K1536" s="269"/>
      <c r="L1536" s="269" t="str">
        <f t="shared" si="1"/>
        <v/>
      </c>
    </row>
    <row r="1537" ht="15.75" customHeight="1">
      <c r="A1537" s="375"/>
      <c r="K1537" s="269"/>
      <c r="L1537" s="269" t="str">
        <f t="shared" si="1"/>
        <v/>
      </c>
    </row>
    <row r="1538" ht="15.75" customHeight="1">
      <c r="A1538" s="375"/>
      <c r="K1538" s="269"/>
      <c r="L1538" s="269" t="str">
        <f t="shared" si="1"/>
        <v/>
      </c>
    </row>
    <row r="1539" ht="15.75" customHeight="1">
      <c r="A1539" s="375"/>
      <c r="K1539" s="269"/>
      <c r="L1539" s="269" t="str">
        <f t="shared" si="1"/>
        <v/>
      </c>
    </row>
    <row r="1540" ht="15.75" customHeight="1">
      <c r="A1540" s="375"/>
      <c r="K1540" s="269"/>
      <c r="L1540" s="269" t="str">
        <f t="shared" si="1"/>
        <v/>
      </c>
    </row>
    <row r="1541" ht="15.75" customHeight="1">
      <c r="A1541" s="375"/>
      <c r="K1541" s="269"/>
      <c r="L1541" s="269" t="str">
        <f t="shared" si="1"/>
        <v/>
      </c>
    </row>
    <row r="1542" ht="15.75" customHeight="1">
      <c r="A1542" s="375"/>
      <c r="K1542" s="269"/>
      <c r="L1542" s="269" t="str">
        <f t="shared" si="1"/>
        <v/>
      </c>
    </row>
    <row r="1543" ht="15.75" customHeight="1">
      <c r="A1543" s="375"/>
      <c r="K1543" s="269"/>
      <c r="L1543" s="269" t="str">
        <f t="shared" si="1"/>
        <v/>
      </c>
    </row>
    <row r="1544" ht="15.75" customHeight="1">
      <c r="A1544" s="375"/>
      <c r="K1544" s="269"/>
      <c r="L1544" s="269" t="str">
        <f t="shared" si="1"/>
        <v/>
      </c>
    </row>
    <row r="1545" ht="15.75" customHeight="1">
      <c r="A1545" s="375"/>
      <c r="K1545" s="269"/>
      <c r="L1545" s="269" t="str">
        <f t="shared" si="1"/>
        <v/>
      </c>
    </row>
    <row r="1546" ht="15.75" customHeight="1">
      <c r="A1546" s="375"/>
      <c r="K1546" s="269"/>
      <c r="L1546" s="269" t="str">
        <f t="shared" si="1"/>
        <v/>
      </c>
    </row>
    <row r="1547" ht="15.75" customHeight="1">
      <c r="A1547" s="375"/>
      <c r="K1547" s="269"/>
      <c r="L1547" s="269" t="str">
        <f t="shared" si="1"/>
        <v/>
      </c>
    </row>
    <row r="1548" ht="15.75" customHeight="1">
      <c r="A1548" s="375"/>
      <c r="K1548" s="269"/>
      <c r="L1548" s="269" t="str">
        <f t="shared" si="1"/>
        <v/>
      </c>
    </row>
    <row r="1549" ht="15.75" customHeight="1">
      <c r="A1549" s="375"/>
      <c r="K1549" s="269"/>
      <c r="L1549" s="269" t="str">
        <f t="shared" si="1"/>
        <v/>
      </c>
    </row>
    <row r="1550" ht="15.75" customHeight="1">
      <c r="A1550" s="375"/>
      <c r="K1550" s="269"/>
      <c r="L1550" s="269" t="str">
        <f t="shared" si="1"/>
        <v/>
      </c>
    </row>
    <row r="1551" ht="15.75" customHeight="1">
      <c r="A1551" s="375"/>
      <c r="K1551" s="269"/>
      <c r="L1551" s="269" t="str">
        <f t="shared" si="1"/>
        <v/>
      </c>
    </row>
    <row r="1552" ht="15.75" customHeight="1">
      <c r="A1552" s="375"/>
      <c r="K1552" s="269"/>
      <c r="L1552" s="269" t="str">
        <f t="shared" si="1"/>
        <v/>
      </c>
    </row>
    <row r="1553" ht="15.75" customHeight="1">
      <c r="A1553" s="375"/>
      <c r="K1553" s="269"/>
      <c r="L1553" s="269" t="str">
        <f t="shared" si="1"/>
        <v/>
      </c>
    </row>
    <row r="1554" ht="15.75" customHeight="1">
      <c r="A1554" s="375"/>
      <c r="K1554" s="269"/>
      <c r="L1554" s="269" t="str">
        <f t="shared" si="1"/>
        <v/>
      </c>
    </row>
    <row r="1555" ht="15.75" customHeight="1">
      <c r="A1555" s="375"/>
      <c r="K1555" s="269"/>
      <c r="L1555" s="269" t="str">
        <f t="shared" si="1"/>
        <v/>
      </c>
    </row>
    <row r="1556" ht="15.75" customHeight="1">
      <c r="A1556" s="375"/>
      <c r="K1556" s="269"/>
      <c r="L1556" s="269" t="str">
        <f t="shared" si="1"/>
        <v/>
      </c>
    </row>
    <row r="1557" ht="15.75" customHeight="1">
      <c r="A1557" s="375"/>
      <c r="K1557" s="269"/>
      <c r="L1557" s="269" t="str">
        <f t="shared" si="1"/>
        <v/>
      </c>
    </row>
    <row r="1558" ht="15.75" customHeight="1">
      <c r="A1558" s="375"/>
      <c r="K1558" s="269"/>
      <c r="L1558" s="269" t="str">
        <f t="shared" si="1"/>
        <v/>
      </c>
    </row>
    <row r="1559" ht="15.75" customHeight="1">
      <c r="A1559" s="375"/>
      <c r="K1559" s="269"/>
      <c r="L1559" s="269" t="str">
        <f t="shared" si="1"/>
        <v/>
      </c>
    </row>
    <row r="1560" ht="15.75" customHeight="1">
      <c r="A1560" s="375"/>
      <c r="K1560" s="269"/>
      <c r="L1560" s="269" t="str">
        <f t="shared" si="1"/>
        <v/>
      </c>
    </row>
    <row r="1561" ht="15.75" customHeight="1">
      <c r="A1561" s="375"/>
      <c r="K1561" s="269"/>
      <c r="L1561" s="269" t="str">
        <f t="shared" si="1"/>
        <v/>
      </c>
    </row>
    <row r="1562" ht="15.75" customHeight="1">
      <c r="A1562" s="375"/>
      <c r="K1562" s="269"/>
      <c r="L1562" s="269" t="str">
        <f t="shared" si="1"/>
        <v/>
      </c>
    </row>
    <row r="1563" ht="15.75" customHeight="1">
      <c r="A1563" s="375"/>
      <c r="K1563" s="269"/>
      <c r="L1563" s="269" t="str">
        <f t="shared" si="1"/>
        <v/>
      </c>
    </row>
    <row r="1564" ht="15.75" customHeight="1">
      <c r="A1564" s="375"/>
      <c r="K1564" s="269"/>
      <c r="L1564" s="269" t="str">
        <f t="shared" si="1"/>
        <v/>
      </c>
    </row>
    <row r="1565" ht="15.75" customHeight="1">
      <c r="A1565" s="375"/>
      <c r="K1565" s="269"/>
      <c r="L1565" s="269" t="str">
        <f t="shared" si="1"/>
        <v/>
      </c>
    </row>
    <row r="1566" ht="15.75" customHeight="1">
      <c r="A1566" s="375"/>
      <c r="K1566" s="269"/>
      <c r="L1566" s="269" t="str">
        <f t="shared" si="1"/>
        <v/>
      </c>
    </row>
    <row r="1567" ht="15.75" customHeight="1">
      <c r="A1567" s="375"/>
      <c r="K1567" s="269"/>
      <c r="L1567" s="269" t="str">
        <f t="shared" si="1"/>
        <v/>
      </c>
    </row>
    <row r="1568" ht="15.75" customHeight="1">
      <c r="A1568" s="375"/>
      <c r="K1568" s="269"/>
      <c r="L1568" s="269" t="str">
        <f t="shared" si="1"/>
        <v/>
      </c>
    </row>
    <row r="1569" ht="15.75" customHeight="1">
      <c r="A1569" s="375"/>
      <c r="K1569" s="269"/>
      <c r="L1569" s="269" t="str">
        <f t="shared" si="1"/>
        <v/>
      </c>
    </row>
    <row r="1570" ht="15.75" customHeight="1">
      <c r="A1570" s="375"/>
      <c r="K1570" s="269"/>
      <c r="L1570" s="269" t="str">
        <f t="shared" si="1"/>
        <v/>
      </c>
    </row>
    <row r="1571" ht="15.75" customHeight="1">
      <c r="A1571" s="375"/>
      <c r="K1571" s="269"/>
      <c r="L1571" s="269" t="str">
        <f t="shared" si="1"/>
        <v/>
      </c>
    </row>
    <row r="1572" ht="15.75" customHeight="1">
      <c r="A1572" s="375"/>
      <c r="K1572" s="269"/>
      <c r="L1572" s="269" t="str">
        <f t="shared" si="1"/>
        <v/>
      </c>
    </row>
    <row r="1573" ht="15.75" customHeight="1">
      <c r="A1573" s="375"/>
      <c r="K1573" s="269"/>
      <c r="L1573" s="269" t="str">
        <f t="shared" si="1"/>
        <v/>
      </c>
    </row>
    <row r="1574" ht="15.75" customHeight="1">
      <c r="A1574" s="375"/>
      <c r="K1574" s="269"/>
      <c r="L1574" s="269" t="str">
        <f t="shared" si="1"/>
        <v/>
      </c>
    </row>
    <row r="1575" ht="15.75" customHeight="1">
      <c r="A1575" s="375"/>
      <c r="K1575" s="269"/>
      <c r="L1575" s="269" t="str">
        <f t="shared" si="1"/>
        <v/>
      </c>
    </row>
    <row r="1576" ht="15.75" customHeight="1">
      <c r="A1576" s="375"/>
      <c r="K1576" s="269"/>
      <c r="L1576" s="269" t="str">
        <f t="shared" si="1"/>
        <v/>
      </c>
    </row>
    <row r="1577" ht="15.75" customHeight="1">
      <c r="A1577" s="375"/>
      <c r="K1577" s="269"/>
      <c r="L1577" s="269" t="str">
        <f t="shared" si="1"/>
        <v/>
      </c>
    </row>
    <row r="1578" ht="15.75" customHeight="1">
      <c r="A1578" s="375"/>
      <c r="K1578" s="269"/>
      <c r="L1578" s="269" t="str">
        <f t="shared" si="1"/>
        <v/>
      </c>
    </row>
    <row r="1579" ht="15.75" customHeight="1">
      <c r="A1579" s="375"/>
      <c r="K1579" s="269"/>
      <c r="L1579" s="269" t="str">
        <f t="shared" si="1"/>
        <v/>
      </c>
    </row>
    <row r="1580" ht="15.75" customHeight="1">
      <c r="A1580" s="375"/>
      <c r="K1580" s="269"/>
      <c r="L1580" s="269" t="str">
        <f t="shared" si="1"/>
        <v/>
      </c>
    </row>
    <row r="1581" ht="15.75" customHeight="1">
      <c r="A1581" s="375"/>
      <c r="K1581" s="269"/>
      <c r="L1581" s="269" t="str">
        <f t="shared" si="1"/>
        <v/>
      </c>
    </row>
    <row r="1582" ht="15.75" customHeight="1">
      <c r="A1582" s="375"/>
      <c r="K1582" s="269"/>
      <c r="L1582" s="269" t="str">
        <f t="shared" si="1"/>
        <v/>
      </c>
    </row>
    <row r="1583" ht="15.75" customHeight="1">
      <c r="A1583" s="375"/>
      <c r="K1583" s="269"/>
      <c r="L1583" s="269" t="str">
        <f t="shared" si="1"/>
        <v/>
      </c>
    </row>
    <row r="1584" ht="15.75" customHeight="1">
      <c r="A1584" s="375"/>
      <c r="K1584" s="269"/>
      <c r="L1584" s="269" t="str">
        <f t="shared" si="1"/>
        <v/>
      </c>
    </row>
    <row r="1585" ht="15.75" customHeight="1">
      <c r="A1585" s="375"/>
      <c r="K1585" s="269"/>
      <c r="L1585" s="269" t="str">
        <f t="shared" si="1"/>
        <v/>
      </c>
    </row>
    <row r="1586" ht="15.75" customHeight="1">
      <c r="A1586" s="375"/>
      <c r="K1586" s="269"/>
      <c r="L1586" s="269" t="str">
        <f t="shared" si="1"/>
        <v/>
      </c>
    </row>
    <row r="1587" ht="15.75" customHeight="1">
      <c r="A1587" s="375"/>
      <c r="K1587" s="269"/>
      <c r="L1587" s="269" t="str">
        <f t="shared" si="1"/>
        <v/>
      </c>
    </row>
    <row r="1588" ht="15.75" customHeight="1">
      <c r="A1588" s="375"/>
      <c r="K1588" s="269"/>
      <c r="L1588" s="269" t="str">
        <f t="shared" si="1"/>
        <v/>
      </c>
    </row>
    <row r="1589" ht="15.75" customHeight="1">
      <c r="A1589" s="375"/>
      <c r="K1589" s="269"/>
      <c r="L1589" s="269" t="str">
        <f t="shared" si="1"/>
        <v/>
      </c>
    </row>
    <row r="1590" ht="15.75" customHeight="1">
      <c r="A1590" s="375"/>
      <c r="K1590" s="269"/>
      <c r="L1590" s="269" t="str">
        <f t="shared" si="1"/>
        <v/>
      </c>
    </row>
    <row r="1591" ht="15.75" customHeight="1">
      <c r="A1591" s="375"/>
      <c r="K1591" s="269"/>
      <c r="L1591" s="269" t="str">
        <f t="shared" si="1"/>
        <v/>
      </c>
    </row>
    <row r="1592" ht="15.75" customHeight="1">
      <c r="A1592" s="375"/>
      <c r="K1592" s="269"/>
      <c r="L1592" s="269" t="str">
        <f t="shared" si="1"/>
        <v/>
      </c>
    </row>
    <row r="1593" ht="15.75" customHeight="1">
      <c r="A1593" s="375"/>
      <c r="K1593" s="269"/>
      <c r="L1593" s="269" t="str">
        <f t="shared" si="1"/>
        <v/>
      </c>
    </row>
    <row r="1594" ht="15.75" customHeight="1">
      <c r="A1594" s="375"/>
      <c r="K1594" s="269"/>
      <c r="L1594" s="269" t="str">
        <f t="shared" si="1"/>
        <v/>
      </c>
    </row>
    <row r="1595" ht="15.75" customHeight="1">
      <c r="A1595" s="375"/>
      <c r="K1595" s="269"/>
      <c r="L1595" s="269" t="str">
        <f t="shared" si="1"/>
        <v/>
      </c>
    </row>
    <row r="1596" ht="15.75" customHeight="1">
      <c r="A1596" s="375"/>
      <c r="K1596" s="269"/>
      <c r="L1596" s="269" t="str">
        <f t="shared" si="1"/>
        <v/>
      </c>
    </row>
    <row r="1597" ht="15.75" customHeight="1">
      <c r="A1597" s="375"/>
      <c r="K1597" s="269"/>
      <c r="L1597" s="269" t="str">
        <f t="shared" si="1"/>
        <v/>
      </c>
    </row>
    <row r="1598" ht="15.75" customHeight="1">
      <c r="A1598" s="375"/>
      <c r="K1598" s="269"/>
      <c r="L1598" s="269" t="str">
        <f t="shared" si="1"/>
        <v/>
      </c>
    </row>
    <row r="1599" ht="15.75" customHeight="1">
      <c r="A1599" s="375"/>
      <c r="K1599" s="269"/>
      <c r="L1599" s="269" t="str">
        <f t="shared" si="1"/>
        <v/>
      </c>
    </row>
    <row r="1600" ht="15.75" customHeight="1">
      <c r="A1600" s="375"/>
      <c r="K1600" s="269"/>
      <c r="L1600" s="269" t="str">
        <f t="shared" si="1"/>
        <v/>
      </c>
    </row>
    <row r="1601" ht="15.75" customHeight="1">
      <c r="A1601" s="375"/>
      <c r="K1601" s="269"/>
      <c r="L1601" s="269" t="str">
        <f t="shared" si="1"/>
        <v/>
      </c>
    </row>
    <row r="1602" ht="15.75" customHeight="1">
      <c r="A1602" s="375"/>
      <c r="K1602" s="269"/>
      <c r="L1602" s="269" t="str">
        <f t="shared" si="1"/>
        <v/>
      </c>
    </row>
    <row r="1603" ht="15.75" customHeight="1">
      <c r="A1603" s="375"/>
      <c r="K1603" s="269"/>
      <c r="L1603" s="269" t="str">
        <f t="shared" si="1"/>
        <v/>
      </c>
    </row>
    <row r="1604" ht="15.75" customHeight="1">
      <c r="A1604" s="375"/>
      <c r="K1604" s="269"/>
      <c r="L1604" s="269" t="str">
        <f t="shared" si="1"/>
        <v/>
      </c>
    </row>
    <row r="1605" ht="15.75" customHeight="1">
      <c r="A1605" s="375"/>
      <c r="K1605" s="269"/>
      <c r="L1605" s="269" t="str">
        <f t="shared" si="1"/>
        <v/>
      </c>
    </row>
    <row r="1606" ht="15.75" customHeight="1">
      <c r="A1606" s="375"/>
      <c r="K1606" s="269"/>
      <c r="L1606" s="269" t="str">
        <f t="shared" si="1"/>
        <v/>
      </c>
    </row>
    <row r="1607" ht="15.75" customHeight="1">
      <c r="A1607" s="375"/>
      <c r="K1607" s="269"/>
      <c r="L1607" s="269" t="str">
        <f t="shared" si="1"/>
        <v/>
      </c>
    </row>
    <row r="1608" ht="15.75" customHeight="1">
      <c r="A1608" s="375"/>
      <c r="K1608" s="269"/>
      <c r="L1608" s="269" t="str">
        <f t="shared" si="1"/>
        <v/>
      </c>
    </row>
    <row r="1609" ht="15.75" customHeight="1">
      <c r="A1609" s="375"/>
      <c r="K1609" s="269"/>
      <c r="L1609" s="269" t="str">
        <f t="shared" si="1"/>
        <v/>
      </c>
    </row>
    <row r="1610" ht="15.75" customHeight="1">
      <c r="A1610" s="375"/>
      <c r="K1610" s="269"/>
      <c r="L1610" s="269" t="str">
        <f t="shared" si="1"/>
        <v/>
      </c>
    </row>
    <row r="1611" ht="15.75" customHeight="1">
      <c r="A1611" s="375"/>
      <c r="K1611" s="269"/>
      <c r="L1611" s="269" t="str">
        <f t="shared" si="1"/>
        <v/>
      </c>
    </row>
    <row r="1612" ht="15.75" customHeight="1">
      <c r="A1612" s="375"/>
      <c r="K1612" s="269"/>
      <c r="L1612" s="269" t="str">
        <f t="shared" si="1"/>
        <v/>
      </c>
    </row>
    <row r="1613" ht="15.75" customHeight="1">
      <c r="A1613" s="375"/>
      <c r="K1613" s="269"/>
      <c r="L1613" s="269" t="str">
        <f t="shared" si="1"/>
        <v/>
      </c>
    </row>
    <row r="1614" ht="15.75" customHeight="1">
      <c r="A1614" s="375"/>
      <c r="K1614" s="269"/>
      <c r="L1614" s="269" t="str">
        <f t="shared" si="1"/>
        <v/>
      </c>
    </row>
    <row r="1615" ht="15.75" customHeight="1">
      <c r="A1615" s="375"/>
      <c r="K1615" s="269"/>
      <c r="L1615" s="269" t="str">
        <f t="shared" si="1"/>
        <v/>
      </c>
    </row>
    <row r="1616" ht="15.75" customHeight="1">
      <c r="A1616" s="375"/>
      <c r="K1616" s="269"/>
      <c r="L1616" s="269" t="str">
        <f t="shared" si="1"/>
        <v/>
      </c>
    </row>
    <row r="1617" ht="15.75" customHeight="1">
      <c r="A1617" s="375"/>
      <c r="K1617" s="269"/>
      <c r="L1617" s="269" t="str">
        <f t="shared" si="1"/>
        <v/>
      </c>
    </row>
    <row r="1618" ht="15.75" customHeight="1">
      <c r="A1618" s="375"/>
      <c r="K1618" s="269"/>
      <c r="L1618" s="269" t="str">
        <f t="shared" si="1"/>
        <v/>
      </c>
    </row>
    <row r="1619" ht="15.75" customHeight="1">
      <c r="A1619" s="375"/>
      <c r="K1619" s="269"/>
      <c r="L1619" s="269" t="str">
        <f t="shared" si="1"/>
        <v/>
      </c>
    </row>
    <row r="1620" ht="15.75" customHeight="1">
      <c r="A1620" s="375"/>
      <c r="K1620" s="269"/>
      <c r="L1620" s="269" t="str">
        <f t="shared" si="1"/>
        <v/>
      </c>
    </row>
    <row r="1621" ht="15.75" customHeight="1">
      <c r="A1621" s="375"/>
      <c r="K1621" s="269"/>
      <c r="L1621" s="269" t="str">
        <f t="shared" si="1"/>
        <v/>
      </c>
    </row>
    <row r="1622" ht="15.75" customHeight="1">
      <c r="A1622" s="375"/>
      <c r="K1622" s="269"/>
      <c r="L1622" s="269" t="str">
        <f t="shared" si="1"/>
        <v/>
      </c>
    </row>
    <row r="1623" ht="15.75" customHeight="1">
      <c r="A1623" s="375"/>
      <c r="K1623" s="269"/>
      <c r="L1623" s="269" t="str">
        <f t="shared" si="1"/>
        <v/>
      </c>
    </row>
    <row r="1624" ht="15.75" customHeight="1">
      <c r="A1624" s="375"/>
      <c r="K1624" s="269"/>
      <c r="L1624" s="269" t="str">
        <f t="shared" si="1"/>
        <v/>
      </c>
    </row>
    <row r="1625" ht="15.75" customHeight="1">
      <c r="A1625" s="375"/>
      <c r="K1625" s="269"/>
      <c r="L1625" s="269" t="str">
        <f t="shared" si="1"/>
        <v/>
      </c>
    </row>
    <row r="1626" ht="15.75" customHeight="1">
      <c r="A1626" s="375"/>
      <c r="K1626" s="269"/>
      <c r="L1626" s="269" t="str">
        <f t="shared" si="1"/>
        <v/>
      </c>
    </row>
    <row r="1627" ht="15.75" customHeight="1">
      <c r="A1627" s="375"/>
      <c r="K1627" s="269"/>
      <c r="L1627" s="269" t="str">
        <f t="shared" si="1"/>
        <v/>
      </c>
    </row>
    <row r="1628" ht="15.75" customHeight="1">
      <c r="A1628" s="375"/>
      <c r="K1628" s="269"/>
      <c r="L1628" s="269" t="str">
        <f t="shared" si="1"/>
        <v/>
      </c>
    </row>
    <row r="1629" ht="15.75" customHeight="1">
      <c r="A1629" s="375"/>
      <c r="K1629" s="269"/>
      <c r="L1629" s="269" t="str">
        <f t="shared" si="1"/>
        <v/>
      </c>
    </row>
    <row r="1630" ht="15.75" customHeight="1">
      <c r="A1630" s="375"/>
      <c r="K1630" s="269"/>
      <c r="L1630" s="269" t="str">
        <f t="shared" si="1"/>
        <v/>
      </c>
    </row>
    <row r="1631" ht="15.75" customHeight="1">
      <c r="A1631" s="375"/>
      <c r="K1631" s="269"/>
      <c r="L1631" s="269" t="str">
        <f t="shared" si="1"/>
        <v/>
      </c>
    </row>
    <row r="1632" ht="15.75" customHeight="1">
      <c r="A1632" s="375"/>
      <c r="K1632" s="269"/>
      <c r="L1632" s="269" t="str">
        <f t="shared" si="1"/>
        <v/>
      </c>
    </row>
    <row r="1633" ht="15.75" customHeight="1">
      <c r="A1633" s="375"/>
      <c r="K1633" s="269"/>
      <c r="L1633" s="269" t="str">
        <f t="shared" si="1"/>
        <v/>
      </c>
    </row>
    <row r="1634" ht="15.75" customHeight="1">
      <c r="A1634" s="375"/>
      <c r="K1634" s="269"/>
      <c r="L1634" s="269" t="str">
        <f t="shared" si="1"/>
        <v/>
      </c>
    </row>
    <row r="1635" ht="15.75" customHeight="1">
      <c r="A1635" s="375"/>
      <c r="K1635" s="269"/>
      <c r="L1635" s="269" t="str">
        <f t="shared" si="1"/>
        <v/>
      </c>
    </row>
    <row r="1636" ht="15.75" customHeight="1">
      <c r="A1636" s="375"/>
      <c r="K1636" s="269"/>
      <c r="L1636" s="269" t="str">
        <f t="shared" si="1"/>
        <v/>
      </c>
    </row>
    <row r="1637" ht="15.75" customHeight="1">
      <c r="A1637" s="375"/>
      <c r="K1637" s="269"/>
      <c r="L1637" s="269" t="str">
        <f t="shared" si="1"/>
        <v/>
      </c>
    </row>
    <row r="1638" ht="15.75" customHeight="1">
      <c r="A1638" s="375"/>
      <c r="K1638" s="269"/>
      <c r="L1638" s="269" t="str">
        <f t="shared" si="1"/>
        <v/>
      </c>
    </row>
    <row r="1639" ht="15.75" customHeight="1">
      <c r="A1639" s="375"/>
      <c r="K1639" s="269"/>
      <c r="L1639" s="269" t="str">
        <f t="shared" si="1"/>
        <v/>
      </c>
    </row>
    <row r="1640" ht="15.75" customHeight="1">
      <c r="A1640" s="375"/>
      <c r="K1640" s="269"/>
      <c r="L1640" s="269" t="str">
        <f t="shared" si="1"/>
        <v/>
      </c>
    </row>
    <row r="1641" ht="15.75" customHeight="1">
      <c r="A1641" s="375"/>
      <c r="K1641" s="269"/>
      <c r="L1641" s="269" t="str">
        <f t="shared" si="1"/>
        <v/>
      </c>
    </row>
    <row r="1642" ht="15.75" customHeight="1">
      <c r="A1642" s="375"/>
      <c r="K1642" s="269"/>
      <c r="L1642" s="269" t="str">
        <f t="shared" si="1"/>
        <v/>
      </c>
    </row>
    <row r="1643" ht="15.75" customHeight="1">
      <c r="A1643" s="375"/>
      <c r="K1643" s="269"/>
      <c r="L1643" s="269" t="str">
        <f t="shared" si="1"/>
        <v/>
      </c>
    </row>
    <row r="1644" ht="15.75" customHeight="1">
      <c r="A1644" s="375"/>
      <c r="K1644" s="269"/>
      <c r="L1644" s="269" t="str">
        <f t="shared" si="1"/>
        <v/>
      </c>
    </row>
    <row r="1645" ht="15.75" customHeight="1">
      <c r="A1645" s="375"/>
      <c r="K1645" s="269"/>
      <c r="L1645" s="269" t="str">
        <f t="shared" si="1"/>
        <v/>
      </c>
    </row>
    <row r="1646" ht="15.75" customHeight="1">
      <c r="A1646" s="375"/>
      <c r="K1646" s="269"/>
      <c r="L1646" s="269" t="str">
        <f t="shared" si="1"/>
        <v/>
      </c>
    </row>
    <row r="1647" ht="15.75" customHeight="1">
      <c r="A1647" s="375"/>
      <c r="K1647" s="269"/>
      <c r="L1647" s="269" t="str">
        <f t="shared" si="1"/>
        <v/>
      </c>
    </row>
    <row r="1648" ht="15.75" customHeight="1">
      <c r="A1648" s="375"/>
      <c r="K1648" s="269"/>
      <c r="L1648" s="269" t="str">
        <f t="shared" si="1"/>
        <v/>
      </c>
    </row>
    <row r="1649" ht="15.75" customHeight="1">
      <c r="A1649" s="375"/>
      <c r="K1649" s="269"/>
      <c r="L1649" s="269" t="str">
        <f t="shared" si="1"/>
        <v/>
      </c>
    </row>
    <row r="1650" ht="15.75" customHeight="1">
      <c r="A1650" s="375"/>
      <c r="K1650" s="269"/>
      <c r="L1650" s="269" t="str">
        <f t="shared" si="1"/>
        <v/>
      </c>
    </row>
    <row r="1651" ht="15.75" customHeight="1">
      <c r="A1651" s="375"/>
      <c r="K1651" s="269"/>
      <c r="L1651" s="269" t="str">
        <f t="shared" si="1"/>
        <v/>
      </c>
    </row>
    <row r="1652" ht="15.75" customHeight="1">
      <c r="A1652" s="375"/>
      <c r="K1652" s="269"/>
      <c r="L1652" s="269" t="str">
        <f t="shared" si="1"/>
        <v/>
      </c>
    </row>
    <row r="1653" ht="15.75" customHeight="1">
      <c r="A1653" s="375"/>
      <c r="K1653" s="269"/>
      <c r="L1653" s="269" t="str">
        <f t="shared" si="1"/>
        <v/>
      </c>
    </row>
    <row r="1654" ht="15.75" customHeight="1">
      <c r="A1654" s="375"/>
      <c r="K1654" s="269"/>
      <c r="L1654" s="269" t="str">
        <f t="shared" si="1"/>
        <v/>
      </c>
    </row>
    <row r="1655" ht="15.75" customHeight="1">
      <c r="A1655" s="375"/>
      <c r="K1655" s="269"/>
      <c r="L1655" s="269" t="str">
        <f t="shared" si="1"/>
        <v/>
      </c>
    </row>
    <row r="1656" ht="15.75" customHeight="1">
      <c r="A1656" s="375"/>
      <c r="K1656" s="269"/>
      <c r="L1656" s="269" t="str">
        <f t="shared" si="1"/>
        <v/>
      </c>
    </row>
    <row r="1657" ht="15.75" customHeight="1">
      <c r="A1657" s="375"/>
      <c r="K1657" s="269"/>
      <c r="L1657" s="269" t="str">
        <f t="shared" si="1"/>
        <v/>
      </c>
    </row>
    <row r="1658" ht="15.75" customHeight="1">
      <c r="A1658" s="375"/>
      <c r="K1658" s="269"/>
      <c r="L1658" s="269" t="str">
        <f t="shared" si="1"/>
        <v/>
      </c>
    </row>
    <row r="1659" ht="15.75" customHeight="1">
      <c r="A1659" s="375"/>
      <c r="K1659" s="269"/>
      <c r="L1659" s="269" t="str">
        <f t="shared" si="1"/>
        <v/>
      </c>
    </row>
    <row r="1660" ht="15.75" customHeight="1">
      <c r="A1660" s="375"/>
      <c r="K1660" s="269"/>
      <c r="L1660" s="269" t="str">
        <f t="shared" si="1"/>
        <v/>
      </c>
    </row>
    <row r="1661" ht="15.75" customHeight="1">
      <c r="A1661" s="375"/>
      <c r="K1661" s="269"/>
      <c r="L1661" s="269" t="str">
        <f t="shared" si="1"/>
        <v/>
      </c>
    </row>
    <row r="1662" ht="15.75" customHeight="1">
      <c r="A1662" s="375"/>
      <c r="K1662" s="269"/>
      <c r="L1662" s="269" t="str">
        <f t="shared" si="1"/>
        <v/>
      </c>
    </row>
    <row r="1663" ht="15.75" customHeight="1">
      <c r="A1663" s="375"/>
      <c r="K1663" s="269"/>
      <c r="L1663" s="269" t="str">
        <f t="shared" si="1"/>
        <v/>
      </c>
    </row>
    <row r="1664" ht="15.75" customHeight="1">
      <c r="A1664" s="375"/>
      <c r="K1664" s="269"/>
      <c r="L1664" s="269" t="str">
        <f t="shared" si="1"/>
        <v/>
      </c>
    </row>
    <row r="1665" ht="15.75" customHeight="1">
      <c r="A1665" s="375"/>
      <c r="K1665" s="269"/>
      <c r="L1665" s="269" t="str">
        <f t="shared" si="1"/>
        <v/>
      </c>
    </row>
    <row r="1666" ht="15.75" customHeight="1">
      <c r="A1666" s="375"/>
      <c r="K1666" s="269"/>
      <c r="L1666" s="269" t="str">
        <f t="shared" si="1"/>
        <v/>
      </c>
    </row>
    <row r="1667" ht="15.75" customHeight="1">
      <c r="A1667" s="375"/>
      <c r="K1667" s="269"/>
      <c r="L1667" s="269" t="str">
        <f t="shared" si="1"/>
        <v/>
      </c>
    </row>
    <row r="1668" ht="15.75" customHeight="1">
      <c r="A1668" s="375"/>
      <c r="K1668" s="269"/>
      <c r="L1668" s="269" t="str">
        <f t="shared" si="1"/>
        <v/>
      </c>
    </row>
    <row r="1669" ht="15.75" customHeight="1">
      <c r="A1669" s="375"/>
      <c r="K1669" s="269"/>
      <c r="L1669" s="269" t="str">
        <f t="shared" si="1"/>
        <v/>
      </c>
    </row>
    <row r="1670" ht="15.75" customHeight="1">
      <c r="A1670" s="375"/>
      <c r="K1670" s="269"/>
      <c r="L1670" s="269" t="str">
        <f t="shared" si="1"/>
        <v/>
      </c>
    </row>
    <row r="1671" ht="15.75" customHeight="1">
      <c r="A1671" s="375"/>
      <c r="K1671" s="269"/>
      <c r="L1671" s="269" t="str">
        <f t="shared" si="1"/>
        <v/>
      </c>
    </row>
    <row r="1672" ht="15.75" customHeight="1">
      <c r="A1672" s="375"/>
      <c r="K1672" s="269"/>
      <c r="L1672" s="269" t="str">
        <f t="shared" si="1"/>
        <v/>
      </c>
    </row>
    <row r="1673" ht="15.75" customHeight="1">
      <c r="A1673" s="375"/>
      <c r="K1673" s="269"/>
      <c r="L1673" s="269" t="str">
        <f t="shared" si="1"/>
        <v/>
      </c>
    </row>
    <row r="1674" ht="15.75" customHeight="1">
      <c r="A1674" s="375"/>
      <c r="K1674" s="269"/>
      <c r="L1674" s="269" t="str">
        <f t="shared" si="1"/>
        <v/>
      </c>
    </row>
    <row r="1675" ht="15.75" customHeight="1">
      <c r="A1675" s="375"/>
      <c r="K1675" s="269"/>
      <c r="L1675" s="269" t="str">
        <f t="shared" si="1"/>
        <v/>
      </c>
    </row>
    <row r="1676" ht="15.75" customHeight="1">
      <c r="A1676" s="375"/>
      <c r="K1676" s="269"/>
      <c r="L1676" s="269" t="str">
        <f t="shared" si="1"/>
        <v/>
      </c>
    </row>
    <row r="1677" ht="15.75" customHeight="1">
      <c r="A1677" s="375"/>
      <c r="K1677" s="269"/>
      <c r="L1677" s="269" t="str">
        <f t="shared" si="1"/>
        <v/>
      </c>
    </row>
    <row r="1678" ht="15.75" customHeight="1">
      <c r="A1678" s="375"/>
      <c r="K1678" s="269"/>
      <c r="L1678" s="269" t="str">
        <f t="shared" si="1"/>
        <v/>
      </c>
    </row>
    <row r="1679" ht="15.75" customHeight="1">
      <c r="A1679" s="375"/>
      <c r="K1679" s="269"/>
      <c r="L1679" s="269" t="str">
        <f t="shared" si="1"/>
        <v/>
      </c>
    </row>
    <row r="1680" ht="15.75" customHeight="1">
      <c r="A1680" s="375"/>
      <c r="K1680" s="269"/>
      <c r="L1680" s="269" t="str">
        <f t="shared" si="1"/>
        <v/>
      </c>
    </row>
    <row r="1681" ht="15.75" customHeight="1">
      <c r="A1681" s="375"/>
      <c r="K1681" s="269"/>
      <c r="L1681" s="269" t="str">
        <f t="shared" si="1"/>
        <v/>
      </c>
    </row>
    <row r="1682" ht="15.75" customHeight="1">
      <c r="A1682" s="375"/>
      <c r="K1682" s="269"/>
      <c r="L1682" s="269" t="str">
        <f t="shared" si="1"/>
        <v/>
      </c>
    </row>
    <row r="1683" ht="15.75" customHeight="1">
      <c r="A1683" s="375"/>
      <c r="K1683" s="269"/>
      <c r="L1683" s="269" t="str">
        <f t="shared" si="1"/>
        <v/>
      </c>
    </row>
    <row r="1684" ht="15.75" customHeight="1">
      <c r="A1684" s="375"/>
      <c r="K1684" s="269"/>
      <c r="L1684" s="269" t="str">
        <f t="shared" si="1"/>
        <v/>
      </c>
    </row>
    <row r="1685" ht="15.75" customHeight="1">
      <c r="A1685" s="375"/>
      <c r="K1685" s="269"/>
      <c r="L1685" s="269" t="str">
        <f t="shared" si="1"/>
        <v/>
      </c>
    </row>
    <row r="1686" ht="15.75" customHeight="1">
      <c r="A1686" s="375"/>
      <c r="K1686" s="269"/>
      <c r="L1686" s="269" t="str">
        <f t="shared" si="1"/>
        <v/>
      </c>
    </row>
    <row r="1687" ht="15.75" customHeight="1">
      <c r="A1687" s="375"/>
      <c r="K1687" s="269"/>
      <c r="L1687" s="269" t="str">
        <f t="shared" si="1"/>
        <v/>
      </c>
    </row>
    <row r="1688" ht="15.75" customHeight="1">
      <c r="A1688" s="375"/>
      <c r="K1688" s="269"/>
      <c r="L1688" s="269" t="str">
        <f t="shared" si="1"/>
        <v/>
      </c>
    </row>
    <row r="1689" ht="15.75" customHeight="1">
      <c r="A1689" s="375"/>
      <c r="K1689" s="269"/>
      <c r="L1689" s="269" t="str">
        <f t="shared" si="1"/>
        <v/>
      </c>
    </row>
    <row r="1690" ht="15.75" customHeight="1">
      <c r="A1690" s="375"/>
      <c r="K1690" s="269"/>
      <c r="L1690" s="269" t="str">
        <f t="shared" si="1"/>
        <v/>
      </c>
    </row>
    <row r="1691" ht="15.75" customHeight="1">
      <c r="A1691" s="375"/>
      <c r="K1691" s="269"/>
      <c r="L1691" s="269" t="str">
        <f t="shared" si="1"/>
        <v/>
      </c>
    </row>
    <row r="1692" ht="15.75" customHeight="1">
      <c r="A1692" s="375"/>
      <c r="K1692" s="269"/>
      <c r="L1692" s="269" t="str">
        <f t="shared" si="1"/>
        <v/>
      </c>
    </row>
    <row r="1693" ht="15.75" customHeight="1">
      <c r="A1693" s="375"/>
      <c r="K1693" s="269"/>
      <c r="L1693" s="269" t="str">
        <f t="shared" si="1"/>
        <v/>
      </c>
    </row>
    <row r="1694" ht="15.75" customHeight="1">
      <c r="A1694" s="375"/>
      <c r="K1694" s="269"/>
      <c r="L1694" s="269" t="str">
        <f t="shared" si="1"/>
        <v/>
      </c>
    </row>
    <row r="1695" ht="15.75" customHeight="1">
      <c r="A1695" s="375"/>
      <c r="K1695" s="269"/>
      <c r="L1695" s="269" t="str">
        <f t="shared" si="1"/>
        <v/>
      </c>
    </row>
    <row r="1696" ht="15.75" customHeight="1">
      <c r="A1696" s="375"/>
      <c r="K1696" s="269"/>
      <c r="L1696" s="269" t="str">
        <f t="shared" si="1"/>
        <v/>
      </c>
    </row>
    <row r="1697" ht="15.75" customHeight="1">
      <c r="A1697" s="375"/>
      <c r="K1697" s="269"/>
      <c r="L1697" s="269" t="str">
        <f t="shared" si="1"/>
        <v/>
      </c>
    </row>
    <row r="1698" ht="15.75" customHeight="1">
      <c r="A1698" s="375"/>
      <c r="K1698" s="269"/>
      <c r="L1698" s="269" t="str">
        <f t="shared" si="1"/>
        <v/>
      </c>
    </row>
    <row r="1699" ht="15.75" customHeight="1">
      <c r="A1699" s="375"/>
      <c r="K1699" s="269"/>
      <c r="L1699" s="269" t="str">
        <f t="shared" si="1"/>
        <v/>
      </c>
    </row>
    <row r="1700" ht="15.75" customHeight="1">
      <c r="A1700" s="375"/>
      <c r="K1700" s="269"/>
      <c r="L1700" s="269" t="str">
        <f t="shared" si="1"/>
        <v/>
      </c>
    </row>
    <row r="1701" ht="15.75" customHeight="1">
      <c r="A1701" s="375"/>
      <c r="K1701" s="269"/>
      <c r="L1701" s="269" t="str">
        <f t="shared" si="1"/>
        <v/>
      </c>
    </row>
    <row r="1702" ht="15.75" customHeight="1">
      <c r="A1702" s="375"/>
      <c r="K1702" s="269"/>
      <c r="L1702" s="269" t="str">
        <f t="shared" si="1"/>
        <v/>
      </c>
    </row>
    <row r="1703" ht="15.75" customHeight="1">
      <c r="A1703" s="375"/>
      <c r="K1703" s="269"/>
      <c r="L1703" s="269" t="str">
        <f t="shared" si="1"/>
        <v/>
      </c>
    </row>
    <row r="1704" ht="15.75" customHeight="1">
      <c r="A1704" s="375"/>
      <c r="K1704" s="269"/>
      <c r="L1704" s="269" t="str">
        <f t="shared" si="1"/>
        <v/>
      </c>
    </row>
    <row r="1705" ht="15.75" customHeight="1">
      <c r="A1705" s="375"/>
      <c r="K1705" s="269"/>
      <c r="L1705" s="269" t="str">
        <f t="shared" si="1"/>
        <v/>
      </c>
    </row>
    <row r="1706" ht="15.75" customHeight="1">
      <c r="A1706" s="375"/>
      <c r="K1706" s="269"/>
      <c r="L1706" s="269" t="str">
        <f t="shared" si="1"/>
        <v/>
      </c>
    </row>
    <row r="1707" ht="15.75" customHeight="1">
      <c r="A1707" s="375"/>
      <c r="K1707" s="269"/>
      <c r="L1707" s="269" t="str">
        <f t="shared" si="1"/>
        <v/>
      </c>
    </row>
    <row r="1708" ht="15.75" customHeight="1">
      <c r="A1708" s="375"/>
      <c r="K1708" s="269"/>
      <c r="L1708" s="269" t="str">
        <f t="shared" si="1"/>
        <v/>
      </c>
    </row>
    <row r="1709" ht="15.75" customHeight="1">
      <c r="A1709" s="375"/>
      <c r="K1709" s="269"/>
      <c r="L1709" s="269" t="str">
        <f t="shared" si="1"/>
        <v/>
      </c>
    </row>
    <row r="1710" ht="15.75" customHeight="1">
      <c r="A1710" s="375"/>
      <c r="K1710" s="269"/>
      <c r="L1710" s="269" t="str">
        <f t="shared" si="1"/>
        <v/>
      </c>
    </row>
    <row r="1711" ht="15.75" customHeight="1">
      <c r="A1711" s="375"/>
      <c r="K1711" s="269"/>
      <c r="L1711" s="269" t="str">
        <f t="shared" si="1"/>
        <v/>
      </c>
    </row>
    <row r="1712" ht="15.75" customHeight="1">
      <c r="A1712" s="375"/>
      <c r="K1712" s="269"/>
      <c r="L1712" s="269" t="str">
        <f t="shared" si="1"/>
        <v/>
      </c>
    </row>
    <row r="1713" ht="15.75" customHeight="1">
      <c r="A1713" s="375"/>
      <c r="K1713" s="269"/>
      <c r="L1713" s="269" t="str">
        <f t="shared" si="1"/>
        <v/>
      </c>
    </row>
    <row r="1714" ht="15.75" customHeight="1">
      <c r="A1714" s="375"/>
      <c r="K1714" s="269"/>
      <c r="L1714" s="269" t="str">
        <f t="shared" si="1"/>
        <v/>
      </c>
    </row>
    <row r="1715" ht="15.75" customHeight="1">
      <c r="A1715" s="375"/>
      <c r="K1715" s="269"/>
      <c r="L1715" s="269" t="str">
        <f t="shared" si="1"/>
        <v/>
      </c>
    </row>
    <row r="1716" ht="15.75" customHeight="1">
      <c r="A1716" s="375"/>
      <c r="K1716" s="269"/>
      <c r="L1716" s="269" t="str">
        <f t="shared" si="1"/>
        <v/>
      </c>
    </row>
    <row r="1717" ht="15.75" customHeight="1">
      <c r="A1717" s="375"/>
      <c r="K1717" s="269"/>
      <c r="L1717" s="269" t="str">
        <f t="shared" si="1"/>
        <v/>
      </c>
    </row>
    <row r="1718" ht="15.75" customHeight="1">
      <c r="A1718" s="375"/>
      <c r="K1718" s="269"/>
      <c r="L1718" s="269" t="str">
        <f t="shared" si="1"/>
        <v/>
      </c>
    </row>
    <row r="1719" ht="15.75" customHeight="1">
      <c r="A1719" s="375"/>
      <c r="K1719" s="269"/>
      <c r="L1719" s="269" t="str">
        <f t="shared" si="1"/>
        <v/>
      </c>
    </row>
    <row r="1720" ht="15.75" customHeight="1">
      <c r="A1720" s="375"/>
      <c r="K1720" s="269"/>
      <c r="L1720" s="269" t="str">
        <f t="shared" si="1"/>
        <v/>
      </c>
    </row>
    <row r="1721" ht="15.75" customHeight="1">
      <c r="A1721" s="375"/>
      <c r="K1721" s="269"/>
      <c r="L1721" s="269" t="str">
        <f t="shared" si="1"/>
        <v/>
      </c>
    </row>
    <row r="1722" ht="15.75" customHeight="1">
      <c r="A1722" s="375"/>
      <c r="K1722" s="269"/>
      <c r="L1722" s="269" t="str">
        <f t="shared" si="1"/>
        <v/>
      </c>
    </row>
    <row r="1723" ht="15.75" customHeight="1">
      <c r="A1723" s="375"/>
      <c r="K1723" s="269"/>
      <c r="L1723" s="269" t="str">
        <f t="shared" si="1"/>
        <v/>
      </c>
    </row>
    <row r="1724" ht="15.75" customHeight="1">
      <c r="A1724" s="375"/>
      <c r="K1724" s="269"/>
      <c r="L1724" s="269" t="str">
        <f t="shared" si="1"/>
        <v/>
      </c>
    </row>
    <row r="1725" ht="15.75" customHeight="1">
      <c r="A1725" s="375"/>
      <c r="K1725" s="269"/>
      <c r="L1725" s="269" t="str">
        <f t="shared" si="1"/>
        <v/>
      </c>
    </row>
    <row r="1726" ht="15.75" customHeight="1">
      <c r="A1726" s="375"/>
      <c r="K1726" s="269"/>
      <c r="L1726" s="269" t="str">
        <f t="shared" si="1"/>
        <v/>
      </c>
    </row>
    <row r="1727" ht="15.75" customHeight="1">
      <c r="A1727" s="375"/>
      <c r="K1727" s="269"/>
      <c r="L1727" s="269" t="str">
        <f t="shared" si="1"/>
        <v/>
      </c>
    </row>
    <row r="1728" ht="15.75" customHeight="1">
      <c r="A1728" s="375"/>
      <c r="K1728" s="269"/>
      <c r="L1728" s="269" t="str">
        <f t="shared" si="1"/>
        <v/>
      </c>
    </row>
    <row r="1729" ht="15.75" customHeight="1">
      <c r="A1729" s="375"/>
      <c r="K1729" s="269"/>
      <c r="L1729" s="269" t="str">
        <f t="shared" si="1"/>
        <v/>
      </c>
    </row>
    <row r="1730" ht="15.75" customHeight="1">
      <c r="A1730" s="375"/>
      <c r="K1730" s="269"/>
      <c r="L1730" s="269" t="str">
        <f t="shared" si="1"/>
        <v/>
      </c>
    </row>
    <row r="1731" ht="15.75" customHeight="1">
      <c r="A1731" s="375"/>
      <c r="K1731" s="269"/>
      <c r="L1731" s="269" t="str">
        <f t="shared" si="1"/>
        <v/>
      </c>
    </row>
    <row r="1732" ht="15.75" customHeight="1">
      <c r="A1732" s="375"/>
      <c r="K1732" s="269"/>
      <c r="L1732" s="269" t="str">
        <f t="shared" si="1"/>
        <v/>
      </c>
    </row>
    <row r="1733" ht="15.75" customHeight="1">
      <c r="A1733" s="375"/>
      <c r="K1733" s="269"/>
      <c r="L1733" s="269" t="str">
        <f t="shared" si="1"/>
        <v/>
      </c>
    </row>
    <row r="1734" ht="15.75" customHeight="1">
      <c r="A1734" s="375"/>
      <c r="K1734" s="269"/>
      <c r="L1734" s="269" t="str">
        <f t="shared" si="1"/>
        <v/>
      </c>
    </row>
    <row r="1735" ht="15.75" customHeight="1">
      <c r="A1735" s="375"/>
      <c r="K1735" s="269"/>
      <c r="L1735" s="269" t="str">
        <f t="shared" si="1"/>
        <v/>
      </c>
    </row>
    <row r="1736" ht="15.75" customHeight="1">
      <c r="A1736" s="375"/>
      <c r="K1736" s="269"/>
      <c r="L1736" s="269" t="str">
        <f t="shared" si="1"/>
        <v/>
      </c>
    </row>
    <row r="1737" ht="15.75" customHeight="1">
      <c r="A1737" s="375"/>
      <c r="K1737" s="269"/>
      <c r="L1737" s="269" t="str">
        <f t="shared" si="1"/>
        <v/>
      </c>
    </row>
    <row r="1738" ht="15.75" customHeight="1">
      <c r="A1738" s="375"/>
      <c r="K1738" s="269"/>
      <c r="L1738" s="269" t="str">
        <f t="shared" si="1"/>
        <v/>
      </c>
    </row>
    <row r="1739" ht="15.75" customHeight="1">
      <c r="A1739" s="375"/>
      <c r="K1739" s="269"/>
      <c r="L1739" s="269" t="str">
        <f t="shared" si="1"/>
        <v/>
      </c>
    </row>
    <row r="1740" ht="15.75" customHeight="1">
      <c r="A1740" s="375"/>
      <c r="K1740" s="269"/>
      <c r="L1740" s="269" t="str">
        <f t="shared" si="1"/>
        <v/>
      </c>
    </row>
    <row r="1741" ht="15.75" customHeight="1">
      <c r="A1741" s="375"/>
      <c r="K1741" s="269"/>
      <c r="L1741" s="269" t="str">
        <f t="shared" si="1"/>
        <v/>
      </c>
    </row>
    <row r="1742" ht="15.75" customHeight="1">
      <c r="A1742" s="375"/>
      <c r="K1742" s="269"/>
      <c r="L1742" s="269" t="str">
        <f t="shared" si="1"/>
        <v/>
      </c>
    </row>
    <row r="1743" ht="15.75" customHeight="1">
      <c r="A1743" s="375"/>
      <c r="K1743" s="269"/>
      <c r="L1743" s="269" t="str">
        <f t="shared" si="1"/>
        <v/>
      </c>
    </row>
    <row r="1744" ht="15.75" customHeight="1">
      <c r="A1744" s="375"/>
      <c r="K1744" s="269"/>
      <c r="L1744" s="269" t="str">
        <f t="shared" si="1"/>
        <v/>
      </c>
    </row>
    <row r="1745" ht="15.75" customHeight="1">
      <c r="A1745" s="375"/>
      <c r="K1745" s="269"/>
      <c r="L1745" s="269" t="str">
        <f t="shared" si="1"/>
        <v/>
      </c>
    </row>
    <row r="1746" ht="15.75" customHeight="1">
      <c r="A1746" s="375"/>
      <c r="K1746" s="269"/>
      <c r="L1746" s="269" t="str">
        <f t="shared" si="1"/>
        <v/>
      </c>
    </row>
    <row r="1747" ht="15.75" customHeight="1">
      <c r="A1747" s="375"/>
      <c r="K1747" s="269"/>
      <c r="L1747" s="269" t="str">
        <f t="shared" si="1"/>
        <v/>
      </c>
    </row>
    <row r="1748" ht="15.75" customHeight="1">
      <c r="A1748" s="375"/>
      <c r="K1748" s="269"/>
      <c r="L1748" s="269" t="str">
        <f t="shared" si="1"/>
        <v/>
      </c>
    </row>
    <row r="1749" ht="15.75" customHeight="1">
      <c r="A1749" s="375"/>
      <c r="K1749" s="269"/>
      <c r="L1749" s="269" t="str">
        <f t="shared" si="1"/>
        <v/>
      </c>
    </row>
    <row r="1750" ht="15.75" customHeight="1">
      <c r="A1750" s="375"/>
      <c r="K1750" s="269"/>
      <c r="L1750" s="269" t="str">
        <f t="shared" si="1"/>
        <v/>
      </c>
    </row>
    <row r="1751" ht="15.75" customHeight="1">
      <c r="A1751" s="375"/>
      <c r="K1751" s="269"/>
      <c r="L1751" s="269" t="str">
        <f t="shared" si="1"/>
        <v/>
      </c>
    </row>
    <row r="1752" ht="15.75" customHeight="1">
      <c r="A1752" s="375"/>
      <c r="K1752" s="269"/>
      <c r="L1752" s="269" t="str">
        <f t="shared" si="1"/>
        <v/>
      </c>
    </row>
    <row r="1753" ht="15.75" customHeight="1">
      <c r="A1753" s="375"/>
      <c r="K1753" s="269"/>
      <c r="L1753" s="269" t="str">
        <f t="shared" si="1"/>
        <v/>
      </c>
    </row>
    <row r="1754" ht="15.75" customHeight="1">
      <c r="A1754" s="375"/>
      <c r="K1754" s="269"/>
      <c r="L1754" s="269" t="str">
        <f t="shared" si="1"/>
        <v/>
      </c>
    </row>
    <row r="1755" ht="15.75" customHeight="1">
      <c r="A1755" s="375"/>
      <c r="K1755" s="269"/>
      <c r="L1755" s="269" t="str">
        <f t="shared" si="1"/>
        <v/>
      </c>
    </row>
    <row r="1756" ht="15.75" customHeight="1">
      <c r="A1756" s="375"/>
      <c r="K1756" s="269"/>
      <c r="L1756" s="269" t="str">
        <f t="shared" si="1"/>
        <v/>
      </c>
    </row>
    <row r="1757" ht="15.75" customHeight="1">
      <c r="A1757" s="375"/>
      <c r="K1757" s="269"/>
      <c r="L1757" s="269" t="str">
        <f t="shared" si="1"/>
        <v/>
      </c>
    </row>
    <row r="1758" ht="15.75" customHeight="1">
      <c r="A1758" s="375"/>
      <c r="K1758" s="269"/>
      <c r="L1758" s="269" t="str">
        <f t="shared" si="1"/>
        <v/>
      </c>
    </row>
    <row r="1759" ht="15.75" customHeight="1">
      <c r="A1759" s="375"/>
      <c r="K1759" s="269"/>
      <c r="L1759" s="269" t="str">
        <f t="shared" si="1"/>
        <v/>
      </c>
    </row>
    <row r="1760" ht="15.75" customHeight="1">
      <c r="A1760" s="375"/>
      <c r="K1760" s="269"/>
      <c r="L1760" s="269" t="str">
        <f t="shared" si="1"/>
        <v/>
      </c>
    </row>
    <row r="1761" ht="15.75" customHeight="1">
      <c r="A1761" s="375"/>
      <c r="K1761" s="269"/>
      <c r="L1761" s="269" t="str">
        <f t="shared" si="1"/>
        <v/>
      </c>
    </row>
    <row r="1762" ht="15.75" customHeight="1">
      <c r="A1762" s="375"/>
      <c r="K1762" s="269"/>
      <c r="L1762" s="269" t="str">
        <f t="shared" si="1"/>
        <v/>
      </c>
    </row>
    <row r="1763" ht="15.75" customHeight="1">
      <c r="A1763" s="375"/>
      <c r="K1763" s="269"/>
      <c r="L1763" s="269" t="str">
        <f t="shared" si="1"/>
        <v/>
      </c>
    </row>
    <row r="1764" ht="15.75" customHeight="1">
      <c r="A1764" s="375"/>
      <c r="K1764" s="269"/>
      <c r="L1764" s="269" t="str">
        <f t="shared" si="1"/>
        <v/>
      </c>
    </row>
    <row r="1765" ht="15.75" customHeight="1">
      <c r="A1765" s="375"/>
      <c r="K1765" s="269"/>
      <c r="L1765" s="269" t="str">
        <f t="shared" si="1"/>
        <v/>
      </c>
    </row>
    <row r="1766" ht="15.75" customHeight="1">
      <c r="A1766" s="375"/>
      <c r="K1766" s="269"/>
      <c r="L1766" s="269" t="str">
        <f t="shared" si="1"/>
        <v/>
      </c>
    </row>
    <row r="1767" ht="15.75" customHeight="1">
      <c r="A1767" s="375"/>
      <c r="K1767" s="269"/>
      <c r="L1767" s="269" t="str">
        <f t="shared" si="1"/>
        <v/>
      </c>
    </row>
    <row r="1768" ht="15.75" customHeight="1">
      <c r="A1768" s="375"/>
      <c r="K1768" s="269"/>
      <c r="L1768" s="269" t="str">
        <f t="shared" si="1"/>
        <v/>
      </c>
    </row>
    <row r="1769" ht="15.75" customHeight="1">
      <c r="A1769" s="375"/>
      <c r="K1769" s="269"/>
      <c r="L1769" s="269" t="str">
        <f t="shared" si="1"/>
        <v/>
      </c>
    </row>
    <row r="1770" ht="15.75" customHeight="1">
      <c r="A1770" s="375"/>
      <c r="K1770" s="269"/>
      <c r="L1770" s="269" t="str">
        <f t="shared" si="1"/>
        <v/>
      </c>
    </row>
    <row r="1771" ht="15.75" customHeight="1">
      <c r="A1771" s="375"/>
      <c r="K1771" s="269"/>
      <c r="L1771" s="269" t="str">
        <f t="shared" si="1"/>
        <v/>
      </c>
    </row>
    <row r="1772" ht="15.75" customHeight="1">
      <c r="A1772" s="375"/>
      <c r="K1772" s="269"/>
      <c r="L1772" s="269" t="str">
        <f t="shared" si="1"/>
        <v/>
      </c>
    </row>
    <row r="1773" ht="15.75" customHeight="1">
      <c r="A1773" s="375"/>
      <c r="K1773" s="269"/>
      <c r="L1773" s="269" t="str">
        <f t="shared" si="1"/>
        <v/>
      </c>
    </row>
    <row r="1774" ht="15.75" customHeight="1">
      <c r="A1774" s="375"/>
      <c r="K1774" s="269"/>
      <c r="L1774" s="269" t="str">
        <f t="shared" si="1"/>
        <v/>
      </c>
    </row>
    <row r="1775" ht="15.75" customHeight="1">
      <c r="A1775" s="375"/>
      <c r="K1775" s="269"/>
      <c r="L1775" s="269" t="str">
        <f t="shared" si="1"/>
        <v/>
      </c>
    </row>
    <row r="1776" ht="15.75" customHeight="1">
      <c r="A1776" s="375"/>
      <c r="K1776" s="269"/>
      <c r="L1776" s="269" t="str">
        <f t="shared" si="1"/>
        <v/>
      </c>
    </row>
    <row r="1777" ht="15.75" customHeight="1">
      <c r="A1777" s="375"/>
      <c r="K1777" s="269"/>
      <c r="L1777" s="269" t="str">
        <f t="shared" si="1"/>
        <v/>
      </c>
    </row>
    <row r="1778" ht="15.75" customHeight="1">
      <c r="A1778" s="375"/>
      <c r="K1778" s="269"/>
      <c r="L1778" s="269" t="str">
        <f t="shared" si="1"/>
        <v/>
      </c>
    </row>
    <row r="1779" ht="15.75" customHeight="1">
      <c r="A1779" s="375"/>
      <c r="K1779" s="269"/>
      <c r="L1779" s="269" t="str">
        <f t="shared" si="1"/>
        <v/>
      </c>
    </row>
    <row r="1780" ht="15.75" customHeight="1">
      <c r="A1780" s="375"/>
      <c r="K1780" s="269"/>
      <c r="L1780" s="269" t="str">
        <f t="shared" si="1"/>
        <v/>
      </c>
    </row>
    <row r="1781" ht="15.75" customHeight="1">
      <c r="A1781" s="375"/>
      <c r="K1781" s="269"/>
      <c r="L1781" s="269" t="str">
        <f t="shared" si="1"/>
        <v/>
      </c>
    </row>
    <row r="1782" ht="15.75" customHeight="1">
      <c r="A1782" s="375"/>
      <c r="K1782" s="269"/>
      <c r="L1782" s="269" t="str">
        <f t="shared" si="1"/>
        <v/>
      </c>
    </row>
    <row r="1783" ht="15.75" customHeight="1">
      <c r="A1783" s="375"/>
      <c r="K1783" s="269"/>
      <c r="L1783" s="269" t="str">
        <f t="shared" si="1"/>
        <v/>
      </c>
    </row>
    <row r="1784" ht="15.75" customHeight="1">
      <c r="A1784" s="375"/>
      <c r="K1784" s="269"/>
      <c r="L1784" s="269" t="str">
        <f t="shared" si="1"/>
        <v/>
      </c>
    </row>
    <row r="1785" ht="15.75" customHeight="1">
      <c r="A1785" s="375"/>
      <c r="K1785" s="269"/>
      <c r="L1785" s="269" t="str">
        <f t="shared" si="1"/>
        <v/>
      </c>
    </row>
    <row r="1786" ht="15.75" customHeight="1">
      <c r="A1786" s="375"/>
      <c r="K1786" s="269"/>
      <c r="L1786" s="269" t="str">
        <f t="shared" si="1"/>
        <v/>
      </c>
    </row>
    <row r="1787" ht="15.75" customHeight="1">
      <c r="A1787" s="375"/>
      <c r="K1787" s="269"/>
      <c r="L1787" s="269" t="str">
        <f t="shared" si="1"/>
        <v/>
      </c>
    </row>
    <row r="1788" ht="15.75" customHeight="1">
      <c r="A1788" s="375"/>
      <c r="K1788" s="269"/>
      <c r="L1788" s="269" t="str">
        <f t="shared" si="1"/>
        <v/>
      </c>
    </row>
    <row r="1789" ht="15.75" customHeight="1">
      <c r="A1789" s="375"/>
      <c r="K1789" s="269"/>
      <c r="L1789" s="269" t="str">
        <f t="shared" si="1"/>
        <v/>
      </c>
    </row>
    <row r="1790" ht="15.75" customHeight="1">
      <c r="A1790" s="375"/>
      <c r="K1790" s="269"/>
      <c r="L1790" s="269" t="str">
        <f t="shared" si="1"/>
        <v/>
      </c>
    </row>
    <row r="1791" ht="15.75" customHeight="1">
      <c r="A1791" s="375"/>
      <c r="K1791" s="269"/>
      <c r="L1791" s="269" t="str">
        <f t="shared" si="1"/>
        <v/>
      </c>
    </row>
    <row r="1792" ht="15.75" customHeight="1">
      <c r="A1792" s="375"/>
      <c r="K1792" s="269"/>
      <c r="L1792" s="269" t="str">
        <f t="shared" si="1"/>
        <v/>
      </c>
    </row>
    <row r="1793" ht="15.75" customHeight="1">
      <c r="A1793" s="375"/>
      <c r="K1793" s="269"/>
      <c r="L1793" s="269" t="str">
        <f t="shared" si="1"/>
        <v/>
      </c>
    </row>
    <row r="1794" ht="15.75" customHeight="1">
      <c r="A1794" s="375"/>
      <c r="K1794" s="269"/>
      <c r="L1794" s="269" t="str">
        <f t="shared" si="1"/>
        <v/>
      </c>
    </row>
    <row r="1795" ht="15.75" customHeight="1">
      <c r="A1795" s="375"/>
      <c r="K1795" s="269"/>
      <c r="L1795" s="269" t="str">
        <f t="shared" si="1"/>
        <v/>
      </c>
    </row>
    <row r="1796" ht="15.75" customHeight="1">
      <c r="A1796" s="375"/>
      <c r="K1796" s="269"/>
      <c r="L1796" s="269" t="str">
        <f t="shared" si="1"/>
        <v/>
      </c>
    </row>
    <row r="1797" ht="15.75" customHeight="1">
      <c r="A1797" s="375"/>
      <c r="K1797" s="269"/>
      <c r="L1797" s="269" t="str">
        <f t="shared" si="1"/>
        <v/>
      </c>
    </row>
    <row r="1798" ht="15.75" customHeight="1">
      <c r="A1798" s="375"/>
      <c r="K1798" s="269"/>
      <c r="L1798" s="269" t="str">
        <f t="shared" si="1"/>
        <v/>
      </c>
    </row>
    <row r="1799" ht="15.75" customHeight="1">
      <c r="A1799" s="375"/>
      <c r="K1799" s="269"/>
      <c r="L1799" s="269" t="str">
        <f t="shared" si="1"/>
        <v/>
      </c>
    </row>
    <row r="1800" ht="15.75" customHeight="1">
      <c r="A1800" s="375"/>
      <c r="K1800" s="269"/>
      <c r="L1800" s="269" t="str">
        <f t="shared" si="1"/>
        <v/>
      </c>
    </row>
    <row r="1801" ht="15.75" customHeight="1">
      <c r="A1801" s="375"/>
      <c r="K1801" s="269"/>
      <c r="L1801" s="269" t="str">
        <f t="shared" si="1"/>
        <v/>
      </c>
    </row>
    <row r="1802" ht="15.75" customHeight="1">
      <c r="A1802" s="375"/>
      <c r="K1802" s="269"/>
      <c r="L1802" s="269" t="str">
        <f t="shared" si="1"/>
        <v/>
      </c>
    </row>
    <row r="1803" ht="15.75" customHeight="1">
      <c r="A1803" s="375"/>
      <c r="K1803" s="269"/>
      <c r="L1803" s="269" t="str">
        <f t="shared" si="1"/>
        <v/>
      </c>
    </row>
    <row r="1804" ht="15.75" customHeight="1">
      <c r="A1804" s="375"/>
      <c r="K1804" s="269"/>
      <c r="L1804" s="269" t="str">
        <f t="shared" si="1"/>
        <v/>
      </c>
    </row>
    <row r="1805" ht="15.75" customHeight="1">
      <c r="A1805" s="375"/>
      <c r="K1805" s="269"/>
      <c r="L1805" s="269" t="str">
        <f t="shared" si="1"/>
        <v/>
      </c>
    </row>
    <row r="1806" ht="15.75" customHeight="1">
      <c r="A1806" s="375"/>
      <c r="K1806" s="269"/>
      <c r="L1806" s="269" t="str">
        <f t="shared" si="1"/>
        <v/>
      </c>
    </row>
    <row r="1807" ht="15.75" customHeight="1">
      <c r="A1807" s="375"/>
      <c r="K1807" s="269"/>
      <c r="L1807" s="269" t="str">
        <f t="shared" si="1"/>
        <v/>
      </c>
    </row>
    <row r="1808" ht="15.75" customHeight="1">
      <c r="A1808" s="375"/>
      <c r="K1808" s="269"/>
      <c r="L1808" s="269" t="str">
        <f t="shared" si="1"/>
        <v/>
      </c>
    </row>
    <row r="1809" ht="15.75" customHeight="1">
      <c r="A1809" s="375"/>
      <c r="K1809" s="269"/>
      <c r="L1809" s="269" t="str">
        <f t="shared" si="1"/>
        <v/>
      </c>
    </row>
    <row r="1810" ht="15.75" customHeight="1">
      <c r="A1810" s="375"/>
      <c r="K1810" s="269"/>
      <c r="L1810" s="269" t="str">
        <f t="shared" si="1"/>
        <v/>
      </c>
    </row>
    <row r="1811" ht="15.75" customHeight="1">
      <c r="A1811" s="375"/>
      <c r="K1811" s="269"/>
      <c r="L1811" s="269" t="str">
        <f t="shared" si="1"/>
        <v/>
      </c>
    </row>
    <row r="1812" ht="15.75" customHeight="1">
      <c r="A1812" s="375"/>
      <c r="K1812" s="269"/>
      <c r="L1812" s="269" t="str">
        <f t="shared" si="1"/>
        <v/>
      </c>
    </row>
    <row r="1813" ht="15.75" customHeight="1">
      <c r="A1813" s="375"/>
      <c r="K1813" s="269"/>
      <c r="L1813" s="269" t="str">
        <f t="shared" si="1"/>
        <v/>
      </c>
    </row>
    <row r="1814" ht="15.75" customHeight="1">
      <c r="A1814" s="375"/>
      <c r="K1814" s="269"/>
      <c r="L1814" s="269" t="str">
        <f t="shared" si="1"/>
        <v/>
      </c>
    </row>
    <row r="1815" ht="15.75" customHeight="1">
      <c r="A1815" s="375"/>
      <c r="K1815" s="269"/>
      <c r="L1815" s="269" t="str">
        <f t="shared" si="1"/>
        <v/>
      </c>
    </row>
    <row r="1816" ht="15.75" customHeight="1">
      <c r="A1816" s="375"/>
      <c r="K1816" s="269"/>
      <c r="L1816" s="269" t="str">
        <f t="shared" si="1"/>
        <v/>
      </c>
    </row>
    <row r="1817" ht="15.75" customHeight="1">
      <c r="A1817" s="375"/>
      <c r="K1817" s="269"/>
      <c r="L1817" s="269" t="str">
        <f t="shared" si="1"/>
        <v/>
      </c>
    </row>
    <row r="1818" ht="15.75" customHeight="1">
      <c r="A1818" s="375"/>
      <c r="K1818" s="269"/>
      <c r="L1818" s="269" t="str">
        <f t="shared" si="1"/>
        <v/>
      </c>
    </row>
    <row r="1819" ht="15.75" customHeight="1">
      <c r="A1819" s="375"/>
      <c r="K1819" s="269"/>
      <c r="L1819" s="269" t="str">
        <f t="shared" si="1"/>
        <v/>
      </c>
    </row>
    <row r="1820" ht="15.75" customHeight="1">
      <c r="A1820" s="375"/>
      <c r="K1820" s="269"/>
      <c r="L1820" s="269" t="str">
        <f t="shared" si="1"/>
        <v/>
      </c>
    </row>
    <row r="1821" ht="15.75" customHeight="1">
      <c r="A1821" s="375"/>
      <c r="K1821" s="269"/>
      <c r="L1821" s="269" t="str">
        <f t="shared" si="1"/>
        <v/>
      </c>
    </row>
    <row r="1822" ht="15.75" customHeight="1">
      <c r="A1822" s="375"/>
      <c r="K1822" s="269"/>
      <c r="L1822" s="269" t="str">
        <f t="shared" si="1"/>
        <v/>
      </c>
    </row>
    <row r="1823" ht="15.75" customHeight="1">
      <c r="A1823" s="375"/>
      <c r="K1823" s="269"/>
      <c r="L1823" s="269" t="str">
        <f t="shared" si="1"/>
        <v/>
      </c>
    </row>
    <row r="1824" ht="15.75" customHeight="1">
      <c r="A1824" s="375"/>
      <c r="K1824" s="269"/>
      <c r="L1824" s="269" t="str">
        <f t="shared" si="1"/>
        <v/>
      </c>
    </row>
    <row r="1825" ht="15.75" customHeight="1">
      <c r="A1825" s="375"/>
      <c r="K1825" s="269"/>
      <c r="L1825" s="269" t="str">
        <f t="shared" si="1"/>
        <v/>
      </c>
    </row>
    <row r="1826" ht="15.75" customHeight="1">
      <c r="A1826" s="375"/>
      <c r="K1826" s="269"/>
      <c r="L1826" s="269" t="str">
        <f t="shared" si="1"/>
        <v/>
      </c>
    </row>
    <row r="1827" ht="15.75" customHeight="1">
      <c r="A1827" s="375"/>
      <c r="K1827" s="269"/>
      <c r="L1827" s="269" t="str">
        <f t="shared" si="1"/>
        <v/>
      </c>
    </row>
    <row r="1828" ht="15.75" customHeight="1">
      <c r="A1828" s="375"/>
      <c r="K1828" s="269"/>
      <c r="L1828" s="269" t="str">
        <f t="shared" si="1"/>
        <v/>
      </c>
    </row>
    <row r="1829" ht="15.75" customHeight="1">
      <c r="A1829" s="375"/>
      <c r="K1829" s="269"/>
      <c r="L1829" s="269" t="str">
        <f t="shared" si="1"/>
        <v/>
      </c>
    </row>
    <row r="1830" ht="15.75" customHeight="1">
      <c r="A1830" s="375"/>
      <c r="K1830" s="269"/>
      <c r="L1830" s="269" t="str">
        <f t="shared" si="1"/>
        <v/>
      </c>
    </row>
    <row r="1831" ht="15.75" customHeight="1">
      <c r="A1831" s="375"/>
      <c r="K1831" s="269"/>
      <c r="L1831" s="269" t="str">
        <f t="shared" si="1"/>
        <v/>
      </c>
    </row>
    <row r="1832" ht="15.75" customHeight="1">
      <c r="A1832" s="375"/>
      <c r="K1832" s="269"/>
      <c r="L1832" s="269" t="str">
        <f t="shared" si="1"/>
        <v/>
      </c>
    </row>
    <row r="1833" ht="15.75" customHeight="1">
      <c r="A1833" s="375"/>
      <c r="K1833" s="269"/>
      <c r="L1833" s="269" t="str">
        <f t="shared" si="1"/>
        <v/>
      </c>
    </row>
    <row r="1834" ht="15.75" customHeight="1">
      <c r="A1834" s="375"/>
      <c r="K1834" s="269"/>
      <c r="L1834" s="269" t="str">
        <f t="shared" si="1"/>
        <v/>
      </c>
    </row>
    <row r="1835" ht="15.75" customHeight="1">
      <c r="A1835" s="375"/>
      <c r="K1835" s="269"/>
      <c r="L1835" s="269" t="str">
        <f t="shared" si="1"/>
        <v/>
      </c>
    </row>
    <row r="1836" ht="15.75" customHeight="1">
      <c r="A1836" s="375"/>
      <c r="K1836" s="269"/>
      <c r="L1836" s="269" t="str">
        <f t="shared" si="1"/>
        <v/>
      </c>
    </row>
    <row r="1837" ht="15.75" customHeight="1">
      <c r="A1837" s="375"/>
      <c r="K1837" s="269"/>
      <c r="L1837" s="269" t="str">
        <f t="shared" si="1"/>
        <v/>
      </c>
    </row>
    <row r="1838" ht="15.75" customHeight="1">
      <c r="A1838" s="375"/>
      <c r="K1838" s="269"/>
      <c r="L1838" s="269" t="str">
        <f t="shared" si="1"/>
        <v/>
      </c>
    </row>
    <row r="1839" ht="15.75" customHeight="1">
      <c r="A1839" s="375"/>
      <c r="K1839" s="269"/>
      <c r="L1839" s="269" t="str">
        <f t="shared" si="1"/>
        <v/>
      </c>
    </row>
    <row r="1840" ht="15.75" customHeight="1">
      <c r="A1840" s="375"/>
      <c r="K1840" s="269"/>
      <c r="L1840" s="269" t="str">
        <f t="shared" si="1"/>
        <v/>
      </c>
    </row>
    <row r="1841" ht="15.75" customHeight="1">
      <c r="A1841" s="375"/>
      <c r="I1841" s="269"/>
      <c r="J1841" s="269"/>
      <c r="K1841" s="269"/>
      <c r="L1841" s="269" t="str">
        <f t="shared" si="1"/>
        <v/>
      </c>
    </row>
    <row r="1842" ht="15.75" customHeight="1">
      <c r="A1842" s="375"/>
      <c r="I1842" s="269"/>
      <c r="J1842" s="269"/>
      <c r="K1842" s="269"/>
      <c r="L1842" s="269" t="str">
        <f t="shared" si="1"/>
        <v/>
      </c>
    </row>
    <row r="1843" ht="15.75" customHeight="1">
      <c r="A1843" s="375"/>
      <c r="I1843" s="269"/>
      <c r="J1843" s="269"/>
      <c r="K1843" s="269"/>
      <c r="L1843" s="269" t="str">
        <f t="shared" si="1"/>
        <v/>
      </c>
    </row>
    <row r="1844" ht="15.75" customHeight="1">
      <c r="A1844" s="375"/>
      <c r="I1844" s="269"/>
      <c r="J1844" s="269"/>
      <c r="K1844" s="269"/>
      <c r="L1844" s="269" t="str">
        <f t="shared" si="1"/>
        <v/>
      </c>
    </row>
    <row r="1845" ht="15.75" customHeight="1">
      <c r="A1845" s="375"/>
      <c r="K1845" s="269"/>
      <c r="L1845" s="269" t="str">
        <f t="shared" si="1"/>
        <v/>
      </c>
    </row>
    <row r="1846" ht="15.75" customHeight="1">
      <c r="A1846" s="375"/>
      <c r="K1846" s="269"/>
      <c r="L1846" s="269" t="str">
        <f t="shared" si="1"/>
        <v/>
      </c>
    </row>
    <row r="1847" ht="15.75" customHeight="1">
      <c r="A1847" s="375"/>
      <c r="K1847" s="269"/>
      <c r="L1847" s="269" t="str">
        <f t="shared" si="1"/>
        <v/>
      </c>
    </row>
    <row r="1848" ht="15.75" customHeight="1">
      <c r="A1848" s="375"/>
      <c r="K1848" s="269"/>
      <c r="L1848" s="269" t="str">
        <f t="shared" si="1"/>
        <v/>
      </c>
    </row>
    <row r="1849" ht="15.75" customHeight="1">
      <c r="A1849" s="375"/>
      <c r="I1849" s="269"/>
      <c r="K1849" s="269"/>
      <c r="L1849" s="269" t="str">
        <f t="shared" si="1"/>
        <v/>
      </c>
    </row>
    <row r="1850" ht="15.75" customHeight="1">
      <c r="A1850" s="375"/>
      <c r="K1850" s="269"/>
      <c r="L1850" s="269" t="str">
        <f t="shared" si="1"/>
        <v/>
      </c>
    </row>
    <row r="1851" ht="15.75" customHeight="1">
      <c r="A1851" s="375"/>
      <c r="K1851" s="269"/>
      <c r="L1851" s="269" t="str">
        <f t="shared" si="1"/>
        <v/>
      </c>
    </row>
    <row r="1852" ht="15.75" customHeight="1">
      <c r="A1852" s="375"/>
      <c r="I1852" s="269"/>
      <c r="J1852" s="269"/>
      <c r="K1852" s="269"/>
      <c r="L1852" s="269" t="str">
        <f t="shared" si="1"/>
        <v/>
      </c>
    </row>
    <row r="1853" ht="15.75" customHeight="1">
      <c r="A1853" s="375"/>
      <c r="I1853" s="269"/>
      <c r="J1853" s="269"/>
      <c r="K1853" s="269"/>
      <c r="L1853" s="269" t="str">
        <f t="shared" si="1"/>
        <v/>
      </c>
    </row>
    <row r="1854" ht="15.75" customHeight="1">
      <c r="A1854" s="375"/>
      <c r="I1854" s="269"/>
      <c r="J1854" s="269"/>
      <c r="K1854" s="269"/>
      <c r="L1854" s="269" t="str">
        <f t="shared" si="1"/>
        <v/>
      </c>
    </row>
    <row r="1855" ht="15.75" customHeight="1">
      <c r="A1855" s="375"/>
      <c r="K1855" s="269"/>
      <c r="L1855" s="269" t="str">
        <f t="shared" si="1"/>
        <v/>
      </c>
    </row>
    <row r="1856" ht="15.75" customHeight="1">
      <c r="A1856" s="375"/>
      <c r="I1856" s="269"/>
      <c r="J1856" s="269"/>
      <c r="K1856" s="269"/>
      <c r="L1856" s="269" t="str">
        <f t="shared" si="1"/>
        <v/>
      </c>
    </row>
    <row r="1857" ht="15.75" customHeight="1">
      <c r="A1857" s="375"/>
      <c r="I1857" s="269"/>
      <c r="J1857" s="269"/>
      <c r="K1857" s="269"/>
      <c r="L1857" s="269" t="str">
        <f t="shared" si="1"/>
        <v/>
      </c>
    </row>
    <row r="1858" ht="15.75" customHeight="1">
      <c r="A1858" s="375"/>
      <c r="K1858" s="269"/>
      <c r="L1858" s="269" t="str">
        <f t="shared" si="1"/>
        <v/>
      </c>
    </row>
    <row r="1859" ht="15.75" customHeight="1">
      <c r="A1859" s="375"/>
      <c r="K1859" s="269"/>
      <c r="L1859" s="269" t="str">
        <f t="shared" si="1"/>
        <v/>
      </c>
    </row>
    <row r="1860" ht="15.75" customHeight="1">
      <c r="A1860" s="375"/>
      <c r="K1860" s="269"/>
      <c r="L1860" s="269" t="str">
        <f t="shared" si="1"/>
        <v/>
      </c>
    </row>
    <row r="1861" ht="15.75" customHeight="1">
      <c r="A1861" s="375"/>
      <c r="K1861" s="269"/>
      <c r="L1861" s="269" t="str">
        <f t="shared" si="1"/>
        <v/>
      </c>
    </row>
    <row r="1862" ht="15.75" customHeight="1">
      <c r="A1862" s="375"/>
      <c r="K1862" s="269"/>
      <c r="L1862" s="269" t="str">
        <f t="shared" si="1"/>
        <v/>
      </c>
    </row>
    <row r="1863" ht="15.75" customHeight="1">
      <c r="A1863" s="375"/>
      <c r="K1863" s="269"/>
      <c r="L1863" s="269" t="str">
        <f t="shared" si="1"/>
        <v/>
      </c>
    </row>
    <row r="1864" ht="15.75" customHeight="1">
      <c r="A1864" s="375"/>
      <c r="K1864" s="269"/>
      <c r="L1864" s="269" t="str">
        <f t="shared" si="1"/>
        <v/>
      </c>
    </row>
    <row r="1865" ht="15.75" customHeight="1">
      <c r="A1865" s="375"/>
      <c r="I1865" s="269"/>
      <c r="J1865" s="269"/>
      <c r="K1865" s="269"/>
      <c r="L1865" s="269" t="str">
        <f t="shared" si="1"/>
        <v/>
      </c>
    </row>
    <row r="1866" ht="15.75" customHeight="1">
      <c r="A1866" s="375"/>
      <c r="I1866" s="269"/>
      <c r="J1866" s="269"/>
      <c r="K1866" s="269"/>
      <c r="L1866" s="269" t="str">
        <f t="shared" si="1"/>
        <v/>
      </c>
    </row>
    <row r="1867" ht="15.75" customHeight="1">
      <c r="A1867" s="375"/>
      <c r="I1867" s="269"/>
      <c r="J1867" s="269"/>
      <c r="K1867" s="269"/>
      <c r="L1867" s="269" t="str">
        <f t="shared" si="1"/>
        <v/>
      </c>
    </row>
    <row r="1868" ht="15.75" customHeight="1">
      <c r="A1868" s="375"/>
      <c r="K1868" s="269"/>
      <c r="L1868" s="269" t="str">
        <f t="shared" si="1"/>
        <v/>
      </c>
    </row>
    <row r="1869" ht="15.75" customHeight="1">
      <c r="A1869" s="375"/>
      <c r="I1869" s="269"/>
      <c r="J1869" s="269"/>
      <c r="K1869" s="269"/>
      <c r="L1869" s="269" t="str">
        <f t="shared" si="1"/>
        <v/>
      </c>
    </row>
    <row r="1870" ht="15.75" customHeight="1">
      <c r="A1870" s="375"/>
      <c r="K1870" s="269"/>
      <c r="L1870" s="269" t="str">
        <f t="shared" si="1"/>
        <v/>
      </c>
    </row>
    <row r="1871" ht="15.75" customHeight="1">
      <c r="A1871" s="375"/>
      <c r="K1871" s="269"/>
      <c r="L1871" s="269" t="str">
        <f t="shared" si="1"/>
        <v/>
      </c>
    </row>
    <row r="1872" ht="15.75" customHeight="1">
      <c r="A1872" s="375"/>
      <c r="K1872" s="269"/>
      <c r="L1872" s="269" t="str">
        <f t="shared" si="1"/>
        <v/>
      </c>
    </row>
    <row r="1873" ht="15.75" customHeight="1">
      <c r="A1873" s="375"/>
      <c r="K1873" s="269"/>
      <c r="L1873" s="269" t="str">
        <f t="shared" si="1"/>
        <v/>
      </c>
    </row>
    <row r="1874" ht="15.75" customHeight="1">
      <c r="A1874" s="375"/>
      <c r="K1874" s="269"/>
      <c r="L1874" s="269" t="str">
        <f t="shared" si="1"/>
        <v/>
      </c>
    </row>
    <row r="1875" ht="15.75" customHeight="1">
      <c r="A1875" s="375"/>
      <c r="K1875" s="269"/>
      <c r="L1875" s="269" t="str">
        <f t="shared" si="1"/>
        <v/>
      </c>
    </row>
    <row r="1876" ht="15.75" customHeight="1">
      <c r="A1876" s="375"/>
      <c r="K1876" s="269"/>
      <c r="L1876" s="269" t="str">
        <f t="shared" si="1"/>
        <v/>
      </c>
    </row>
    <row r="1877" ht="15.75" customHeight="1">
      <c r="A1877" s="375"/>
      <c r="K1877" s="269"/>
      <c r="L1877" s="269" t="str">
        <f t="shared" si="1"/>
        <v/>
      </c>
    </row>
    <row r="1878" ht="15.75" customHeight="1">
      <c r="A1878" s="375"/>
      <c r="K1878" s="269"/>
      <c r="L1878" s="269" t="str">
        <f t="shared" si="1"/>
        <v/>
      </c>
    </row>
    <row r="1879" ht="15.75" customHeight="1">
      <c r="A1879" s="375"/>
      <c r="I1879" s="269"/>
      <c r="J1879" s="269"/>
      <c r="K1879" s="269"/>
      <c r="L1879" s="269" t="str">
        <f t="shared" si="1"/>
        <v/>
      </c>
    </row>
    <row r="1880" ht="15.75" customHeight="1">
      <c r="A1880" s="375"/>
      <c r="K1880" s="269"/>
      <c r="L1880" s="269" t="str">
        <f t="shared" si="1"/>
        <v/>
      </c>
    </row>
    <row r="1881" ht="15.75" customHeight="1">
      <c r="A1881" s="375"/>
      <c r="K1881" s="269"/>
      <c r="L1881" s="269" t="str">
        <f t="shared" si="1"/>
        <v/>
      </c>
    </row>
    <row r="1882" ht="15.75" customHeight="1">
      <c r="A1882" s="375"/>
      <c r="K1882" s="269"/>
      <c r="L1882" s="269" t="str">
        <f t="shared" si="1"/>
        <v/>
      </c>
    </row>
    <row r="1883" ht="15.75" customHeight="1">
      <c r="A1883" s="375"/>
      <c r="K1883" s="269"/>
      <c r="L1883" s="269" t="str">
        <f t="shared" si="1"/>
        <v/>
      </c>
    </row>
    <row r="1884" ht="15.75" customHeight="1">
      <c r="A1884" s="375"/>
      <c r="K1884" s="269"/>
      <c r="L1884" s="269" t="str">
        <f t="shared" si="1"/>
        <v/>
      </c>
    </row>
    <row r="1885" ht="15.75" customHeight="1">
      <c r="A1885" s="375"/>
      <c r="K1885" s="269"/>
      <c r="L1885" s="269" t="str">
        <f t="shared" si="1"/>
        <v/>
      </c>
    </row>
    <row r="1886" ht="15.75" customHeight="1">
      <c r="A1886" s="375"/>
      <c r="K1886" s="269"/>
      <c r="L1886" s="269" t="str">
        <f t="shared" si="1"/>
        <v/>
      </c>
    </row>
    <row r="1887" ht="15.75" customHeight="1">
      <c r="A1887" s="375"/>
      <c r="K1887" s="269"/>
      <c r="L1887" s="269" t="str">
        <f t="shared" si="1"/>
        <v/>
      </c>
    </row>
    <row r="1888" ht="15.75" customHeight="1">
      <c r="A1888" s="375"/>
      <c r="K1888" s="269"/>
      <c r="L1888" s="269" t="str">
        <f t="shared" si="1"/>
        <v/>
      </c>
    </row>
    <row r="1889" ht="15.75" customHeight="1">
      <c r="A1889" s="375"/>
      <c r="K1889" s="269"/>
      <c r="L1889" s="269" t="str">
        <f t="shared" si="1"/>
        <v/>
      </c>
    </row>
    <row r="1890" ht="15.75" customHeight="1">
      <c r="A1890" s="375"/>
      <c r="K1890" s="269"/>
      <c r="L1890" s="269" t="str">
        <f t="shared" si="1"/>
        <v/>
      </c>
    </row>
    <row r="1891" ht="15.75" customHeight="1">
      <c r="A1891" s="375"/>
      <c r="K1891" s="269"/>
      <c r="L1891" s="269" t="str">
        <f t="shared" si="1"/>
        <v/>
      </c>
    </row>
    <row r="1892" ht="15.75" customHeight="1">
      <c r="A1892" s="375"/>
      <c r="K1892" s="269"/>
      <c r="L1892" s="269" t="str">
        <f t="shared" si="1"/>
        <v/>
      </c>
    </row>
    <row r="1893" ht="15.75" customHeight="1">
      <c r="A1893" s="375"/>
      <c r="K1893" s="269"/>
      <c r="L1893" s="269" t="str">
        <f t="shared" si="1"/>
        <v/>
      </c>
    </row>
    <row r="1894" ht="15.75" customHeight="1">
      <c r="A1894" s="375"/>
      <c r="K1894" s="269"/>
      <c r="L1894" s="269" t="str">
        <f t="shared" si="1"/>
        <v/>
      </c>
    </row>
    <row r="1895" ht="15.75" customHeight="1">
      <c r="A1895" s="375"/>
      <c r="K1895" s="269"/>
      <c r="L1895" s="269" t="str">
        <f t="shared" si="1"/>
        <v/>
      </c>
    </row>
    <row r="1896" ht="15.75" customHeight="1">
      <c r="A1896" s="375"/>
      <c r="K1896" s="269"/>
      <c r="L1896" s="269" t="str">
        <f t="shared" si="1"/>
        <v/>
      </c>
    </row>
    <row r="1897" ht="15.75" customHeight="1">
      <c r="A1897" s="375"/>
      <c r="K1897" s="269"/>
      <c r="L1897" s="269" t="str">
        <f t="shared" si="1"/>
        <v/>
      </c>
    </row>
    <row r="1898" ht="15.75" customHeight="1">
      <c r="A1898" s="375"/>
      <c r="K1898" s="269"/>
      <c r="L1898" s="269" t="str">
        <f t="shared" si="1"/>
        <v/>
      </c>
    </row>
    <row r="1899" ht="15.75" customHeight="1">
      <c r="A1899" s="375"/>
      <c r="K1899" s="269"/>
      <c r="L1899" s="269" t="str">
        <f t="shared" si="1"/>
        <v/>
      </c>
    </row>
    <row r="1900" ht="15.75" customHeight="1">
      <c r="A1900" s="375"/>
      <c r="K1900" s="269"/>
      <c r="L1900" s="269" t="str">
        <f t="shared" si="1"/>
        <v/>
      </c>
    </row>
    <row r="1901" ht="15.75" customHeight="1">
      <c r="A1901" s="375"/>
      <c r="K1901" s="269"/>
      <c r="L1901" s="269" t="str">
        <f t="shared" si="1"/>
        <v/>
      </c>
    </row>
    <row r="1902" ht="15.75" customHeight="1">
      <c r="A1902" s="375"/>
      <c r="K1902" s="269"/>
      <c r="L1902" s="269" t="str">
        <f t="shared" si="1"/>
        <v/>
      </c>
    </row>
    <row r="1903" ht="15.75" customHeight="1">
      <c r="A1903" s="375"/>
      <c r="K1903" s="269"/>
      <c r="L1903" s="269" t="str">
        <f t="shared" si="1"/>
        <v/>
      </c>
    </row>
    <row r="1904" ht="15.75" customHeight="1">
      <c r="A1904" s="375"/>
      <c r="K1904" s="269"/>
      <c r="L1904" s="269" t="str">
        <f t="shared" si="1"/>
        <v/>
      </c>
    </row>
    <row r="1905" ht="15.75" customHeight="1">
      <c r="A1905" s="375"/>
      <c r="K1905" s="269"/>
      <c r="L1905" s="269" t="str">
        <f t="shared" si="1"/>
        <v/>
      </c>
    </row>
    <row r="1906" ht="15.75" customHeight="1">
      <c r="A1906" s="375"/>
      <c r="K1906" s="269"/>
      <c r="L1906" s="269" t="str">
        <f t="shared" si="1"/>
        <v/>
      </c>
    </row>
    <row r="1907" ht="15.75" customHeight="1">
      <c r="A1907" s="375"/>
      <c r="K1907" s="269"/>
      <c r="L1907" s="269" t="str">
        <f t="shared" si="1"/>
        <v/>
      </c>
    </row>
    <row r="1908" ht="15.75" customHeight="1">
      <c r="A1908" s="375"/>
      <c r="K1908" s="269"/>
      <c r="L1908" s="269" t="str">
        <f t="shared" si="1"/>
        <v/>
      </c>
    </row>
    <row r="1909" ht="15.75" customHeight="1">
      <c r="A1909" s="375"/>
      <c r="K1909" s="269"/>
      <c r="L1909" s="269" t="str">
        <f t="shared" si="1"/>
        <v/>
      </c>
    </row>
    <row r="1910" ht="15.75" customHeight="1">
      <c r="A1910" s="375"/>
      <c r="K1910" s="269"/>
      <c r="L1910" s="269" t="str">
        <f t="shared" si="1"/>
        <v/>
      </c>
    </row>
    <row r="1911" ht="15.75" customHeight="1">
      <c r="A1911" s="375"/>
      <c r="K1911" s="269"/>
      <c r="L1911" s="269" t="str">
        <f t="shared" si="1"/>
        <v/>
      </c>
    </row>
    <row r="1912" ht="15.75" customHeight="1">
      <c r="A1912" s="375"/>
      <c r="K1912" s="269"/>
      <c r="L1912" s="269" t="str">
        <f t="shared" si="1"/>
        <v/>
      </c>
    </row>
    <row r="1913" ht="15.75" customHeight="1">
      <c r="A1913" s="375"/>
      <c r="K1913" s="269"/>
      <c r="L1913" s="269" t="str">
        <f t="shared" si="1"/>
        <v/>
      </c>
    </row>
    <row r="1914" ht="15.75" customHeight="1">
      <c r="A1914" s="375"/>
      <c r="K1914" s="269"/>
      <c r="L1914" s="269" t="str">
        <f t="shared" si="1"/>
        <v/>
      </c>
    </row>
    <row r="1915" ht="15.75" customHeight="1">
      <c r="A1915" s="375"/>
      <c r="K1915" s="269"/>
      <c r="L1915" s="269" t="str">
        <f t="shared" si="1"/>
        <v/>
      </c>
    </row>
    <row r="1916" ht="15.75" customHeight="1">
      <c r="A1916" s="375"/>
      <c r="K1916" s="269"/>
      <c r="L1916" s="269" t="str">
        <f t="shared" si="1"/>
        <v/>
      </c>
    </row>
    <row r="1917" ht="15.75" customHeight="1">
      <c r="A1917" s="375"/>
      <c r="K1917" s="269"/>
      <c r="L1917" s="269" t="str">
        <f t="shared" si="1"/>
        <v/>
      </c>
    </row>
    <row r="1918" ht="15.75" customHeight="1">
      <c r="A1918" s="375"/>
      <c r="K1918" s="269"/>
      <c r="L1918" s="269" t="str">
        <f t="shared" si="1"/>
        <v/>
      </c>
    </row>
    <row r="1919" ht="15.75" customHeight="1">
      <c r="A1919" s="375"/>
      <c r="K1919" s="269"/>
      <c r="L1919" s="269" t="str">
        <f t="shared" si="1"/>
        <v/>
      </c>
    </row>
    <row r="1920" ht="15.75" customHeight="1">
      <c r="A1920" s="375"/>
      <c r="K1920" s="269"/>
      <c r="L1920" s="269" t="str">
        <f t="shared" si="1"/>
        <v/>
      </c>
    </row>
    <row r="1921" ht="15.75" customHeight="1">
      <c r="A1921" s="375"/>
      <c r="K1921" s="269"/>
      <c r="L1921" s="269" t="str">
        <f t="shared" si="1"/>
        <v/>
      </c>
    </row>
    <row r="1922" ht="15.75" customHeight="1">
      <c r="A1922" s="375"/>
      <c r="K1922" s="269"/>
      <c r="L1922" s="269" t="str">
        <f t="shared" si="1"/>
        <v/>
      </c>
    </row>
    <row r="1923" ht="15.75" customHeight="1">
      <c r="A1923" s="375"/>
      <c r="K1923" s="269"/>
      <c r="L1923" s="269" t="str">
        <f t="shared" si="1"/>
        <v/>
      </c>
    </row>
    <row r="1924" ht="15.75" customHeight="1">
      <c r="A1924" s="375"/>
      <c r="K1924" s="269"/>
      <c r="L1924" s="269" t="str">
        <f t="shared" si="1"/>
        <v/>
      </c>
    </row>
    <row r="1925" ht="15.75" customHeight="1">
      <c r="A1925" s="375"/>
      <c r="K1925" s="269"/>
      <c r="L1925" s="269" t="str">
        <f t="shared" si="1"/>
        <v/>
      </c>
    </row>
    <row r="1926" ht="15.75" customHeight="1">
      <c r="A1926" s="375"/>
      <c r="K1926" s="269"/>
      <c r="L1926" s="269" t="str">
        <f t="shared" si="1"/>
        <v/>
      </c>
    </row>
    <row r="1927" ht="15.75" customHeight="1">
      <c r="A1927" s="375"/>
      <c r="K1927" s="269"/>
      <c r="L1927" s="269" t="str">
        <f t="shared" si="1"/>
        <v/>
      </c>
    </row>
    <row r="1928" ht="15.75" customHeight="1">
      <c r="A1928" s="375"/>
      <c r="K1928" s="269"/>
      <c r="L1928" s="269" t="str">
        <f t="shared" si="1"/>
        <v/>
      </c>
    </row>
    <row r="1929" ht="15.75" customHeight="1">
      <c r="A1929" s="375"/>
      <c r="K1929" s="269"/>
      <c r="L1929" s="269" t="str">
        <f t="shared" si="1"/>
        <v/>
      </c>
    </row>
    <row r="1930" ht="15.75" customHeight="1">
      <c r="A1930" s="375"/>
      <c r="K1930" s="269"/>
      <c r="L1930" s="269" t="str">
        <f t="shared" si="1"/>
        <v/>
      </c>
    </row>
    <row r="1931" ht="15.75" customHeight="1">
      <c r="A1931" s="375"/>
      <c r="K1931" s="269"/>
      <c r="L1931" s="269" t="str">
        <f t="shared" si="1"/>
        <v/>
      </c>
    </row>
    <row r="1932" ht="15.75" customHeight="1">
      <c r="A1932" s="375"/>
      <c r="K1932" s="269"/>
      <c r="L1932" s="269" t="str">
        <f t="shared" si="1"/>
        <v/>
      </c>
    </row>
    <row r="1933" ht="15.75" customHeight="1">
      <c r="A1933" s="375"/>
      <c r="K1933" s="269"/>
      <c r="L1933" s="269" t="str">
        <f t="shared" si="1"/>
        <v/>
      </c>
    </row>
    <row r="1934" ht="15.75" customHeight="1">
      <c r="A1934" s="375"/>
      <c r="K1934" s="269"/>
      <c r="L1934" s="269" t="str">
        <f t="shared" si="1"/>
        <v/>
      </c>
    </row>
    <row r="1935" ht="15.75" customHeight="1">
      <c r="A1935" s="375"/>
      <c r="K1935" s="269"/>
      <c r="L1935" s="269" t="str">
        <f t="shared" si="1"/>
        <v/>
      </c>
    </row>
    <row r="1936" ht="15.75" customHeight="1">
      <c r="A1936" s="375"/>
      <c r="K1936" s="269"/>
      <c r="L1936" s="269" t="str">
        <f t="shared" si="1"/>
        <v/>
      </c>
    </row>
    <row r="1937" ht="15.75" customHeight="1">
      <c r="A1937" s="375"/>
      <c r="K1937" s="269"/>
      <c r="L1937" s="269" t="str">
        <f t="shared" si="1"/>
        <v/>
      </c>
    </row>
    <row r="1938" ht="15.75" customHeight="1">
      <c r="A1938" s="375"/>
      <c r="K1938" s="269"/>
      <c r="L1938" s="269" t="str">
        <f t="shared" si="1"/>
        <v/>
      </c>
    </row>
    <row r="1939" ht="15.75" customHeight="1">
      <c r="A1939" s="375"/>
      <c r="K1939" s="269"/>
      <c r="L1939" s="269" t="str">
        <f t="shared" si="1"/>
        <v/>
      </c>
    </row>
    <row r="1940" ht="15.75" customHeight="1">
      <c r="A1940" s="375"/>
      <c r="K1940" s="269"/>
      <c r="L1940" s="269" t="str">
        <f t="shared" si="1"/>
        <v/>
      </c>
    </row>
    <row r="1941" ht="15.75" customHeight="1">
      <c r="A1941" s="375"/>
      <c r="K1941" s="269"/>
      <c r="L1941" s="269" t="str">
        <f t="shared" si="1"/>
        <v/>
      </c>
    </row>
    <row r="1942" ht="15.75" customHeight="1">
      <c r="A1942" s="375"/>
      <c r="K1942" s="269"/>
      <c r="L1942" s="269" t="str">
        <f t="shared" si="1"/>
        <v/>
      </c>
    </row>
    <row r="1943" ht="15.75" customHeight="1">
      <c r="A1943" s="375"/>
      <c r="K1943" s="269"/>
      <c r="L1943" s="269" t="str">
        <f t="shared" si="1"/>
        <v/>
      </c>
    </row>
    <row r="1944" ht="15.75" customHeight="1">
      <c r="A1944" s="375"/>
      <c r="K1944" s="269"/>
      <c r="L1944" s="269" t="str">
        <f t="shared" si="1"/>
        <v/>
      </c>
    </row>
    <row r="1945" ht="15.75" customHeight="1">
      <c r="A1945" s="375"/>
      <c r="K1945" s="269"/>
      <c r="L1945" s="269" t="str">
        <f t="shared" si="1"/>
        <v/>
      </c>
    </row>
    <row r="1946" ht="15.75" customHeight="1">
      <c r="A1946" s="375"/>
      <c r="K1946" s="269"/>
      <c r="L1946" s="269" t="str">
        <f t="shared" si="1"/>
        <v/>
      </c>
    </row>
    <row r="1947" ht="15.75" customHeight="1">
      <c r="A1947" s="375"/>
      <c r="K1947" s="269"/>
      <c r="L1947" s="269" t="str">
        <f t="shared" si="1"/>
        <v/>
      </c>
    </row>
    <row r="1948" ht="15.75" customHeight="1">
      <c r="A1948" s="375"/>
      <c r="K1948" s="269"/>
      <c r="L1948" s="269" t="str">
        <f t="shared" si="1"/>
        <v/>
      </c>
    </row>
    <row r="1949" ht="15.75" customHeight="1">
      <c r="A1949" s="375"/>
      <c r="K1949" s="269"/>
      <c r="L1949" s="269" t="str">
        <f t="shared" si="1"/>
        <v/>
      </c>
    </row>
    <row r="1950" ht="15.75" customHeight="1">
      <c r="A1950" s="375"/>
      <c r="K1950" s="269"/>
      <c r="L1950" s="269" t="str">
        <f t="shared" si="1"/>
        <v/>
      </c>
    </row>
    <row r="1951" ht="15.75" customHeight="1">
      <c r="A1951" s="375"/>
      <c r="K1951" s="269"/>
      <c r="L1951" s="269" t="str">
        <f t="shared" si="1"/>
        <v/>
      </c>
    </row>
    <row r="1952" ht="15.75" customHeight="1">
      <c r="A1952" s="375"/>
      <c r="K1952" s="269"/>
      <c r="L1952" s="269" t="str">
        <f t="shared" si="1"/>
        <v/>
      </c>
    </row>
    <row r="1953" ht="15.75" customHeight="1">
      <c r="A1953" s="375"/>
      <c r="K1953" s="269"/>
      <c r="L1953" s="269" t="str">
        <f t="shared" si="1"/>
        <v/>
      </c>
    </row>
    <row r="1954" ht="15.75" customHeight="1">
      <c r="A1954" s="375"/>
      <c r="K1954" s="269"/>
      <c r="L1954" s="269" t="str">
        <f t="shared" si="1"/>
        <v/>
      </c>
    </row>
    <row r="1955" ht="15.75" customHeight="1">
      <c r="A1955" s="375"/>
      <c r="K1955" s="269"/>
      <c r="L1955" s="269" t="str">
        <f t="shared" si="1"/>
        <v/>
      </c>
    </row>
    <row r="1956" ht="15.75" customHeight="1">
      <c r="A1956" s="375"/>
      <c r="K1956" s="269"/>
      <c r="L1956" s="269" t="str">
        <f t="shared" si="1"/>
        <v/>
      </c>
    </row>
    <row r="1957" ht="15.75" customHeight="1">
      <c r="A1957" s="375"/>
      <c r="K1957" s="269"/>
      <c r="L1957" s="269" t="str">
        <f t="shared" si="1"/>
        <v/>
      </c>
    </row>
    <row r="1958" ht="15.75" customHeight="1">
      <c r="A1958" s="375"/>
      <c r="K1958" s="269"/>
      <c r="L1958" s="269" t="str">
        <f t="shared" si="1"/>
        <v/>
      </c>
    </row>
    <row r="1959" ht="15.75" customHeight="1">
      <c r="A1959" s="375"/>
      <c r="K1959" s="269"/>
      <c r="L1959" s="269" t="str">
        <f t="shared" si="1"/>
        <v/>
      </c>
    </row>
    <row r="1960" ht="15.75" customHeight="1">
      <c r="A1960" s="375"/>
      <c r="K1960" s="269"/>
      <c r="L1960" s="269" t="str">
        <f t="shared" si="1"/>
        <v/>
      </c>
    </row>
    <row r="1961" ht="15.75" customHeight="1">
      <c r="A1961" s="375"/>
      <c r="K1961" s="269"/>
      <c r="L1961" s="269" t="str">
        <f t="shared" si="1"/>
        <v/>
      </c>
    </row>
    <row r="1962" ht="15.75" customHeight="1">
      <c r="A1962" s="375"/>
      <c r="K1962" s="269"/>
      <c r="L1962" s="269" t="str">
        <f t="shared" si="1"/>
        <v/>
      </c>
    </row>
    <row r="1963" ht="15.75" customHeight="1">
      <c r="A1963" s="375"/>
      <c r="K1963" s="269"/>
      <c r="L1963" s="269" t="str">
        <f t="shared" si="1"/>
        <v/>
      </c>
    </row>
    <row r="1964" ht="15.75" customHeight="1">
      <c r="A1964" s="375"/>
      <c r="K1964" s="269"/>
      <c r="L1964" s="269" t="str">
        <f t="shared" si="1"/>
        <v/>
      </c>
    </row>
    <row r="1965" ht="15.75" customHeight="1">
      <c r="A1965" s="375"/>
      <c r="K1965" s="269"/>
      <c r="L1965" s="269" t="str">
        <f t="shared" si="1"/>
        <v/>
      </c>
    </row>
    <row r="1966" ht="15.75" customHeight="1">
      <c r="A1966" s="375"/>
      <c r="K1966" s="269"/>
      <c r="L1966" s="269" t="str">
        <f t="shared" si="1"/>
        <v/>
      </c>
    </row>
    <row r="1967" ht="15.75" customHeight="1">
      <c r="A1967" s="375"/>
      <c r="K1967" s="269"/>
      <c r="L1967" s="269" t="str">
        <f t="shared" si="1"/>
        <v/>
      </c>
    </row>
    <row r="1968" ht="15.75" customHeight="1">
      <c r="A1968" s="375"/>
      <c r="K1968" s="269"/>
      <c r="L1968" s="269" t="str">
        <f t="shared" si="1"/>
        <v/>
      </c>
    </row>
    <row r="1969" ht="15.75" customHeight="1">
      <c r="A1969" s="375"/>
      <c r="K1969" s="269"/>
      <c r="L1969" s="269" t="str">
        <f t="shared" si="1"/>
        <v/>
      </c>
    </row>
    <row r="1970" ht="15.75" customHeight="1">
      <c r="A1970" s="375"/>
      <c r="K1970" s="269"/>
      <c r="L1970" s="269" t="str">
        <f t="shared" si="1"/>
        <v/>
      </c>
    </row>
    <row r="1971" ht="15.75" customHeight="1">
      <c r="A1971" s="375"/>
      <c r="K1971" s="269"/>
      <c r="L1971" s="269" t="str">
        <f t="shared" si="1"/>
        <v/>
      </c>
    </row>
    <row r="1972" ht="15.75" customHeight="1">
      <c r="A1972" s="375"/>
      <c r="K1972" s="269"/>
      <c r="L1972" s="269" t="str">
        <f t="shared" si="1"/>
        <v/>
      </c>
    </row>
    <row r="1973" ht="15.75" customHeight="1">
      <c r="A1973" s="375"/>
      <c r="K1973" s="269"/>
      <c r="L1973" s="269" t="str">
        <f t="shared" si="1"/>
        <v/>
      </c>
    </row>
    <row r="1974" ht="15.75" customHeight="1">
      <c r="A1974" s="375"/>
      <c r="K1974" s="269"/>
      <c r="L1974" s="269" t="str">
        <f t="shared" si="1"/>
        <v/>
      </c>
    </row>
    <row r="1975" ht="15.75" customHeight="1">
      <c r="A1975" s="375"/>
      <c r="K1975" s="269"/>
      <c r="L1975" s="269" t="str">
        <f t="shared" si="1"/>
        <v/>
      </c>
    </row>
    <row r="1976" ht="15.75" customHeight="1">
      <c r="A1976" s="375"/>
      <c r="K1976" s="269"/>
      <c r="L1976" s="269" t="str">
        <f t="shared" si="1"/>
        <v/>
      </c>
    </row>
    <row r="1977" ht="15.75" customHeight="1">
      <c r="A1977" s="375"/>
      <c r="K1977" s="269"/>
      <c r="L1977" s="269" t="str">
        <f t="shared" si="1"/>
        <v/>
      </c>
    </row>
    <row r="1978" ht="15.75" customHeight="1">
      <c r="A1978" s="375"/>
      <c r="K1978" s="269"/>
      <c r="L1978" s="269" t="str">
        <f t="shared" si="1"/>
        <v/>
      </c>
    </row>
    <row r="1979" ht="15.75" customHeight="1">
      <c r="A1979" s="375"/>
      <c r="K1979" s="269"/>
      <c r="L1979" s="269" t="str">
        <f t="shared" si="1"/>
        <v/>
      </c>
    </row>
    <row r="1980" ht="15.75" customHeight="1">
      <c r="A1980" s="375"/>
      <c r="K1980" s="269"/>
      <c r="L1980" s="269" t="str">
        <f t="shared" si="1"/>
        <v/>
      </c>
    </row>
    <row r="1981" ht="15.75" customHeight="1">
      <c r="A1981" s="375"/>
      <c r="K1981" s="269"/>
      <c r="L1981" s="269" t="str">
        <f t="shared" si="1"/>
        <v/>
      </c>
    </row>
    <row r="1982" ht="15.75" customHeight="1">
      <c r="A1982" s="375"/>
      <c r="K1982" s="269"/>
      <c r="L1982" s="269" t="str">
        <f t="shared" si="1"/>
        <v/>
      </c>
    </row>
    <row r="1983" ht="15.75" customHeight="1">
      <c r="A1983" s="375"/>
      <c r="K1983" s="269"/>
      <c r="L1983" s="269" t="str">
        <f t="shared" si="1"/>
        <v/>
      </c>
    </row>
    <row r="1984" ht="15.75" customHeight="1">
      <c r="A1984" s="375"/>
      <c r="K1984" s="269"/>
      <c r="L1984" s="269" t="str">
        <f t="shared" si="1"/>
        <v/>
      </c>
    </row>
    <row r="1985" ht="15.75" customHeight="1">
      <c r="A1985" s="375"/>
      <c r="K1985" s="269"/>
      <c r="L1985" s="269" t="str">
        <f t="shared" si="1"/>
        <v/>
      </c>
    </row>
    <row r="1986" ht="15.75" customHeight="1">
      <c r="A1986" s="375"/>
      <c r="K1986" s="269"/>
      <c r="L1986" s="269" t="str">
        <f t="shared" si="1"/>
        <v/>
      </c>
    </row>
    <row r="1987" ht="15.75" customHeight="1">
      <c r="A1987" s="375"/>
      <c r="K1987" s="269"/>
      <c r="L1987" s="269" t="str">
        <f t="shared" si="1"/>
        <v/>
      </c>
    </row>
    <row r="1988" ht="15.75" customHeight="1">
      <c r="A1988" s="375"/>
      <c r="K1988" s="269"/>
      <c r="L1988" s="269" t="str">
        <f t="shared" si="1"/>
        <v/>
      </c>
    </row>
    <row r="1989" ht="15.75" customHeight="1">
      <c r="A1989" s="375"/>
      <c r="K1989" s="269"/>
      <c r="L1989" s="269" t="str">
        <f t="shared" si="1"/>
        <v/>
      </c>
    </row>
    <row r="1990" ht="15.75" customHeight="1">
      <c r="A1990" s="375"/>
      <c r="K1990" s="269"/>
      <c r="L1990" s="269" t="str">
        <f t="shared" si="1"/>
        <v/>
      </c>
    </row>
    <row r="1991" ht="15.75" customHeight="1">
      <c r="A1991" s="375"/>
      <c r="K1991" s="269"/>
      <c r="L1991" s="269" t="str">
        <f t="shared" si="1"/>
        <v/>
      </c>
    </row>
    <row r="1992" ht="15.75" customHeight="1">
      <c r="A1992" s="375"/>
      <c r="K1992" s="269"/>
      <c r="L1992" s="269" t="str">
        <f t="shared" si="1"/>
        <v/>
      </c>
    </row>
    <row r="1993" ht="15.75" customHeight="1">
      <c r="A1993" s="375"/>
      <c r="K1993" s="269"/>
      <c r="L1993" s="269" t="str">
        <f t="shared" si="1"/>
        <v/>
      </c>
    </row>
    <row r="1994" ht="15.75" customHeight="1">
      <c r="A1994" s="375"/>
      <c r="K1994" s="269"/>
      <c r="L1994" s="269" t="str">
        <f t="shared" si="1"/>
        <v/>
      </c>
    </row>
    <row r="1995" ht="15.75" customHeight="1">
      <c r="A1995" s="375"/>
      <c r="K1995" s="269"/>
      <c r="L1995" s="269" t="str">
        <f t="shared" si="1"/>
        <v/>
      </c>
    </row>
    <row r="1996" ht="15.75" customHeight="1">
      <c r="A1996" s="375"/>
      <c r="K1996" s="269"/>
      <c r="L1996" s="269" t="str">
        <f t="shared" si="1"/>
        <v/>
      </c>
    </row>
    <row r="1997" ht="15.75" customHeight="1">
      <c r="A1997" s="375"/>
      <c r="K1997" s="269"/>
      <c r="L1997" s="269" t="str">
        <f t="shared" si="1"/>
        <v/>
      </c>
    </row>
    <row r="1998" ht="15.75" customHeight="1">
      <c r="A1998" s="375"/>
      <c r="K1998" s="269"/>
      <c r="L1998" s="269" t="str">
        <f t="shared" si="1"/>
        <v/>
      </c>
    </row>
    <row r="1999" ht="15.75" customHeight="1">
      <c r="A1999" s="375"/>
      <c r="K1999" s="269"/>
      <c r="L1999" s="269" t="str">
        <f t="shared" si="1"/>
        <v/>
      </c>
    </row>
    <row r="2000" ht="15.75" customHeight="1">
      <c r="A2000" s="375"/>
      <c r="K2000" s="269"/>
      <c r="L2000" s="269" t="str">
        <f t="shared" si="1"/>
        <v/>
      </c>
    </row>
    <row r="2001" ht="15.75" customHeight="1">
      <c r="A2001" s="375"/>
      <c r="K2001" s="269"/>
      <c r="L2001" s="269" t="str">
        <f t="shared" si="1"/>
        <v/>
      </c>
    </row>
    <row r="2002" ht="15.75" customHeight="1">
      <c r="A2002" s="375"/>
      <c r="K2002" s="269"/>
      <c r="L2002" s="269" t="str">
        <f t="shared" si="1"/>
        <v/>
      </c>
    </row>
    <row r="2003" ht="15.75" customHeight="1">
      <c r="A2003" s="375"/>
      <c r="K2003" s="269"/>
      <c r="L2003" s="269" t="str">
        <f t="shared" si="1"/>
        <v/>
      </c>
    </row>
    <row r="2004" ht="15.75" customHeight="1">
      <c r="A2004" s="375"/>
      <c r="K2004" s="269"/>
      <c r="L2004" s="269" t="str">
        <f t="shared" si="1"/>
        <v/>
      </c>
    </row>
    <row r="2005" ht="15.75" customHeight="1">
      <c r="A2005" s="375"/>
      <c r="K2005" s="269"/>
      <c r="L2005" s="269" t="str">
        <f t="shared" si="1"/>
        <v/>
      </c>
    </row>
    <row r="2006" ht="15.75" customHeight="1">
      <c r="A2006" s="375"/>
      <c r="K2006" s="269"/>
      <c r="L2006" s="269" t="str">
        <f t="shared" si="1"/>
        <v/>
      </c>
    </row>
    <row r="2007" ht="15.75" customHeight="1">
      <c r="A2007" s="375"/>
      <c r="K2007" s="269"/>
      <c r="L2007" s="269" t="str">
        <f t="shared" si="1"/>
        <v/>
      </c>
    </row>
    <row r="2008" ht="15.75" customHeight="1">
      <c r="A2008" s="375"/>
      <c r="K2008" s="269"/>
      <c r="L2008" s="269" t="str">
        <f t="shared" si="1"/>
        <v/>
      </c>
    </row>
    <row r="2009" ht="15.75" customHeight="1">
      <c r="A2009" s="375"/>
      <c r="K2009" s="269"/>
      <c r="L2009" s="269" t="str">
        <f t="shared" si="1"/>
        <v/>
      </c>
    </row>
    <row r="2010" ht="15.75" customHeight="1">
      <c r="A2010" s="375"/>
      <c r="K2010" s="269"/>
      <c r="L2010" s="269" t="str">
        <f t="shared" si="1"/>
        <v/>
      </c>
    </row>
    <row r="2011" ht="15.75" customHeight="1">
      <c r="A2011" s="375"/>
      <c r="K2011" s="269"/>
      <c r="L2011" s="269" t="str">
        <f t="shared" si="1"/>
        <v/>
      </c>
    </row>
    <row r="2012" ht="15.75" customHeight="1">
      <c r="A2012" s="375"/>
      <c r="K2012" s="269"/>
      <c r="L2012" s="269" t="str">
        <f t="shared" si="1"/>
        <v/>
      </c>
    </row>
    <row r="2013" ht="15.75" customHeight="1">
      <c r="A2013" s="375"/>
      <c r="K2013" s="269"/>
      <c r="L2013" s="269" t="str">
        <f t="shared" si="1"/>
        <v/>
      </c>
    </row>
    <row r="2014" ht="15.75" customHeight="1">
      <c r="A2014" s="375"/>
      <c r="K2014" s="269"/>
      <c r="L2014" s="269" t="str">
        <f t="shared" si="1"/>
        <v/>
      </c>
    </row>
    <row r="2015" ht="15.75" customHeight="1">
      <c r="A2015" s="375"/>
      <c r="K2015" s="269"/>
      <c r="L2015" s="269" t="str">
        <f t="shared" si="1"/>
        <v/>
      </c>
    </row>
    <row r="2016" ht="15.75" customHeight="1">
      <c r="A2016" s="375"/>
      <c r="K2016" s="269"/>
      <c r="L2016" s="269" t="str">
        <f t="shared" si="1"/>
        <v/>
      </c>
    </row>
    <row r="2017" ht="15.75" customHeight="1">
      <c r="A2017" s="375"/>
      <c r="K2017" s="269"/>
      <c r="L2017" s="269" t="str">
        <f t="shared" si="1"/>
        <v/>
      </c>
    </row>
    <row r="2018" ht="15.75" customHeight="1">
      <c r="A2018" s="375"/>
      <c r="K2018" s="269"/>
      <c r="L2018" s="269" t="str">
        <f t="shared" si="1"/>
        <v/>
      </c>
    </row>
    <row r="2019" ht="15.75" customHeight="1">
      <c r="A2019" s="375"/>
      <c r="K2019" s="269"/>
      <c r="L2019" s="269" t="str">
        <f t="shared" si="1"/>
        <v/>
      </c>
    </row>
    <row r="2020" ht="15.75" customHeight="1">
      <c r="A2020" s="375"/>
      <c r="K2020" s="269"/>
      <c r="L2020" s="269" t="str">
        <f t="shared" si="1"/>
        <v/>
      </c>
    </row>
    <row r="2021" ht="15.75" customHeight="1">
      <c r="A2021" s="375"/>
      <c r="K2021" s="269"/>
      <c r="L2021" s="269" t="str">
        <f t="shared" si="1"/>
        <v/>
      </c>
    </row>
    <row r="2022" ht="15.75" customHeight="1">
      <c r="A2022" s="375"/>
      <c r="K2022" s="269"/>
      <c r="L2022" s="269" t="str">
        <f t="shared" si="1"/>
        <v/>
      </c>
    </row>
    <row r="2023" ht="15.75" customHeight="1">
      <c r="A2023" s="375"/>
      <c r="K2023" s="269"/>
      <c r="L2023" s="269" t="str">
        <f t="shared" si="1"/>
        <v/>
      </c>
    </row>
    <row r="2024" ht="15.75" customHeight="1">
      <c r="A2024" s="375"/>
      <c r="K2024" s="269"/>
      <c r="L2024" s="269" t="str">
        <f t="shared" si="1"/>
        <v/>
      </c>
    </row>
    <row r="2025" ht="15.75" customHeight="1">
      <c r="A2025" s="375"/>
      <c r="K2025" s="269"/>
      <c r="L2025" s="269" t="str">
        <f t="shared" si="1"/>
        <v/>
      </c>
    </row>
    <row r="2026" ht="15.75" customHeight="1">
      <c r="A2026" s="375"/>
      <c r="K2026" s="269"/>
      <c r="L2026" s="269" t="str">
        <f t="shared" si="1"/>
        <v/>
      </c>
    </row>
    <row r="2027" ht="15.75" customHeight="1">
      <c r="A2027" s="375"/>
      <c r="K2027" s="269"/>
      <c r="L2027" s="269" t="str">
        <f t="shared" si="1"/>
        <v/>
      </c>
    </row>
    <row r="2028" ht="15.75" customHeight="1">
      <c r="A2028" s="375"/>
      <c r="K2028" s="269"/>
      <c r="L2028" s="269" t="str">
        <f t="shared" si="1"/>
        <v/>
      </c>
    </row>
    <row r="2029" ht="15.75" customHeight="1">
      <c r="A2029" s="375"/>
      <c r="K2029" s="269"/>
      <c r="L2029" s="269" t="str">
        <f t="shared" si="1"/>
        <v/>
      </c>
    </row>
    <row r="2030" ht="15.75" customHeight="1">
      <c r="A2030" s="375"/>
      <c r="K2030" s="269"/>
      <c r="L2030" s="269" t="str">
        <f t="shared" si="1"/>
        <v/>
      </c>
    </row>
    <row r="2031" ht="15.75" customHeight="1">
      <c r="A2031" s="375"/>
      <c r="K2031" s="269"/>
      <c r="L2031" s="269" t="str">
        <f t="shared" si="1"/>
        <v/>
      </c>
    </row>
    <row r="2032" ht="15.75" customHeight="1">
      <c r="A2032" s="375"/>
      <c r="K2032" s="269"/>
      <c r="L2032" s="269" t="str">
        <f t="shared" si="1"/>
        <v/>
      </c>
    </row>
    <row r="2033" ht="15.75" customHeight="1">
      <c r="A2033" s="375"/>
      <c r="K2033" s="269"/>
      <c r="L2033" s="269" t="str">
        <f t="shared" si="1"/>
        <v/>
      </c>
    </row>
    <row r="2034" ht="15.75" customHeight="1">
      <c r="A2034" s="375"/>
      <c r="K2034" s="269"/>
      <c r="L2034" s="269" t="str">
        <f t="shared" si="1"/>
        <v/>
      </c>
    </row>
    <row r="2035" ht="15.75" customHeight="1">
      <c r="A2035" s="375"/>
      <c r="K2035" s="269"/>
      <c r="L2035" s="269" t="str">
        <f t="shared" si="1"/>
        <v/>
      </c>
    </row>
    <row r="2036" ht="15.75" customHeight="1">
      <c r="A2036" s="375"/>
      <c r="K2036" s="269"/>
      <c r="L2036" s="269" t="str">
        <f t="shared" si="1"/>
        <v/>
      </c>
    </row>
    <row r="2037" ht="15.75" customHeight="1">
      <c r="A2037" s="375"/>
      <c r="K2037" s="269"/>
      <c r="L2037" s="269" t="str">
        <f t="shared" si="1"/>
        <v/>
      </c>
    </row>
    <row r="2038" ht="15.75" customHeight="1">
      <c r="A2038" s="375"/>
      <c r="K2038" s="269"/>
      <c r="L2038" s="269" t="str">
        <f t="shared" si="1"/>
        <v/>
      </c>
    </row>
    <row r="2039" ht="15.75" customHeight="1">
      <c r="A2039" s="375"/>
      <c r="K2039" s="269"/>
      <c r="L2039" s="269" t="str">
        <f t="shared" si="1"/>
        <v/>
      </c>
    </row>
    <row r="2040" ht="15.75" customHeight="1">
      <c r="A2040" s="375"/>
      <c r="K2040" s="269"/>
      <c r="L2040" s="269" t="str">
        <f t="shared" si="1"/>
        <v/>
      </c>
    </row>
    <row r="2041" ht="15.75" customHeight="1">
      <c r="A2041" s="375"/>
      <c r="K2041" s="269"/>
      <c r="L2041" s="269" t="str">
        <f t="shared" si="1"/>
        <v/>
      </c>
    </row>
    <row r="2042" ht="15.75" customHeight="1">
      <c r="A2042" s="375"/>
      <c r="K2042" s="269"/>
      <c r="L2042" s="269" t="str">
        <f t="shared" si="1"/>
        <v/>
      </c>
    </row>
    <row r="2043" ht="15.75" customHeight="1">
      <c r="A2043" s="375"/>
      <c r="K2043" s="269"/>
      <c r="L2043" s="269" t="str">
        <f t="shared" si="1"/>
        <v/>
      </c>
    </row>
    <row r="2044" ht="15.75" customHeight="1">
      <c r="A2044" s="375"/>
      <c r="K2044" s="269"/>
      <c r="L2044" s="269" t="str">
        <f t="shared" si="1"/>
        <v/>
      </c>
    </row>
    <row r="2045" ht="15.75" customHeight="1">
      <c r="A2045" s="375"/>
      <c r="K2045" s="269"/>
      <c r="L2045" s="269" t="str">
        <f t="shared" si="1"/>
        <v/>
      </c>
    </row>
    <row r="2046" ht="15.75" customHeight="1">
      <c r="A2046" s="375"/>
      <c r="K2046" s="269"/>
      <c r="L2046" s="269" t="str">
        <f t="shared" si="1"/>
        <v/>
      </c>
    </row>
    <row r="2047" ht="15.75" customHeight="1">
      <c r="A2047" s="375"/>
      <c r="K2047" s="269"/>
      <c r="L2047" s="269" t="str">
        <f t="shared" si="1"/>
        <v/>
      </c>
    </row>
    <row r="2048" ht="15.75" customHeight="1">
      <c r="A2048" s="375"/>
      <c r="K2048" s="269"/>
      <c r="L2048" s="269" t="str">
        <f t="shared" si="1"/>
        <v/>
      </c>
    </row>
    <row r="2049" ht="15.75" customHeight="1">
      <c r="A2049" s="375"/>
      <c r="K2049" s="269"/>
      <c r="L2049" s="269" t="str">
        <f t="shared" si="1"/>
        <v/>
      </c>
    </row>
    <row r="2050" ht="15.75" customHeight="1">
      <c r="A2050" s="375"/>
      <c r="K2050" s="269"/>
      <c r="L2050" s="269" t="str">
        <f t="shared" si="1"/>
        <v/>
      </c>
    </row>
    <row r="2051" ht="15.75" customHeight="1">
      <c r="A2051" s="375"/>
      <c r="K2051" s="269"/>
      <c r="L2051" s="269" t="str">
        <f t="shared" si="1"/>
        <v/>
      </c>
    </row>
    <row r="2052" ht="15.75" customHeight="1">
      <c r="A2052" s="375"/>
      <c r="K2052" s="269"/>
      <c r="L2052" s="269" t="str">
        <f t="shared" si="1"/>
        <v/>
      </c>
    </row>
    <row r="2053" ht="15.75" customHeight="1">
      <c r="A2053" s="375"/>
      <c r="K2053" s="269"/>
      <c r="L2053" s="269" t="str">
        <f t="shared" si="1"/>
        <v/>
      </c>
    </row>
    <row r="2054" ht="15.75" customHeight="1">
      <c r="A2054" s="375"/>
      <c r="K2054" s="269"/>
      <c r="L2054" s="269" t="str">
        <f t="shared" si="1"/>
        <v/>
      </c>
    </row>
    <row r="2055" ht="15.75" customHeight="1">
      <c r="A2055" s="375"/>
      <c r="K2055" s="269"/>
      <c r="L2055" s="269" t="str">
        <f t="shared" si="1"/>
        <v/>
      </c>
    </row>
    <row r="2056" ht="15.75" customHeight="1">
      <c r="A2056" s="375"/>
      <c r="K2056" s="269"/>
      <c r="L2056" s="269" t="str">
        <f t="shared" si="1"/>
        <v/>
      </c>
    </row>
    <row r="2057" ht="15.75" customHeight="1">
      <c r="A2057" s="375"/>
      <c r="K2057" s="269"/>
      <c r="L2057" s="269" t="str">
        <f t="shared" si="1"/>
        <v/>
      </c>
    </row>
    <row r="2058" ht="15.75" customHeight="1">
      <c r="A2058" s="375"/>
      <c r="K2058" s="269"/>
      <c r="L2058" s="269" t="str">
        <f t="shared" si="1"/>
        <v/>
      </c>
    </row>
    <row r="2059" ht="15.75" customHeight="1">
      <c r="A2059" s="375"/>
      <c r="K2059" s="269"/>
      <c r="L2059" s="269" t="str">
        <f t="shared" si="1"/>
        <v/>
      </c>
    </row>
    <row r="2060" ht="15.75" customHeight="1">
      <c r="A2060" s="375"/>
      <c r="K2060" s="269"/>
      <c r="L2060" s="269" t="str">
        <f t="shared" si="1"/>
        <v/>
      </c>
    </row>
    <row r="2061" ht="15.75" customHeight="1">
      <c r="A2061" s="375"/>
      <c r="K2061" s="269"/>
      <c r="L2061" s="269" t="str">
        <f t="shared" si="1"/>
        <v/>
      </c>
    </row>
    <row r="2062" ht="15.75" customHeight="1">
      <c r="A2062" s="375"/>
      <c r="K2062" s="269"/>
      <c r="L2062" s="269" t="str">
        <f t="shared" si="1"/>
        <v/>
      </c>
    </row>
    <row r="2063" ht="15.75" customHeight="1">
      <c r="A2063" s="375"/>
      <c r="K2063" s="269"/>
      <c r="L2063" s="269" t="str">
        <f t="shared" si="1"/>
        <v/>
      </c>
    </row>
    <row r="2064" ht="15.75" customHeight="1">
      <c r="A2064" s="375"/>
      <c r="K2064" s="269"/>
      <c r="L2064" s="269" t="str">
        <f t="shared" si="1"/>
        <v/>
      </c>
    </row>
    <row r="2065" ht="15.75" customHeight="1">
      <c r="A2065" s="375"/>
      <c r="K2065" s="269"/>
      <c r="L2065" s="269" t="str">
        <f t="shared" si="1"/>
        <v/>
      </c>
    </row>
    <row r="2066" ht="15.75" customHeight="1">
      <c r="A2066" s="375"/>
      <c r="K2066" s="269"/>
      <c r="L2066" s="269" t="str">
        <f t="shared" si="1"/>
        <v/>
      </c>
    </row>
    <row r="2067" ht="15.75" customHeight="1">
      <c r="A2067" s="375"/>
      <c r="K2067" s="269"/>
      <c r="L2067" s="269" t="str">
        <f t="shared" si="1"/>
        <v/>
      </c>
    </row>
    <row r="2068" ht="15.75" customHeight="1">
      <c r="A2068" s="375"/>
      <c r="K2068" s="269"/>
      <c r="L2068" s="269" t="str">
        <f t="shared" si="1"/>
        <v/>
      </c>
    </row>
    <row r="2069" ht="15.75" customHeight="1">
      <c r="A2069" s="375"/>
      <c r="K2069" s="269"/>
      <c r="L2069" s="269" t="str">
        <f t="shared" si="1"/>
        <v/>
      </c>
    </row>
    <row r="2070" ht="15.75" customHeight="1">
      <c r="A2070" s="375"/>
      <c r="K2070" s="269"/>
      <c r="L2070" s="269" t="str">
        <f t="shared" si="1"/>
        <v/>
      </c>
    </row>
    <row r="2071" ht="15.75" customHeight="1">
      <c r="A2071" s="375"/>
      <c r="K2071" s="269"/>
      <c r="L2071" s="269" t="str">
        <f t="shared" si="1"/>
        <v/>
      </c>
    </row>
    <row r="2072" ht="15.75" customHeight="1">
      <c r="A2072" s="375"/>
      <c r="K2072" s="269"/>
      <c r="L2072" s="269" t="str">
        <f t="shared" si="1"/>
        <v/>
      </c>
    </row>
    <row r="2073" ht="15.75" customHeight="1">
      <c r="A2073" s="375"/>
      <c r="K2073" s="269"/>
      <c r="L2073" s="269" t="str">
        <f t="shared" si="1"/>
        <v/>
      </c>
    </row>
    <row r="2074" ht="15.75" customHeight="1">
      <c r="A2074" s="375"/>
      <c r="K2074" s="269"/>
      <c r="L2074" s="269" t="str">
        <f t="shared" si="1"/>
        <v/>
      </c>
    </row>
    <row r="2075" ht="15.75" customHeight="1">
      <c r="A2075" s="375"/>
      <c r="K2075" s="269"/>
      <c r="L2075" s="269" t="str">
        <f t="shared" si="1"/>
        <v/>
      </c>
    </row>
    <row r="2076" ht="15.75" customHeight="1">
      <c r="A2076" s="375"/>
      <c r="K2076" s="269"/>
      <c r="L2076" s="269" t="str">
        <f t="shared" si="1"/>
        <v/>
      </c>
    </row>
    <row r="2077" ht="15.75" customHeight="1">
      <c r="A2077" s="375"/>
      <c r="K2077" s="269"/>
      <c r="L2077" s="269" t="str">
        <f t="shared" si="1"/>
        <v/>
      </c>
    </row>
    <row r="2078" ht="15.75" customHeight="1">
      <c r="A2078" s="375"/>
      <c r="K2078" s="269"/>
      <c r="L2078" s="269" t="str">
        <f t="shared" si="1"/>
        <v/>
      </c>
    </row>
    <row r="2079" ht="15.75" customHeight="1">
      <c r="A2079" s="375"/>
      <c r="K2079" s="269"/>
      <c r="L2079" s="269" t="str">
        <f t="shared" si="1"/>
        <v/>
      </c>
    </row>
    <row r="2080" ht="15.75" customHeight="1">
      <c r="A2080" s="375"/>
      <c r="K2080" s="269"/>
      <c r="L2080" s="269" t="str">
        <f t="shared" si="1"/>
        <v/>
      </c>
    </row>
    <row r="2081" ht="15.75" customHeight="1">
      <c r="A2081" s="375"/>
      <c r="K2081" s="269"/>
      <c r="L2081" s="269" t="str">
        <f t="shared" si="1"/>
        <v/>
      </c>
    </row>
    <row r="2082" ht="15.75" customHeight="1">
      <c r="A2082" s="375"/>
      <c r="K2082" s="269"/>
      <c r="L2082" s="269" t="str">
        <f t="shared" si="1"/>
        <v/>
      </c>
    </row>
    <row r="2083" ht="15.75" customHeight="1">
      <c r="A2083" s="375"/>
      <c r="K2083" s="269"/>
      <c r="L2083" s="269" t="str">
        <f t="shared" si="1"/>
        <v/>
      </c>
    </row>
    <row r="2084" ht="15.75" customHeight="1">
      <c r="A2084" s="375"/>
      <c r="K2084" s="269"/>
      <c r="L2084" s="269" t="str">
        <f t="shared" si="1"/>
        <v/>
      </c>
    </row>
    <row r="2085" ht="15.75" customHeight="1">
      <c r="A2085" s="375"/>
      <c r="K2085" s="269"/>
      <c r="L2085" s="269" t="str">
        <f t="shared" si="1"/>
        <v/>
      </c>
    </row>
    <row r="2086" ht="15.75" customHeight="1">
      <c r="A2086" s="375"/>
      <c r="K2086" s="269"/>
      <c r="L2086" s="269" t="str">
        <f t="shared" si="1"/>
        <v/>
      </c>
    </row>
    <row r="2087" ht="15.75" customHeight="1">
      <c r="A2087" s="375"/>
      <c r="K2087" s="269"/>
      <c r="L2087" s="269" t="str">
        <f t="shared" si="1"/>
        <v/>
      </c>
    </row>
    <row r="2088" ht="15.75" customHeight="1">
      <c r="A2088" s="375"/>
      <c r="K2088" s="269"/>
      <c r="L2088" s="269" t="str">
        <f t="shared" si="1"/>
        <v/>
      </c>
    </row>
    <row r="2089" ht="15.75" customHeight="1">
      <c r="A2089" s="375"/>
      <c r="K2089" s="269"/>
      <c r="L2089" s="269" t="str">
        <f t="shared" si="1"/>
        <v/>
      </c>
    </row>
    <row r="2090" ht="15.75" customHeight="1">
      <c r="A2090" s="375"/>
      <c r="K2090" s="269"/>
      <c r="L2090" s="269" t="str">
        <f t="shared" si="1"/>
        <v/>
      </c>
    </row>
    <row r="2091" ht="15.75" customHeight="1">
      <c r="A2091" s="375"/>
      <c r="K2091" s="269"/>
      <c r="L2091" s="269" t="str">
        <f t="shared" si="1"/>
        <v/>
      </c>
    </row>
    <row r="2092" ht="15.75" customHeight="1">
      <c r="A2092" s="375"/>
      <c r="K2092" s="269"/>
      <c r="L2092" s="269" t="str">
        <f t="shared" si="1"/>
        <v/>
      </c>
    </row>
    <row r="2093" ht="15.75" customHeight="1">
      <c r="A2093" s="375"/>
      <c r="K2093" s="269"/>
      <c r="L2093" s="269" t="str">
        <f t="shared" si="1"/>
        <v/>
      </c>
    </row>
    <row r="2094" ht="15.75" customHeight="1">
      <c r="A2094" s="375"/>
      <c r="K2094" s="269"/>
      <c r="L2094" s="269" t="str">
        <f t="shared" si="1"/>
        <v/>
      </c>
    </row>
    <row r="2095" ht="15.75" customHeight="1">
      <c r="A2095" s="375"/>
      <c r="K2095" s="269"/>
      <c r="L2095" s="269" t="str">
        <f t="shared" si="1"/>
        <v/>
      </c>
    </row>
    <row r="2096" ht="15.75" customHeight="1">
      <c r="A2096" s="375"/>
      <c r="K2096" s="269"/>
      <c r="L2096" s="269" t="str">
        <f t="shared" si="1"/>
        <v/>
      </c>
    </row>
    <row r="2097" ht="15.75" customHeight="1">
      <c r="A2097" s="375"/>
      <c r="K2097" s="269"/>
      <c r="L2097" s="269" t="str">
        <f t="shared" si="1"/>
        <v/>
      </c>
    </row>
    <row r="2098" ht="15.75" customHeight="1">
      <c r="A2098" s="375"/>
      <c r="K2098" s="269"/>
      <c r="L2098" s="269" t="str">
        <f t="shared" si="1"/>
        <v/>
      </c>
    </row>
    <row r="2099" ht="15.75" customHeight="1">
      <c r="A2099" s="375"/>
      <c r="K2099" s="269"/>
      <c r="L2099" s="269" t="str">
        <f t="shared" si="1"/>
        <v/>
      </c>
    </row>
    <row r="2100" ht="15.75" customHeight="1">
      <c r="A2100" s="375"/>
      <c r="K2100" s="269"/>
      <c r="L2100" s="269" t="str">
        <f t="shared" si="1"/>
        <v/>
      </c>
    </row>
    <row r="2101" ht="15.75" customHeight="1">
      <c r="A2101" s="375"/>
      <c r="K2101" s="269"/>
      <c r="L2101" s="269" t="str">
        <f t="shared" si="1"/>
        <v/>
      </c>
    </row>
    <row r="2102" ht="15.75" customHeight="1">
      <c r="A2102" s="375"/>
      <c r="K2102" s="269"/>
      <c r="L2102" s="269" t="str">
        <f t="shared" si="1"/>
        <v/>
      </c>
    </row>
    <row r="2103" ht="15.75" customHeight="1">
      <c r="A2103" s="375"/>
      <c r="K2103" s="269"/>
      <c r="L2103" s="269" t="str">
        <f t="shared" si="1"/>
        <v/>
      </c>
    </row>
    <row r="2104" ht="15.75" customHeight="1">
      <c r="A2104" s="375"/>
      <c r="K2104" s="269"/>
      <c r="L2104" s="269" t="str">
        <f t="shared" si="1"/>
        <v/>
      </c>
    </row>
    <row r="2105" ht="15.75" customHeight="1">
      <c r="A2105" s="375"/>
      <c r="K2105" s="269"/>
      <c r="L2105" s="269" t="str">
        <f t="shared" si="1"/>
        <v/>
      </c>
    </row>
    <row r="2106" ht="15.75" customHeight="1">
      <c r="A2106" s="375"/>
      <c r="K2106" s="269"/>
      <c r="L2106" s="269" t="str">
        <f t="shared" si="1"/>
        <v/>
      </c>
    </row>
    <row r="2107" ht="15.75" customHeight="1">
      <c r="A2107" s="375"/>
      <c r="K2107" s="269"/>
      <c r="L2107" s="269" t="str">
        <f t="shared" si="1"/>
        <v/>
      </c>
    </row>
    <row r="2108" ht="15.75" customHeight="1">
      <c r="A2108" s="375"/>
      <c r="K2108" s="269"/>
      <c r="L2108" s="269" t="str">
        <f t="shared" si="1"/>
        <v/>
      </c>
    </row>
    <row r="2109" ht="15.75" customHeight="1">
      <c r="A2109" s="375"/>
      <c r="K2109" s="269"/>
      <c r="L2109" s="269" t="str">
        <f t="shared" si="1"/>
        <v/>
      </c>
    </row>
    <row r="2110" ht="15.75" customHeight="1">
      <c r="A2110" s="375"/>
      <c r="K2110" s="269"/>
      <c r="L2110" s="269" t="str">
        <f t="shared" si="1"/>
        <v/>
      </c>
    </row>
    <row r="2111" ht="15.75" customHeight="1">
      <c r="A2111" s="375"/>
      <c r="K2111" s="269"/>
      <c r="L2111" s="269" t="str">
        <f t="shared" si="1"/>
        <v/>
      </c>
    </row>
    <row r="2112" ht="15.75" customHeight="1">
      <c r="A2112" s="375"/>
      <c r="K2112" s="269"/>
      <c r="L2112" s="269" t="str">
        <f t="shared" si="1"/>
        <v/>
      </c>
    </row>
    <row r="2113" ht="15.75" customHeight="1">
      <c r="A2113" s="375"/>
      <c r="K2113" s="269"/>
      <c r="L2113" s="269" t="str">
        <f t="shared" si="1"/>
        <v/>
      </c>
    </row>
    <row r="2114" ht="15.75" customHeight="1">
      <c r="A2114" s="375"/>
      <c r="K2114" s="269"/>
      <c r="L2114" s="269" t="str">
        <f t="shared" si="1"/>
        <v/>
      </c>
    </row>
    <row r="2115" ht="15.75" customHeight="1">
      <c r="A2115" s="375"/>
      <c r="K2115" s="269"/>
      <c r="L2115" s="269" t="str">
        <f t="shared" si="1"/>
        <v/>
      </c>
    </row>
    <row r="2116" ht="15.75" customHeight="1">
      <c r="A2116" s="375"/>
      <c r="K2116" s="269"/>
      <c r="L2116" s="269" t="str">
        <f t="shared" si="1"/>
        <v/>
      </c>
    </row>
    <row r="2117" ht="15.75" customHeight="1">
      <c r="A2117" s="375"/>
      <c r="K2117" s="269"/>
      <c r="L2117" s="269" t="str">
        <f t="shared" si="1"/>
        <v/>
      </c>
    </row>
    <row r="2118" ht="15.75" customHeight="1">
      <c r="A2118" s="375"/>
      <c r="K2118" s="269"/>
      <c r="L2118" s="269" t="str">
        <f t="shared" si="1"/>
        <v/>
      </c>
    </row>
    <row r="2119" ht="15.75" customHeight="1">
      <c r="A2119" s="375"/>
      <c r="K2119" s="269"/>
      <c r="L2119" s="269" t="str">
        <f t="shared" si="1"/>
        <v/>
      </c>
    </row>
    <row r="2120" ht="15.75" customHeight="1">
      <c r="A2120" s="375"/>
      <c r="K2120" s="269"/>
      <c r="L2120" s="269" t="str">
        <f t="shared" si="1"/>
        <v/>
      </c>
    </row>
    <row r="2121" ht="15.75" customHeight="1">
      <c r="A2121" s="375"/>
      <c r="K2121" s="269"/>
      <c r="L2121" s="269" t="str">
        <f t="shared" si="1"/>
        <v/>
      </c>
    </row>
    <row r="2122" ht="15.75" customHeight="1">
      <c r="A2122" s="375"/>
      <c r="K2122" s="269"/>
      <c r="L2122" s="269" t="str">
        <f t="shared" si="1"/>
        <v/>
      </c>
    </row>
    <row r="2123" ht="15.75" customHeight="1">
      <c r="A2123" s="375"/>
      <c r="K2123" s="269"/>
      <c r="L2123" s="269" t="str">
        <f t="shared" si="1"/>
        <v/>
      </c>
    </row>
    <row r="2124" ht="15.75" customHeight="1">
      <c r="A2124" s="375"/>
      <c r="K2124" s="269"/>
      <c r="L2124" s="269" t="str">
        <f t="shared" si="1"/>
        <v/>
      </c>
    </row>
    <row r="2125" ht="15.75" customHeight="1">
      <c r="A2125" s="375"/>
      <c r="K2125" s="269"/>
      <c r="L2125" s="269" t="str">
        <f t="shared" si="1"/>
        <v/>
      </c>
    </row>
    <row r="2126" ht="15.75" customHeight="1">
      <c r="A2126" s="375"/>
      <c r="K2126" s="269"/>
      <c r="L2126" s="269" t="str">
        <f t="shared" si="1"/>
        <v/>
      </c>
    </row>
    <row r="2127" ht="15.75" customHeight="1">
      <c r="A2127" s="375"/>
      <c r="K2127" s="269"/>
      <c r="L2127" s="269" t="str">
        <f t="shared" si="1"/>
        <v/>
      </c>
    </row>
    <row r="2128" ht="15.75" customHeight="1">
      <c r="A2128" s="375"/>
      <c r="K2128" s="269"/>
      <c r="L2128" s="269" t="str">
        <f t="shared" si="1"/>
        <v/>
      </c>
    </row>
    <row r="2129" ht="15.75" customHeight="1">
      <c r="A2129" s="375"/>
      <c r="K2129" s="269"/>
      <c r="L2129" s="269" t="str">
        <f t="shared" si="1"/>
        <v/>
      </c>
    </row>
    <row r="2130" ht="15.75" customHeight="1">
      <c r="A2130" s="375"/>
      <c r="K2130" s="269"/>
      <c r="L2130" s="269" t="str">
        <f t="shared" si="1"/>
        <v/>
      </c>
    </row>
    <row r="2131" ht="15.75" customHeight="1">
      <c r="A2131" s="375"/>
      <c r="K2131" s="269"/>
      <c r="L2131" s="269" t="str">
        <f t="shared" si="1"/>
        <v/>
      </c>
    </row>
    <row r="2132" ht="15.75" customHeight="1">
      <c r="A2132" s="375"/>
      <c r="K2132" s="269"/>
      <c r="L2132" s="269" t="str">
        <f t="shared" si="1"/>
        <v/>
      </c>
    </row>
    <row r="2133" ht="15.75" customHeight="1">
      <c r="A2133" s="375"/>
      <c r="K2133" s="269"/>
      <c r="L2133" s="269" t="str">
        <f t="shared" si="1"/>
        <v/>
      </c>
    </row>
    <row r="2134" ht="15.75" customHeight="1">
      <c r="A2134" s="375"/>
      <c r="K2134" s="269"/>
      <c r="L2134" s="269" t="str">
        <f t="shared" si="1"/>
        <v/>
      </c>
    </row>
    <row r="2135" ht="15.75" customHeight="1">
      <c r="A2135" s="375"/>
      <c r="K2135" s="269"/>
      <c r="L2135" s="269" t="str">
        <f t="shared" si="1"/>
        <v/>
      </c>
    </row>
    <row r="2136" ht="15.75" customHeight="1">
      <c r="A2136" s="375"/>
      <c r="K2136" s="269"/>
      <c r="L2136" s="269" t="str">
        <f t="shared" si="1"/>
        <v/>
      </c>
    </row>
    <row r="2137" ht="15.75" customHeight="1">
      <c r="A2137" s="375"/>
      <c r="K2137" s="269"/>
      <c r="L2137" s="269" t="str">
        <f t="shared" si="1"/>
        <v/>
      </c>
    </row>
    <row r="2138" ht="15.75" customHeight="1">
      <c r="A2138" s="375"/>
      <c r="K2138" s="269"/>
      <c r="L2138" s="269" t="str">
        <f t="shared" si="1"/>
        <v/>
      </c>
    </row>
    <row r="2139" ht="15.75" customHeight="1">
      <c r="A2139" s="375"/>
      <c r="K2139" s="269"/>
      <c r="L2139" s="269" t="str">
        <f t="shared" si="1"/>
        <v/>
      </c>
    </row>
    <row r="2140" ht="15.75" customHeight="1">
      <c r="A2140" s="375"/>
      <c r="K2140" s="269"/>
      <c r="L2140" s="269" t="str">
        <f t="shared" si="1"/>
        <v/>
      </c>
    </row>
    <row r="2141" ht="15.75" customHeight="1">
      <c r="A2141" s="375"/>
      <c r="K2141" s="269"/>
      <c r="L2141" s="269" t="str">
        <f t="shared" si="1"/>
        <v/>
      </c>
    </row>
    <row r="2142" ht="15.75" customHeight="1">
      <c r="A2142" s="375"/>
      <c r="K2142" s="269"/>
      <c r="L2142" s="269" t="str">
        <f t="shared" si="1"/>
        <v/>
      </c>
    </row>
    <row r="2143" ht="15.75" customHeight="1">
      <c r="A2143" s="375"/>
      <c r="K2143" s="269"/>
      <c r="L2143" s="269" t="str">
        <f t="shared" si="1"/>
        <v/>
      </c>
    </row>
    <row r="2144" ht="15.75" customHeight="1">
      <c r="A2144" s="375"/>
      <c r="K2144" s="269"/>
      <c r="L2144" s="269" t="str">
        <f t="shared" si="1"/>
        <v/>
      </c>
    </row>
    <row r="2145" ht="15.75" customHeight="1">
      <c r="A2145" s="375"/>
      <c r="K2145" s="269"/>
      <c r="L2145" s="269" t="str">
        <f t="shared" si="1"/>
        <v/>
      </c>
    </row>
    <row r="2146" ht="15.75" customHeight="1">
      <c r="A2146" s="375"/>
      <c r="K2146" s="269"/>
      <c r="L2146" s="269" t="str">
        <f t="shared" si="1"/>
        <v/>
      </c>
    </row>
    <row r="2147" ht="15.75" customHeight="1">
      <c r="A2147" s="375"/>
      <c r="K2147" s="269"/>
      <c r="L2147" s="269" t="str">
        <f t="shared" si="1"/>
        <v/>
      </c>
    </row>
    <row r="2148" ht="15.75" customHeight="1">
      <c r="A2148" s="375"/>
      <c r="K2148" s="269"/>
      <c r="L2148" s="269" t="str">
        <f t="shared" si="1"/>
        <v/>
      </c>
    </row>
    <row r="2149" ht="15.75" customHeight="1">
      <c r="A2149" s="375"/>
      <c r="K2149" s="269"/>
      <c r="L2149" s="269" t="str">
        <f t="shared" si="1"/>
        <v/>
      </c>
    </row>
    <row r="2150" ht="15.75" customHeight="1">
      <c r="A2150" s="375"/>
      <c r="K2150" s="269"/>
      <c r="L2150" s="269" t="str">
        <f t="shared" si="1"/>
        <v/>
      </c>
    </row>
    <row r="2151" ht="15.75" customHeight="1">
      <c r="A2151" s="375"/>
      <c r="K2151" s="269"/>
      <c r="L2151" s="269" t="str">
        <f t="shared" si="1"/>
        <v/>
      </c>
    </row>
    <row r="2152" ht="15.75" customHeight="1">
      <c r="A2152" s="375"/>
      <c r="K2152" s="269"/>
      <c r="L2152" s="269" t="str">
        <f t="shared" si="1"/>
        <v/>
      </c>
    </row>
    <row r="2153" ht="15.75" customHeight="1">
      <c r="A2153" s="375"/>
      <c r="K2153" s="269"/>
      <c r="L2153" s="269" t="str">
        <f t="shared" si="1"/>
        <v/>
      </c>
    </row>
    <row r="2154" ht="15.75" customHeight="1">
      <c r="A2154" s="375"/>
      <c r="K2154" s="269"/>
      <c r="L2154" s="269" t="str">
        <f t="shared" si="1"/>
        <v/>
      </c>
    </row>
    <row r="2155" ht="15.75" customHeight="1">
      <c r="A2155" s="375"/>
      <c r="K2155" s="269"/>
      <c r="L2155" s="269" t="str">
        <f t="shared" si="1"/>
        <v/>
      </c>
    </row>
    <row r="2156" ht="15.75" customHeight="1">
      <c r="A2156" s="375"/>
      <c r="K2156" s="269"/>
      <c r="L2156" s="269" t="str">
        <f t="shared" si="1"/>
        <v/>
      </c>
    </row>
    <row r="2157" ht="15.75" customHeight="1">
      <c r="A2157" s="375"/>
      <c r="K2157" s="269"/>
      <c r="L2157" s="269" t="str">
        <f t="shared" si="1"/>
        <v/>
      </c>
    </row>
    <row r="2158" ht="15.75" customHeight="1">
      <c r="A2158" s="375"/>
      <c r="K2158" s="269"/>
      <c r="L2158" s="269" t="str">
        <f t="shared" si="1"/>
        <v/>
      </c>
    </row>
    <row r="2159" ht="15.75" customHeight="1">
      <c r="A2159" s="375"/>
      <c r="K2159" s="269"/>
      <c r="L2159" s="269" t="str">
        <f t="shared" si="1"/>
        <v/>
      </c>
    </row>
    <row r="2160" ht="15.75" customHeight="1">
      <c r="A2160" s="375"/>
      <c r="K2160" s="269"/>
      <c r="L2160" s="269" t="str">
        <f t="shared" si="1"/>
        <v/>
      </c>
    </row>
    <row r="2161" ht="15.75" customHeight="1">
      <c r="A2161" s="375"/>
      <c r="K2161" s="269"/>
      <c r="L2161" s="269" t="str">
        <f t="shared" si="1"/>
        <v/>
      </c>
    </row>
    <row r="2162" ht="15.75" customHeight="1">
      <c r="A2162" s="375"/>
      <c r="K2162" s="269"/>
      <c r="L2162" s="269" t="str">
        <f t="shared" si="1"/>
        <v/>
      </c>
    </row>
    <row r="2163" ht="15.75" customHeight="1">
      <c r="A2163" s="375"/>
      <c r="K2163" s="269"/>
      <c r="L2163" s="269" t="str">
        <f t="shared" si="1"/>
        <v/>
      </c>
    </row>
    <row r="2164" ht="15.75" customHeight="1">
      <c r="A2164" s="375"/>
      <c r="K2164" s="269"/>
      <c r="L2164" s="269" t="str">
        <f t="shared" si="1"/>
        <v/>
      </c>
    </row>
    <row r="2165" ht="15.75" customHeight="1">
      <c r="A2165" s="375"/>
      <c r="K2165" s="269"/>
      <c r="L2165" s="269" t="str">
        <f t="shared" si="1"/>
        <v/>
      </c>
    </row>
    <row r="2166" ht="15.75" customHeight="1">
      <c r="A2166" s="375"/>
      <c r="K2166" s="269"/>
      <c r="L2166" s="269" t="str">
        <f t="shared" si="1"/>
        <v/>
      </c>
    </row>
    <row r="2167" ht="15.75" customHeight="1">
      <c r="A2167" s="375"/>
      <c r="K2167" s="269"/>
      <c r="L2167" s="269" t="str">
        <f t="shared" si="1"/>
        <v/>
      </c>
    </row>
    <row r="2168" ht="15.75" customHeight="1">
      <c r="A2168" s="375"/>
      <c r="K2168" s="269"/>
      <c r="L2168" s="269" t="str">
        <f t="shared" si="1"/>
        <v/>
      </c>
    </row>
    <row r="2169" ht="15.75" customHeight="1">
      <c r="A2169" s="375"/>
      <c r="K2169" s="269"/>
      <c r="L2169" s="269" t="str">
        <f t="shared" si="1"/>
        <v/>
      </c>
    </row>
    <row r="2170" ht="15.75" customHeight="1">
      <c r="A2170" s="375"/>
      <c r="K2170" s="269"/>
      <c r="L2170" s="269" t="str">
        <f t="shared" si="1"/>
        <v/>
      </c>
    </row>
    <row r="2171" ht="15.75" customHeight="1">
      <c r="A2171" s="375"/>
      <c r="K2171" s="269"/>
      <c r="L2171" s="269" t="str">
        <f t="shared" si="1"/>
        <v/>
      </c>
    </row>
    <row r="2172" ht="15.75" customHeight="1">
      <c r="A2172" s="375"/>
      <c r="K2172" s="269"/>
      <c r="L2172" s="269" t="str">
        <f t="shared" si="1"/>
        <v/>
      </c>
    </row>
    <row r="2173" ht="15.75" customHeight="1">
      <c r="A2173" s="375"/>
      <c r="K2173" s="269"/>
      <c r="L2173" s="269" t="str">
        <f t="shared" si="1"/>
        <v/>
      </c>
    </row>
    <row r="2174" ht="15.75" customHeight="1">
      <c r="A2174" s="375"/>
      <c r="K2174" s="269"/>
      <c r="L2174" s="269" t="str">
        <f t="shared" si="1"/>
        <v/>
      </c>
    </row>
    <row r="2175" ht="15.75" customHeight="1">
      <c r="A2175" s="375"/>
      <c r="K2175" s="269"/>
      <c r="L2175" s="269" t="str">
        <f t="shared" si="1"/>
        <v/>
      </c>
    </row>
    <row r="2176" ht="15.75" customHeight="1">
      <c r="A2176" s="375"/>
      <c r="K2176" s="269"/>
      <c r="L2176" s="269" t="str">
        <f t="shared" si="1"/>
        <v/>
      </c>
    </row>
    <row r="2177" ht="15.75" customHeight="1">
      <c r="A2177" s="375"/>
      <c r="K2177" s="269"/>
      <c r="L2177" s="269" t="str">
        <f t="shared" si="1"/>
        <v/>
      </c>
    </row>
    <row r="2178" ht="15.75" customHeight="1">
      <c r="A2178" s="375"/>
      <c r="K2178" s="269"/>
      <c r="L2178" s="269" t="str">
        <f t="shared" si="1"/>
        <v/>
      </c>
    </row>
    <row r="2179" ht="15.75" customHeight="1">
      <c r="A2179" s="375"/>
      <c r="K2179" s="269"/>
      <c r="L2179" s="269" t="str">
        <f t="shared" si="1"/>
        <v/>
      </c>
    </row>
    <row r="2180" ht="15.75" customHeight="1">
      <c r="A2180" s="375"/>
      <c r="K2180" s="269"/>
      <c r="L2180" s="269" t="str">
        <f t="shared" si="1"/>
        <v/>
      </c>
    </row>
    <row r="2181" ht="15.75" customHeight="1">
      <c r="A2181" s="375"/>
      <c r="K2181" s="269"/>
      <c r="L2181" s="269" t="str">
        <f t="shared" si="1"/>
        <v/>
      </c>
    </row>
    <row r="2182" ht="15.75" customHeight="1">
      <c r="A2182" s="375"/>
      <c r="K2182" s="269"/>
      <c r="L2182" s="269" t="str">
        <f t="shared" si="1"/>
        <v/>
      </c>
    </row>
    <row r="2183" ht="15.75" customHeight="1">
      <c r="A2183" s="375"/>
      <c r="K2183" s="269"/>
      <c r="L2183" s="269" t="str">
        <f t="shared" si="1"/>
        <v/>
      </c>
    </row>
    <row r="2184" ht="15.75" customHeight="1">
      <c r="A2184" s="375"/>
      <c r="K2184" s="269"/>
      <c r="L2184" s="269" t="str">
        <f t="shared" si="1"/>
        <v/>
      </c>
    </row>
    <row r="2185" ht="15.75" customHeight="1">
      <c r="A2185" s="375"/>
      <c r="K2185" s="269"/>
      <c r="L2185" s="269" t="str">
        <f t="shared" si="1"/>
        <v/>
      </c>
    </row>
    <row r="2186" ht="15.75" customHeight="1">
      <c r="A2186" s="375"/>
      <c r="K2186" s="269"/>
      <c r="L2186" s="269" t="str">
        <f t="shared" si="1"/>
        <v/>
      </c>
    </row>
    <row r="2187" ht="15.75" customHeight="1">
      <c r="A2187" s="375"/>
      <c r="K2187" s="269"/>
      <c r="L2187" s="269" t="str">
        <f t="shared" si="1"/>
        <v/>
      </c>
    </row>
    <row r="2188" ht="15.75" customHeight="1">
      <c r="A2188" s="375"/>
      <c r="K2188" s="269"/>
      <c r="L2188" s="269" t="str">
        <f t="shared" si="1"/>
        <v/>
      </c>
    </row>
    <row r="2189" ht="15.75" customHeight="1">
      <c r="A2189" s="375"/>
      <c r="K2189" s="269"/>
      <c r="L2189" s="269" t="str">
        <f t="shared" si="1"/>
        <v/>
      </c>
    </row>
    <row r="2190" ht="15.75" customHeight="1">
      <c r="A2190" s="375"/>
      <c r="K2190" s="269"/>
      <c r="L2190" s="269" t="str">
        <f t="shared" si="1"/>
        <v/>
      </c>
    </row>
    <row r="2191" ht="15.75" customHeight="1">
      <c r="A2191" s="375"/>
      <c r="K2191" s="269"/>
      <c r="L2191" s="269" t="str">
        <f t="shared" si="1"/>
        <v/>
      </c>
    </row>
    <row r="2192" ht="15.75" customHeight="1">
      <c r="A2192" s="375"/>
      <c r="K2192" s="269"/>
      <c r="L2192" s="269" t="str">
        <f t="shared" si="1"/>
        <v/>
      </c>
    </row>
    <row r="2193" ht="15.75" customHeight="1">
      <c r="A2193" s="375"/>
      <c r="K2193" s="269"/>
      <c r="L2193" s="269" t="str">
        <f t="shared" si="1"/>
        <v/>
      </c>
    </row>
    <row r="2194" ht="15.75" customHeight="1">
      <c r="A2194" s="375"/>
      <c r="K2194" s="269"/>
      <c r="L2194" s="269" t="str">
        <f t="shared" si="1"/>
        <v/>
      </c>
    </row>
    <row r="2195" ht="15.75" customHeight="1">
      <c r="A2195" s="375"/>
      <c r="K2195" s="269"/>
      <c r="L2195" s="269" t="str">
        <f t="shared" si="1"/>
        <v/>
      </c>
    </row>
    <row r="2196" ht="15.75" customHeight="1">
      <c r="A2196" s="375"/>
      <c r="K2196" s="269"/>
      <c r="L2196" s="269" t="str">
        <f t="shared" si="1"/>
        <v/>
      </c>
    </row>
    <row r="2197" ht="15.75" customHeight="1">
      <c r="A2197" s="375"/>
      <c r="K2197" s="269"/>
      <c r="L2197" s="269" t="str">
        <f t="shared" si="1"/>
        <v/>
      </c>
    </row>
    <row r="2198" ht="15.75" customHeight="1">
      <c r="A2198" s="375"/>
      <c r="K2198" s="269"/>
      <c r="L2198" s="269" t="str">
        <f t="shared" si="1"/>
        <v/>
      </c>
    </row>
    <row r="2199" ht="15.75" customHeight="1">
      <c r="A2199" s="375"/>
      <c r="K2199" s="269"/>
      <c r="L2199" s="269" t="str">
        <f t="shared" si="1"/>
        <v/>
      </c>
    </row>
    <row r="2200" ht="15.75" customHeight="1">
      <c r="A2200" s="375"/>
      <c r="K2200" s="269"/>
      <c r="L2200" s="269" t="str">
        <f t="shared" si="1"/>
        <v/>
      </c>
    </row>
    <row r="2201" ht="15.75" customHeight="1">
      <c r="A2201" s="375"/>
      <c r="K2201" s="269"/>
      <c r="L2201" s="269" t="str">
        <f t="shared" si="1"/>
        <v/>
      </c>
    </row>
    <row r="2202" ht="15.75" customHeight="1">
      <c r="A2202" s="375"/>
      <c r="K2202" s="269"/>
      <c r="L2202" s="269" t="str">
        <f t="shared" si="1"/>
        <v/>
      </c>
    </row>
    <row r="2203" ht="15.75" customHeight="1">
      <c r="A2203" s="375"/>
      <c r="K2203" s="269"/>
      <c r="L2203" s="269" t="str">
        <f t="shared" si="1"/>
        <v/>
      </c>
    </row>
    <row r="2204" ht="15.75" customHeight="1">
      <c r="A2204" s="375"/>
      <c r="K2204" s="269"/>
      <c r="L2204" s="269" t="str">
        <f t="shared" si="1"/>
        <v/>
      </c>
    </row>
    <row r="2205" ht="15.75" customHeight="1">
      <c r="A2205" s="375"/>
      <c r="K2205" s="269"/>
      <c r="L2205" s="269" t="str">
        <f t="shared" si="1"/>
        <v/>
      </c>
    </row>
    <row r="2206" ht="15.75" customHeight="1">
      <c r="A2206" s="375"/>
      <c r="K2206" s="269"/>
      <c r="L2206" s="269" t="str">
        <f t="shared" si="1"/>
        <v/>
      </c>
    </row>
    <row r="2207" ht="15.75" customHeight="1">
      <c r="A2207" s="375"/>
      <c r="K2207" s="269"/>
      <c r="L2207" s="269" t="str">
        <f t="shared" si="1"/>
        <v/>
      </c>
    </row>
    <row r="2208" ht="15.75" customHeight="1">
      <c r="A2208" s="375"/>
      <c r="K2208" s="269"/>
      <c r="L2208" s="269" t="str">
        <f t="shared" si="1"/>
        <v/>
      </c>
    </row>
    <row r="2209" ht="15.75" customHeight="1">
      <c r="A2209" s="375"/>
      <c r="K2209" s="269"/>
      <c r="L2209" s="269" t="str">
        <f t="shared" si="1"/>
        <v/>
      </c>
    </row>
    <row r="2210" ht="15.75" customHeight="1">
      <c r="A2210" s="375"/>
      <c r="K2210" s="269"/>
      <c r="L2210" s="269" t="str">
        <f t="shared" si="1"/>
        <v/>
      </c>
    </row>
    <row r="2211" ht="15.75" customHeight="1">
      <c r="A2211" s="375"/>
      <c r="K2211" s="269"/>
      <c r="L2211" s="269" t="str">
        <f t="shared" si="1"/>
        <v/>
      </c>
    </row>
    <row r="2212" ht="15.75" customHeight="1">
      <c r="A2212" s="375"/>
      <c r="K2212" s="269"/>
      <c r="L2212" s="269" t="str">
        <f t="shared" si="1"/>
        <v/>
      </c>
    </row>
    <row r="2213" ht="15.75" customHeight="1">
      <c r="A2213" s="375"/>
      <c r="K2213" s="269"/>
      <c r="L2213" s="269" t="str">
        <f t="shared" si="1"/>
        <v/>
      </c>
    </row>
    <row r="2214" ht="15.75" customHeight="1">
      <c r="A2214" s="375"/>
      <c r="K2214" s="269"/>
      <c r="L2214" s="269" t="str">
        <f t="shared" si="1"/>
        <v/>
      </c>
    </row>
    <row r="2215" ht="15.75" customHeight="1">
      <c r="A2215" s="375"/>
      <c r="K2215" s="269"/>
      <c r="L2215" s="269" t="str">
        <f t="shared" si="1"/>
        <v/>
      </c>
    </row>
    <row r="2216" ht="15.75" customHeight="1">
      <c r="A2216" s="375"/>
      <c r="K2216" s="269"/>
      <c r="L2216" s="269" t="str">
        <f t="shared" si="1"/>
        <v/>
      </c>
    </row>
    <row r="2217" ht="15.75" customHeight="1">
      <c r="A2217" s="375"/>
      <c r="K2217" s="269"/>
      <c r="L2217" s="269" t="str">
        <f t="shared" si="1"/>
        <v/>
      </c>
    </row>
    <row r="2218" ht="15.75" customHeight="1">
      <c r="A2218" s="375"/>
      <c r="K2218" s="269"/>
      <c r="L2218" s="269" t="str">
        <f t="shared" si="1"/>
        <v/>
      </c>
    </row>
    <row r="2219" ht="15.75" customHeight="1">
      <c r="A2219" s="375"/>
      <c r="K2219" s="269"/>
      <c r="L2219" s="269" t="str">
        <f t="shared" si="1"/>
        <v/>
      </c>
    </row>
    <row r="2220" ht="15.75" customHeight="1">
      <c r="A2220" s="375"/>
      <c r="K2220" s="269"/>
      <c r="L2220" s="269" t="str">
        <f t="shared" si="1"/>
        <v/>
      </c>
    </row>
    <row r="2221" ht="15.75" customHeight="1">
      <c r="A2221" s="375"/>
      <c r="K2221" s="269"/>
      <c r="L2221" s="269" t="str">
        <f t="shared" si="1"/>
        <v/>
      </c>
    </row>
    <row r="2222" ht="15.75" customHeight="1">
      <c r="A2222" s="375"/>
      <c r="K2222" s="269"/>
      <c r="L2222" s="269" t="str">
        <f t="shared" si="1"/>
        <v/>
      </c>
    </row>
    <row r="2223" ht="15.75" customHeight="1">
      <c r="A2223" s="375"/>
      <c r="K2223" s="269"/>
      <c r="L2223" s="269" t="str">
        <f t="shared" si="1"/>
        <v/>
      </c>
    </row>
    <row r="2224" ht="15.75" customHeight="1">
      <c r="A2224" s="375"/>
      <c r="K2224" s="269"/>
      <c r="L2224" s="269" t="str">
        <f t="shared" si="1"/>
        <v/>
      </c>
    </row>
    <row r="2225" ht="15.75" customHeight="1">
      <c r="A2225" s="375"/>
      <c r="K2225" s="269"/>
      <c r="L2225" s="269" t="str">
        <f t="shared" si="1"/>
        <v/>
      </c>
    </row>
    <row r="2226" ht="15.75" customHeight="1">
      <c r="A2226" s="375"/>
      <c r="K2226" s="269"/>
      <c r="L2226" s="269" t="str">
        <f t="shared" si="1"/>
        <v/>
      </c>
    </row>
    <row r="2227" ht="15.75" customHeight="1">
      <c r="A2227" s="375"/>
      <c r="K2227" s="269"/>
      <c r="L2227" s="269" t="str">
        <f t="shared" si="1"/>
        <v/>
      </c>
    </row>
    <row r="2228" ht="15.75" customHeight="1">
      <c r="A2228" s="375"/>
      <c r="K2228" s="269"/>
      <c r="L2228" s="269" t="str">
        <f t="shared" si="1"/>
        <v/>
      </c>
    </row>
    <row r="2229" ht="15.75" customHeight="1">
      <c r="A2229" s="375"/>
      <c r="K2229" s="269"/>
      <c r="L2229" s="269" t="str">
        <f t="shared" si="1"/>
        <v/>
      </c>
    </row>
    <row r="2230" ht="15.75" customHeight="1">
      <c r="A2230" s="375"/>
      <c r="K2230" s="269"/>
      <c r="L2230" s="269" t="str">
        <f t="shared" si="1"/>
        <v/>
      </c>
    </row>
    <row r="2231" ht="15.75" customHeight="1">
      <c r="A2231" s="375"/>
      <c r="K2231" s="269"/>
      <c r="L2231" s="269" t="str">
        <f t="shared" si="1"/>
        <v/>
      </c>
    </row>
    <row r="2232" ht="15.75" customHeight="1">
      <c r="A2232" s="375"/>
      <c r="K2232" s="269"/>
      <c r="L2232" s="269" t="str">
        <f t="shared" si="1"/>
        <v/>
      </c>
    </row>
    <row r="2233" ht="15.75" customHeight="1">
      <c r="A2233" s="375"/>
      <c r="K2233" s="269"/>
      <c r="L2233" s="269" t="str">
        <f t="shared" si="1"/>
        <v/>
      </c>
    </row>
    <row r="2234" ht="15.75" customHeight="1">
      <c r="A2234" s="375"/>
      <c r="K2234" s="269"/>
      <c r="L2234" s="269" t="str">
        <f t="shared" si="1"/>
        <v/>
      </c>
    </row>
    <row r="2235" ht="15.75" customHeight="1">
      <c r="A2235" s="375"/>
      <c r="K2235" s="269"/>
      <c r="L2235" s="269" t="str">
        <f t="shared" si="1"/>
        <v/>
      </c>
    </row>
    <row r="2236" ht="15.75" customHeight="1">
      <c r="A2236" s="375"/>
      <c r="K2236" s="269"/>
      <c r="L2236" s="269" t="str">
        <f t="shared" si="1"/>
        <v/>
      </c>
    </row>
    <row r="2237" ht="15.75" customHeight="1">
      <c r="A2237" s="375"/>
      <c r="K2237" s="269"/>
      <c r="L2237" s="269" t="str">
        <f t="shared" si="1"/>
        <v/>
      </c>
    </row>
    <row r="2238" ht="15.75" customHeight="1">
      <c r="A2238" s="375"/>
      <c r="K2238" s="269"/>
      <c r="L2238" s="269" t="str">
        <f t="shared" si="1"/>
        <v/>
      </c>
    </row>
    <row r="2239" ht="15.75" customHeight="1">
      <c r="A2239" s="375"/>
      <c r="K2239" s="269"/>
      <c r="L2239" s="269" t="str">
        <f t="shared" si="1"/>
        <v/>
      </c>
    </row>
    <row r="2240" ht="15.75" customHeight="1">
      <c r="A2240" s="375"/>
      <c r="K2240" s="269"/>
      <c r="L2240" s="269" t="str">
        <f t="shared" si="1"/>
        <v/>
      </c>
    </row>
    <row r="2241" ht="15.75" customHeight="1">
      <c r="A2241" s="375"/>
      <c r="K2241" s="269"/>
      <c r="L2241" s="269" t="str">
        <f t="shared" si="1"/>
        <v/>
      </c>
    </row>
    <row r="2242" ht="15.75" customHeight="1">
      <c r="A2242" s="375"/>
      <c r="K2242" s="269"/>
      <c r="L2242" s="269" t="str">
        <f t="shared" si="1"/>
        <v/>
      </c>
    </row>
    <row r="2243" ht="15.75" customHeight="1">
      <c r="A2243" s="375"/>
      <c r="K2243" s="269"/>
      <c r="L2243" s="269" t="str">
        <f t="shared" si="1"/>
        <v/>
      </c>
    </row>
    <row r="2244" ht="15.75" customHeight="1">
      <c r="A2244" s="375"/>
      <c r="K2244" s="269"/>
      <c r="L2244" s="269" t="str">
        <f t="shared" si="1"/>
        <v/>
      </c>
    </row>
    <row r="2245" ht="15.75" customHeight="1">
      <c r="A2245" s="375"/>
      <c r="K2245" s="269"/>
      <c r="L2245" s="269" t="str">
        <f t="shared" si="1"/>
        <v/>
      </c>
    </row>
    <row r="2246" ht="15.75" customHeight="1">
      <c r="A2246" s="375"/>
      <c r="K2246" s="269"/>
      <c r="L2246" s="269" t="str">
        <f t="shared" si="1"/>
        <v/>
      </c>
    </row>
    <row r="2247" ht="15.75" customHeight="1">
      <c r="A2247" s="375"/>
      <c r="K2247" s="269"/>
      <c r="L2247" s="269" t="str">
        <f t="shared" si="1"/>
        <v/>
      </c>
    </row>
    <row r="2248" ht="15.75" customHeight="1">
      <c r="A2248" s="375"/>
      <c r="K2248" s="269"/>
      <c r="L2248" s="269" t="str">
        <f t="shared" si="1"/>
        <v/>
      </c>
    </row>
    <row r="2249" ht="15.75" customHeight="1">
      <c r="A2249" s="375"/>
      <c r="K2249" s="269"/>
      <c r="L2249" s="269" t="str">
        <f t="shared" si="1"/>
        <v/>
      </c>
    </row>
    <row r="2250" ht="15.75" customHeight="1">
      <c r="A2250" s="375"/>
      <c r="K2250" s="269"/>
      <c r="L2250" s="269" t="str">
        <f t="shared" si="1"/>
        <v/>
      </c>
    </row>
    <row r="2251" ht="15.75" customHeight="1">
      <c r="A2251" s="375"/>
      <c r="K2251" s="269"/>
      <c r="L2251" s="269" t="str">
        <f t="shared" si="1"/>
        <v/>
      </c>
    </row>
    <row r="2252" ht="15.75" customHeight="1">
      <c r="A2252" s="375"/>
      <c r="K2252" s="269"/>
      <c r="L2252" s="269" t="str">
        <f t="shared" si="1"/>
        <v/>
      </c>
    </row>
    <row r="2253" ht="15.75" customHeight="1">
      <c r="A2253" s="375"/>
      <c r="K2253" s="269"/>
      <c r="L2253" s="269" t="str">
        <f t="shared" si="1"/>
        <v/>
      </c>
    </row>
    <row r="2254" ht="15.75" customHeight="1">
      <c r="A2254" s="375"/>
      <c r="K2254" s="269"/>
      <c r="L2254" s="269" t="str">
        <f t="shared" si="1"/>
        <v/>
      </c>
    </row>
    <row r="2255" ht="15.75" customHeight="1">
      <c r="A2255" s="375"/>
      <c r="K2255" s="269"/>
      <c r="L2255" s="269" t="str">
        <f t="shared" si="1"/>
        <v/>
      </c>
    </row>
    <row r="2256" ht="15.75" customHeight="1">
      <c r="A2256" s="375"/>
      <c r="K2256" s="269"/>
      <c r="L2256" s="269" t="str">
        <f t="shared" si="1"/>
        <v/>
      </c>
    </row>
    <row r="2257" ht="15.75" customHeight="1">
      <c r="A2257" s="375"/>
      <c r="K2257" s="269"/>
      <c r="L2257" s="269" t="str">
        <f t="shared" si="1"/>
        <v/>
      </c>
    </row>
    <row r="2258" ht="15.75" customHeight="1">
      <c r="A2258" s="375"/>
      <c r="K2258" s="269"/>
      <c r="L2258" s="269" t="str">
        <f t="shared" si="1"/>
        <v/>
      </c>
    </row>
    <row r="2259" ht="15.75" customHeight="1">
      <c r="A2259" s="375"/>
      <c r="K2259" s="269"/>
      <c r="L2259" s="269" t="str">
        <f t="shared" si="1"/>
        <v/>
      </c>
    </row>
    <row r="2260" ht="15.75" customHeight="1">
      <c r="A2260" s="375"/>
      <c r="K2260" s="269"/>
      <c r="L2260" s="269" t="str">
        <f t="shared" si="1"/>
        <v/>
      </c>
    </row>
    <row r="2261" ht="15.75" customHeight="1">
      <c r="A2261" s="375"/>
      <c r="K2261" s="269"/>
      <c r="L2261" s="269" t="str">
        <f t="shared" si="1"/>
        <v/>
      </c>
    </row>
    <row r="2262" ht="15.75" customHeight="1">
      <c r="A2262" s="375"/>
      <c r="K2262" s="269"/>
      <c r="L2262" s="269" t="str">
        <f t="shared" si="1"/>
        <v/>
      </c>
    </row>
    <row r="2263" ht="15.75" customHeight="1">
      <c r="A2263" s="375"/>
      <c r="K2263" s="269"/>
      <c r="L2263" s="269" t="str">
        <f t="shared" si="1"/>
        <v/>
      </c>
    </row>
    <row r="2264" ht="15.75" customHeight="1">
      <c r="A2264" s="375"/>
      <c r="K2264" s="269"/>
      <c r="L2264" s="269" t="str">
        <f t="shared" si="1"/>
        <v/>
      </c>
    </row>
    <row r="2265" ht="15.75" customHeight="1">
      <c r="A2265" s="375"/>
      <c r="K2265" s="269"/>
      <c r="L2265" s="269" t="str">
        <f t="shared" si="1"/>
        <v/>
      </c>
    </row>
    <row r="2266" ht="15.75" customHeight="1">
      <c r="A2266" s="375"/>
      <c r="K2266" s="269"/>
      <c r="L2266" s="269" t="str">
        <f t="shared" si="1"/>
        <v/>
      </c>
    </row>
    <row r="2267" ht="15.75" customHeight="1">
      <c r="A2267" s="375"/>
      <c r="K2267" s="269"/>
      <c r="L2267" s="269" t="str">
        <f t="shared" si="1"/>
        <v/>
      </c>
    </row>
    <row r="2268" ht="15.75" customHeight="1">
      <c r="A2268" s="375"/>
      <c r="K2268" s="269"/>
      <c r="L2268" s="269" t="str">
        <f t="shared" si="1"/>
        <v/>
      </c>
    </row>
    <row r="2269" ht="15.75" customHeight="1">
      <c r="A2269" s="375"/>
      <c r="K2269" s="269"/>
      <c r="L2269" s="269" t="str">
        <f t="shared" si="1"/>
        <v/>
      </c>
    </row>
    <row r="2270" ht="15.75" customHeight="1">
      <c r="A2270" s="375"/>
      <c r="K2270" s="269"/>
      <c r="L2270" s="269" t="str">
        <f t="shared" si="1"/>
        <v/>
      </c>
    </row>
    <row r="2271" ht="15.75" customHeight="1">
      <c r="A2271" s="375"/>
      <c r="K2271" s="269"/>
      <c r="L2271" s="269" t="str">
        <f t="shared" si="1"/>
        <v/>
      </c>
    </row>
    <row r="2272" ht="15.75" customHeight="1">
      <c r="A2272" s="375"/>
      <c r="K2272" s="269"/>
      <c r="L2272" s="269" t="str">
        <f t="shared" si="1"/>
        <v/>
      </c>
    </row>
    <row r="2273" ht="15.75" customHeight="1">
      <c r="A2273" s="375"/>
      <c r="K2273" s="269"/>
      <c r="L2273" s="269" t="str">
        <f t="shared" si="1"/>
        <v/>
      </c>
    </row>
    <row r="2274" ht="15.75" customHeight="1">
      <c r="A2274" s="375"/>
      <c r="K2274" s="269"/>
      <c r="L2274" s="269" t="str">
        <f t="shared" si="1"/>
        <v/>
      </c>
    </row>
    <row r="2275" ht="15.75" customHeight="1">
      <c r="A2275" s="375"/>
      <c r="K2275" s="269"/>
      <c r="L2275" s="269" t="str">
        <f t="shared" si="1"/>
        <v/>
      </c>
    </row>
    <row r="2276" ht="15.75" customHeight="1">
      <c r="A2276" s="375"/>
      <c r="K2276" s="269"/>
      <c r="L2276" s="269" t="str">
        <f t="shared" si="1"/>
        <v/>
      </c>
    </row>
    <row r="2277" ht="15.75" customHeight="1">
      <c r="A2277" s="375"/>
      <c r="K2277" s="269"/>
      <c r="L2277" s="269" t="str">
        <f t="shared" si="1"/>
        <v/>
      </c>
    </row>
    <row r="2278" ht="15.75" customHeight="1">
      <c r="A2278" s="375"/>
      <c r="K2278" s="269"/>
      <c r="L2278" s="269" t="str">
        <f t="shared" si="1"/>
        <v/>
      </c>
    </row>
    <row r="2279" ht="15.75" customHeight="1">
      <c r="A2279" s="375"/>
      <c r="K2279" s="269"/>
      <c r="L2279" s="269" t="str">
        <f t="shared" si="1"/>
        <v/>
      </c>
    </row>
    <row r="2280" ht="15.75" customHeight="1">
      <c r="A2280" s="375"/>
      <c r="K2280" s="269"/>
      <c r="L2280" s="269" t="str">
        <f t="shared" si="1"/>
        <v/>
      </c>
    </row>
    <row r="2281" ht="15.75" customHeight="1">
      <c r="A2281" s="375"/>
      <c r="K2281" s="269"/>
      <c r="L2281" s="269" t="str">
        <f t="shared" si="1"/>
        <v/>
      </c>
    </row>
    <row r="2282" ht="15.75" customHeight="1">
      <c r="A2282" s="375"/>
      <c r="K2282" s="269"/>
      <c r="L2282" s="269" t="str">
        <f t="shared" si="1"/>
        <v/>
      </c>
    </row>
    <row r="2283" ht="15.75" customHeight="1">
      <c r="A2283" s="375"/>
      <c r="K2283" s="269"/>
      <c r="L2283" s="269" t="str">
        <f t="shared" si="1"/>
        <v/>
      </c>
    </row>
    <row r="2284" ht="15.75" customHeight="1">
      <c r="A2284" s="375"/>
      <c r="K2284" s="269"/>
      <c r="L2284" s="269" t="str">
        <f t="shared" si="1"/>
        <v/>
      </c>
    </row>
    <row r="2285" ht="15.75" customHeight="1">
      <c r="A2285" s="375"/>
      <c r="K2285" s="269"/>
      <c r="L2285" s="269" t="str">
        <f t="shared" si="1"/>
        <v/>
      </c>
    </row>
    <row r="2286" ht="15.75" customHeight="1">
      <c r="A2286" s="375"/>
      <c r="K2286" s="269"/>
      <c r="L2286" s="269" t="str">
        <f t="shared" si="1"/>
        <v/>
      </c>
    </row>
    <row r="2287" ht="15.75" customHeight="1">
      <c r="A2287" s="375"/>
      <c r="K2287" s="269"/>
      <c r="L2287" s="269" t="str">
        <f t="shared" si="1"/>
        <v/>
      </c>
    </row>
    <row r="2288" ht="15.75" customHeight="1">
      <c r="A2288" s="375"/>
      <c r="K2288" s="269"/>
      <c r="L2288" s="269" t="str">
        <f t="shared" si="1"/>
        <v/>
      </c>
    </row>
    <row r="2289" ht="15.75" customHeight="1">
      <c r="A2289" s="375"/>
      <c r="K2289" s="269"/>
      <c r="L2289" s="269" t="str">
        <f t="shared" si="1"/>
        <v/>
      </c>
    </row>
    <row r="2290" ht="15.75" customHeight="1">
      <c r="A2290" s="375"/>
      <c r="K2290" s="269"/>
      <c r="L2290" s="269" t="str">
        <f t="shared" si="1"/>
        <v/>
      </c>
    </row>
    <row r="2291" ht="15.75" customHeight="1">
      <c r="A2291" s="375"/>
      <c r="K2291" s="269"/>
      <c r="L2291" s="269" t="str">
        <f t="shared" si="1"/>
        <v/>
      </c>
    </row>
    <row r="2292" ht="15.75" customHeight="1">
      <c r="A2292" s="375"/>
      <c r="K2292" s="269"/>
      <c r="L2292" s="269" t="str">
        <f t="shared" si="1"/>
        <v/>
      </c>
    </row>
    <row r="2293" ht="15.75" customHeight="1">
      <c r="A2293" s="375"/>
      <c r="K2293" s="269"/>
      <c r="L2293" s="269" t="str">
        <f t="shared" si="1"/>
        <v/>
      </c>
    </row>
    <row r="2294" ht="15.75" customHeight="1">
      <c r="A2294" s="375"/>
      <c r="K2294" s="269"/>
      <c r="L2294" s="269" t="str">
        <f t="shared" si="1"/>
        <v/>
      </c>
    </row>
    <row r="2295" ht="15.75" customHeight="1">
      <c r="A2295" s="375"/>
      <c r="K2295" s="269"/>
      <c r="L2295" s="269" t="str">
        <f t="shared" si="1"/>
        <v/>
      </c>
    </row>
    <row r="2296" ht="15.75" customHeight="1">
      <c r="A2296" s="375"/>
      <c r="K2296" s="269"/>
      <c r="L2296" s="269" t="str">
        <f t="shared" si="1"/>
        <v/>
      </c>
    </row>
    <row r="2297" ht="15.75" customHeight="1">
      <c r="A2297" s="375"/>
      <c r="K2297" s="269"/>
      <c r="L2297" s="269" t="str">
        <f t="shared" si="1"/>
        <v/>
      </c>
    </row>
    <row r="2298" ht="15.75" customHeight="1">
      <c r="A2298" s="375"/>
      <c r="K2298" s="269"/>
      <c r="L2298" s="269" t="str">
        <f t="shared" si="1"/>
        <v/>
      </c>
    </row>
    <row r="2299" ht="15.75" customHeight="1">
      <c r="A2299" s="375"/>
      <c r="K2299" s="269"/>
      <c r="L2299" s="269" t="str">
        <f t="shared" si="1"/>
        <v/>
      </c>
    </row>
    <row r="2300" ht="15.75" customHeight="1">
      <c r="A2300" s="375"/>
      <c r="K2300" s="269"/>
      <c r="L2300" s="269" t="str">
        <f t="shared" si="1"/>
        <v/>
      </c>
    </row>
    <row r="2301" ht="15.75" customHeight="1">
      <c r="A2301" s="375"/>
      <c r="K2301" s="269"/>
      <c r="L2301" s="269" t="str">
        <f t="shared" si="1"/>
        <v/>
      </c>
    </row>
    <row r="2302" ht="15.75" customHeight="1">
      <c r="A2302" s="375"/>
      <c r="K2302" s="269"/>
      <c r="L2302" s="269" t="str">
        <f t="shared" si="1"/>
        <v/>
      </c>
    </row>
    <row r="2303" ht="15.75" customHeight="1">
      <c r="A2303" s="375"/>
      <c r="K2303" s="269"/>
      <c r="L2303" s="269" t="str">
        <f t="shared" si="1"/>
        <v/>
      </c>
    </row>
    <row r="2304" ht="15.75" customHeight="1">
      <c r="A2304" s="375"/>
      <c r="K2304" s="269"/>
      <c r="L2304" s="269" t="str">
        <f t="shared" si="1"/>
        <v/>
      </c>
    </row>
    <row r="2305" ht="15.75" customHeight="1">
      <c r="A2305" s="375"/>
      <c r="K2305" s="269"/>
      <c r="L2305" s="269" t="str">
        <f t="shared" si="1"/>
        <v/>
      </c>
    </row>
    <row r="2306" ht="15.75" customHeight="1">
      <c r="A2306" s="375"/>
      <c r="K2306" s="269"/>
      <c r="L2306" s="269" t="str">
        <f t="shared" si="1"/>
        <v/>
      </c>
    </row>
    <row r="2307" ht="15.75" customHeight="1">
      <c r="A2307" s="375"/>
      <c r="K2307" s="269"/>
      <c r="L2307" s="269" t="str">
        <f t="shared" si="1"/>
        <v/>
      </c>
    </row>
    <row r="2308" ht="15.75" customHeight="1">
      <c r="A2308" s="375"/>
      <c r="K2308" s="269"/>
      <c r="L2308" s="269" t="str">
        <f t="shared" si="1"/>
        <v/>
      </c>
    </row>
    <row r="2309" ht="15.75" customHeight="1">
      <c r="A2309" s="375"/>
      <c r="K2309" s="269"/>
      <c r="L2309" s="269" t="str">
        <f t="shared" si="1"/>
        <v/>
      </c>
    </row>
    <row r="2310" ht="15.75" customHeight="1">
      <c r="A2310" s="375"/>
      <c r="K2310" s="269"/>
      <c r="L2310" s="269" t="str">
        <f t="shared" si="1"/>
        <v/>
      </c>
    </row>
    <row r="2311" ht="15.75" customHeight="1">
      <c r="A2311" s="375"/>
      <c r="K2311" s="269"/>
      <c r="L2311" s="269" t="str">
        <f t="shared" si="1"/>
        <v/>
      </c>
    </row>
    <row r="2312" ht="15.75" customHeight="1">
      <c r="A2312" s="375"/>
      <c r="K2312" s="269"/>
      <c r="L2312" s="269" t="str">
        <f t="shared" si="1"/>
        <v/>
      </c>
    </row>
    <row r="2313" ht="15.75" customHeight="1">
      <c r="A2313" s="375"/>
      <c r="K2313" s="269"/>
      <c r="L2313" s="269" t="str">
        <f t="shared" si="1"/>
        <v/>
      </c>
    </row>
    <row r="2314" ht="15.75" customHeight="1">
      <c r="A2314" s="375"/>
      <c r="K2314" s="269"/>
      <c r="L2314" s="269" t="str">
        <f t="shared" si="1"/>
        <v/>
      </c>
    </row>
    <row r="2315" ht="15.75" customHeight="1">
      <c r="A2315" s="375"/>
      <c r="K2315" s="269"/>
      <c r="L2315" s="269" t="str">
        <f t="shared" si="1"/>
        <v/>
      </c>
    </row>
    <row r="2316" ht="15.75" customHeight="1">
      <c r="A2316" s="375"/>
      <c r="K2316" s="269"/>
      <c r="L2316" s="269" t="str">
        <f t="shared" si="1"/>
        <v/>
      </c>
    </row>
    <row r="2317" ht="15.75" customHeight="1">
      <c r="A2317" s="375"/>
      <c r="K2317" s="269"/>
      <c r="L2317" s="269" t="str">
        <f t="shared" si="1"/>
        <v/>
      </c>
    </row>
    <row r="2318" ht="15.75" customHeight="1">
      <c r="A2318" s="375"/>
      <c r="K2318" s="269"/>
      <c r="L2318" s="269" t="str">
        <f t="shared" si="1"/>
        <v/>
      </c>
    </row>
    <row r="2319" ht="15.75" customHeight="1">
      <c r="A2319" s="375"/>
      <c r="K2319" s="269"/>
      <c r="L2319" s="269" t="str">
        <f t="shared" si="1"/>
        <v/>
      </c>
    </row>
    <row r="2320" ht="15.75" customHeight="1">
      <c r="A2320" s="375"/>
      <c r="K2320" s="269"/>
      <c r="L2320" s="269" t="str">
        <f t="shared" si="1"/>
        <v/>
      </c>
    </row>
    <row r="2321" ht="15.75" customHeight="1">
      <c r="A2321" s="375"/>
      <c r="K2321" s="269"/>
      <c r="L2321" s="269" t="str">
        <f t="shared" si="1"/>
        <v/>
      </c>
    </row>
    <row r="2322" ht="15.75" customHeight="1">
      <c r="A2322" s="375"/>
      <c r="K2322" s="269"/>
      <c r="L2322" s="269" t="str">
        <f t="shared" si="1"/>
        <v/>
      </c>
    </row>
    <row r="2323" ht="15.75" customHeight="1">
      <c r="A2323" s="375"/>
      <c r="K2323" s="269"/>
      <c r="L2323" s="269" t="str">
        <f t="shared" si="1"/>
        <v/>
      </c>
    </row>
    <row r="2324" ht="15.75" customHeight="1">
      <c r="A2324" s="375"/>
      <c r="K2324" s="269"/>
      <c r="L2324" s="269" t="str">
        <f t="shared" si="1"/>
        <v/>
      </c>
    </row>
    <row r="2325" ht="15.75" customHeight="1">
      <c r="A2325" s="375"/>
      <c r="K2325" s="269"/>
      <c r="L2325" s="269" t="str">
        <f t="shared" si="1"/>
        <v/>
      </c>
    </row>
    <row r="2326" ht="15.75" customHeight="1">
      <c r="A2326" s="375"/>
      <c r="K2326" s="269"/>
      <c r="L2326" s="269" t="str">
        <f t="shared" si="1"/>
        <v/>
      </c>
    </row>
    <row r="2327" ht="15.75" customHeight="1">
      <c r="A2327" s="375"/>
      <c r="K2327" s="269"/>
      <c r="L2327" s="269" t="str">
        <f t="shared" si="1"/>
        <v/>
      </c>
    </row>
    <row r="2328" ht="15.75" customHeight="1">
      <c r="A2328" s="375"/>
      <c r="K2328" s="269"/>
      <c r="L2328" s="269" t="str">
        <f t="shared" si="1"/>
        <v/>
      </c>
    </row>
    <row r="2329" ht="15.75" customHeight="1">
      <c r="A2329" s="375"/>
      <c r="K2329" s="269"/>
      <c r="L2329" s="269" t="str">
        <f t="shared" si="1"/>
        <v/>
      </c>
    </row>
    <row r="2330" ht="15.75" customHeight="1">
      <c r="A2330" s="375"/>
      <c r="K2330" s="269"/>
      <c r="L2330" s="269" t="str">
        <f t="shared" si="1"/>
        <v/>
      </c>
    </row>
    <row r="2331" ht="15.75" customHeight="1">
      <c r="A2331" s="375"/>
      <c r="K2331" s="269"/>
      <c r="L2331" s="269" t="str">
        <f t="shared" si="1"/>
        <v/>
      </c>
    </row>
    <row r="2332" ht="15.75" customHeight="1">
      <c r="A2332" s="375"/>
      <c r="K2332" s="269"/>
      <c r="L2332" s="269" t="str">
        <f t="shared" si="1"/>
        <v/>
      </c>
    </row>
    <row r="2333" ht="15.75" customHeight="1">
      <c r="A2333" s="375"/>
      <c r="K2333" s="269"/>
      <c r="L2333" s="269" t="str">
        <f t="shared" si="1"/>
        <v/>
      </c>
    </row>
    <row r="2334" ht="15.75" customHeight="1">
      <c r="A2334" s="375"/>
      <c r="K2334" s="269"/>
      <c r="L2334" s="269" t="str">
        <f t="shared" si="1"/>
        <v/>
      </c>
    </row>
    <row r="2335" ht="15.75" customHeight="1">
      <c r="A2335" s="375"/>
      <c r="K2335" s="269"/>
      <c r="L2335" s="269" t="str">
        <f t="shared" si="1"/>
        <v/>
      </c>
    </row>
    <row r="2336" ht="15.75" customHeight="1">
      <c r="A2336" s="375"/>
      <c r="K2336" s="269"/>
      <c r="L2336" s="269" t="str">
        <f t="shared" si="1"/>
        <v/>
      </c>
    </row>
    <row r="2337" ht="15.75" customHeight="1">
      <c r="A2337" s="375"/>
      <c r="K2337" s="269"/>
      <c r="L2337" s="269" t="str">
        <f t="shared" si="1"/>
        <v/>
      </c>
    </row>
    <row r="2338" ht="15.75" customHeight="1">
      <c r="A2338" s="375"/>
      <c r="K2338" s="269"/>
      <c r="L2338" s="269" t="str">
        <f t="shared" si="1"/>
        <v/>
      </c>
    </row>
    <row r="2339" ht="15.75" customHeight="1">
      <c r="A2339" s="375"/>
      <c r="K2339" s="269"/>
      <c r="L2339" s="269" t="str">
        <f t="shared" si="1"/>
        <v/>
      </c>
    </row>
    <row r="2340" ht="15.75" customHeight="1">
      <c r="A2340" s="375"/>
      <c r="K2340" s="269"/>
      <c r="L2340" s="269" t="str">
        <f t="shared" si="1"/>
        <v/>
      </c>
    </row>
    <row r="2341" ht="15.75" customHeight="1">
      <c r="A2341" s="375"/>
      <c r="K2341" s="269"/>
      <c r="L2341" s="269" t="str">
        <f t="shared" si="1"/>
        <v/>
      </c>
    </row>
    <row r="2342" ht="15.75" customHeight="1">
      <c r="A2342" s="375"/>
      <c r="K2342" s="269"/>
      <c r="L2342" s="269" t="str">
        <f t="shared" si="1"/>
        <v/>
      </c>
    </row>
    <row r="2343" ht="15.75" customHeight="1">
      <c r="A2343" s="375"/>
      <c r="K2343" s="269"/>
      <c r="L2343" s="269" t="str">
        <f t="shared" si="1"/>
        <v/>
      </c>
    </row>
    <row r="2344" ht="15.75" customHeight="1">
      <c r="A2344" s="375"/>
      <c r="K2344" s="269"/>
      <c r="L2344" s="269" t="str">
        <f t="shared" si="1"/>
        <v/>
      </c>
    </row>
    <row r="2345" ht="15.75" customHeight="1">
      <c r="A2345" s="375"/>
      <c r="K2345" s="269"/>
      <c r="L2345" s="269" t="str">
        <f t="shared" si="1"/>
        <v/>
      </c>
    </row>
    <row r="2346" ht="15.75" customHeight="1">
      <c r="A2346" s="375"/>
      <c r="K2346" s="269"/>
      <c r="L2346" s="269" t="str">
        <f t="shared" si="1"/>
        <v/>
      </c>
    </row>
    <row r="2347" ht="15.75" customHeight="1">
      <c r="A2347" s="375"/>
      <c r="K2347" s="269"/>
      <c r="L2347" s="269" t="str">
        <f t="shared" si="1"/>
        <v/>
      </c>
    </row>
    <row r="2348" ht="15.75" customHeight="1">
      <c r="A2348" s="375"/>
      <c r="K2348" s="269"/>
      <c r="L2348" s="269" t="str">
        <f t="shared" si="1"/>
        <v/>
      </c>
    </row>
    <row r="2349" ht="15.75" customHeight="1">
      <c r="A2349" s="375"/>
      <c r="K2349" s="269"/>
      <c r="L2349" s="269" t="str">
        <f t="shared" si="1"/>
        <v/>
      </c>
    </row>
    <row r="2350" ht="15.75" customHeight="1">
      <c r="A2350" s="375"/>
      <c r="K2350" s="269"/>
      <c r="L2350" s="269" t="str">
        <f t="shared" si="1"/>
        <v/>
      </c>
    </row>
    <row r="2351" ht="15.75" customHeight="1">
      <c r="A2351" s="375"/>
      <c r="K2351" s="269"/>
      <c r="L2351" s="269" t="str">
        <f t="shared" si="1"/>
        <v/>
      </c>
    </row>
    <row r="2352" ht="15.75" customHeight="1">
      <c r="A2352" s="375"/>
      <c r="K2352" s="269"/>
      <c r="L2352" s="269" t="str">
        <f t="shared" si="1"/>
        <v/>
      </c>
    </row>
    <row r="2353" ht="15.75" customHeight="1">
      <c r="A2353" s="375"/>
      <c r="K2353" s="269"/>
      <c r="L2353" s="269" t="str">
        <f t="shared" si="1"/>
        <v/>
      </c>
    </row>
    <row r="2354" ht="15.75" customHeight="1">
      <c r="A2354" s="375"/>
      <c r="K2354" s="269"/>
      <c r="L2354" s="269" t="str">
        <f t="shared" si="1"/>
        <v/>
      </c>
    </row>
    <row r="2355" ht="15.75" customHeight="1">
      <c r="A2355" s="375"/>
      <c r="K2355" s="269"/>
      <c r="L2355" s="269" t="str">
        <f t="shared" si="1"/>
        <v/>
      </c>
    </row>
    <row r="2356" ht="15.75" customHeight="1">
      <c r="A2356" s="375"/>
      <c r="K2356" s="269"/>
      <c r="L2356" s="269" t="str">
        <f t="shared" si="1"/>
        <v/>
      </c>
    </row>
    <row r="2357" ht="15.75" customHeight="1">
      <c r="A2357" s="375"/>
      <c r="K2357" s="269"/>
      <c r="L2357" s="269" t="str">
        <f t="shared" si="1"/>
        <v/>
      </c>
    </row>
    <row r="2358" ht="15.75" customHeight="1">
      <c r="A2358" s="375"/>
      <c r="K2358" s="269"/>
      <c r="L2358" s="269" t="str">
        <f t="shared" si="1"/>
        <v/>
      </c>
    </row>
    <row r="2359" ht="15.75" customHeight="1">
      <c r="A2359" s="375"/>
      <c r="K2359" s="269"/>
      <c r="L2359" s="269" t="str">
        <f t="shared" si="1"/>
        <v/>
      </c>
    </row>
    <row r="2360" ht="15.75" customHeight="1">
      <c r="A2360" s="375"/>
      <c r="K2360" s="269"/>
      <c r="L2360" s="269" t="str">
        <f t="shared" si="1"/>
        <v/>
      </c>
    </row>
    <row r="2361" ht="15.75" customHeight="1">
      <c r="A2361" s="375"/>
      <c r="K2361" s="269"/>
      <c r="L2361" s="269" t="str">
        <f t="shared" si="1"/>
        <v/>
      </c>
    </row>
    <row r="2362" ht="15.75" customHeight="1">
      <c r="A2362" s="375"/>
      <c r="K2362" s="269"/>
      <c r="L2362" s="269" t="str">
        <f t="shared" si="1"/>
        <v/>
      </c>
    </row>
    <row r="2363" ht="15.75" customHeight="1">
      <c r="A2363" s="375"/>
      <c r="K2363" s="269"/>
      <c r="L2363" s="269" t="str">
        <f t="shared" si="1"/>
        <v/>
      </c>
    </row>
    <row r="2364" ht="15.75" customHeight="1">
      <c r="A2364" s="375"/>
      <c r="K2364" s="269"/>
      <c r="L2364" s="269" t="str">
        <f t="shared" si="1"/>
        <v/>
      </c>
    </row>
    <row r="2365" ht="15.75" customHeight="1">
      <c r="A2365" s="375"/>
      <c r="K2365" s="269"/>
      <c r="L2365" s="269" t="str">
        <f t="shared" si="1"/>
        <v/>
      </c>
    </row>
    <row r="2366" ht="15.75" customHeight="1">
      <c r="A2366" s="375"/>
      <c r="K2366" s="269"/>
      <c r="L2366" s="269" t="str">
        <f t="shared" si="1"/>
        <v/>
      </c>
    </row>
    <row r="2367" ht="15.75" customHeight="1">
      <c r="A2367" s="375"/>
      <c r="K2367" s="269"/>
      <c r="L2367" s="269" t="str">
        <f t="shared" si="1"/>
        <v/>
      </c>
    </row>
    <row r="2368" ht="15.75" customHeight="1">
      <c r="A2368" s="375"/>
      <c r="K2368" s="269"/>
      <c r="L2368" s="269" t="str">
        <f t="shared" si="1"/>
        <v/>
      </c>
    </row>
    <row r="2369" ht="15.75" customHeight="1">
      <c r="A2369" s="375"/>
      <c r="K2369" s="269"/>
      <c r="L2369" s="269" t="str">
        <f t="shared" si="1"/>
        <v/>
      </c>
    </row>
    <row r="2370" ht="15.75" customHeight="1">
      <c r="A2370" s="375"/>
      <c r="K2370" s="269"/>
      <c r="L2370" s="269" t="str">
        <f t="shared" si="1"/>
        <v/>
      </c>
    </row>
    <row r="2371" ht="15.75" customHeight="1">
      <c r="A2371" s="375"/>
      <c r="K2371" s="269"/>
      <c r="L2371" s="269" t="str">
        <f t="shared" si="1"/>
        <v/>
      </c>
    </row>
    <row r="2372" ht="15.75" customHeight="1">
      <c r="A2372" s="375"/>
      <c r="K2372" s="269"/>
      <c r="L2372" s="269" t="str">
        <f t="shared" si="1"/>
        <v/>
      </c>
    </row>
    <row r="2373" ht="15.75" customHeight="1">
      <c r="A2373" s="375"/>
      <c r="K2373" s="269"/>
      <c r="L2373" s="269" t="str">
        <f t="shared" si="1"/>
        <v/>
      </c>
    </row>
    <row r="2374" ht="15.75" customHeight="1">
      <c r="A2374" s="375"/>
      <c r="K2374" s="269"/>
      <c r="L2374" s="269" t="str">
        <f t="shared" si="1"/>
        <v/>
      </c>
    </row>
    <row r="2375" ht="15.75" customHeight="1">
      <c r="A2375" s="375"/>
      <c r="K2375" s="269"/>
      <c r="L2375" s="269" t="str">
        <f t="shared" si="1"/>
        <v/>
      </c>
    </row>
    <row r="2376" ht="15.75" customHeight="1">
      <c r="A2376" s="375"/>
      <c r="K2376" s="269"/>
      <c r="L2376" s="269" t="str">
        <f t="shared" si="1"/>
        <v/>
      </c>
    </row>
    <row r="2377" ht="15.75" customHeight="1">
      <c r="A2377" s="375"/>
      <c r="K2377" s="269"/>
      <c r="L2377" s="269" t="str">
        <f t="shared" si="1"/>
        <v/>
      </c>
    </row>
    <row r="2378" ht="15.75" customHeight="1">
      <c r="A2378" s="375"/>
      <c r="K2378" s="269"/>
      <c r="L2378" s="269" t="str">
        <f t="shared" si="1"/>
        <v/>
      </c>
    </row>
    <row r="2379" ht="15.75" customHeight="1">
      <c r="A2379" s="375"/>
      <c r="K2379" s="269"/>
      <c r="L2379" s="269" t="str">
        <f t="shared" si="1"/>
        <v/>
      </c>
    </row>
    <row r="2380" ht="15.75" customHeight="1">
      <c r="A2380" s="375"/>
      <c r="K2380" s="269"/>
      <c r="L2380" s="269" t="str">
        <f t="shared" si="1"/>
        <v/>
      </c>
    </row>
    <row r="2381" ht="15.75" customHeight="1">
      <c r="A2381" s="375"/>
      <c r="K2381" s="269"/>
      <c r="L2381" s="269" t="str">
        <f t="shared" si="1"/>
        <v/>
      </c>
    </row>
    <row r="2382" ht="15.75" customHeight="1">
      <c r="A2382" s="375"/>
      <c r="K2382" s="269"/>
      <c r="L2382" s="269" t="str">
        <f t="shared" si="1"/>
        <v/>
      </c>
    </row>
    <row r="2383" ht="15.75" customHeight="1">
      <c r="A2383" s="375"/>
      <c r="K2383" s="269"/>
      <c r="L2383" s="269" t="str">
        <f t="shared" si="1"/>
        <v/>
      </c>
    </row>
    <row r="2384" ht="15.75" customHeight="1">
      <c r="A2384" s="375"/>
      <c r="K2384" s="269"/>
      <c r="L2384" s="269" t="str">
        <f t="shared" si="1"/>
        <v/>
      </c>
    </row>
    <row r="2385" ht="15.75" customHeight="1">
      <c r="A2385" s="375"/>
      <c r="K2385" s="269"/>
      <c r="L2385" s="269" t="str">
        <f t="shared" si="1"/>
        <v/>
      </c>
    </row>
    <row r="2386" ht="15.75" customHeight="1">
      <c r="A2386" s="375"/>
      <c r="K2386" s="269"/>
      <c r="L2386" s="269" t="str">
        <f t="shared" si="1"/>
        <v/>
      </c>
    </row>
    <row r="2387" ht="15.75" customHeight="1">
      <c r="A2387" s="375"/>
      <c r="K2387" s="269"/>
      <c r="L2387" s="269" t="str">
        <f t="shared" si="1"/>
        <v/>
      </c>
    </row>
    <row r="2388" ht="15.75" customHeight="1">
      <c r="A2388" s="375"/>
      <c r="K2388" s="269"/>
      <c r="L2388" s="269" t="str">
        <f t="shared" si="1"/>
        <v/>
      </c>
    </row>
    <row r="2389" ht="15.75" customHeight="1">
      <c r="A2389" s="375"/>
      <c r="K2389" s="269"/>
      <c r="L2389" s="269" t="str">
        <f t="shared" si="1"/>
        <v/>
      </c>
    </row>
    <row r="2390" ht="15.75" customHeight="1">
      <c r="A2390" s="375"/>
      <c r="K2390" s="269"/>
      <c r="L2390" s="269" t="str">
        <f t="shared" si="1"/>
        <v/>
      </c>
    </row>
    <row r="2391" ht="15.75" customHeight="1">
      <c r="A2391" s="375"/>
      <c r="K2391" s="269"/>
      <c r="L2391" s="269" t="str">
        <f t="shared" si="1"/>
        <v/>
      </c>
    </row>
    <row r="2392" ht="15.75" customHeight="1">
      <c r="A2392" s="375"/>
      <c r="K2392" s="269"/>
      <c r="L2392" s="269" t="str">
        <f t="shared" si="1"/>
        <v/>
      </c>
    </row>
    <row r="2393" ht="15.75" customHeight="1">
      <c r="A2393" s="375"/>
      <c r="K2393" s="269"/>
      <c r="L2393" s="269" t="str">
        <f t="shared" si="1"/>
        <v/>
      </c>
    </row>
    <row r="2394" ht="15.75" customHeight="1">
      <c r="A2394" s="375"/>
      <c r="K2394" s="269"/>
      <c r="L2394" s="269" t="str">
        <f t="shared" si="1"/>
        <v/>
      </c>
    </row>
    <row r="2395" ht="15.75" customHeight="1">
      <c r="A2395" s="375"/>
      <c r="K2395" s="269"/>
      <c r="L2395" s="269" t="str">
        <f t="shared" si="1"/>
        <v/>
      </c>
    </row>
    <row r="2396" ht="15.75" customHeight="1">
      <c r="A2396" s="375"/>
      <c r="K2396" s="269"/>
      <c r="L2396" s="269" t="str">
        <f t="shared" si="1"/>
        <v/>
      </c>
    </row>
    <row r="2397" ht="15.75" customHeight="1">
      <c r="A2397" s="375"/>
      <c r="K2397" s="269"/>
      <c r="L2397" s="269" t="str">
        <f t="shared" si="1"/>
        <v/>
      </c>
    </row>
    <row r="2398" ht="15.75" customHeight="1">
      <c r="A2398" s="375"/>
      <c r="K2398" s="269"/>
      <c r="L2398" s="269" t="str">
        <f t="shared" si="1"/>
        <v/>
      </c>
    </row>
    <row r="2399" ht="15.75" customHeight="1">
      <c r="A2399" s="375"/>
      <c r="K2399" s="269"/>
      <c r="L2399" s="269" t="str">
        <f t="shared" si="1"/>
        <v/>
      </c>
    </row>
    <row r="2400" ht="15.75" customHeight="1">
      <c r="A2400" s="375"/>
      <c r="K2400" s="269"/>
      <c r="L2400" s="269" t="str">
        <f t="shared" si="1"/>
        <v/>
      </c>
    </row>
    <row r="2401" ht="15.75" customHeight="1">
      <c r="A2401" s="375"/>
      <c r="K2401" s="269"/>
      <c r="L2401" s="269" t="str">
        <f t="shared" si="1"/>
        <v/>
      </c>
    </row>
    <row r="2402" ht="15.75" customHeight="1">
      <c r="A2402" s="375"/>
      <c r="K2402" s="269"/>
      <c r="L2402" s="269" t="str">
        <f t="shared" si="1"/>
        <v/>
      </c>
    </row>
    <row r="2403" ht="15.75" customHeight="1">
      <c r="A2403" s="375"/>
      <c r="K2403" s="269"/>
      <c r="L2403" s="269" t="str">
        <f t="shared" si="1"/>
        <v/>
      </c>
    </row>
    <row r="2404" ht="15.75" customHeight="1">
      <c r="A2404" s="375"/>
      <c r="K2404" s="269"/>
      <c r="L2404" s="269" t="str">
        <f t="shared" si="1"/>
        <v/>
      </c>
    </row>
    <row r="2405" ht="15.75" customHeight="1">
      <c r="A2405" s="375"/>
      <c r="K2405" s="269"/>
      <c r="L2405" s="269" t="str">
        <f t="shared" si="1"/>
        <v/>
      </c>
    </row>
    <row r="2406" ht="15.75" customHeight="1">
      <c r="A2406" s="375"/>
      <c r="K2406" s="269"/>
      <c r="L2406" s="269" t="str">
        <f t="shared" si="1"/>
        <v/>
      </c>
    </row>
    <row r="2407" ht="15.75" customHeight="1">
      <c r="A2407" s="375"/>
      <c r="K2407" s="269"/>
      <c r="L2407" s="269" t="str">
        <f t="shared" si="1"/>
        <v/>
      </c>
    </row>
    <row r="2408" ht="15.75" customHeight="1">
      <c r="A2408" s="375"/>
      <c r="K2408" s="269"/>
      <c r="L2408" s="269" t="str">
        <f t="shared" si="1"/>
        <v/>
      </c>
    </row>
    <row r="2409" ht="15.75" customHeight="1">
      <c r="A2409" s="375"/>
      <c r="K2409" s="269"/>
      <c r="L2409" s="269" t="str">
        <f t="shared" si="1"/>
        <v/>
      </c>
    </row>
    <row r="2410" ht="15.75" customHeight="1">
      <c r="A2410" s="375"/>
      <c r="K2410" s="269"/>
      <c r="L2410" s="269" t="str">
        <f t="shared" si="1"/>
        <v/>
      </c>
    </row>
    <row r="2411" ht="15.75" customHeight="1">
      <c r="A2411" s="375"/>
      <c r="K2411" s="269"/>
      <c r="L2411" s="269" t="str">
        <f t="shared" si="1"/>
        <v/>
      </c>
    </row>
    <row r="2412" ht="15.75" customHeight="1">
      <c r="A2412" s="375"/>
      <c r="K2412" s="269"/>
      <c r="L2412" s="269" t="str">
        <f t="shared" si="1"/>
        <v/>
      </c>
    </row>
    <row r="2413" ht="15.75" customHeight="1">
      <c r="A2413" s="375"/>
      <c r="K2413" s="269"/>
      <c r="L2413" s="269" t="str">
        <f t="shared" si="1"/>
        <v/>
      </c>
    </row>
    <row r="2414" ht="15.75" customHeight="1">
      <c r="A2414" s="375"/>
      <c r="K2414" s="269"/>
      <c r="L2414" s="269" t="str">
        <f t="shared" si="1"/>
        <v/>
      </c>
    </row>
    <row r="2415" ht="15.75" customHeight="1">
      <c r="A2415" s="375"/>
      <c r="K2415" s="269"/>
      <c r="L2415" s="269" t="str">
        <f t="shared" si="1"/>
        <v/>
      </c>
    </row>
    <row r="2416" ht="15.75" customHeight="1">
      <c r="A2416" s="375"/>
      <c r="K2416" s="269"/>
      <c r="L2416" s="269" t="str">
        <f t="shared" si="1"/>
        <v/>
      </c>
    </row>
    <row r="2417" ht="15.75" customHeight="1">
      <c r="A2417" s="375"/>
      <c r="K2417" s="269"/>
      <c r="L2417" s="269" t="str">
        <f t="shared" si="1"/>
        <v/>
      </c>
    </row>
    <row r="2418" ht="15.75" customHeight="1">
      <c r="A2418" s="375"/>
      <c r="K2418" s="269"/>
      <c r="L2418" s="269" t="str">
        <f t="shared" si="1"/>
        <v/>
      </c>
    </row>
    <row r="2419" ht="15.75" customHeight="1">
      <c r="A2419" s="375"/>
      <c r="K2419" s="269"/>
      <c r="L2419" s="269" t="str">
        <f t="shared" si="1"/>
        <v/>
      </c>
    </row>
    <row r="2420" ht="15.75" customHeight="1">
      <c r="A2420" s="375"/>
      <c r="K2420" s="269"/>
      <c r="L2420" s="269" t="str">
        <f t="shared" si="1"/>
        <v/>
      </c>
    </row>
    <row r="2421" ht="15.75" customHeight="1">
      <c r="A2421" s="375"/>
      <c r="K2421" s="269"/>
      <c r="L2421" s="269" t="str">
        <f t="shared" si="1"/>
        <v/>
      </c>
    </row>
    <row r="2422" ht="15.75" customHeight="1">
      <c r="A2422" s="375"/>
      <c r="K2422" s="269"/>
      <c r="L2422" s="269" t="str">
        <f t="shared" si="1"/>
        <v/>
      </c>
    </row>
    <row r="2423" ht="15.75" customHeight="1">
      <c r="A2423" s="375"/>
      <c r="K2423" s="269"/>
      <c r="L2423" s="269" t="str">
        <f t="shared" si="1"/>
        <v/>
      </c>
    </row>
    <row r="2424" ht="15.75" customHeight="1">
      <c r="A2424" s="375"/>
      <c r="K2424" s="269"/>
      <c r="L2424" s="269" t="str">
        <f t="shared" si="1"/>
        <v/>
      </c>
    </row>
    <row r="2425" ht="15.75" customHeight="1">
      <c r="A2425" s="375"/>
      <c r="K2425" s="269"/>
      <c r="L2425" s="269" t="str">
        <f t="shared" si="1"/>
        <v/>
      </c>
    </row>
    <row r="2426" ht="15.75" customHeight="1">
      <c r="A2426" s="375"/>
      <c r="K2426" s="269"/>
      <c r="L2426" s="269" t="str">
        <f t="shared" si="1"/>
        <v/>
      </c>
    </row>
    <row r="2427" ht="15.75" customHeight="1">
      <c r="A2427" s="375"/>
      <c r="K2427" s="269"/>
      <c r="L2427" s="269" t="str">
        <f t="shared" si="1"/>
        <v/>
      </c>
    </row>
    <row r="2428" ht="15.75" customHeight="1">
      <c r="A2428" s="375"/>
      <c r="K2428" s="269"/>
      <c r="L2428" s="269" t="str">
        <f t="shared" si="1"/>
        <v/>
      </c>
    </row>
    <row r="2429" ht="15.75" customHeight="1">
      <c r="A2429" s="375"/>
      <c r="K2429" s="269"/>
      <c r="L2429" s="269" t="str">
        <f t="shared" si="1"/>
        <v/>
      </c>
    </row>
    <row r="2430" ht="15.75" customHeight="1">
      <c r="A2430" s="375"/>
      <c r="K2430" s="269"/>
      <c r="L2430" s="269" t="str">
        <f t="shared" si="1"/>
        <v/>
      </c>
    </row>
    <row r="2431" ht="15.75" customHeight="1">
      <c r="A2431" s="375"/>
      <c r="K2431" s="269"/>
      <c r="L2431" s="269" t="str">
        <f t="shared" si="1"/>
        <v/>
      </c>
    </row>
    <row r="2432" ht="15.75" customHeight="1">
      <c r="A2432" s="375"/>
      <c r="K2432" s="269"/>
      <c r="L2432" s="269" t="str">
        <f t="shared" si="1"/>
        <v/>
      </c>
    </row>
    <row r="2433" ht="15.75" customHeight="1">
      <c r="A2433" s="375"/>
      <c r="K2433" s="269"/>
      <c r="L2433" s="269" t="str">
        <f t="shared" si="1"/>
        <v/>
      </c>
    </row>
    <row r="2434" ht="15.75" customHeight="1">
      <c r="A2434" s="375"/>
      <c r="K2434" s="269"/>
      <c r="L2434" s="269" t="str">
        <f t="shared" si="1"/>
        <v/>
      </c>
    </row>
    <row r="2435" ht="15.75" customHeight="1">
      <c r="A2435" s="375"/>
      <c r="K2435" s="269"/>
      <c r="L2435" s="269" t="str">
        <f t="shared" si="1"/>
        <v/>
      </c>
    </row>
    <row r="2436" ht="15.75" customHeight="1">
      <c r="A2436" s="375"/>
      <c r="K2436" s="269"/>
      <c r="L2436" s="269" t="str">
        <f t="shared" si="1"/>
        <v/>
      </c>
    </row>
    <row r="2437" ht="15.75" customHeight="1">
      <c r="A2437" s="375"/>
      <c r="K2437" s="269"/>
      <c r="L2437" s="269" t="str">
        <f t="shared" si="1"/>
        <v/>
      </c>
    </row>
    <row r="2438" ht="15.75" customHeight="1">
      <c r="A2438" s="375"/>
      <c r="K2438" s="269"/>
      <c r="L2438" s="269" t="str">
        <f t="shared" si="1"/>
        <v/>
      </c>
    </row>
    <row r="2439" ht="15.75" customHeight="1">
      <c r="A2439" s="375"/>
      <c r="K2439" s="269"/>
      <c r="L2439" s="269" t="str">
        <f t="shared" si="1"/>
        <v/>
      </c>
    </row>
    <row r="2440" ht="15.75" customHeight="1">
      <c r="A2440" s="375"/>
      <c r="K2440" s="269"/>
      <c r="L2440" s="269" t="str">
        <f t="shared" si="1"/>
        <v/>
      </c>
    </row>
    <row r="2441" ht="15.75" customHeight="1">
      <c r="A2441" s="375"/>
      <c r="K2441" s="269"/>
      <c r="L2441" s="269" t="str">
        <f t="shared" si="1"/>
        <v/>
      </c>
    </row>
    <row r="2442" ht="15.75" customHeight="1">
      <c r="A2442" s="375"/>
      <c r="K2442" s="269"/>
      <c r="L2442" s="269" t="str">
        <f t="shared" si="1"/>
        <v/>
      </c>
    </row>
    <row r="2443" ht="15.75" customHeight="1">
      <c r="A2443" s="375"/>
      <c r="K2443" s="269"/>
      <c r="L2443" s="269" t="str">
        <f t="shared" si="1"/>
        <v/>
      </c>
    </row>
    <row r="2444" ht="15.75" customHeight="1">
      <c r="A2444" s="375"/>
      <c r="K2444" s="269"/>
      <c r="L2444" s="269" t="str">
        <f t="shared" si="1"/>
        <v/>
      </c>
    </row>
    <row r="2445" ht="15.75" customHeight="1">
      <c r="A2445" s="375"/>
      <c r="K2445" s="269"/>
      <c r="L2445" s="269" t="str">
        <f t="shared" si="1"/>
        <v/>
      </c>
    </row>
    <row r="2446" ht="15.75" customHeight="1">
      <c r="A2446" s="375"/>
      <c r="K2446" s="269"/>
      <c r="L2446" s="269" t="str">
        <f t="shared" si="1"/>
        <v/>
      </c>
    </row>
    <row r="2447" ht="15.75" customHeight="1">
      <c r="A2447" s="375"/>
      <c r="K2447" s="269"/>
      <c r="L2447" s="269" t="str">
        <f t="shared" si="1"/>
        <v/>
      </c>
    </row>
    <row r="2448" ht="15.75" customHeight="1">
      <c r="A2448" s="375"/>
      <c r="K2448" s="269"/>
      <c r="L2448" s="269" t="str">
        <f t="shared" si="1"/>
        <v/>
      </c>
    </row>
    <row r="2449" ht="15.75" customHeight="1">
      <c r="A2449" s="375"/>
      <c r="K2449" s="269"/>
      <c r="L2449" s="269" t="str">
        <f t="shared" si="1"/>
        <v/>
      </c>
    </row>
    <row r="2450" ht="15.75" customHeight="1">
      <c r="A2450" s="375"/>
      <c r="K2450" s="269"/>
      <c r="L2450" s="269" t="str">
        <f t="shared" si="1"/>
        <v/>
      </c>
    </row>
    <row r="2451" ht="15.75" customHeight="1">
      <c r="A2451" s="375"/>
      <c r="K2451" s="269"/>
      <c r="L2451" s="269" t="str">
        <f t="shared" si="1"/>
        <v/>
      </c>
    </row>
    <row r="2452" ht="15.75" customHeight="1">
      <c r="A2452" s="375"/>
      <c r="K2452" s="269"/>
      <c r="L2452" s="269" t="str">
        <f t="shared" si="1"/>
        <v/>
      </c>
    </row>
    <row r="2453" ht="15.75" customHeight="1">
      <c r="A2453" s="375"/>
      <c r="K2453" s="269"/>
      <c r="L2453" s="269" t="str">
        <f t="shared" si="1"/>
        <v/>
      </c>
    </row>
    <row r="2454" ht="15.75" customHeight="1">
      <c r="A2454" s="375"/>
      <c r="K2454" s="269"/>
      <c r="L2454" s="269" t="str">
        <f t="shared" si="1"/>
        <v/>
      </c>
    </row>
    <row r="2455" ht="15.75" customHeight="1">
      <c r="A2455" s="375"/>
      <c r="K2455" s="269"/>
      <c r="L2455" s="269" t="str">
        <f t="shared" si="1"/>
        <v/>
      </c>
    </row>
    <row r="2456" ht="15.75" customHeight="1">
      <c r="A2456" s="375"/>
      <c r="K2456" s="269"/>
      <c r="L2456" s="269" t="str">
        <f t="shared" si="1"/>
        <v/>
      </c>
    </row>
    <row r="2457" ht="15.75" customHeight="1">
      <c r="A2457" s="375"/>
      <c r="K2457" s="269"/>
      <c r="L2457" s="269" t="str">
        <f t="shared" si="1"/>
        <v/>
      </c>
    </row>
    <row r="2458" ht="15.75" customHeight="1">
      <c r="A2458" s="375"/>
      <c r="K2458" s="269"/>
      <c r="L2458" s="269" t="str">
        <f t="shared" si="1"/>
        <v/>
      </c>
    </row>
    <row r="2459" ht="15.75" customHeight="1">
      <c r="A2459" s="375"/>
      <c r="K2459" s="269"/>
      <c r="L2459" s="269" t="str">
        <f t="shared" si="1"/>
        <v/>
      </c>
    </row>
    <row r="2460" ht="15.75" customHeight="1">
      <c r="A2460" s="375"/>
      <c r="K2460" s="269"/>
      <c r="L2460" s="269" t="str">
        <f t="shared" si="1"/>
        <v/>
      </c>
    </row>
    <row r="2461" ht="15.75" customHeight="1">
      <c r="A2461" s="375"/>
      <c r="K2461" s="269"/>
      <c r="L2461" s="269" t="str">
        <f t="shared" si="1"/>
        <v/>
      </c>
    </row>
    <row r="2462" ht="15.75" customHeight="1">
      <c r="A2462" s="375"/>
      <c r="K2462" s="269"/>
      <c r="L2462" s="269" t="str">
        <f t="shared" si="1"/>
        <v/>
      </c>
    </row>
    <row r="2463" ht="15.75" customHeight="1">
      <c r="A2463" s="375"/>
      <c r="K2463" s="269"/>
      <c r="L2463" s="269" t="str">
        <f t="shared" si="1"/>
        <v/>
      </c>
    </row>
    <row r="2464" ht="15.75" customHeight="1">
      <c r="A2464" s="375"/>
      <c r="K2464" s="269"/>
      <c r="L2464" s="269" t="str">
        <f t="shared" si="1"/>
        <v/>
      </c>
    </row>
    <row r="2465" ht="15.75" customHeight="1">
      <c r="A2465" s="375"/>
      <c r="K2465" s="269"/>
      <c r="L2465" s="269" t="str">
        <f t="shared" si="1"/>
        <v/>
      </c>
    </row>
    <row r="2466" ht="15.75" customHeight="1">
      <c r="A2466" s="375"/>
      <c r="K2466" s="269"/>
      <c r="L2466" s="269" t="str">
        <f t="shared" si="1"/>
        <v/>
      </c>
    </row>
    <row r="2467" ht="15.75" customHeight="1">
      <c r="A2467" s="375"/>
      <c r="K2467" s="269"/>
      <c r="L2467" s="269" t="str">
        <f t="shared" si="1"/>
        <v/>
      </c>
    </row>
    <row r="2468" ht="15.75" customHeight="1">
      <c r="A2468" s="375"/>
      <c r="K2468" s="269"/>
      <c r="L2468" s="269" t="str">
        <f t="shared" si="1"/>
        <v/>
      </c>
    </row>
    <row r="2469" ht="15.75" customHeight="1">
      <c r="A2469" s="375"/>
      <c r="K2469" s="269"/>
      <c r="L2469" s="269" t="str">
        <f t="shared" si="1"/>
        <v/>
      </c>
    </row>
    <row r="2470" ht="15.75" customHeight="1">
      <c r="A2470" s="375"/>
      <c r="K2470" s="269"/>
      <c r="L2470" s="269" t="str">
        <f t="shared" si="1"/>
        <v/>
      </c>
    </row>
    <row r="2471" ht="15.75" customHeight="1">
      <c r="A2471" s="375"/>
      <c r="K2471" s="269"/>
      <c r="L2471" s="269" t="str">
        <f t="shared" si="1"/>
        <v/>
      </c>
    </row>
    <row r="2472" ht="15.75" customHeight="1">
      <c r="A2472" s="375"/>
      <c r="K2472" s="269"/>
      <c r="L2472" s="269" t="str">
        <f t="shared" si="1"/>
        <v/>
      </c>
    </row>
    <row r="2473" ht="15.75" customHeight="1">
      <c r="A2473" s="375"/>
      <c r="K2473" s="269"/>
      <c r="L2473" s="269" t="str">
        <f t="shared" si="1"/>
        <v/>
      </c>
    </row>
    <row r="2474" ht="15.75" customHeight="1">
      <c r="A2474" s="375"/>
      <c r="K2474" s="269"/>
      <c r="L2474" s="269" t="str">
        <f t="shared" si="1"/>
        <v/>
      </c>
    </row>
    <row r="2475" ht="15.75" customHeight="1">
      <c r="A2475" s="375"/>
      <c r="K2475" s="269"/>
      <c r="L2475" s="269" t="str">
        <f t="shared" si="1"/>
        <v/>
      </c>
    </row>
    <row r="2476" ht="15.75" customHeight="1">
      <c r="A2476" s="375"/>
      <c r="K2476" s="269"/>
      <c r="L2476" s="269" t="str">
        <f t="shared" si="1"/>
        <v/>
      </c>
    </row>
    <row r="2477" ht="15.75" customHeight="1">
      <c r="A2477" s="375"/>
      <c r="K2477" s="269"/>
      <c r="L2477" s="269" t="str">
        <f t="shared" si="1"/>
        <v/>
      </c>
    </row>
    <row r="2478" ht="15.75" customHeight="1">
      <c r="A2478" s="375"/>
      <c r="K2478" s="269"/>
      <c r="L2478" s="269" t="str">
        <f t="shared" si="1"/>
        <v/>
      </c>
    </row>
    <row r="2479" ht="15.75" customHeight="1">
      <c r="A2479" s="375"/>
      <c r="K2479" s="269"/>
      <c r="L2479" s="269" t="str">
        <f t="shared" si="1"/>
        <v/>
      </c>
    </row>
    <row r="2480" ht="15.75" customHeight="1">
      <c r="A2480" s="375"/>
      <c r="K2480" s="269"/>
      <c r="L2480" s="269" t="str">
        <f t="shared" si="1"/>
        <v/>
      </c>
    </row>
    <row r="2481" ht="15.75" customHeight="1">
      <c r="A2481" s="375"/>
      <c r="K2481" s="269"/>
      <c r="L2481" s="269" t="str">
        <f t="shared" si="1"/>
        <v/>
      </c>
    </row>
    <row r="2482" ht="15.75" customHeight="1">
      <c r="A2482" s="375"/>
      <c r="K2482" s="269"/>
      <c r="L2482" s="269" t="str">
        <f t="shared" si="1"/>
        <v/>
      </c>
    </row>
    <row r="2483" ht="15.75" customHeight="1">
      <c r="A2483" s="375"/>
      <c r="K2483" s="269"/>
      <c r="L2483" s="269" t="str">
        <f t="shared" si="1"/>
        <v/>
      </c>
    </row>
    <row r="2484" ht="15.75" customHeight="1">
      <c r="A2484" s="375"/>
      <c r="K2484" s="269"/>
      <c r="L2484" s="269" t="str">
        <f t="shared" si="1"/>
        <v/>
      </c>
    </row>
    <row r="2485" ht="15.75" customHeight="1">
      <c r="A2485" s="375"/>
      <c r="K2485" s="269"/>
      <c r="L2485" s="269" t="str">
        <f t="shared" si="1"/>
        <v/>
      </c>
    </row>
    <row r="2486" ht="15.75" customHeight="1">
      <c r="A2486" s="375"/>
      <c r="K2486" s="269"/>
      <c r="L2486" s="269" t="str">
        <f t="shared" si="1"/>
        <v/>
      </c>
    </row>
    <row r="2487" ht="15.75" customHeight="1">
      <c r="A2487" s="375"/>
      <c r="K2487" s="269"/>
      <c r="L2487" s="269" t="str">
        <f t="shared" si="1"/>
        <v/>
      </c>
    </row>
    <row r="2488" ht="15.75" customHeight="1">
      <c r="A2488" s="375"/>
      <c r="K2488" s="269"/>
      <c r="L2488" s="269" t="str">
        <f t="shared" si="1"/>
        <v/>
      </c>
    </row>
    <row r="2489" ht="15.75" customHeight="1">
      <c r="A2489" s="375"/>
      <c r="K2489" s="269"/>
      <c r="L2489" s="269" t="str">
        <f t="shared" si="1"/>
        <v/>
      </c>
    </row>
    <row r="2490" ht="15.75" customHeight="1">
      <c r="A2490" s="375"/>
      <c r="K2490" s="269"/>
      <c r="L2490" s="269" t="str">
        <f t="shared" si="1"/>
        <v/>
      </c>
    </row>
    <row r="2491" ht="15.75" customHeight="1">
      <c r="A2491" s="375"/>
      <c r="K2491" s="269"/>
      <c r="L2491" s="269" t="str">
        <f t="shared" si="1"/>
        <v/>
      </c>
    </row>
    <row r="2492" ht="15.75" customHeight="1">
      <c r="A2492" s="375"/>
      <c r="K2492" s="269"/>
      <c r="L2492" s="269" t="str">
        <f t="shared" si="1"/>
        <v/>
      </c>
    </row>
    <row r="2493" ht="15.75" customHeight="1">
      <c r="A2493" s="375"/>
      <c r="K2493" s="269"/>
      <c r="L2493" s="269" t="str">
        <f t="shared" si="1"/>
        <v/>
      </c>
    </row>
    <row r="2494" ht="15.75" customHeight="1">
      <c r="A2494" s="375"/>
      <c r="K2494" s="269"/>
      <c r="L2494" s="269" t="str">
        <f t="shared" si="1"/>
        <v/>
      </c>
    </row>
    <row r="2495" ht="15.75" customHeight="1">
      <c r="A2495" s="375"/>
      <c r="K2495" s="269"/>
      <c r="L2495" s="269" t="str">
        <f t="shared" si="1"/>
        <v/>
      </c>
    </row>
    <row r="2496" ht="15.75" customHeight="1">
      <c r="A2496" s="375"/>
      <c r="K2496" s="269"/>
      <c r="L2496" s="269" t="str">
        <f t="shared" si="1"/>
        <v/>
      </c>
    </row>
    <row r="2497" ht="15.75" customHeight="1">
      <c r="A2497" s="375"/>
      <c r="K2497" s="269"/>
      <c r="L2497" s="269" t="str">
        <f t="shared" si="1"/>
        <v/>
      </c>
    </row>
    <row r="2498" ht="15.75" customHeight="1">
      <c r="A2498" s="375"/>
      <c r="K2498" s="269"/>
      <c r="L2498" s="269" t="str">
        <f t="shared" si="1"/>
        <v/>
      </c>
    </row>
    <row r="2499" ht="15.75" customHeight="1">
      <c r="A2499" s="375"/>
      <c r="K2499" s="269"/>
      <c r="L2499" s="269" t="str">
        <f t="shared" si="1"/>
        <v/>
      </c>
    </row>
    <row r="2500" ht="15.75" customHeight="1">
      <c r="A2500" s="375"/>
      <c r="K2500" s="269"/>
      <c r="L2500" s="269" t="str">
        <f t="shared" si="1"/>
        <v/>
      </c>
    </row>
    <row r="2501" ht="15.75" customHeight="1">
      <c r="A2501" s="375"/>
      <c r="K2501" s="269"/>
      <c r="L2501" s="269" t="str">
        <f t="shared" si="1"/>
        <v/>
      </c>
    </row>
    <row r="2502" ht="15.75" customHeight="1">
      <c r="A2502" s="375"/>
      <c r="K2502" s="269"/>
      <c r="L2502" s="269" t="str">
        <f t="shared" si="1"/>
        <v/>
      </c>
    </row>
    <row r="2503" ht="15.75" customHeight="1">
      <c r="A2503" s="375"/>
      <c r="K2503" s="269"/>
      <c r="L2503" s="269" t="str">
        <f t="shared" si="1"/>
        <v/>
      </c>
    </row>
    <row r="2504" ht="15.75" customHeight="1">
      <c r="A2504" s="375"/>
      <c r="K2504" s="269"/>
      <c r="L2504" s="269" t="str">
        <f t="shared" si="1"/>
        <v/>
      </c>
    </row>
    <row r="2505" ht="15.75" customHeight="1">
      <c r="A2505" s="375"/>
      <c r="K2505" s="269"/>
      <c r="L2505" s="269" t="str">
        <f t="shared" si="1"/>
        <v/>
      </c>
    </row>
    <row r="2506" ht="15.75" customHeight="1">
      <c r="A2506" s="375"/>
      <c r="K2506" s="269"/>
      <c r="L2506" s="269" t="str">
        <f t="shared" si="1"/>
        <v/>
      </c>
    </row>
    <row r="2507" ht="15.75" customHeight="1">
      <c r="A2507" s="375"/>
      <c r="K2507" s="269"/>
      <c r="L2507" s="269" t="str">
        <f t="shared" si="1"/>
        <v/>
      </c>
    </row>
    <row r="2508" ht="15.75" customHeight="1">
      <c r="A2508" s="375"/>
      <c r="K2508" s="269"/>
      <c r="L2508" s="269" t="str">
        <f t="shared" si="1"/>
        <v/>
      </c>
    </row>
    <row r="2509" ht="15.75" customHeight="1">
      <c r="A2509" s="375"/>
      <c r="K2509" s="269"/>
      <c r="L2509" s="269" t="str">
        <f t="shared" si="1"/>
        <v/>
      </c>
    </row>
    <row r="2510" ht="15.75" customHeight="1">
      <c r="A2510" s="375"/>
      <c r="K2510" s="269"/>
      <c r="L2510" s="269" t="str">
        <f t="shared" si="1"/>
        <v/>
      </c>
    </row>
    <row r="2511" ht="15.75" customHeight="1">
      <c r="A2511" s="375"/>
      <c r="K2511" s="269"/>
      <c r="L2511" s="269" t="str">
        <f t="shared" si="1"/>
        <v/>
      </c>
    </row>
    <row r="2512" ht="15.75" customHeight="1">
      <c r="A2512" s="375"/>
      <c r="K2512" s="269"/>
      <c r="L2512" s="269" t="str">
        <f t="shared" si="1"/>
        <v/>
      </c>
    </row>
    <row r="2513" ht="15.75" customHeight="1">
      <c r="A2513" s="375"/>
      <c r="K2513" s="269"/>
      <c r="L2513" s="269" t="str">
        <f t="shared" si="1"/>
        <v/>
      </c>
    </row>
    <row r="2514" ht="15.75" customHeight="1">
      <c r="A2514" s="375"/>
      <c r="K2514" s="269"/>
      <c r="L2514" s="269" t="str">
        <f t="shared" si="1"/>
        <v/>
      </c>
    </row>
    <row r="2515" ht="15.75" customHeight="1">
      <c r="A2515" s="375"/>
      <c r="K2515" s="269"/>
      <c r="L2515" s="269" t="str">
        <f t="shared" si="1"/>
        <v/>
      </c>
    </row>
    <row r="2516" ht="15.75" customHeight="1">
      <c r="A2516" s="375"/>
      <c r="K2516" s="269"/>
      <c r="L2516" s="269" t="str">
        <f t="shared" si="1"/>
        <v/>
      </c>
    </row>
    <row r="2517" ht="15.75" customHeight="1">
      <c r="A2517" s="375"/>
      <c r="K2517" s="269"/>
      <c r="L2517" s="269" t="str">
        <f t="shared" si="1"/>
        <v/>
      </c>
    </row>
    <row r="2518" ht="15.75" customHeight="1">
      <c r="A2518" s="375"/>
      <c r="K2518" s="269"/>
      <c r="L2518" s="269" t="str">
        <f t="shared" si="1"/>
        <v/>
      </c>
    </row>
    <row r="2519" ht="15.75" customHeight="1">
      <c r="A2519" s="375"/>
      <c r="K2519" s="269"/>
      <c r="L2519" s="269" t="str">
        <f t="shared" si="1"/>
        <v/>
      </c>
    </row>
    <row r="2520" ht="15.75" customHeight="1">
      <c r="A2520" s="375"/>
      <c r="K2520" s="269"/>
      <c r="L2520" s="269" t="str">
        <f t="shared" si="1"/>
        <v/>
      </c>
    </row>
    <row r="2521" ht="15.75" customHeight="1">
      <c r="A2521" s="375"/>
      <c r="K2521" s="269"/>
      <c r="L2521" s="269" t="str">
        <f t="shared" si="1"/>
        <v/>
      </c>
    </row>
    <row r="2522" ht="15.75" customHeight="1">
      <c r="A2522" s="375"/>
      <c r="K2522" s="269"/>
      <c r="L2522" s="269" t="str">
        <f t="shared" si="1"/>
        <v/>
      </c>
    </row>
    <row r="2523" ht="15.75" customHeight="1">
      <c r="A2523" s="375"/>
      <c r="K2523" s="269"/>
      <c r="L2523" s="269" t="str">
        <f t="shared" si="1"/>
        <v/>
      </c>
    </row>
    <row r="2524" ht="15.75" customHeight="1">
      <c r="A2524" s="375"/>
      <c r="K2524" s="269"/>
      <c r="L2524" s="269" t="str">
        <f t="shared" si="1"/>
        <v/>
      </c>
    </row>
    <row r="2525" ht="15.75" customHeight="1">
      <c r="A2525" s="375"/>
      <c r="K2525" s="269"/>
      <c r="L2525" s="269" t="str">
        <f t="shared" si="1"/>
        <v/>
      </c>
    </row>
    <row r="2526" ht="15.75" customHeight="1">
      <c r="A2526" s="375"/>
      <c r="K2526" s="269"/>
      <c r="L2526" s="269" t="str">
        <f t="shared" si="1"/>
        <v/>
      </c>
    </row>
    <row r="2527" ht="15.75" customHeight="1">
      <c r="A2527" s="375"/>
      <c r="K2527" s="269"/>
      <c r="L2527" s="269" t="str">
        <f t="shared" si="1"/>
        <v/>
      </c>
    </row>
    <row r="2528" ht="15.75" customHeight="1">
      <c r="A2528" s="375"/>
      <c r="K2528" s="269"/>
      <c r="L2528" s="269" t="str">
        <f t="shared" si="1"/>
        <v/>
      </c>
    </row>
    <row r="2529" ht="15.75" customHeight="1">
      <c r="A2529" s="375"/>
      <c r="K2529" s="269"/>
      <c r="L2529" s="269" t="str">
        <f t="shared" si="1"/>
        <v/>
      </c>
    </row>
    <row r="2530" ht="15.75" customHeight="1">
      <c r="A2530" s="375"/>
      <c r="K2530" s="269"/>
      <c r="L2530" s="269" t="str">
        <f t="shared" si="1"/>
        <v/>
      </c>
    </row>
    <row r="2531" ht="15.75" customHeight="1">
      <c r="A2531" s="375"/>
      <c r="K2531" s="269"/>
      <c r="L2531" s="269" t="str">
        <f t="shared" si="1"/>
        <v/>
      </c>
    </row>
    <row r="2532" ht="15.75" customHeight="1">
      <c r="A2532" s="375"/>
      <c r="K2532" s="269"/>
      <c r="L2532" s="269" t="str">
        <f t="shared" si="1"/>
        <v/>
      </c>
    </row>
    <row r="2533" ht="15.75" customHeight="1">
      <c r="A2533" s="375"/>
      <c r="K2533" s="269"/>
      <c r="L2533" s="269" t="str">
        <f t="shared" si="1"/>
        <v/>
      </c>
    </row>
    <row r="2534" ht="15.75" customHeight="1">
      <c r="A2534" s="375"/>
      <c r="K2534" s="269"/>
      <c r="L2534" s="269" t="str">
        <f t="shared" si="1"/>
        <v/>
      </c>
    </row>
    <row r="2535" ht="15.75" customHeight="1">
      <c r="A2535" s="375"/>
      <c r="K2535" s="269"/>
      <c r="L2535" s="269" t="str">
        <f t="shared" si="1"/>
        <v/>
      </c>
    </row>
    <row r="2536" ht="15.75" customHeight="1">
      <c r="A2536" s="375"/>
      <c r="K2536" s="269"/>
      <c r="L2536" s="269" t="str">
        <f t="shared" si="1"/>
        <v/>
      </c>
    </row>
    <row r="2537" ht="15.75" customHeight="1">
      <c r="A2537" s="375"/>
      <c r="K2537" s="269"/>
      <c r="L2537" s="269" t="str">
        <f t="shared" si="1"/>
        <v/>
      </c>
    </row>
    <row r="2538" ht="15.75" customHeight="1">
      <c r="A2538" s="375"/>
      <c r="K2538" s="269"/>
      <c r="L2538" s="269" t="str">
        <f t="shared" si="1"/>
        <v/>
      </c>
    </row>
    <row r="2539" ht="15.75" customHeight="1">
      <c r="A2539" s="375"/>
      <c r="K2539" s="269"/>
      <c r="L2539" s="269" t="str">
        <f t="shared" si="1"/>
        <v/>
      </c>
    </row>
    <row r="2540" ht="15.75" customHeight="1">
      <c r="A2540" s="375"/>
      <c r="K2540" s="269"/>
      <c r="L2540" s="269" t="str">
        <f t="shared" si="1"/>
        <v/>
      </c>
    </row>
    <row r="2541" ht="15.75" customHeight="1">
      <c r="A2541" s="375"/>
      <c r="K2541" s="269"/>
      <c r="L2541" s="269" t="str">
        <f t="shared" si="1"/>
        <v/>
      </c>
    </row>
    <row r="2542" ht="15.75" customHeight="1">
      <c r="A2542" s="375"/>
      <c r="K2542" s="269"/>
      <c r="L2542" s="269" t="str">
        <f t="shared" si="1"/>
        <v/>
      </c>
    </row>
    <row r="2543" ht="15.75" customHeight="1">
      <c r="A2543" s="375"/>
      <c r="K2543" s="269"/>
      <c r="L2543" s="269" t="str">
        <f t="shared" si="1"/>
        <v/>
      </c>
    </row>
    <row r="2544" ht="15.75" customHeight="1">
      <c r="A2544" s="375"/>
      <c r="K2544" s="269"/>
      <c r="L2544" s="269" t="str">
        <f t="shared" si="1"/>
        <v/>
      </c>
    </row>
    <row r="2545" ht="15.75" customHeight="1">
      <c r="A2545" s="375"/>
      <c r="K2545" s="269"/>
      <c r="L2545" s="269" t="str">
        <f t="shared" si="1"/>
        <v/>
      </c>
    </row>
    <row r="2546" ht="15.75" customHeight="1">
      <c r="A2546" s="375"/>
      <c r="K2546" s="269"/>
      <c r="L2546" s="269" t="str">
        <f t="shared" si="1"/>
        <v/>
      </c>
    </row>
    <row r="2547" ht="15.75" customHeight="1">
      <c r="A2547" s="375"/>
      <c r="K2547" s="269"/>
      <c r="L2547" s="269" t="str">
        <f t="shared" si="1"/>
        <v/>
      </c>
    </row>
    <row r="2548" ht="15.75" customHeight="1">
      <c r="A2548" s="375"/>
      <c r="K2548" s="269"/>
      <c r="L2548" s="269" t="str">
        <f t="shared" si="1"/>
        <v/>
      </c>
    </row>
    <row r="2549" ht="15.75" customHeight="1">
      <c r="A2549" s="375"/>
      <c r="K2549" s="269"/>
      <c r="L2549" s="269" t="str">
        <f t="shared" si="1"/>
        <v/>
      </c>
    </row>
    <row r="2550" ht="15.75" customHeight="1">
      <c r="A2550" s="375"/>
      <c r="K2550" s="269"/>
      <c r="L2550" s="269" t="str">
        <f t="shared" si="1"/>
        <v/>
      </c>
    </row>
    <row r="2551" ht="15.75" customHeight="1">
      <c r="A2551" s="375"/>
      <c r="K2551" s="269"/>
      <c r="L2551" s="269" t="str">
        <f t="shared" si="1"/>
        <v/>
      </c>
    </row>
    <row r="2552" ht="15.75" customHeight="1">
      <c r="A2552" s="375"/>
      <c r="K2552" s="269"/>
      <c r="L2552" s="269" t="str">
        <f t="shared" si="1"/>
        <v/>
      </c>
    </row>
    <row r="2553" ht="15.75" customHeight="1">
      <c r="A2553" s="375"/>
      <c r="K2553" s="269"/>
      <c r="L2553" s="269" t="str">
        <f t="shared" si="1"/>
        <v/>
      </c>
    </row>
    <row r="2554" ht="15.75" customHeight="1">
      <c r="A2554" s="375"/>
      <c r="K2554" s="269"/>
      <c r="L2554" s="269" t="str">
        <f t="shared" si="1"/>
        <v/>
      </c>
    </row>
    <row r="2555" ht="15.75" customHeight="1">
      <c r="A2555" s="375"/>
      <c r="K2555" s="269"/>
      <c r="L2555" s="269" t="str">
        <f t="shared" si="1"/>
        <v/>
      </c>
    </row>
    <row r="2556" ht="15.75" customHeight="1">
      <c r="A2556" s="375"/>
      <c r="K2556" s="269"/>
      <c r="L2556" s="269" t="str">
        <f t="shared" si="1"/>
        <v/>
      </c>
    </row>
    <row r="2557" ht="15.75" customHeight="1">
      <c r="A2557" s="375"/>
      <c r="K2557" s="269"/>
      <c r="L2557" s="269" t="str">
        <f t="shared" si="1"/>
        <v/>
      </c>
    </row>
    <row r="2558" ht="15.75" customHeight="1">
      <c r="A2558" s="375"/>
      <c r="K2558" s="269"/>
      <c r="L2558" s="269" t="str">
        <f t="shared" si="1"/>
        <v/>
      </c>
    </row>
    <row r="2559" ht="15.75" customHeight="1">
      <c r="A2559" s="375"/>
      <c r="K2559" s="269"/>
      <c r="L2559" s="269" t="str">
        <f t="shared" si="1"/>
        <v/>
      </c>
    </row>
    <row r="2560" ht="15.75" customHeight="1">
      <c r="A2560" s="375"/>
      <c r="K2560" s="269"/>
      <c r="L2560" s="269" t="str">
        <f t="shared" si="1"/>
        <v/>
      </c>
    </row>
    <row r="2561" ht="15.75" customHeight="1">
      <c r="A2561" s="375"/>
      <c r="K2561" s="269"/>
      <c r="L2561" s="269" t="str">
        <f t="shared" si="1"/>
        <v/>
      </c>
    </row>
    <row r="2562" ht="15.75" customHeight="1">
      <c r="A2562" s="375"/>
      <c r="K2562" s="269"/>
      <c r="L2562" s="269" t="str">
        <f t="shared" si="1"/>
        <v/>
      </c>
    </row>
    <row r="2563" ht="15.75" customHeight="1">
      <c r="A2563" s="375"/>
      <c r="K2563" s="269"/>
      <c r="L2563" s="269" t="str">
        <f t="shared" si="1"/>
        <v/>
      </c>
    </row>
    <row r="2564" ht="15.75" customHeight="1">
      <c r="A2564" s="375"/>
      <c r="K2564" s="269"/>
      <c r="L2564" s="269" t="str">
        <f t="shared" si="1"/>
        <v/>
      </c>
    </row>
    <row r="2565" ht="15.75" customHeight="1">
      <c r="A2565" s="375"/>
      <c r="K2565" s="269"/>
      <c r="L2565" s="269" t="str">
        <f t="shared" si="1"/>
        <v/>
      </c>
    </row>
    <row r="2566" ht="15.75" customHeight="1">
      <c r="A2566" s="375"/>
      <c r="K2566" s="269"/>
      <c r="L2566" s="269" t="str">
        <f t="shared" si="1"/>
        <v/>
      </c>
    </row>
    <row r="2567" ht="15.75" customHeight="1">
      <c r="A2567" s="375"/>
      <c r="K2567" s="269"/>
      <c r="L2567" s="269" t="str">
        <f t="shared" si="1"/>
        <v/>
      </c>
    </row>
    <row r="2568" ht="15.75" customHeight="1">
      <c r="A2568" s="375"/>
      <c r="K2568" s="269"/>
      <c r="L2568" s="269" t="str">
        <f t="shared" si="1"/>
        <v/>
      </c>
    </row>
    <row r="2569" ht="15.75" customHeight="1">
      <c r="A2569" s="375"/>
      <c r="K2569" s="269"/>
      <c r="L2569" s="269" t="str">
        <f t="shared" si="1"/>
        <v/>
      </c>
    </row>
    <row r="2570" ht="15.75" customHeight="1">
      <c r="A2570" s="375"/>
      <c r="K2570" s="269"/>
      <c r="L2570" s="269" t="str">
        <f t="shared" si="1"/>
        <v/>
      </c>
    </row>
    <row r="2571" ht="15.75" customHeight="1">
      <c r="A2571" s="375"/>
      <c r="K2571" s="269"/>
      <c r="L2571" s="269" t="str">
        <f t="shared" si="1"/>
        <v/>
      </c>
    </row>
    <row r="2572" ht="15.75" customHeight="1">
      <c r="A2572" s="375"/>
      <c r="K2572" s="269"/>
      <c r="L2572" s="269" t="str">
        <f t="shared" si="1"/>
        <v/>
      </c>
    </row>
    <row r="2573" ht="15.75" customHeight="1">
      <c r="A2573" s="375"/>
      <c r="K2573" s="269"/>
      <c r="L2573" s="269" t="str">
        <f t="shared" si="1"/>
        <v/>
      </c>
    </row>
    <row r="2574" ht="15.75" customHeight="1">
      <c r="A2574" s="375"/>
      <c r="K2574" s="269"/>
      <c r="L2574" s="269" t="str">
        <f t="shared" si="1"/>
        <v/>
      </c>
    </row>
    <row r="2575" ht="15.75" customHeight="1">
      <c r="A2575" s="375"/>
      <c r="K2575" s="269"/>
      <c r="L2575" s="269" t="str">
        <f t="shared" si="1"/>
        <v/>
      </c>
    </row>
    <row r="2576" ht="15.75" customHeight="1">
      <c r="A2576" s="375"/>
      <c r="K2576" s="269"/>
      <c r="L2576" s="269" t="str">
        <f t="shared" si="1"/>
        <v/>
      </c>
    </row>
    <row r="2577" ht="15.75" customHeight="1">
      <c r="A2577" s="375"/>
      <c r="K2577" s="269"/>
      <c r="L2577" s="269" t="str">
        <f t="shared" si="1"/>
        <v/>
      </c>
    </row>
    <row r="2578" ht="15.75" customHeight="1">
      <c r="A2578" s="375"/>
      <c r="K2578" s="269"/>
      <c r="L2578" s="269" t="str">
        <f t="shared" si="1"/>
        <v/>
      </c>
    </row>
    <row r="2579" ht="15.75" customHeight="1">
      <c r="A2579" s="375"/>
      <c r="K2579" s="269"/>
      <c r="L2579" s="269" t="str">
        <f t="shared" si="1"/>
        <v/>
      </c>
    </row>
    <row r="2580" ht="15.75" customHeight="1">
      <c r="A2580" s="375"/>
      <c r="K2580" s="269"/>
      <c r="L2580" s="269" t="str">
        <f t="shared" si="1"/>
        <v/>
      </c>
    </row>
    <row r="2581" ht="15.75" customHeight="1">
      <c r="A2581" s="375"/>
      <c r="K2581" s="269"/>
      <c r="L2581" s="269" t="str">
        <f t="shared" si="1"/>
        <v/>
      </c>
    </row>
    <row r="2582" ht="15.75" customHeight="1">
      <c r="A2582" s="375"/>
      <c r="K2582" s="269"/>
      <c r="L2582" s="269" t="str">
        <f t="shared" si="1"/>
        <v/>
      </c>
    </row>
    <row r="2583" ht="15.75" customHeight="1">
      <c r="A2583" s="375"/>
      <c r="K2583" s="269"/>
      <c r="L2583" s="269" t="str">
        <f t="shared" si="1"/>
        <v/>
      </c>
    </row>
    <row r="2584" ht="15.75" customHeight="1">
      <c r="A2584" s="375"/>
      <c r="K2584" s="269"/>
      <c r="L2584" s="269" t="str">
        <f t="shared" si="1"/>
        <v/>
      </c>
    </row>
    <row r="2585" ht="15.75" customHeight="1">
      <c r="A2585" s="375"/>
      <c r="K2585" s="269"/>
      <c r="L2585" s="269" t="str">
        <f t="shared" si="1"/>
        <v/>
      </c>
    </row>
    <row r="2586" ht="15.75" customHeight="1">
      <c r="A2586" s="375"/>
      <c r="K2586" s="269"/>
      <c r="L2586" s="269" t="str">
        <f t="shared" si="1"/>
        <v/>
      </c>
    </row>
    <row r="2587" ht="15.75" customHeight="1">
      <c r="A2587" s="375"/>
      <c r="K2587" s="269"/>
      <c r="L2587" s="269" t="str">
        <f t="shared" si="1"/>
        <v/>
      </c>
    </row>
    <row r="2588" ht="15.75" customHeight="1">
      <c r="A2588" s="375"/>
      <c r="K2588" s="269"/>
      <c r="L2588" s="269" t="str">
        <f t="shared" si="1"/>
        <v/>
      </c>
    </row>
    <row r="2589" ht="15.75" customHeight="1">
      <c r="A2589" s="375"/>
      <c r="K2589" s="269"/>
      <c r="L2589" s="269" t="str">
        <f t="shared" si="1"/>
        <v/>
      </c>
    </row>
    <row r="2590" ht="15.75" customHeight="1">
      <c r="A2590" s="375"/>
      <c r="K2590" s="269"/>
      <c r="L2590" s="269" t="str">
        <f t="shared" si="1"/>
        <v/>
      </c>
    </row>
    <row r="2591" ht="15.75" customHeight="1">
      <c r="A2591" s="375"/>
      <c r="K2591" s="269"/>
      <c r="L2591" s="269" t="str">
        <f t="shared" si="1"/>
        <v/>
      </c>
    </row>
    <row r="2592" ht="15.75" customHeight="1">
      <c r="A2592" s="375"/>
      <c r="K2592" s="269"/>
      <c r="L2592" s="269" t="str">
        <f t="shared" si="1"/>
        <v/>
      </c>
    </row>
    <row r="2593" ht="15.75" customHeight="1">
      <c r="A2593" s="375"/>
      <c r="K2593" s="269"/>
      <c r="L2593" s="269" t="str">
        <f t="shared" si="1"/>
        <v/>
      </c>
    </row>
    <row r="2594" ht="15.75" customHeight="1">
      <c r="A2594" s="375"/>
      <c r="K2594" s="269"/>
      <c r="L2594" s="269" t="str">
        <f t="shared" si="1"/>
        <v/>
      </c>
    </row>
    <row r="2595" ht="15.75" customHeight="1">
      <c r="A2595" s="375"/>
      <c r="K2595" s="269"/>
      <c r="L2595" s="269" t="str">
        <f t="shared" si="1"/>
        <v/>
      </c>
    </row>
    <row r="2596" ht="15.75" customHeight="1">
      <c r="A2596" s="375"/>
      <c r="K2596" s="269"/>
      <c r="L2596" s="269" t="str">
        <f t="shared" si="1"/>
        <v/>
      </c>
    </row>
    <row r="2597" ht="15.75" customHeight="1">
      <c r="A2597" s="375"/>
      <c r="K2597" s="269"/>
      <c r="L2597" s="269" t="str">
        <f t="shared" si="1"/>
        <v/>
      </c>
    </row>
    <row r="2598" ht="15.75" customHeight="1">
      <c r="A2598" s="375"/>
      <c r="K2598" s="269"/>
      <c r="L2598" s="269" t="str">
        <f t="shared" si="1"/>
        <v/>
      </c>
    </row>
    <row r="2599" ht="15.75" customHeight="1">
      <c r="A2599" s="375"/>
      <c r="K2599" s="269"/>
      <c r="L2599" s="269" t="str">
        <f t="shared" si="1"/>
        <v/>
      </c>
    </row>
    <row r="2600" ht="15.75" customHeight="1">
      <c r="A2600" s="375"/>
      <c r="K2600" s="269"/>
      <c r="L2600" s="269" t="str">
        <f t="shared" si="1"/>
        <v/>
      </c>
    </row>
    <row r="2601" ht="15.75" customHeight="1">
      <c r="A2601" s="375"/>
      <c r="K2601" s="269"/>
      <c r="L2601" s="269" t="str">
        <f t="shared" si="1"/>
        <v/>
      </c>
    </row>
    <row r="2602" ht="15.75" customHeight="1">
      <c r="A2602" s="375"/>
      <c r="K2602" s="269"/>
      <c r="L2602" s="269" t="str">
        <f t="shared" si="1"/>
        <v/>
      </c>
    </row>
    <row r="2603" ht="15.75" customHeight="1">
      <c r="A2603" s="375"/>
      <c r="K2603" s="269"/>
      <c r="L2603" s="269" t="str">
        <f t="shared" si="1"/>
        <v/>
      </c>
    </row>
    <row r="2604" ht="15.75" customHeight="1">
      <c r="A2604" s="375"/>
      <c r="K2604" s="269"/>
      <c r="L2604" s="269" t="str">
        <f t="shared" si="1"/>
        <v/>
      </c>
    </row>
    <row r="2605" ht="15.75" customHeight="1">
      <c r="A2605" s="375"/>
      <c r="K2605" s="269"/>
      <c r="L2605" s="269" t="str">
        <f t="shared" si="1"/>
        <v/>
      </c>
    </row>
    <row r="2606" ht="15.75" customHeight="1">
      <c r="A2606" s="375"/>
      <c r="K2606" s="269"/>
      <c r="L2606" s="269" t="str">
        <f t="shared" si="1"/>
        <v/>
      </c>
    </row>
    <row r="2607" ht="15.75" customHeight="1">
      <c r="A2607" s="375"/>
      <c r="K2607" s="269"/>
      <c r="L2607" s="269" t="str">
        <f t="shared" si="1"/>
        <v/>
      </c>
    </row>
    <row r="2608" ht="15.75" customHeight="1">
      <c r="A2608" s="375"/>
      <c r="K2608" s="269"/>
      <c r="L2608" s="269" t="str">
        <f t="shared" si="1"/>
        <v/>
      </c>
    </row>
    <row r="2609" ht="15.75" customHeight="1">
      <c r="A2609" s="375"/>
      <c r="K2609" s="269"/>
      <c r="L2609" s="269" t="str">
        <f t="shared" si="1"/>
        <v/>
      </c>
    </row>
    <row r="2610" ht="15.75" customHeight="1">
      <c r="A2610" s="375"/>
      <c r="K2610" s="269"/>
      <c r="L2610" s="269" t="str">
        <f t="shared" si="1"/>
        <v/>
      </c>
    </row>
    <row r="2611" ht="15.75" customHeight="1">
      <c r="A2611" s="375"/>
      <c r="K2611" s="269"/>
      <c r="L2611" s="269" t="str">
        <f t="shared" si="1"/>
        <v/>
      </c>
    </row>
    <row r="2612" ht="15.75" customHeight="1">
      <c r="A2612" s="375"/>
      <c r="K2612" s="269"/>
      <c r="L2612" s="269" t="str">
        <f t="shared" si="1"/>
        <v/>
      </c>
    </row>
    <row r="2613" ht="15.75" customHeight="1">
      <c r="A2613" s="375"/>
      <c r="K2613" s="269"/>
      <c r="L2613" s="269" t="str">
        <f t="shared" si="1"/>
        <v/>
      </c>
    </row>
    <row r="2614" ht="15.75" customHeight="1">
      <c r="A2614" s="375"/>
      <c r="K2614" s="269"/>
      <c r="L2614" s="269" t="str">
        <f t="shared" si="1"/>
        <v/>
      </c>
    </row>
    <row r="2615" ht="15.75" customHeight="1">
      <c r="A2615" s="375"/>
      <c r="K2615" s="269"/>
      <c r="L2615" s="269" t="str">
        <f t="shared" si="1"/>
        <v/>
      </c>
    </row>
    <row r="2616" ht="15.75" customHeight="1">
      <c r="A2616" s="375"/>
      <c r="K2616" s="269"/>
      <c r="L2616" s="269" t="str">
        <f t="shared" si="1"/>
        <v/>
      </c>
    </row>
    <row r="2617" ht="15.75" customHeight="1">
      <c r="A2617" s="375"/>
      <c r="K2617" s="269"/>
      <c r="L2617" s="269" t="str">
        <f t="shared" si="1"/>
        <v/>
      </c>
    </row>
    <row r="2618" ht="15.75" customHeight="1">
      <c r="A2618" s="375"/>
      <c r="K2618" s="269"/>
      <c r="L2618" s="269" t="str">
        <f t="shared" si="1"/>
        <v/>
      </c>
    </row>
    <row r="2619" ht="15.75" customHeight="1">
      <c r="A2619" s="375"/>
      <c r="K2619" s="269"/>
      <c r="L2619" s="269" t="str">
        <f t="shared" si="1"/>
        <v/>
      </c>
    </row>
    <row r="2620" ht="15.75" customHeight="1">
      <c r="A2620" s="375"/>
      <c r="K2620" s="269"/>
      <c r="L2620" s="269" t="str">
        <f t="shared" si="1"/>
        <v/>
      </c>
    </row>
    <row r="2621" ht="15.75" customHeight="1">
      <c r="A2621" s="375"/>
      <c r="K2621" s="269"/>
      <c r="L2621" s="269" t="str">
        <f t="shared" si="1"/>
        <v/>
      </c>
    </row>
    <row r="2622" ht="15.75" customHeight="1">
      <c r="A2622" s="375"/>
      <c r="K2622" s="269"/>
      <c r="L2622" s="269" t="str">
        <f t="shared" si="1"/>
        <v/>
      </c>
    </row>
    <row r="2623" ht="15.75" customHeight="1">
      <c r="A2623" s="375"/>
      <c r="K2623" s="269"/>
      <c r="L2623" s="269" t="str">
        <f t="shared" si="1"/>
        <v/>
      </c>
    </row>
    <row r="2624" ht="15.75" customHeight="1">
      <c r="A2624" s="375"/>
      <c r="K2624" s="269"/>
      <c r="L2624" s="269" t="str">
        <f t="shared" si="1"/>
        <v/>
      </c>
    </row>
    <row r="2625" ht="15.75" customHeight="1">
      <c r="A2625" s="375"/>
      <c r="K2625" s="269"/>
      <c r="L2625" s="269" t="str">
        <f t="shared" si="1"/>
        <v/>
      </c>
    </row>
    <row r="2626" ht="15.75" customHeight="1">
      <c r="A2626" s="375"/>
      <c r="K2626" s="269"/>
      <c r="L2626" s="269" t="str">
        <f t="shared" si="1"/>
        <v/>
      </c>
    </row>
    <row r="2627" ht="15.75" customHeight="1">
      <c r="A2627" s="375"/>
      <c r="K2627" s="269"/>
      <c r="L2627" s="269" t="str">
        <f t="shared" si="1"/>
        <v/>
      </c>
    </row>
    <row r="2628" ht="15.75" customHeight="1">
      <c r="A2628" s="375"/>
      <c r="K2628" s="269"/>
      <c r="L2628" s="269" t="str">
        <f t="shared" si="1"/>
        <v/>
      </c>
    </row>
    <row r="2629" ht="15.75" customHeight="1">
      <c r="A2629" s="375"/>
      <c r="K2629" s="269"/>
      <c r="L2629" s="269" t="str">
        <f t="shared" si="1"/>
        <v/>
      </c>
    </row>
    <row r="2630" ht="15.75" customHeight="1">
      <c r="A2630" s="375"/>
      <c r="K2630" s="269"/>
      <c r="L2630" s="269" t="str">
        <f t="shared" si="1"/>
        <v/>
      </c>
    </row>
    <row r="2631" ht="15.75" customHeight="1">
      <c r="A2631" s="375"/>
      <c r="K2631" s="269"/>
      <c r="L2631" s="269" t="str">
        <f t="shared" si="1"/>
        <v/>
      </c>
    </row>
    <row r="2632" ht="15.75" customHeight="1">
      <c r="A2632" s="375"/>
      <c r="K2632" s="269"/>
      <c r="L2632" s="269" t="str">
        <f t="shared" si="1"/>
        <v/>
      </c>
    </row>
    <row r="2633" ht="15.75" customHeight="1">
      <c r="A2633" s="375"/>
      <c r="K2633" s="269"/>
      <c r="L2633" s="269" t="str">
        <f t="shared" si="1"/>
        <v/>
      </c>
    </row>
    <row r="2634" ht="15.75" customHeight="1">
      <c r="A2634" s="375"/>
      <c r="K2634" s="269"/>
      <c r="L2634" s="269" t="str">
        <f t="shared" si="1"/>
        <v/>
      </c>
    </row>
    <row r="2635" ht="15.75" customHeight="1">
      <c r="A2635" s="375"/>
      <c r="K2635" s="269"/>
      <c r="L2635" s="269" t="str">
        <f t="shared" si="1"/>
        <v/>
      </c>
    </row>
    <row r="2636" ht="15.75" customHeight="1">
      <c r="A2636" s="375"/>
      <c r="K2636" s="269"/>
      <c r="L2636" s="269" t="str">
        <f t="shared" si="1"/>
        <v/>
      </c>
    </row>
    <row r="2637" ht="15.75" customHeight="1">
      <c r="A2637" s="375"/>
      <c r="K2637" s="269"/>
      <c r="L2637" s="269" t="str">
        <f t="shared" si="1"/>
        <v/>
      </c>
    </row>
    <row r="2638" ht="15.75" customHeight="1">
      <c r="A2638" s="375"/>
      <c r="K2638" s="269"/>
      <c r="L2638" s="269" t="str">
        <f t="shared" si="1"/>
        <v/>
      </c>
    </row>
    <row r="2639" ht="15.75" customHeight="1">
      <c r="A2639" s="375"/>
      <c r="K2639" s="269"/>
      <c r="L2639" s="269" t="str">
        <f t="shared" si="1"/>
        <v/>
      </c>
    </row>
    <row r="2640" ht="15.75" customHeight="1">
      <c r="A2640" s="375"/>
      <c r="K2640" s="269"/>
      <c r="L2640" s="269" t="str">
        <f t="shared" si="1"/>
        <v/>
      </c>
    </row>
    <row r="2641" ht="15.75" customHeight="1">
      <c r="A2641" s="375"/>
      <c r="K2641" s="269"/>
      <c r="L2641" s="269" t="str">
        <f t="shared" si="1"/>
        <v/>
      </c>
    </row>
    <row r="2642" ht="15.75" customHeight="1">
      <c r="A2642" s="375"/>
      <c r="K2642" s="269"/>
      <c r="L2642" s="269" t="str">
        <f t="shared" si="1"/>
        <v/>
      </c>
    </row>
    <row r="2643" ht="15.75" customHeight="1">
      <c r="A2643" s="375"/>
      <c r="K2643" s="269"/>
      <c r="L2643" s="269" t="str">
        <f t="shared" si="1"/>
        <v/>
      </c>
    </row>
    <row r="2644" ht="15.75" customHeight="1">
      <c r="A2644" s="375"/>
      <c r="K2644" s="269"/>
      <c r="L2644" s="269" t="str">
        <f t="shared" si="1"/>
        <v/>
      </c>
    </row>
    <row r="2645" ht="15.75" customHeight="1">
      <c r="A2645" s="375"/>
      <c r="K2645" s="269"/>
      <c r="L2645" s="269" t="str">
        <f t="shared" si="1"/>
        <v/>
      </c>
    </row>
    <row r="2646" ht="15.75" customHeight="1">
      <c r="A2646" s="375"/>
      <c r="K2646" s="269"/>
      <c r="L2646" s="269" t="str">
        <f t="shared" si="1"/>
        <v/>
      </c>
    </row>
    <row r="2647" ht="15.75" customHeight="1">
      <c r="A2647" s="375"/>
      <c r="K2647" s="269"/>
      <c r="L2647" s="269" t="str">
        <f t="shared" si="1"/>
        <v/>
      </c>
    </row>
    <row r="2648" ht="15.75" customHeight="1">
      <c r="A2648" s="375"/>
      <c r="K2648" s="269"/>
      <c r="L2648" s="269" t="str">
        <f t="shared" si="1"/>
        <v/>
      </c>
    </row>
    <row r="2649" ht="15.75" customHeight="1">
      <c r="A2649" s="375"/>
      <c r="K2649" s="269"/>
      <c r="L2649" s="269" t="str">
        <f t="shared" si="1"/>
        <v/>
      </c>
    </row>
    <row r="2650" ht="15.75" customHeight="1">
      <c r="A2650" s="375"/>
      <c r="K2650" s="269"/>
      <c r="L2650" s="269" t="str">
        <f t="shared" si="1"/>
        <v/>
      </c>
    </row>
    <row r="2651" ht="15.75" customHeight="1">
      <c r="A2651" s="375"/>
      <c r="K2651" s="269"/>
      <c r="L2651" s="269" t="str">
        <f t="shared" si="1"/>
        <v/>
      </c>
    </row>
    <row r="2652" ht="15.75" customHeight="1">
      <c r="A2652" s="375"/>
      <c r="K2652" s="269"/>
      <c r="L2652" s="269" t="str">
        <f t="shared" si="1"/>
        <v/>
      </c>
    </row>
    <row r="2653" ht="15.75" customHeight="1">
      <c r="A2653" s="375"/>
      <c r="K2653" s="269"/>
      <c r="L2653" s="269" t="str">
        <f t="shared" si="1"/>
        <v/>
      </c>
    </row>
    <row r="2654" ht="15.75" customHeight="1">
      <c r="A2654" s="375"/>
      <c r="K2654" s="269"/>
      <c r="L2654" s="269" t="str">
        <f t="shared" si="1"/>
        <v/>
      </c>
    </row>
    <row r="2655" ht="15.75" customHeight="1">
      <c r="A2655" s="375"/>
      <c r="K2655" s="269"/>
      <c r="L2655" s="269" t="str">
        <f t="shared" si="1"/>
        <v/>
      </c>
    </row>
    <row r="2656" ht="15.75" customHeight="1">
      <c r="A2656" s="375"/>
      <c r="K2656" s="269"/>
      <c r="L2656" s="269" t="str">
        <f t="shared" si="1"/>
        <v/>
      </c>
    </row>
    <row r="2657" ht="15.75" customHeight="1">
      <c r="A2657" s="375"/>
      <c r="K2657" s="269"/>
      <c r="L2657" s="269" t="str">
        <f t="shared" si="1"/>
        <v/>
      </c>
    </row>
    <row r="2658" ht="15.75" customHeight="1">
      <c r="A2658" s="375"/>
      <c r="K2658" s="269"/>
      <c r="L2658" s="269" t="str">
        <f t="shared" si="1"/>
        <v/>
      </c>
    </row>
    <row r="2659" ht="15.75" customHeight="1">
      <c r="A2659" s="375"/>
      <c r="K2659" s="269"/>
      <c r="L2659" s="269" t="str">
        <f t="shared" si="1"/>
        <v/>
      </c>
    </row>
    <row r="2660" ht="15.75" customHeight="1">
      <c r="A2660" s="375"/>
      <c r="K2660" s="269"/>
      <c r="L2660" s="269" t="str">
        <f t="shared" si="1"/>
        <v/>
      </c>
    </row>
    <row r="2661" ht="15.75" customHeight="1">
      <c r="A2661" s="375"/>
      <c r="K2661" s="269"/>
      <c r="L2661" s="269" t="str">
        <f t="shared" si="1"/>
        <v/>
      </c>
    </row>
    <row r="2662" ht="15.75" customHeight="1">
      <c r="A2662" s="375"/>
      <c r="K2662" s="269"/>
      <c r="L2662" s="269" t="str">
        <f t="shared" si="1"/>
        <v/>
      </c>
    </row>
    <row r="2663" ht="15.75" customHeight="1">
      <c r="A2663" s="375"/>
      <c r="K2663" s="269"/>
      <c r="L2663" s="269" t="str">
        <f t="shared" si="1"/>
        <v/>
      </c>
    </row>
    <row r="2664" ht="15.75" customHeight="1">
      <c r="A2664" s="375"/>
      <c r="K2664" s="269"/>
      <c r="L2664" s="269" t="str">
        <f t="shared" si="1"/>
        <v/>
      </c>
    </row>
    <row r="2665" ht="15.75" customHeight="1">
      <c r="A2665" s="375"/>
      <c r="K2665" s="269"/>
      <c r="L2665" s="269" t="str">
        <f t="shared" si="1"/>
        <v/>
      </c>
    </row>
    <row r="2666" ht="15.75" customHeight="1">
      <c r="A2666" s="375"/>
      <c r="K2666" s="269"/>
      <c r="L2666" s="269" t="str">
        <f t="shared" si="1"/>
        <v/>
      </c>
    </row>
    <row r="2667" ht="15.75" customHeight="1">
      <c r="A2667" s="375"/>
      <c r="K2667" s="269"/>
      <c r="L2667" s="269" t="str">
        <f t="shared" si="1"/>
        <v/>
      </c>
    </row>
    <row r="2668" ht="15.75" customHeight="1">
      <c r="A2668" s="375"/>
      <c r="K2668" s="269"/>
      <c r="L2668" s="269" t="str">
        <f t="shared" si="1"/>
        <v/>
      </c>
    </row>
    <row r="2669" ht="15.75" customHeight="1">
      <c r="A2669" s="375"/>
      <c r="K2669" s="269"/>
      <c r="L2669" s="269" t="str">
        <f t="shared" si="1"/>
        <v/>
      </c>
    </row>
    <row r="2670" ht="15.75" customHeight="1">
      <c r="A2670" s="375"/>
      <c r="K2670" s="269"/>
      <c r="L2670" s="269" t="str">
        <f t="shared" si="1"/>
        <v/>
      </c>
    </row>
    <row r="2671" ht="15.75" customHeight="1">
      <c r="A2671" s="375"/>
      <c r="K2671" s="269"/>
      <c r="L2671" s="269" t="str">
        <f t="shared" si="1"/>
        <v/>
      </c>
    </row>
    <row r="2672" ht="15.75" customHeight="1">
      <c r="A2672" s="375"/>
      <c r="K2672" s="269"/>
      <c r="L2672" s="269" t="str">
        <f t="shared" si="1"/>
        <v/>
      </c>
    </row>
    <row r="2673" ht="15.75" customHeight="1">
      <c r="A2673" s="375"/>
      <c r="K2673" s="269"/>
      <c r="L2673" s="269" t="str">
        <f t="shared" si="1"/>
        <v/>
      </c>
    </row>
    <row r="2674" ht="15.75" customHeight="1">
      <c r="A2674" s="375"/>
      <c r="K2674" s="269"/>
      <c r="L2674" s="269" t="str">
        <f t="shared" si="1"/>
        <v/>
      </c>
    </row>
    <row r="2675" ht="15.75" customHeight="1">
      <c r="A2675" s="375"/>
      <c r="K2675" s="269"/>
      <c r="L2675" s="269" t="str">
        <f t="shared" si="1"/>
        <v/>
      </c>
    </row>
    <row r="2676" ht="15.75" customHeight="1">
      <c r="A2676" s="375"/>
      <c r="K2676" s="269"/>
      <c r="L2676" s="269" t="str">
        <f t="shared" si="1"/>
        <v/>
      </c>
    </row>
    <row r="2677" ht="15.75" customHeight="1">
      <c r="A2677" s="375"/>
      <c r="K2677" s="269"/>
      <c r="L2677" s="269" t="str">
        <f t="shared" si="1"/>
        <v/>
      </c>
    </row>
    <row r="2678" ht="15.75" customHeight="1">
      <c r="A2678" s="375"/>
      <c r="K2678" s="269"/>
      <c r="L2678" s="269" t="str">
        <f t="shared" si="1"/>
        <v/>
      </c>
    </row>
    <row r="2679" ht="15.75" customHeight="1">
      <c r="A2679" s="375"/>
      <c r="K2679" s="269"/>
      <c r="L2679" s="269" t="str">
        <f t="shared" si="1"/>
        <v/>
      </c>
    </row>
    <row r="2680" ht="15.75" customHeight="1">
      <c r="A2680" s="375"/>
      <c r="K2680" s="269"/>
      <c r="L2680" s="269" t="str">
        <f t="shared" si="1"/>
        <v/>
      </c>
    </row>
    <row r="2681" ht="15.75" customHeight="1">
      <c r="A2681" s="375"/>
      <c r="K2681" s="269"/>
      <c r="L2681" s="269" t="str">
        <f t="shared" si="1"/>
        <v/>
      </c>
    </row>
    <row r="2682" ht="15.75" customHeight="1">
      <c r="A2682" s="375"/>
      <c r="K2682" s="269"/>
      <c r="L2682" s="269" t="str">
        <f t="shared" si="1"/>
        <v/>
      </c>
    </row>
    <row r="2683" ht="15.75" customHeight="1">
      <c r="A2683" s="375"/>
      <c r="K2683" s="269"/>
      <c r="L2683" s="269" t="str">
        <f t="shared" si="1"/>
        <v/>
      </c>
    </row>
    <row r="2684" ht="15.75" customHeight="1">
      <c r="A2684" s="375"/>
      <c r="K2684" s="269"/>
      <c r="L2684" s="269" t="str">
        <f t="shared" si="1"/>
        <v/>
      </c>
    </row>
    <row r="2685" ht="15.75" customHeight="1">
      <c r="A2685" s="375"/>
      <c r="K2685" s="269"/>
      <c r="L2685" s="269" t="str">
        <f t="shared" si="1"/>
        <v/>
      </c>
    </row>
    <row r="2686" ht="15.75" customHeight="1">
      <c r="A2686" s="375"/>
      <c r="K2686" s="269"/>
      <c r="L2686" s="269" t="str">
        <f t="shared" si="1"/>
        <v/>
      </c>
    </row>
    <row r="2687" ht="15.75" customHeight="1">
      <c r="A2687" s="375"/>
      <c r="K2687" s="269"/>
      <c r="L2687" s="269" t="str">
        <f t="shared" si="1"/>
        <v/>
      </c>
    </row>
    <row r="2688" ht="15.75" customHeight="1">
      <c r="A2688" s="375"/>
      <c r="K2688" s="269"/>
      <c r="L2688" s="269" t="str">
        <f t="shared" si="1"/>
        <v/>
      </c>
    </row>
    <row r="2689" ht="15.75" customHeight="1">
      <c r="A2689" s="375"/>
      <c r="K2689" s="269"/>
      <c r="L2689" s="269" t="str">
        <f t="shared" si="1"/>
        <v/>
      </c>
    </row>
    <row r="2690" ht="15.75" customHeight="1">
      <c r="A2690" s="375"/>
      <c r="K2690" s="269"/>
      <c r="L2690" s="269" t="str">
        <f t="shared" si="1"/>
        <v/>
      </c>
    </row>
    <row r="2691" ht="15.75" customHeight="1">
      <c r="A2691" s="375"/>
      <c r="K2691" s="269"/>
      <c r="L2691" s="269" t="str">
        <f t="shared" si="1"/>
        <v/>
      </c>
    </row>
    <row r="2692" ht="15.75" customHeight="1">
      <c r="A2692" s="375"/>
      <c r="K2692" s="269"/>
      <c r="L2692" s="269" t="str">
        <f t="shared" si="1"/>
        <v/>
      </c>
    </row>
    <row r="2693" ht="15.75" customHeight="1">
      <c r="A2693" s="375"/>
      <c r="K2693" s="269"/>
      <c r="L2693" s="269" t="str">
        <f t="shared" si="1"/>
        <v/>
      </c>
    </row>
    <row r="2694" ht="15.75" customHeight="1">
      <c r="A2694" s="375"/>
      <c r="K2694" s="269"/>
      <c r="L2694" s="269" t="str">
        <f t="shared" si="1"/>
        <v/>
      </c>
    </row>
    <row r="2695" ht="15.75" customHeight="1">
      <c r="A2695" s="375"/>
      <c r="K2695" s="269"/>
      <c r="L2695" s="269" t="str">
        <f t="shared" si="1"/>
        <v/>
      </c>
    </row>
    <row r="2696" ht="15.75" customHeight="1">
      <c r="A2696" s="375"/>
      <c r="K2696" s="269"/>
      <c r="L2696" s="269" t="str">
        <f t="shared" si="1"/>
        <v/>
      </c>
    </row>
    <row r="2697" ht="15.75" customHeight="1">
      <c r="A2697" s="375"/>
      <c r="K2697" s="269"/>
      <c r="L2697" s="269" t="str">
        <f t="shared" si="1"/>
        <v/>
      </c>
    </row>
    <row r="2698" ht="15.75" customHeight="1">
      <c r="A2698" s="375"/>
      <c r="K2698" s="269"/>
      <c r="L2698" s="269" t="str">
        <f t="shared" si="1"/>
        <v/>
      </c>
    </row>
    <row r="2699" ht="15.75" customHeight="1">
      <c r="A2699" s="375"/>
      <c r="K2699" s="269"/>
      <c r="L2699" s="269" t="str">
        <f t="shared" si="1"/>
        <v/>
      </c>
    </row>
    <row r="2700" ht="15.75" customHeight="1">
      <c r="A2700" s="375"/>
      <c r="K2700" s="269"/>
      <c r="L2700" s="269" t="str">
        <f t="shared" si="1"/>
        <v/>
      </c>
    </row>
    <row r="2701" ht="15.75" customHeight="1">
      <c r="A2701" s="375"/>
      <c r="K2701" s="269"/>
      <c r="L2701" s="269" t="str">
        <f t="shared" si="1"/>
        <v/>
      </c>
    </row>
    <row r="2702" ht="15.75" customHeight="1">
      <c r="A2702" s="375"/>
      <c r="K2702" s="269"/>
      <c r="L2702" s="269" t="str">
        <f t="shared" si="1"/>
        <v/>
      </c>
    </row>
    <row r="2703" ht="15.75" customHeight="1">
      <c r="A2703" s="375"/>
      <c r="K2703" s="269"/>
      <c r="L2703" s="269" t="str">
        <f t="shared" si="1"/>
        <v/>
      </c>
    </row>
    <row r="2704" ht="15.75" customHeight="1">
      <c r="A2704" s="375"/>
      <c r="K2704" s="269"/>
      <c r="L2704" s="269" t="str">
        <f t="shared" si="1"/>
        <v/>
      </c>
    </row>
    <row r="2705" ht="15.75" customHeight="1">
      <c r="A2705" s="375"/>
      <c r="K2705" s="269"/>
      <c r="L2705" s="269" t="str">
        <f t="shared" si="1"/>
        <v/>
      </c>
    </row>
    <row r="2706" ht="15.75" customHeight="1">
      <c r="A2706" s="375"/>
      <c r="K2706" s="269"/>
      <c r="L2706" s="269" t="str">
        <f t="shared" si="1"/>
        <v/>
      </c>
    </row>
    <row r="2707" ht="15.75" customHeight="1">
      <c r="A2707" s="375"/>
      <c r="K2707" s="269"/>
      <c r="L2707" s="269" t="str">
        <f t="shared" si="1"/>
        <v/>
      </c>
    </row>
    <row r="2708" ht="15.75" customHeight="1">
      <c r="A2708" s="375"/>
      <c r="K2708" s="269"/>
      <c r="L2708" s="269" t="str">
        <f t="shared" si="1"/>
        <v/>
      </c>
    </row>
    <row r="2709" ht="15.75" customHeight="1">
      <c r="A2709" s="375"/>
      <c r="K2709" s="269"/>
      <c r="L2709" s="269" t="str">
        <f t="shared" si="1"/>
        <v/>
      </c>
    </row>
    <row r="2710" ht="15.75" customHeight="1">
      <c r="A2710" s="375"/>
      <c r="K2710" s="269"/>
      <c r="L2710" s="269" t="str">
        <f t="shared" si="1"/>
        <v/>
      </c>
    </row>
    <row r="2711" ht="15.75" customHeight="1">
      <c r="A2711" s="375"/>
      <c r="K2711" s="269"/>
      <c r="L2711" s="269" t="str">
        <f t="shared" si="1"/>
        <v/>
      </c>
    </row>
    <row r="2712" ht="15.75" customHeight="1">
      <c r="A2712" s="375"/>
      <c r="K2712" s="269"/>
      <c r="L2712" s="269" t="str">
        <f t="shared" si="1"/>
        <v/>
      </c>
    </row>
    <row r="2713" ht="15.75" customHeight="1">
      <c r="A2713" s="375"/>
      <c r="K2713" s="269"/>
      <c r="L2713" s="269" t="str">
        <f t="shared" si="1"/>
        <v/>
      </c>
    </row>
    <row r="2714" ht="15.75" customHeight="1">
      <c r="A2714" s="375"/>
      <c r="K2714" s="269"/>
      <c r="L2714" s="269" t="str">
        <f t="shared" si="1"/>
        <v/>
      </c>
    </row>
    <row r="2715" ht="15.75" customHeight="1">
      <c r="A2715" s="375"/>
      <c r="K2715" s="269"/>
      <c r="L2715" s="269" t="str">
        <f t="shared" si="1"/>
        <v/>
      </c>
    </row>
    <row r="2716" ht="15.75" customHeight="1">
      <c r="A2716" s="375"/>
      <c r="K2716" s="269"/>
      <c r="L2716" s="269" t="str">
        <f t="shared" si="1"/>
        <v/>
      </c>
    </row>
    <row r="2717" ht="15.75" customHeight="1">
      <c r="A2717" s="375"/>
      <c r="K2717" s="269"/>
      <c r="L2717" s="269" t="str">
        <f t="shared" si="1"/>
        <v/>
      </c>
    </row>
    <row r="2718" ht="15.75" customHeight="1">
      <c r="A2718" s="375"/>
      <c r="K2718" s="269"/>
      <c r="L2718" s="269" t="str">
        <f t="shared" si="1"/>
        <v/>
      </c>
    </row>
    <row r="2719" ht="15.75" customHeight="1">
      <c r="A2719" s="375"/>
      <c r="K2719" s="269"/>
      <c r="L2719" s="269" t="str">
        <f t="shared" si="1"/>
        <v/>
      </c>
    </row>
    <row r="2720" ht="15.75" customHeight="1">
      <c r="A2720" s="375"/>
      <c r="K2720" s="269"/>
      <c r="L2720" s="269" t="str">
        <f t="shared" si="1"/>
        <v/>
      </c>
    </row>
    <row r="2721" ht="15.75" customHeight="1">
      <c r="A2721" s="375"/>
      <c r="K2721" s="269"/>
      <c r="L2721" s="269" t="str">
        <f t="shared" si="1"/>
        <v/>
      </c>
    </row>
    <row r="2722" ht="15.75" customHeight="1">
      <c r="A2722" s="375"/>
      <c r="K2722" s="269"/>
      <c r="L2722" s="269" t="str">
        <f t="shared" si="1"/>
        <v/>
      </c>
    </row>
    <row r="2723" ht="15.75" customHeight="1">
      <c r="A2723" s="375"/>
      <c r="K2723" s="269"/>
      <c r="L2723" s="269" t="str">
        <f t="shared" si="1"/>
        <v/>
      </c>
    </row>
    <row r="2724" ht="15.75" customHeight="1">
      <c r="A2724" s="375"/>
      <c r="K2724" s="269"/>
      <c r="L2724" s="269" t="str">
        <f t="shared" si="1"/>
        <v/>
      </c>
    </row>
    <row r="2725" ht="15.75" customHeight="1">
      <c r="A2725" s="375"/>
      <c r="K2725" s="269"/>
      <c r="L2725" s="269" t="str">
        <f t="shared" si="1"/>
        <v/>
      </c>
    </row>
    <row r="2726" ht="15.75" customHeight="1">
      <c r="A2726" s="375"/>
      <c r="K2726" s="269"/>
      <c r="L2726" s="269" t="str">
        <f t="shared" si="1"/>
        <v/>
      </c>
    </row>
    <row r="2727" ht="15.75" customHeight="1">
      <c r="A2727" s="375"/>
      <c r="K2727" s="269"/>
      <c r="L2727" s="269" t="str">
        <f t="shared" si="1"/>
        <v/>
      </c>
    </row>
    <row r="2728" ht="15.75" customHeight="1">
      <c r="A2728" s="375"/>
      <c r="K2728" s="269"/>
      <c r="L2728" s="269" t="str">
        <f t="shared" si="1"/>
        <v/>
      </c>
    </row>
    <row r="2729" ht="15.75" customHeight="1">
      <c r="A2729" s="375"/>
      <c r="K2729" s="269"/>
      <c r="L2729" s="269" t="str">
        <f t="shared" si="1"/>
        <v/>
      </c>
    </row>
    <row r="2730" ht="15.75" customHeight="1">
      <c r="A2730" s="375"/>
      <c r="K2730" s="269"/>
      <c r="L2730" s="269" t="str">
        <f t="shared" si="1"/>
        <v/>
      </c>
    </row>
    <row r="2731" ht="15.75" customHeight="1">
      <c r="A2731" s="375"/>
      <c r="K2731" s="269"/>
      <c r="L2731" s="269" t="str">
        <f t="shared" si="1"/>
        <v/>
      </c>
    </row>
    <row r="2732" ht="15.75" customHeight="1">
      <c r="A2732" s="375"/>
      <c r="K2732" s="269"/>
      <c r="L2732" s="269" t="str">
        <f t="shared" si="1"/>
        <v/>
      </c>
    </row>
    <row r="2733" ht="15.75" customHeight="1">
      <c r="A2733" s="375"/>
      <c r="K2733" s="269"/>
      <c r="L2733" s="269" t="str">
        <f t="shared" si="1"/>
        <v/>
      </c>
    </row>
    <row r="2734" ht="15.75" customHeight="1">
      <c r="A2734" s="375"/>
      <c r="K2734" s="269"/>
      <c r="L2734" s="269" t="str">
        <f t="shared" si="1"/>
        <v/>
      </c>
    </row>
    <row r="2735" ht="15.75" customHeight="1">
      <c r="A2735" s="375"/>
      <c r="K2735" s="269"/>
      <c r="L2735" s="269" t="str">
        <f t="shared" si="1"/>
        <v/>
      </c>
    </row>
    <row r="2736" ht="15.75" customHeight="1">
      <c r="A2736" s="375"/>
      <c r="K2736" s="269"/>
      <c r="L2736" s="269" t="str">
        <f t="shared" si="1"/>
        <v/>
      </c>
    </row>
    <row r="2737" ht="15.75" customHeight="1">
      <c r="A2737" s="375"/>
      <c r="K2737" s="269"/>
      <c r="L2737" s="269" t="str">
        <f t="shared" si="1"/>
        <v/>
      </c>
    </row>
    <row r="2738" ht="15.75" customHeight="1">
      <c r="A2738" s="375"/>
      <c r="K2738" s="269"/>
      <c r="L2738" s="269" t="str">
        <f t="shared" si="1"/>
        <v/>
      </c>
    </row>
    <row r="2739" ht="15.75" customHeight="1">
      <c r="A2739" s="375"/>
      <c r="K2739" s="269"/>
      <c r="L2739" s="269" t="str">
        <f t="shared" si="1"/>
        <v/>
      </c>
    </row>
    <row r="2740" ht="15.75" customHeight="1">
      <c r="A2740" s="375"/>
      <c r="K2740" s="269"/>
      <c r="L2740" s="269" t="str">
        <f t="shared" si="1"/>
        <v/>
      </c>
    </row>
    <row r="2741" ht="15.75" customHeight="1">
      <c r="A2741" s="375"/>
      <c r="K2741" s="269"/>
      <c r="L2741" s="269" t="str">
        <f t="shared" si="1"/>
        <v/>
      </c>
    </row>
    <row r="2742" ht="15.75" customHeight="1">
      <c r="A2742" s="375"/>
      <c r="K2742" s="269"/>
      <c r="L2742" s="269" t="str">
        <f t="shared" si="1"/>
        <v/>
      </c>
    </row>
    <row r="2743" ht="15.75" customHeight="1">
      <c r="A2743" s="375"/>
      <c r="K2743" s="269"/>
      <c r="L2743" s="269" t="str">
        <f t="shared" si="1"/>
        <v/>
      </c>
    </row>
    <row r="2744" ht="15.75" customHeight="1">
      <c r="A2744" s="375"/>
      <c r="K2744" s="269"/>
      <c r="L2744" s="269" t="str">
        <f t="shared" si="1"/>
        <v/>
      </c>
    </row>
    <row r="2745" ht="15.75" customHeight="1">
      <c r="A2745" s="375"/>
      <c r="K2745" s="269"/>
      <c r="L2745" s="269" t="str">
        <f t="shared" si="1"/>
        <v/>
      </c>
    </row>
    <row r="2746" ht="15.75" customHeight="1">
      <c r="A2746" s="375"/>
      <c r="K2746" s="269"/>
      <c r="L2746" s="269" t="str">
        <f t="shared" si="1"/>
        <v/>
      </c>
    </row>
    <row r="2747" ht="15.75" customHeight="1">
      <c r="A2747" s="375"/>
      <c r="K2747" s="269"/>
      <c r="L2747" s="269" t="str">
        <f t="shared" si="1"/>
        <v/>
      </c>
    </row>
    <row r="2748" ht="15.75" customHeight="1">
      <c r="A2748" s="375"/>
      <c r="K2748" s="269"/>
      <c r="L2748" s="269" t="str">
        <f t="shared" si="1"/>
        <v/>
      </c>
    </row>
    <row r="2749" ht="15.75" customHeight="1">
      <c r="A2749" s="375"/>
      <c r="K2749" s="269"/>
      <c r="L2749" s="269" t="str">
        <f t="shared" si="1"/>
        <v/>
      </c>
    </row>
    <row r="2750" ht="15.75" customHeight="1">
      <c r="A2750" s="375"/>
      <c r="K2750" s="269"/>
      <c r="L2750" s="269" t="str">
        <f t="shared" si="1"/>
        <v/>
      </c>
    </row>
    <row r="2751" ht="15.75" customHeight="1">
      <c r="A2751" s="375"/>
      <c r="K2751" s="269"/>
      <c r="L2751" s="269" t="str">
        <f t="shared" si="1"/>
        <v/>
      </c>
    </row>
    <row r="2752" ht="15.75" customHeight="1">
      <c r="A2752" s="375"/>
      <c r="K2752" s="269"/>
      <c r="L2752" s="269" t="str">
        <f t="shared" si="1"/>
        <v/>
      </c>
    </row>
    <row r="2753" ht="15.75" customHeight="1">
      <c r="A2753" s="375"/>
      <c r="K2753" s="269"/>
      <c r="L2753" s="269" t="str">
        <f t="shared" si="1"/>
        <v/>
      </c>
    </row>
    <row r="2754" ht="15.75" customHeight="1">
      <c r="A2754" s="375"/>
      <c r="K2754" s="269"/>
      <c r="L2754" s="269" t="str">
        <f t="shared" si="1"/>
        <v/>
      </c>
    </row>
    <row r="2755" ht="15.75" customHeight="1">
      <c r="A2755" s="375"/>
      <c r="K2755" s="269"/>
      <c r="L2755" s="269" t="str">
        <f t="shared" si="1"/>
        <v/>
      </c>
    </row>
    <row r="2756" ht="15.75" customHeight="1">
      <c r="A2756" s="375"/>
      <c r="K2756" s="269"/>
      <c r="L2756" s="269" t="str">
        <f t="shared" si="1"/>
        <v/>
      </c>
    </row>
    <row r="2757" ht="15.75" customHeight="1">
      <c r="A2757" s="375"/>
      <c r="K2757" s="269"/>
      <c r="L2757" s="269" t="str">
        <f t="shared" si="1"/>
        <v/>
      </c>
    </row>
    <row r="2758" ht="15.75" customHeight="1">
      <c r="A2758" s="375"/>
      <c r="K2758" s="269"/>
      <c r="L2758" s="269" t="str">
        <f t="shared" si="1"/>
        <v/>
      </c>
    </row>
    <row r="2759" ht="15.75" customHeight="1">
      <c r="A2759" s="375"/>
      <c r="K2759" s="269"/>
      <c r="L2759" s="269" t="str">
        <f t="shared" si="1"/>
        <v/>
      </c>
    </row>
    <row r="2760" ht="15.75" customHeight="1">
      <c r="A2760" s="375"/>
      <c r="K2760" s="269"/>
      <c r="L2760" s="269" t="str">
        <f t="shared" si="1"/>
        <v/>
      </c>
    </row>
    <row r="2761" ht="15.75" customHeight="1">
      <c r="A2761" s="375"/>
      <c r="K2761" s="269"/>
      <c r="L2761" s="269" t="str">
        <f t="shared" si="1"/>
        <v/>
      </c>
    </row>
    <row r="2762" ht="15.75" customHeight="1">
      <c r="A2762" s="375"/>
      <c r="K2762" s="269"/>
      <c r="L2762" s="269" t="str">
        <f t="shared" si="1"/>
        <v/>
      </c>
    </row>
    <row r="2763" ht="15.75" customHeight="1">
      <c r="A2763" s="375"/>
      <c r="K2763" s="269"/>
      <c r="L2763" s="269" t="str">
        <f t="shared" si="1"/>
        <v/>
      </c>
    </row>
    <row r="2764" ht="15.75" customHeight="1">
      <c r="A2764" s="375"/>
      <c r="K2764" s="269"/>
      <c r="L2764" s="269" t="str">
        <f t="shared" si="1"/>
        <v/>
      </c>
    </row>
    <row r="2765" ht="15.75" customHeight="1">
      <c r="A2765" s="375"/>
      <c r="K2765" s="269"/>
      <c r="L2765" s="269" t="str">
        <f t="shared" si="1"/>
        <v/>
      </c>
    </row>
    <row r="2766" ht="15.75" customHeight="1">
      <c r="A2766" s="375"/>
      <c r="K2766" s="269"/>
      <c r="L2766" s="269" t="str">
        <f t="shared" si="1"/>
        <v/>
      </c>
    </row>
    <row r="2767" ht="15.75" customHeight="1">
      <c r="A2767" s="375"/>
      <c r="K2767" s="269"/>
      <c r="L2767" s="269" t="str">
        <f t="shared" si="1"/>
        <v/>
      </c>
    </row>
    <row r="2768" ht="15.75" customHeight="1">
      <c r="A2768" s="375"/>
      <c r="K2768" s="269"/>
      <c r="L2768" s="269" t="str">
        <f t="shared" si="1"/>
        <v/>
      </c>
    </row>
    <row r="2769" ht="15.75" customHeight="1">
      <c r="A2769" s="375"/>
      <c r="K2769" s="269"/>
      <c r="L2769" s="269" t="str">
        <f t="shared" si="1"/>
        <v/>
      </c>
    </row>
    <row r="2770" ht="15.75" customHeight="1">
      <c r="A2770" s="375"/>
      <c r="K2770" s="269"/>
      <c r="L2770" s="269" t="str">
        <f t="shared" si="1"/>
        <v/>
      </c>
    </row>
    <row r="2771" ht="15.75" customHeight="1">
      <c r="A2771" s="375"/>
      <c r="K2771" s="269"/>
      <c r="L2771" s="269" t="str">
        <f t="shared" si="1"/>
        <v/>
      </c>
    </row>
    <row r="2772" ht="15.75" customHeight="1">
      <c r="A2772" s="375"/>
      <c r="K2772" s="269"/>
      <c r="L2772" s="269" t="str">
        <f t="shared" si="1"/>
        <v/>
      </c>
    </row>
    <row r="2773" ht="15.75" customHeight="1">
      <c r="A2773" s="375"/>
      <c r="K2773" s="269"/>
      <c r="L2773" s="269" t="str">
        <f t="shared" si="1"/>
        <v/>
      </c>
    </row>
    <row r="2774" ht="15.75" customHeight="1">
      <c r="A2774" s="375"/>
      <c r="K2774" s="269"/>
      <c r="L2774" s="269" t="str">
        <f t="shared" si="1"/>
        <v/>
      </c>
    </row>
    <row r="2775" ht="15.75" customHeight="1">
      <c r="A2775" s="375"/>
      <c r="K2775" s="269"/>
      <c r="L2775" s="269" t="str">
        <f t="shared" si="1"/>
        <v/>
      </c>
    </row>
    <row r="2776" ht="15.75" customHeight="1">
      <c r="A2776" s="375"/>
      <c r="K2776" s="269"/>
      <c r="L2776" s="269" t="str">
        <f t="shared" si="1"/>
        <v/>
      </c>
    </row>
    <row r="2777" ht="15.75" customHeight="1">
      <c r="A2777" s="375"/>
      <c r="K2777" s="269"/>
      <c r="L2777" s="269" t="str">
        <f t="shared" si="1"/>
        <v/>
      </c>
    </row>
    <row r="2778" ht="15.75" customHeight="1">
      <c r="A2778" s="375"/>
      <c r="K2778" s="269"/>
      <c r="L2778" s="269" t="str">
        <f t="shared" si="1"/>
        <v/>
      </c>
    </row>
    <row r="2779" ht="15.75" customHeight="1">
      <c r="A2779" s="375"/>
      <c r="K2779" s="269"/>
      <c r="L2779" s="269" t="str">
        <f t="shared" si="1"/>
        <v/>
      </c>
    </row>
    <row r="2780" ht="15.75" customHeight="1">
      <c r="A2780" s="375"/>
      <c r="K2780" s="269"/>
      <c r="L2780" s="269" t="str">
        <f t="shared" si="1"/>
        <v/>
      </c>
    </row>
    <row r="2781" ht="15.75" customHeight="1">
      <c r="A2781" s="375"/>
      <c r="K2781" s="269"/>
      <c r="L2781" s="269" t="str">
        <f t="shared" si="1"/>
        <v/>
      </c>
    </row>
    <row r="2782" ht="15.75" customHeight="1">
      <c r="A2782" s="375"/>
      <c r="K2782" s="269"/>
      <c r="L2782" s="269" t="str">
        <f t="shared" si="1"/>
        <v/>
      </c>
    </row>
    <row r="2783" ht="15.75" customHeight="1">
      <c r="A2783" s="375"/>
      <c r="K2783" s="269"/>
      <c r="L2783" s="269" t="str">
        <f t="shared" si="1"/>
        <v/>
      </c>
    </row>
    <row r="2784" ht="15.75" customHeight="1">
      <c r="A2784" s="375"/>
      <c r="K2784" s="269"/>
      <c r="L2784" s="269" t="str">
        <f t="shared" si="1"/>
        <v/>
      </c>
    </row>
    <row r="2785" ht="15.75" customHeight="1">
      <c r="A2785" s="375"/>
      <c r="K2785" s="269"/>
      <c r="L2785" s="269" t="str">
        <f t="shared" si="1"/>
        <v/>
      </c>
    </row>
    <row r="2786" ht="15.75" customHeight="1">
      <c r="A2786" s="375"/>
      <c r="K2786" s="269"/>
      <c r="L2786" s="269" t="str">
        <f t="shared" si="1"/>
        <v/>
      </c>
    </row>
    <row r="2787" ht="15.75" customHeight="1">
      <c r="A2787" s="375"/>
      <c r="K2787" s="269"/>
      <c r="L2787" s="269" t="str">
        <f t="shared" si="1"/>
        <v/>
      </c>
    </row>
    <row r="2788" ht="15.75" customHeight="1">
      <c r="A2788" s="375"/>
      <c r="K2788" s="269"/>
      <c r="L2788" s="269" t="str">
        <f t="shared" si="1"/>
        <v/>
      </c>
    </row>
    <row r="2789" ht="15.75" customHeight="1">
      <c r="A2789" s="375"/>
      <c r="K2789" s="269"/>
      <c r="L2789" s="269" t="str">
        <f t="shared" si="1"/>
        <v/>
      </c>
    </row>
    <row r="2790" ht="15.75" customHeight="1">
      <c r="A2790" s="375"/>
      <c r="K2790" s="269"/>
      <c r="L2790" s="269" t="str">
        <f t="shared" si="1"/>
        <v/>
      </c>
    </row>
    <row r="2791" ht="15.75" customHeight="1">
      <c r="A2791" s="375"/>
      <c r="K2791" s="269"/>
      <c r="L2791" s="269" t="str">
        <f t="shared" si="1"/>
        <v/>
      </c>
    </row>
    <row r="2792" ht="15.75" customHeight="1">
      <c r="A2792" s="375"/>
      <c r="K2792" s="269"/>
      <c r="L2792" s="269" t="str">
        <f t="shared" si="1"/>
        <v/>
      </c>
    </row>
    <row r="2793" ht="15.75" customHeight="1">
      <c r="A2793" s="375"/>
      <c r="K2793" s="269"/>
      <c r="L2793" s="269" t="str">
        <f t="shared" si="1"/>
        <v/>
      </c>
    </row>
    <row r="2794" ht="15.75" customHeight="1">
      <c r="A2794" s="375"/>
      <c r="K2794" s="269"/>
      <c r="L2794" s="269" t="str">
        <f t="shared" si="1"/>
        <v/>
      </c>
    </row>
    <row r="2795" ht="15.75" customHeight="1">
      <c r="A2795" s="375"/>
      <c r="K2795" s="269"/>
      <c r="L2795" s="269" t="str">
        <f t="shared" si="1"/>
        <v/>
      </c>
    </row>
    <row r="2796" ht="15.75" customHeight="1">
      <c r="A2796" s="375"/>
      <c r="K2796" s="269"/>
      <c r="L2796" s="269" t="str">
        <f t="shared" si="1"/>
        <v/>
      </c>
    </row>
    <row r="2797" ht="15.75" customHeight="1">
      <c r="A2797" s="375"/>
      <c r="K2797" s="269"/>
      <c r="L2797" s="269" t="str">
        <f t="shared" si="1"/>
        <v/>
      </c>
    </row>
    <row r="2798" ht="15.75" customHeight="1">
      <c r="A2798" s="375"/>
      <c r="K2798" s="269"/>
      <c r="L2798" s="269" t="str">
        <f t="shared" si="1"/>
        <v/>
      </c>
    </row>
    <row r="2799" ht="15.75" customHeight="1">
      <c r="A2799" s="375"/>
      <c r="K2799" s="269"/>
      <c r="L2799" s="269" t="str">
        <f t="shared" si="1"/>
        <v/>
      </c>
    </row>
    <row r="2800" ht="15.75" customHeight="1">
      <c r="A2800" s="375"/>
      <c r="K2800" s="269"/>
      <c r="L2800" s="269" t="str">
        <f t="shared" si="1"/>
        <v/>
      </c>
    </row>
    <row r="2801" ht="15.75" customHeight="1">
      <c r="A2801" s="375"/>
      <c r="K2801" s="269"/>
      <c r="L2801" s="269" t="str">
        <f t="shared" si="1"/>
        <v/>
      </c>
    </row>
    <row r="2802" ht="15.75" customHeight="1">
      <c r="A2802" s="375"/>
      <c r="K2802" s="269"/>
      <c r="L2802" s="269" t="str">
        <f t="shared" si="1"/>
        <v/>
      </c>
    </row>
    <row r="2803" ht="15.75" customHeight="1">
      <c r="A2803" s="375"/>
      <c r="K2803" s="269"/>
      <c r="L2803" s="269" t="str">
        <f t="shared" si="1"/>
        <v/>
      </c>
    </row>
    <row r="2804" ht="15.75" customHeight="1">
      <c r="A2804" s="375"/>
      <c r="K2804" s="269"/>
      <c r="L2804" s="269" t="str">
        <f t="shared" si="1"/>
        <v/>
      </c>
    </row>
    <row r="2805" ht="15.75" customHeight="1">
      <c r="A2805" s="375"/>
      <c r="K2805" s="269"/>
      <c r="L2805" s="269" t="str">
        <f t="shared" si="1"/>
        <v/>
      </c>
    </row>
    <row r="2806" ht="15.75" customHeight="1">
      <c r="A2806" s="375"/>
      <c r="K2806" s="269"/>
      <c r="L2806" s="269" t="str">
        <f t="shared" si="1"/>
        <v/>
      </c>
    </row>
    <row r="2807" ht="15.75" customHeight="1">
      <c r="A2807" s="375"/>
      <c r="K2807" s="269"/>
      <c r="L2807" s="269" t="str">
        <f t="shared" si="1"/>
        <v/>
      </c>
    </row>
    <row r="2808" ht="15.75" customHeight="1">
      <c r="A2808" s="375"/>
      <c r="K2808" s="269"/>
      <c r="L2808" s="269" t="str">
        <f t="shared" si="1"/>
        <v/>
      </c>
    </row>
    <row r="2809" ht="15.75" customHeight="1">
      <c r="A2809" s="375"/>
      <c r="K2809" s="269"/>
      <c r="L2809" s="269" t="str">
        <f t="shared" si="1"/>
        <v/>
      </c>
    </row>
    <row r="2810" ht="15.75" customHeight="1">
      <c r="A2810" s="375"/>
      <c r="K2810" s="269"/>
      <c r="L2810" s="269" t="str">
        <f t="shared" si="1"/>
        <v/>
      </c>
    </row>
    <row r="2811" ht="15.75" customHeight="1">
      <c r="A2811" s="375"/>
      <c r="K2811" s="269"/>
      <c r="L2811" s="269" t="str">
        <f t="shared" si="1"/>
        <v/>
      </c>
    </row>
    <row r="2812" ht="15.75" customHeight="1">
      <c r="A2812" s="375"/>
      <c r="K2812" s="269"/>
      <c r="L2812" s="269" t="str">
        <f t="shared" si="1"/>
        <v/>
      </c>
    </row>
    <row r="2813" ht="15.75" customHeight="1">
      <c r="A2813" s="375"/>
      <c r="K2813" s="269"/>
      <c r="L2813" s="269" t="str">
        <f t="shared" si="1"/>
        <v/>
      </c>
    </row>
    <row r="2814" ht="15.75" customHeight="1">
      <c r="A2814" s="375"/>
      <c r="K2814" s="269"/>
      <c r="L2814" s="269" t="str">
        <f t="shared" si="1"/>
        <v/>
      </c>
    </row>
    <row r="2815" ht="15.75" customHeight="1">
      <c r="A2815" s="375"/>
      <c r="K2815" s="269"/>
      <c r="L2815" s="269" t="str">
        <f t="shared" si="1"/>
        <v/>
      </c>
    </row>
    <row r="2816" ht="15.75" customHeight="1">
      <c r="A2816" s="375"/>
      <c r="K2816" s="269"/>
      <c r="L2816" s="269" t="str">
        <f t="shared" si="1"/>
        <v/>
      </c>
    </row>
    <row r="2817" ht="15.75" customHeight="1">
      <c r="A2817" s="375"/>
      <c r="K2817" s="269"/>
      <c r="L2817" s="269" t="str">
        <f t="shared" si="1"/>
        <v/>
      </c>
    </row>
    <row r="2818" ht="15.75" customHeight="1">
      <c r="A2818" s="375"/>
      <c r="K2818" s="269"/>
      <c r="L2818" s="269" t="str">
        <f t="shared" si="1"/>
        <v/>
      </c>
    </row>
    <row r="2819" ht="15.75" customHeight="1">
      <c r="A2819" s="375"/>
      <c r="K2819" s="269"/>
      <c r="L2819" s="269" t="str">
        <f t="shared" si="1"/>
        <v/>
      </c>
    </row>
    <row r="2820" ht="15.75" customHeight="1">
      <c r="A2820" s="375"/>
      <c r="K2820" s="269"/>
      <c r="L2820" s="269" t="str">
        <f t="shared" si="1"/>
        <v/>
      </c>
    </row>
    <row r="2821" ht="15.75" customHeight="1">
      <c r="A2821" s="375"/>
      <c r="K2821" s="269"/>
      <c r="L2821" s="269" t="str">
        <f t="shared" si="1"/>
        <v/>
      </c>
    </row>
    <row r="2822" ht="15.75" customHeight="1">
      <c r="A2822" s="375"/>
      <c r="K2822" s="269"/>
      <c r="L2822" s="269" t="str">
        <f t="shared" si="1"/>
        <v/>
      </c>
    </row>
    <row r="2823" ht="15.75" customHeight="1">
      <c r="A2823" s="375"/>
      <c r="K2823" s="269"/>
      <c r="L2823" s="269" t="str">
        <f t="shared" si="1"/>
        <v/>
      </c>
    </row>
    <row r="2824" ht="15.75" customHeight="1">
      <c r="A2824" s="375"/>
      <c r="K2824" s="269"/>
      <c r="L2824" s="269" t="str">
        <f t="shared" si="1"/>
        <v/>
      </c>
    </row>
    <row r="2825" ht="15.75" customHeight="1">
      <c r="A2825" s="375"/>
      <c r="K2825" s="269"/>
      <c r="L2825" s="269" t="str">
        <f t="shared" si="1"/>
        <v/>
      </c>
    </row>
    <row r="2826" ht="15.75" customHeight="1">
      <c r="A2826" s="375"/>
      <c r="K2826" s="269"/>
      <c r="L2826" s="269" t="str">
        <f t="shared" si="1"/>
        <v/>
      </c>
    </row>
    <row r="2827" ht="15.75" customHeight="1">
      <c r="A2827" s="375"/>
      <c r="K2827" s="269"/>
      <c r="L2827" s="269" t="str">
        <f t="shared" si="1"/>
        <v/>
      </c>
    </row>
    <row r="2828" ht="15.75" customHeight="1">
      <c r="A2828" s="375"/>
      <c r="K2828" s="269"/>
      <c r="L2828" s="269" t="str">
        <f t="shared" si="1"/>
        <v/>
      </c>
    </row>
    <row r="2829" ht="15.75" customHeight="1">
      <c r="A2829" s="375"/>
      <c r="K2829" s="269"/>
      <c r="L2829" s="269" t="str">
        <f t="shared" si="1"/>
        <v/>
      </c>
    </row>
    <row r="2830" ht="15.75" customHeight="1">
      <c r="A2830" s="375"/>
      <c r="K2830" s="269"/>
      <c r="L2830" s="269" t="str">
        <f t="shared" si="1"/>
        <v/>
      </c>
    </row>
    <row r="2831" ht="15.75" customHeight="1">
      <c r="A2831" s="375"/>
      <c r="K2831" s="269"/>
      <c r="L2831" s="269" t="str">
        <f t="shared" si="1"/>
        <v/>
      </c>
    </row>
    <row r="2832" ht="15.75" customHeight="1">
      <c r="A2832" s="375"/>
      <c r="K2832" s="269"/>
      <c r="L2832" s="269" t="str">
        <f t="shared" si="1"/>
        <v/>
      </c>
    </row>
    <row r="2833" ht="15.75" customHeight="1">
      <c r="A2833" s="375"/>
      <c r="K2833" s="269"/>
      <c r="L2833" s="269" t="str">
        <f t="shared" si="1"/>
        <v/>
      </c>
    </row>
    <row r="2834" ht="15.75" customHeight="1">
      <c r="A2834" s="375"/>
      <c r="K2834" s="269"/>
      <c r="L2834" s="269" t="str">
        <f t="shared" si="1"/>
        <v/>
      </c>
    </row>
    <row r="2835" ht="15.75" customHeight="1">
      <c r="A2835" s="375"/>
      <c r="K2835" s="269"/>
      <c r="L2835" s="269" t="str">
        <f t="shared" si="1"/>
        <v/>
      </c>
    </row>
    <row r="2836" ht="15.75" customHeight="1">
      <c r="A2836" s="375"/>
      <c r="K2836" s="269"/>
      <c r="L2836" s="269" t="str">
        <f t="shared" si="1"/>
        <v/>
      </c>
    </row>
    <row r="2837" ht="15.75" customHeight="1">
      <c r="A2837" s="375"/>
      <c r="K2837" s="269"/>
      <c r="L2837" s="269" t="str">
        <f t="shared" si="1"/>
        <v/>
      </c>
    </row>
    <row r="2838" ht="15.75" customHeight="1">
      <c r="A2838" s="375"/>
      <c r="K2838" s="269"/>
      <c r="L2838" s="269" t="str">
        <f t="shared" si="1"/>
        <v/>
      </c>
    </row>
    <row r="2839" ht="15.75" customHeight="1">
      <c r="A2839" s="375"/>
      <c r="K2839" s="269"/>
      <c r="L2839" s="269" t="str">
        <f t="shared" si="1"/>
        <v/>
      </c>
    </row>
    <row r="2840" ht="15.75" customHeight="1">
      <c r="A2840" s="375"/>
      <c r="K2840" s="269"/>
      <c r="L2840" s="269" t="str">
        <f t="shared" si="1"/>
        <v/>
      </c>
    </row>
    <row r="2841" ht="15.75" customHeight="1">
      <c r="A2841" s="375"/>
      <c r="K2841" s="269"/>
      <c r="L2841" s="269" t="str">
        <f t="shared" si="1"/>
        <v/>
      </c>
    </row>
    <row r="2842" ht="15.75" customHeight="1">
      <c r="A2842" s="375"/>
      <c r="K2842" s="269"/>
      <c r="L2842" s="269" t="str">
        <f t="shared" si="1"/>
        <v/>
      </c>
    </row>
    <row r="2843" ht="15.75" customHeight="1">
      <c r="A2843" s="375"/>
      <c r="K2843" s="269"/>
      <c r="L2843" s="269" t="str">
        <f t="shared" si="1"/>
        <v/>
      </c>
    </row>
    <row r="2844" ht="15.75" customHeight="1">
      <c r="A2844" s="375"/>
      <c r="K2844" s="269"/>
      <c r="L2844" s="269" t="str">
        <f t="shared" si="1"/>
        <v/>
      </c>
    </row>
    <row r="2845" ht="15.75" customHeight="1">
      <c r="A2845" s="375"/>
      <c r="K2845" s="269"/>
      <c r="L2845" s="269" t="str">
        <f t="shared" si="1"/>
        <v/>
      </c>
    </row>
    <row r="2846" ht="15.75" customHeight="1">
      <c r="A2846" s="375"/>
      <c r="K2846" s="269"/>
      <c r="L2846" s="269" t="str">
        <f t="shared" si="1"/>
        <v/>
      </c>
    </row>
    <row r="2847" ht="15.75" customHeight="1">
      <c r="A2847" s="375"/>
      <c r="K2847" s="269"/>
      <c r="L2847" s="269" t="str">
        <f t="shared" si="1"/>
        <v/>
      </c>
    </row>
    <row r="2848" ht="15.75" customHeight="1">
      <c r="A2848" s="375"/>
      <c r="K2848" s="269"/>
      <c r="L2848" s="269" t="str">
        <f t="shared" si="1"/>
        <v/>
      </c>
    </row>
    <row r="2849" ht="15.75" customHeight="1">
      <c r="A2849" s="375"/>
      <c r="K2849" s="269"/>
      <c r="L2849" s="269" t="str">
        <f t="shared" si="1"/>
        <v/>
      </c>
    </row>
    <row r="2850" ht="15.75" customHeight="1">
      <c r="A2850" s="375"/>
      <c r="K2850" s="269"/>
      <c r="L2850" s="269" t="str">
        <f t="shared" si="1"/>
        <v/>
      </c>
    </row>
    <row r="2851" ht="15.75" customHeight="1">
      <c r="A2851" s="375"/>
      <c r="K2851" s="269"/>
      <c r="L2851" s="269" t="str">
        <f t="shared" si="1"/>
        <v/>
      </c>
    </row>
    <row r="2852" ht="15.75" customHeight="1">
      <c r="A2852" s="375"/>
      <c r="K2852" s="269"/>
      <c r="L2852" s="269" t="str">
        <f t="shared" si="1"/>
        <v/>
      </c>
    </row>
    <row r="2853" ht="15.75" customHeight="1">
      <c r="A2853" s="375"/>
      <c r="K2853" s="269"/>
      <c r="L2853" s="269" t="str">
        <f t="shared" si="1"/>
        <v/>
      </c>
    </row>
    <row r="2854" ht="15.75" customHeight="1">
      <c r="A2854" s="375"/>
      <c r="K2854" s="269"/>
      <c r="L2854" s="269" t="str">
        <f t="shared" si="1"/>
        <v/>
      </c>
    </row>
    <row r="2855" ht="15.75" customHeight="1">
      <c r="A2855" s="375"/>
      <c r="K2855" s="269"/>
      <c r="L2855" s="269" t="str">
        <f t="shared" si="1"/>
        <v/>
      </c>
    </row>
    <row r="2856" ht="15.75" customHeight="1">
      <c r="A2856" s="375"/>
      <c r="K2856" s="269"/>
      <c r="L2856" s="269" t="str">
        <f t="shared" si="1"/>
        <v/>
      </c>
    </row>
    <row r="2857" ht="15.75" customHeight="1">
      <c r="A2857" s="375"/>
      <c r="K2857" s="269"/>
      <c r="L2857" s="269" t="str">
        <f t="shared" si="1"/>
        <v/>
      </c>
    </row>
    <row r="2858" ht="15.75" customHeight="1">
      <c r="A2858" s="375"/>
      <c r="K2858" s="269"/>
      <c r="L2858" s="269" t="str">
        <f t="shared" si="1"/>
        <v/>
      </c>
    </row>
    <row r="2859" ht="15.75" customHeight="1">
      <c r="A2859" s="375"/>
      <c r="K2859" s="269"/>
      <c r="L2859" s="269" t="str">
        <f t="shared" si="1"/>
        <v/>
      </c>
    </row>
    <row r="2860" ht="15.75" customHeight="1">
      <c r="A2860" s="375"/>
      <c r="K2860" s="269"/>
      <c r="L2860" s="269" t="str">
        <f t="shared" si="1"/>
        <v/>
      </c>
    </row>
    <row r="2861" ht="15.75" customHeight="1">
      <c r="A2861" s="375"/>
      <c r="K2861" s="269"/>
      <c r="L2861" s="269" t="str">
        <f t="shared" si="1"/>
        <v/>
      </c>
    </row>
    <row r="2862" ht="15.75" customHeight="1">
      <c r="A2862" s="375"/>
      <c r="K2862" s="269"/>
      <c r="L2862" s="269" t="str">
        <f t="shared" si="1"/>
        <v/>
      </c>
    </row>
    <row r="2863" ht="15.75" customHeight="1">
      <c r="A2863" s="375"/>
      <c r="K2863" s="269"/>
      <c r="L2863" s="269" t="str">
        <f t="shared" si="1"/>
        <v/>
      </c>
    </row>
    <row r="2864" ht="15.75" customHeight="1">
      <c r="A2864" s="375"/>
      <c r="K2864" s="269"/>
      <c r="L2864" s="269" t="str">
        <f t="shared" si="1"/>
        <v/>
      </c>
    </row>
    <row r="2865" ht="15.75" customHeight="1">
      <c r="A2865" s="375"/>
      <c r="K2865" s="269"/>
      <c r="L2865" s="269" t="str">
        <f t="shared" si="1"/>
        <v/>
      </c>
    </row>
    <row r="2866" ht="15.75" customHeight="1">
      <c r="A2866" s="375"/>
      <c r="K2866" s="269"/>
      <c r="L2866" s="269" t="str">
        <f t="shared" si="1"/>
        <v/>
      </c>
    </row>
    <row r="2867" ht="15.75" customHeight="1">
      <c r="A2867" s="375"/>
      <c r="K2867" s="269"/>
      <c r="L2867" s="269" t="str">
        <f t="shared" si="1"/>
        <v/>
      </c>
    </row>
    <row r="2868" ht="15.75" customHeight="1">
      <c r="A2868" s="375"/>
      <c r="K2868" s="269"/>
      <c r="L2868" s="269" t="str">
        <f t="shared" si="1"/>
        <v/>
      </c>
    </row>
    <row r="2869" ht="15.75" customHeight="1">
      <c r="A2869" s="375"/>
      <c r="K2869" s="269"/>
      <c r="L2869" s="269" t="str">
        <f t="shared" si="1"/>
        <v/>
      </c>
    </row>
    <row r="2870" ht="15.75" customHeight="1">
      <c r="A2870" s="375"/>
      <c r="K2870" s="269"/>
      <c r="L2870" s="269" t="str">
        <f t="shared" si="1"/>
        <v/>
      </c>
    </row>
    <row r="2871" ht="15.75" customHeight="1">
      <c r="A2871" s="375"/>
      <c r="K2871" s="269"/>
      <c r="L2871" s="269" t="str">
        <f t="shared" si="1"/>
        <v/>
      </c>
    </row>
    <row r="2872" ht="15.75" customHeight="1">
      <c r="A2872" s="375"/>
      <c r="K2872" s="269"/>
      <c r="L2872" s="269" t="str">
        <f t="shared" si="1"/>
        <v/>
      </c>
    </row>
    <row r="2873" ht="15.75" customHeight="1">
      <c r="A2873" s="375"/>
      <c r="K2873" s="269"/>
      <c r="L2873" s="269" t="str">
        <f t="shared" si="1"/>
        <v/>
      </c>
    </row>
    <row r="2874" ht="15.75" customHeight="1">
      <c r="A2874" s="375"/>
      <c r="K2874" s="269"/>
      <c r="L2874" s="269" t="str">
        <f t="shared" si="1"/>
        <v/>
      </c>
    </row>
    <row r="2875" ht="15.75" customHeight="1">
      <c r="A2875" s="375"/>
      <c r="K2875" s="269"/>
      <c r="L2875" s="269" t="str">
        <f t="shared" si="1"/>
        <v/>
      </c>
    </row>
    <row r="2876" ht="15.75" customHeight="1">
      <c r="A2876" s="375"/>
      <c r="K2876" s="269"/>
      <c r="L2876" s="269" t="str">
        <f t="shared" si="1"/>
        <v/>
      </c>
    </row>
    <row r="2877" ht="15.75" customHeight="1">
      <c r="A2877" s="375"/>
      <c r="K2877" s="269"/>
      <c r="L2877" s="269" t="str">
        <f t="shared" si="1"/>
        <v/>
      </c>
    </row>
    <row r="2878" ht="15.75" customHeight="1">
      <c r="A2878" s="375"/>
      <c r="K2878" s="269"/>
      <c r="L2878" s="269" t="str">
        <f t="shared" si="1"/>
        <v/>
      </c>
    </row>
    <row r="2879" ht="15.75" customHeight="1">
      <c r="A2879" s="375"/>
      <c r="K2879" s="269"/>
      <c r="L2879" s="269" t="str">
        <f t="shared" si="1"/>
        <v/>
      </c>
    </row>
    <row r="2880" ht="15.75" customHeight="1">
      <c r="A2880" s="375"/>
      <c r="K2880" s="269"/>
      <c r="L2880" s="269" t="str">
        <f t="shared" si="1"/>
        <v/>
      </c>
    </row>
    <row r="2881" ht="15.75" customHeight="1">
      <c r="A2881" s="375"/>
      <c r="K2881" s="269"/>
      <c r="L2881" s="269" t="str">
        <f t="shared" si="1"/>
        <v/>
      </c>
    </row>
    <row r="2882" ht="15.75" customHeight="1">
      <c r="A2882" s="375"/>
      <c r="K2882" s="269"/>
      <c r="L2882" s="269" t="str">
        <f t="shared" si="1"/>
        <v/>
      </c>
    </row>
    <row r="2883" ht="15.75" customHeight="1">
      <c r="A2883" s="375"/>
      <c r="K2883" s="269"/>
      <c r="L2883" s="269" t="str">
        <f t="shared" si="1"/>
        <v/>
      </c>
    </row>
    <row r="2884" ht="15.75" customHeight="1">
      <c r="A2884" s="375"/>
      <c r="K2884" s="269"/>
      <c r="L2884" s="269" t="str">
        <f t="shared" si="1"/>
        <v/>
      </c>
    </row>
    <row r="2885" ht="15.75" customHeight="1">
      <c r="A2885" s="375"/>
      <c r="K2885" s="269"/>
      <c r="L2885" s="269" t="str">
        <f t="shared" si="1"/>
        <v/>
      </c>
    </row>
    <row r="2886" ht="15.75" customHeight="1">
      <c r="A2886" s="375"/>
      <c r="K2886" s="269"/>
      <c r="L2886" s="269" t="str">
        <f t="shared" si="1"/>
        <v/>
      </c>
    </row>
    <row r="2887" ht="15.75" customHeight="1">
      <c r="A2887" s="375"/>
      <c r="K2887" s="269"/>
      <c r="L2887" s="269" t="str">
        <f t="shared" si="1"/>
        <v/>
      </c>
    </row>
    <row r="2888" ht="15.75" customHeight="1">
      <c r="A2888" s="375"/>
      <c r="K2888" s="269"/>
      <c r="L2888" s="269" t="str">
        <f t="shared" si="1"/>
        <v/>
      </c>
    </row>
    <row r="2889" ht="15.75" customHeight="1">
      <c r="A2889" s="375"/>
      <c r="K2889" s="269"/>
      <c r="L2889" s="269" t="str">
        <f t="shared" si="1"/>
        <v/>
      </c>
    </row>
    <row r="2890" ht="15.75" customHeight="1">
      <c r="A2890" s="375"/>
      <c r="K2890" s="269"/>
      <c r="L2890" s="269" t="str">
        <f t="shared" si="1"/>
        <v/>
      </c>
    </row>
    <row r="2891" ht="15.75" customHeight="1">
      <c r="A2891" s="375"/>
      <c r="K2891" s="269"/>
      <c r="L2891" s="269" t="str">
        <f t="shared" si="1"/>
        <v/>
      </c>
    </row>
    <row r="2892" ht="15.75" customHeight="1">
      <c r="A2892" s="375"/>
      <c r="K2892" s="269"/>
      <c r="L2892" s="269" t="str">
        <f t="shared" si="1"/>
        <v/>
      </c>
    </row>
    <row r="2893" ht="15.75" customHeight="1">
      <c r="A2893" s="375"/>
      <c r="K2893" s="269"/>
      <c r="L2893" s="269" t="str">
        <f t="shared" si="1"/>
        <v/>
      </c>
    </row>
    <row r="2894" ht="15.75" customHeight="1">
      <c r="A2894" s="375"/>
      <c r="K2894" s="269"/>
      <c r="L2894" s="269" t="str">
        <f t="shared" si="1"/>
        <v/>
      </c>
    </row>
    <row r="2895" ht="15.75" customHeight="1">
      <c r="A2895" s="375"/>
      <c r="K2895" s="269"/>
      <c r="L2895" s="269" t="str">
        <f t="shared" si="1"/>
        <v/>
      </c>
    </row>
    <row r="2896" ht="15.75" customHeight="1">
      <c r="A2896" s="375"/>
      <c r="K2896" s="269"/>
      <c r="L2896" s="269" t="str">
        <f t="shared" si="1"/>
        <v/>
      </c>
    </row>
    <row r="2897" ht="15.75" customHeight="1">
      <c r="A2897" s="375"/>
      <c r="K2897" s="269"/>
      <c r="L2897" s="269" t="str">
        <f t="shared" si="1"/>
        <v/>
      </c>
    </row>
    <row r="2898" ht="15.75" customHeight="1">
      <c r="A2898" s="375"/>
      <c r="K2898" s="269"/>
      <c r="L2898" s="269" t="str">
        <f t="shared" si="1"/>
        <v/>
      </c>
    </row>
    <row r="2899" ht="15.75" customHeight="1">
      <c r="A2899" s="375"/>
      <c r="K2899" s="269"/>
      <c r="L2899" s="269" t="str">
        <f t="shared" si="1"/>
        <v/>
      </c>
    </row>
    <row r="2900" ht="15.75" customHeight="1">
      <c r="A2900" s="375"/>
      <c r="K2900" s="269"/>
      <c r="L2900" s="269" t="str">
        <f t="shared" si="1"/>
        <v/>
      </c>
    </row>
    <row r="2901" ht="15.75" customHeight="1">
      <c r="A2901" s="375"/>
      <c r="K2901" s="269"/>
      <c r="L2901" s="269" t="str">
        <f t="shared" si="1"/>
        <v/>
      </c>
    </row>
    <row r="2902" ht="15.75" customHeight="1">
      <c r="A2902" s="375"/>
      <c r="K2902" s="269"/>
      <c r="L2902" s="269" t="str">
        <f t="shared" si="1"/>
        <v/>
      </c>
    </row>
    <row r="2903" ht="15.75" customHeight="1">
      <c r="A2903" s="375"/>
      <c r="K2903" s="269"/>
      <c r="L2903" s="269" t="str">
        <f t="shared" si="1"/>
        <v/>
      </c>
    </row>
    <row r="2904" ht="15.75" customHeight="1">
      <c r="A2904" s="375"/>
      <c r="K2904" s="269"/>
      <c r="L2904" s="269" t="str">
        <f t="shared" si="1"/>
        <v/>
      </c>
    </row>
    <row r="2905" ht="15.75" customHeight="1">
      <c r="A2905" s="375"/>
      <c r="K2905" s="269"/>
      <c r="L2905" s="269" t="str">
        <f t="shared" si="1"/>
        <v/>
      </c>
    </row>
    <row r="2906" ht="15.75" customHeight="1">
      <c r="A2906" s="375"/>
      <c r="K2906" s="269"/>
      <c r="L2906" s="269" t="str">
        <f t="shared" si="1"/>
        <v/>
      </c>
    </row>
    <row r="2907" ht="15.75" customHeight="1">
      <c r="A2907" s="375"/>
      <c r="K2907" s="269"/>
      <c r="L2907" s="269" t="str">
        <f t="shared" si="1"/>
        <v/>
      </c>
    </row>
    <row r="2908" ht="15.75" customHeight="1">
      <c r="A2908" s="375"/>
      <c r="K2908" s="269"/>
      <c r="L2908" s="269" t="str">
        <f t="shared" si="1"/>
        <v/>
      </c>
    </row>
    <row r="2909" ht="15.75" customHeight="1">
      <c r="A2909" s="375"/>
      <c r="K2909" s="269"/>
      <c r="L2909" s="269" t="str">
        <f t="shared" si="1"/>
        <v/>
      </c>
    </row>
    <row r="2910" ht="15.75" customHeight="1">
      <c r="A2910" s="375"/>
      <c r="K2910" s="269"/>
      <c r="L2910" s="269" t="str">
        <f t="shared" si="1"/>
        <v/>
      </c>
    </row>
    <row r="2911" ht="15.75" customHeight="1">
      <c r="A2911" s="375"/>
      <c r="K2911" s="269"/>
      <c r="L2911" s="269" t="str">
        <f t="shared" si="1"/>
        <v/>
      </c>
    </row>
    <row r="2912" ht="15.75" customHeight="1">
      <c r="A2912" s="375"/>
      <c r="K2912" s="269"/>
      <c r="L2912" s="269" t="str">
        <f t="shared" si="1"/>
        <v/>
      </c>
    </row>
    <row r="2913" ht="15.75" customHeight="1">
      <c r="A2913" s="375"/>
      <c r="K2913" s="269"/>
      <c r="L2913" s="269" t="str">
        <f t="shared" si="1"/>
        <v/>
      </c>
    </row>
    <row r="2914" ht="15.75" customHeight="1">
      <c r="A2914" s="375"/>
      <c r="K2914" s="269"/>
      <c r="L2914" s="269" t="str">
        <f t="shared" si="1"/>
        <v/>
      </c>
    </row>
    <row r="2915" ht="15.75" customHeight="1">
      <c r="A2915" s="375"/>
      <c r="K2915" s="269"/>
      <c r="L2915" s="269" t="str">
        <f t="shared" si="1"/>
        <v/>
      </c>
    </row>
    <row r="2916" ht="15.75" customHeight="1">
      <c r="A2916" s="375"/>
      <c r="K2916" s="269"/>
      <c r="L2916" s="269" t="str">
        <f t="shared" si="1"/>
        <v/>
      </c>
    </row>
    <row r="2917" ht="15.75" customHeight="1">
      <c r="A2917" s="375"/>
      <c r="K2917" s="269"/>
      <c r="L2917" s="269" t="str">
        <f t="shared" si="1"/>
        <v/>
      </c>
    </row>
    <row r="2918" ht="15.75" customHeight="1">
      <c r="A2918" s="375"/>
      <c r="K2918" s="269"/>
      <c r="L2918" s="269" t="str">
        <f t="shared" si="1"/>
        <v/>
      </c>
    </row>
    <row r="2919" ht="15.75" customHeight="1">
      <c r="A2919" s="375"/>
      <c r="K2919" s="269"/>
      <c r="L2919" s="269" t="str">
        <f t="shared" si="1"/>
        <v/>
      </c>
    </row>
    <row r="2920" ht="15.75" customHeight="1">
      <c r="A2920" s="375"/>
      <c r="K2920" s="269"/>
      <c r="L2920" s="269" t="str">
        <f t="shared" si="1"/>
        <v/>
      </c>
    </row>
    <row r="2921" ht="15.75" customHeight="1">
      <c r="A2921" s="375"/>
      <c r="K2921" s="269"/>
      <c r="L2921" s="269" t="str">
        <f t="shared" si="1"/>
        <v/>
      </c>
    </row>
    <row r="2922" ht="15.75" customHeight="1">
      <c r="A2922" s="375"/>
      <c r="K2922" s="269"/>
      <c r="L2922" s="269" t="str">
        <f t="shared" si="1"/>
        <v/>
      </c>
    </row>
    <row r="2923" ht="15.75" customHeight="1">
      <c r="A2923" s="375"/>
      <c r="K2923" s="269"/>
      <c r="L2923" s="269" t="str">
        <f t="shared" si="1"/>
        <v/>
      </c>
    </row>
    <row r="2924" ht="15.75" customHeight="1">
      <c r="A2924" s="375"/>
      <c r="K2924" s="269"/>
      <c r="L2924" s="269" t="str">
        <f t="shared" si="1"/>
        <v/>
      </c>
    </row>
    <row r="2925" ht="15.75" customHeight="1">
      <c r="A2925" s="375"/>
      <c r="K2925" s="269"/>
      <c r="L2925" s="269" t="str">
        <f t="shared" si="1"/>
        <v/>
      </c>
    </row>
    <row r="2926" ht="15.75" customHeight="1">
      <c r="A2926" s="375"/>
      <c r="K2926" s="269"/>
      <c r="L2926" s="269" t="str">
        <f t="shared" si="1"/>
        <v/>
      </c>
    </row>
    <row r="2927" ht="15.75" customHeight="1">
      <c r="A2927" s="375"/>
      <c r="K2927" s="269"/>
      <c r="L2927" s="269" t="str">
        <f t="shared" si="1"/>
        <v/>
      </c>
    </row>
    <row r="2928" ht="15.75" customHeight="1">
      <c r="A2928" s="375"/>
      <c r="K2928" s="269"/>
      <c r="L2928" s="269" t="str">
        <f t="shared" si="1"/>
        <v/>
      </c>
    </row>
    <row r="2929" ht="15.75" customHeight="1">
      <c r="A2929" s="375"/>
      <c r="K2929" s="269"/>
      <c r="L2929" s="269" t="str">
        <f t="shared" si="1"/>
        <v/>
      </c>
    </row>
    <row r="2930" ht="15.75" customHeight="1">
      <c r="A2930" s="375"/>
      <c r="K2930" s="269"/>
      <c r="L2930" s="269" t="str">
        <f t="shared" si="1"/>
        <v/>
      </c>
    </row>
    <row r="2931" ht="15.75" customHeight="1">
      <c r="A2931" s="375"/>
      <c r="K2931" s="269"/>
      <c r="L2931" s="269" t="str">
        <f t="shared" si="1"/>
        <v/>
      </c>
    </row>
    <row r="2932" ht="15.75" customHeight="1">
      <c r="A2932" s="375"/>
      <c r="K2932" s="269"/>
      <c r="L2932" s="269" t="str">
        <f t="shared" si="1"/>
        <v/>
      </c>
    </row>
    <row r="2933" ht="15.75" customHeight="1">
      <c r="A2933" s="375"/>
      <c r="K2933" s="269"/>
      <c r="L2933" s="269" t="str">
        <f t="shared" si="1"/>
        <v/>
      </c>
    </row>
    <row r="2934" ht="15.75" customHeight="1">
      <c r="A2934" s="375"/>
      <c r="K2934" s="269"/>
      <c r="L2934" s="269" t="str">
        <f t="shared" si="1"/>
        <v/>
      </c>
    </row>
    <row r="2935" ht="15.75" customHeight="1">
      <c r="A2935" s="375"/>
      <c r="K2935" s="269"/>
      <c r="L2935" s="269" t="str">
        <f t="shared" si="1"/>
        <v/>
      </c>
    </row>
    <row r="2936" ht="15.75" customHeight="1">
      <c r="A2936" s="375"/>
      <c r="K2936" s="269"/>
      <c r="L2936" s="269" t="str">
        <f t="shared" si="1"/>
        <v/>
      </c>
    </row>
    <row r="2937" ht="15.75" customHeight="1">
      <c r="A2937" s="375"/>
      <c r="K2937" s="269"/>
      <c r="L2937" s="269" t="str">
        <f t="shared" si="1"/>
        <v/>
      </c>
    </row>
    <row r="2938" ht="15.75" customHeight="1">
      <c r="A2938" s="375"/>
      <c r="K2938" s="269"/>
      <c r="L2938" s="269" t="str">
        <f t="shared" si="1"/>
        <v/>
      </c>
    </row>
    <row r="2939" ht="15.75" customHeight="1">
      <c r="A2939" s="375"/>
      <c r="K2939" s="269"/>
      <c r="L2939" s="269" t="str">
        <f t="shared" si="1"/>
        <v/>
      </c>
    </row>
    <row r="2940" ht="15.75" customHeight="1">
      <c r="A2940" s="375"/>
      <c r="K2940" s="269"/>
      <c r="L2940" s="269" t="str">
        <f t="shared" si="1"/>
        <v/>
      </c>
    </row>
    <row r="2941" ht="15.75" customHeight="1">
      <c r="A2941" s="375"/>
      <c r="K2941" s="269"/>
      <c r="L2941" s="269" t="str">
        <f t="shared" si="1"/>
        <v/>
      </c>
    </row>
    <row r="2942" ht="15.75" customHeight="1">
      <c r="A2942" s="375"/>
      <c r="K2942" s="269"/>
      <c r="L2942" s="269" t="str">
        <f t="shared" si="1"/>
        <v/>
      </c>
    </row>
    <row r="2943" ht="15.75" customHeight="1">
      <c r="A2943" s="375"/>
      <c r="K2943" s="269"/>
      <c r="L2943" s="269" t="str">
        <f t="shared" si="1"/>
        <v/>
      </c>
    </row>
    <row r="2944" ht="15.75" customHeight="1">
      <c r="A2944" s="375"/>
      <c r="K2944" s="269"/>
      <c r="L2944" s="269" t="str">
        <f t="shared" si="1"/>
        <v/>
      </c>
    </row>
    <row r="2945" ht="15.75" customHeight="1">
      <c r="A2945" s="375"/>
      <c r="K2945" s="269"/>
      <c r="L2945" s="269" t="str">
        <f t="shared" si="1"/>
        <v/>
      </c>
    </row>
    <row r="2946" ht="15.75" customHeight="1">
      <c r="A2946" s="375"/>
      <c r="K2946" s="269"/>
      <c r="L2946" s="269" t="str">
        <f t="shared" si="1"/>
        <v/>
      </c>
    </row>
    <row r="2947" ht="15.75" customHeight="1">
      <c r="A2947" s="375"/>
      <c r="K2947" s="269"/>
      <c r="L2947" s="269" t="str">
        <f t="shared" si="1"/>
        <v/>
      </c>
    </row>
    <row r="2948" ht="15.75" customHeight="1">
      <c r="A2948" s="375"/>
      <c r="K2948" s="269"/>
      <c r="L2948" s="269" t="str">
        <f t="shared" si="1"/>
        <v/>
      </c>
    </row>
    <row r="2949" ht="15.75" customHeight="1">
      <c r="A2949" s="375"/>
      <c r="K2949" s="269"/>
      <c r="L2949" s="269" t="str">
        <f t="shared" si="1"/>
        <v/>
      </c>
    </row>
    <row r="2950" ht="15.75" customHeight="1">
      <c r="A2950" s="375"/>
      <c r="K2950" s="269"/>
      <c r="L2950" s="269" t="str">
        <f t="shared" si="1"/>
        <v/>
      </c>
    </row>
    <row r="2951" ht="15.75" customHeight="1">
      <c r="A2951" s="375"/>
      <c r="K2951" s="269"/>
      <c r="L2951" s="269" t="str">
        <f t="shared" si="1"/>
        <v/>
      </c>
    </row>
    <row r="2952" ht="15.75" customHeight="1">
      <c r="A2952" s="375"/>
      <c r="K2952" s="269"/>
      <c r="L2952" s="269" t="str">
        <f t="shared" si="1"/>
        <v/>
      </c>
    </row>
    <row r="2953" ht="15.75" customHeight="1">
      <c r="A2953" s="375"/>
      <c r="K2953" s="269"/>
      <c r="L2953" s="269" t="str">
        <f t="shared" si="1"/>
        <v/>
      </c>
    </row>
    <row r="2954" ht="15.75" customHeight="1">
      <c r="A2954" s="375"/>
      <c r="K2954" s="269"/>
      <c r="L2954" s="269" t="str">
        <f t="shared" si="1"/>
        <v/>
      </c>
    </row>
    <row r="2955" ht="15.75" customHeight="1">
      <c r="A2955" s="375"/>
      <c r="K2955" s="269"/>
      <c r="L2955" s="269" t="str">
        <f t="shared" si="1"/>
        <v/>
      </c>
    </row>
    <row r="2956" ht="15.75" customHeight="1">
      <c r="A2956" s="375"/>
      <c r="K2956" s="269"/>
      <c r="L2956" s="269" t="str">
        <f t="shared" si="1"/>
        <v/>
      </c>
    </row>
    <row r="2957" ht="15.75" customHeight="1">
      <c r="A2957" s="375"/>
      <c r="K2957" s="269"/>
      <c r="L2957" s="269" t="str">
        <f t="shared" si="1"/>
        <v/>
      </c>
    </row>
    <row r="2958" ht="15.75" customHeight="1">
      <c r="A2958" s="375"/>
      <c r="K2958" s="269"/>
      <c r="L2958" s="269" t="str">
        <f t="shared" si="1"/>
        <v/>
      </c>
    </row>
    <row r="2959" ht="15.75" customHeight="1">
      <c r="A2959" s="375"/>
      <c r="K2959" s="269"/>
      <c r="L2959" s="269" t="str">
        <f t="shared" si="1"/>
        <v/>
      </c>
    </row>
    <row r="2960" ht="15.75" customHeight="1">
      <c r="A2960" s="375"/>
      <c r="K2960" s="269"/>
      <c r="L2960" s="269" t="str">
        <f t="shared" si="1"/>
        <v/>
      </c>
    </row>
    <row r="2961" ht="15.75" customHeight="1">
      <c r="A2961" s="375"/>
      <c r="K2961" s="269"/>
      <c r="L2961" s="269" t="str">
        <f t="shared" si="1"/>
        <v/>
      </c>
    </row>
    <row r="2962" ht="15.75" customHeight="1">
      <c r="A2962" s="375"/>
      <c r="K2962" s="269"/>
      <c r="L2962" s="269" t="str">
        <f t="shared" si="1"/>
        <v/>
      </c>
    </row>
    <row r="2963" ht="15.75" customHeight="1">
      <c r="A2963" s="375"/>
      <c r="K2963" s="269"/>
      <c r="L2963" s="269" t="str">
        <f t="shared" si="1"/>
        <v/>
      </c>
    </row>
    <row r="2964" ht="15.75" customHeight="1">
      <c r="A2964" s="375"/>
      <c r="K2964" s="269"/>
      <c r="L2964" s="269" t="str">
        <f t="shared" si="1"/>
        <v/>
      </c>
    </row>
    <row r="2965" ht="15.75" customHeight="1">
      <c r="A2965" s="375"/>
      <c r="K2965" s="269"/>
      <c r="L2965" s="269" t="str">
        <f t="shared" si="1"/>
        <v/>
      </c>
    </row>
    <row r="2966" ht="15.75" customHeight="1">
      <c r="A2966" s="375"/>
      <c r="K2966" s="269"/>
      <c r="L2966" s="269" t="str">
        <f t="shared" si="1"/>
        <v/>
      </c>
    </row>
    <row r="2967" ht="15.75" customHeight="1">
      <c r="A2967" s="375"/>
      <c r="K2967" s="269"/>
      <c r="L2967" s="269" t="str">
        <f t="shared" si="1"/>
        <v/>
      </c>
    </row>
    <row r="2968" ht="15.75" customHeight="1">
      <c r="A2968" s="375"/>
      <c r="K2968" s="269"/>
      <c r="L2968" s="269" t="str">
        <f t="shared" si="1"/>
        <v/>
      </c>
    </row>
    <row r="2969" ht="15.75" customHeight="1">
      <c r="A2969" s="375"/>
      <c r="K2969" s="269"/>
      <c r="L2969" s="269" t="str">
        <f t="shared" si="1"/>
        <v/>
      </c>
    </row>
    <row r="2970" ht="15.75" customHeight="1">
      <c r="A2970" s="375"/>
      <c r="K2970" s="269"/>
      <c r="L2970" s="269" t="str">
        <f t="shared" si="1"/>
        <v/>
      </c>
    </row>
    <row r="2971" ht="15.75" customHeight="1">
      <c r="A2971" s="375"/>
      <c r="K2971" s="269"/>
      <c r="L2971" s="269" t="str">
        <f t="shared" si="1"/>
        <v/>
      </c>
    </row>
    <row r="2972" ht="15.75" customHeight="1">
      <c r="A2972" s="375"/>
      <c r="K2972" s="269"/>
      <c r="L2972" s="269" t="str">
        <f t="shared" si="1"/>
        <v/>
      </c>
    </row>
    <row r="2973" ht="15.75" customHeight="1">
      <c r="A2973" s="375"/>
      <c r="K2973" s="269"/>
      <c r="L2973" s="269" t="str">
        <f t="shared" si="1"/>
        <v/>
      </c>
    </row>
    <row r="2974" ht="15.75" customHeight="1">
      <c r="A2974" s="375"/>
      <c r="K2974" s="269"/>
      <c r="L2974" s="269" t="str">
        <f t="shared" si="1"/>
        <v/>
      </c>
    </row>
    <row r="2975" ht="15.75" customHeight="1">
      <c r="A2975" s="375"/>
      <c r="K2975" s="269"/>
      <c r="L2975" s="269" t="str">
        <f t="shared" si="1"/>
        <v/>
      </c>
    </row>
    <row r="2976" ht="15.75" customHeight="1">
      <c r="A2976" s="375"/>
      <c r="K2976" s="269"/>
      <c r="L2976" s="269" t="str">
        <f t="shared" si="1"/>
        <v/>
      </c>
    </row>
    <row r="2977" ht="15.75" customHeight="1">
      <c r="A2977" s="375"/>
      <c r="K2977" s="269"/>
      <c r="L2977" s="269" t="str">
        <f t="shared" si="1"/>
        <v/>
      </c>
    </row>
    <row r="2978" ht="15.75" customHeight="1">
      <c r="A2978" s="375"/>
      <c r="K2978" s="269"/>
      <c r="L2978" s="269" t="str">
        <f t="shared" si="1"/>
        <v/>
      </c>
    </row>
    <row r="2979" ht="15.75" customHeight="1">
      <c r="A2979" s="375"/>
      <c r="K2979" s="269"/>
      <c r="L2979" s="269" t="str">
        <f t="shared" si="1"/>
        <v/>
      </c>
    </row>
    <row r="2980" ht="15.75" customHeight="1">
      <c r="A2980" s="375"/>
      <c r="K2980" s="269"/>
      <c r="L2980" s="269" t="str">
        <f t="shared" si="1"/>
        <v/>
      </c>
    </row>
    <row r="2981" ht="15.75" customHeight="1">
      <c r="A2981" s="375"/>
      <c r="K2981" s="269"/>
      <c r="L2981" s="269" t="str">
        <f t="shared" si="1"/>
        <v/>
      </c>
    </row>
    <row r="2982" ht="15.75" customHeight="1">
      <c r="A2982" s="375"/>
      <c r="K2982" s="269"/>
      <c r="L2982" s="269" t="str">
        <f t="shared" si="1"/>
        <v/>
      </c>
    </row>
    <row r="2983" ht="15.75" customHeight="1">
      <c r="A2983" s="375"/>
      <c r="K2983" s="269"/>
      <c r="L2983" s="269" t="str">
        <f t="shared" si="1"/>
        <v/>
      </c>
    </row>
    <row r="2984" ht="15.75" customHeight="1">
      <c r="A2984" s="375"/>
      <c r="K2984" s="269"/>
      <c r="L2984" s="269" t="str">
        <f t="shared" si="1"/>
        <v/>
      </c>
    </row>
    <row r="2985" ht="15.75" customHeight="1">
      <c r="A2985" s="375"/>
      <c r="K2985" s="269"/>
      <c r="L2985" s="269" t="str">
        <f t="shared" si="1"/>
        <v/>
      </c>
    </row>
    <row r="2986" ht="15.75" customHeight="1">
      <c r="A2986" s="375"/>
      <c r="K2986" s="269"/>
      <c r="L2986" s="269" t="str">
        <f t="shared" si="1"/>
        <v/>
      </c>
    </row>
    <row r="2987" ht="15.75" customHeight="1">
      <c r="A2987" s="375"/>
      <c r="K2987" s="269"/>
      <c r="L2987" s="269" t="str">
        <f t="shared" si="1"/>
        <v/>
      </c>
    </row>
    <row r="2988" ht="15.75" customHeight="1">
      <c r="A2988" s="375"/>
      <c r="K2988" s="269"/>
      <c r="L2988" s="269" t="str">
        <f t="shared" si="1"/>
        <v/>
      </c>
    </row>
    <row r="2989" ht="15.75" customHeight="1">
      <c r="A2989" s="375"/>
      <c r="K2989" s="269"/>
      <c r="L2989" s="269" t="str">
        <f t="shared" si="1"/>
        <v/>
      </c>
    </row>
    <row r="2990" ht="15.75" customHeight="1">
      <c r="A2990" s="375"/>
      <c r="K2990" s="269"/>
      <c r="L2990" s="269" t="str">
        <f t="shared" si="1"/>
        <v/>
      </c>
    </row>
    <row r="2991" ht="15.75" customHeight="1">
      <c r="A2991" s="375"/>
      <c r="K2991" s="269"/>
      <c r="L2991" s="269" t="str">
        <f t="shared" si="1"/>
        <v/>
      </c>
    </row>
    <row r="2992" ht="15.75" customHeight="1">
      <c r="A2992" s="375"/>
      <c r="K2992" s="269"/>
      <c r="L2992" s="269" t="str">
        <f t="shared" si="1"/>
        <v/>
      </c>
    </row>
    <row r="2993" ht="15.75" customHeight="1">
      <c r="A2993" s="375"/>
      <c r="K2993" s="269"/>
      <c r="L2993" s="269" t="str">
        <f t="shared" si="1"/>
        <v/>
      </c>
    </row>
    <row r="2994" ht="15.75" customHeight="1">
      <c r="A2994" s="375"/>
      <c r="K2994" s="269"/>
      <c r="L2994" s="269" t="str">
        <f t="shared" si="1"/>
        <v/>
      </c>
    </row>
    <row r="2995" ht="15.75" customHeight="1">
      <c r="A2995" s="375"/>
      <c r="K2995" s="269"/>
      <c r="L2995" s="269" t="str">
        <f t="shared" si="1"/>
        <v/>
      </c>
    </row>
    <row r="2996" ht="15.75" customHeight="1">
      <c r="A2996" s="375"/>
      <c r="K2996" s="269"/>
      <c r="L2996" s="269" t="str">
        <f t="shared" si="1"/>
        <v/>
      </c>
    </row>
    <row r="2997" ht="15.75" customHeight="1">
      <c r="A2997" s="375"/>
      <c r="K2997" s="269"/>
      <c r="L2997" s="269" t="str">
        <f t="shared" si="1"/>
        <v/>
      </c>
    </row>
    <row r="2998" ht="15.75" customHeight="1">
      <c r="A2998" s="375"/>
      <c r="K2998" s="269"/>
      <c r="L2998" s="269" t="str">
        <f t="shared" si="1"/>
        <v/>
      </c>
    </row>
    <row r="2999" ht="15.75" customHeight="1">
      <c r="A2999" s="375"/>
      <c r="K2999" s="269"/>
      <c r="L2999" s="269" t="str">
        <f t="shared" si="1"/>
        <v/>
      </c>
    </row>
    <row r="3000" ht="15.75" customHeight="1">
      <c r="A3000" s="375"/>
      <c r="K3000" s="269"/>
      <c r="L3000" s="269" t="str">
        <f t="shared" si="1"/>
        <v/>
      </c>
    </row>
    <row r="3001" ht="15.75" customHeight="1">
      <c r="A3001" s="375"/>
      <c r="K3001" s="269"/>
      <c r="L3001" s="269" t="str">
        <f t="shared" si="1"/>
        <v/>
      </c>
    </row>
    <row r="3002" ht="15.75" customHeight="1">
      <c r="A3002" s="375"/>
      <c r="K3002" s="269"/>
      <c r="L3002" s="269" t="str">
        <f t="shared" si="1"/>
        <v/>
      </c>
    </row>
    <row r="3003" ht="15.75" customHeight="1">
      <c r="A3003" s="375"/>
      <c r="K3003" s="269"/>
      <c r="L3003" s="269" t="str">
        <f t="shared" si="1"/>
        <v/>
      </c>
    </row>
    <row r="3004" ht="15.75" customHeight="1">
      <c r="A3004" s="375"/>
      <c r="K3004" s="269"/>
      <c r="L3004" s="269" t="str">
        <f t="shared" si="1"/>
        <v/>
      </c>
    </row>
    <row r="3005" ht="15.75" customHeight="1">
      <c r="A3005" s="375"/>
      <c r="K3005" s="269"/>
      <c r="L3005" s="269" t="str">
        <f t="shared" si="1"/>
        <v/>
      </c>
    </row>
    <row r="3006" ht="15.75" customHeight="1">
      <c r="A3006" s="375"/>
      <c r="K3006" s="269"/>
      <c r="L3006" s="269" t="str">
        <f t="shared" si="1"/>
        <v/>
      </c>
    </row>
    <row r="3007" ht="15.75" customHeight="1">
      <c r="A3007" s="375"/>
      <c r="K3007" s="269"/>
      <c r="L3007" s="269" t="str">
        <f t="shared" si="1"/>
        <v/>
      </c>
    </row>
    <row r="3008" ht="15.75" customHeight="1">
      <c r="A3008" s="375"/>
      <c r="K3008" s="269"/>
      <c r="L3008" s="269" t="str">
        <f t="shared" si="1"/>
        <v/>
      </c>
    </row>
    <row r="3009" ht="15.75" customHeight="1">
      <c r="A3009" s="375"/>
      <c r="K3009" s="269"/>
      <c r="L3009" s="269" t="str">
        <f t="shared" si="1"/>
        <v/>
      </c>
    </row>
    <row r="3010" ht="15.75" customHeight="1">
      <c r="A3010" s="375"/>
      <c r="K3010" s="269"/>
      <c r="L3010" s="269" t="str">
        <f t="shared" si="1"/>
        <v/>
      </c>
    </row>
    <row r="3011" ht="15.75" customHeight="1">
      <c r="A3011" s="375"/>
      <c r="K3011" s="269"/>
      <c r="L3011" s="269" t="str">
        <f t="shared" si="1"/>
        <v/>
      </c>
    </row>
    <row r="3012" ht="15.75" customHeight="1">
      <c r="A3012" s="375"/>
      <c r="K3012" s="269"/>
      <c r="L3012" s="269" t="str">
        <f t="shared" si="1"/>
        <v/>
      </c>
    </row>
    <row r="3013" ht="15.75" customHeight="1">
      <c r="A3013" s="375"/>
      <c r="K3013" s="269"/>
      <c r="L3013" s="269" t="str">
        <f t="shared" si="1"/>
        <v/>
      </c>
    </row>
    <row r="3014" ht="15.75" customHeight="1">
      <c r="A3014" s="375"/>
      <c r="K3014" s="269"/>
      <c r="L3014" s="269" t="str">
        <f t="shared" si="1"/>
        <v/>
      </c>
    </row>
    <row r="3015" ht="15.75" customHeight="1">
      <c r="A3015" s="375"/>
      <c r="K3015" s="269"/>
      <c r="L3015" s="269" t="str">
        <f t="shared" si="1"/>
        <v/>
      </c>
    </row>
    <row r="3016" ht="15.75" customHeight="1">
      <c r="A3016" s="375"/>
      <c r="K3016" s="269"/>
      <c r="L3016" s="269" t="str">
        <f t="shared" si="1"/>
        <v/>
      </c>
    </row>
    <row r="3017" ht="15.75" customHeight="1">
      <c r="A3017" s="375"/>
      <c r="K3017" s="269"/>
      <c r="L3017" s="269" t="str">
        <f t="shared" si="1"/>
        <v/>
      </c>
    </row>
    <row r="3018" ht="15.75" customHeight="1">
      <c r="A3018" s="375"/>
      <c r="K3018" s="269"/>
      <c r="L3018" s="269" t="str">
        <f t="shared" si="1"/>
        <v/>
      </c>
    </row>
    <row r="3019" ht="15.75" customHeight="1">
      <c r="A3019" s="375"/>
      <c r="K3019" s="269"/>
      <c r="L3019" s="269" t="str">
        <f t="shared" si="1"/>
        <v/>
      </c>
    </row>
    <row r="3020" ht="15.75" customHeight="1">
      <c r="A3020" s="375"/>
      <c r="K3020" s="269"/>
      <c r="L3020" s="269" t="str">
        <f t="shared" si="1"/>
        <v/>
      </c>
    </row>
    <row r="3021" ht="15.75" customHeight="1">
      <c r="A3021" s="375"/>
      <c r="K3021" s="269"/>
      <c r="L3021" s="269" t="str">
        <f t="shared" si="1"/>
        <v/>
      </c>
    </row>
    <row r="3022" ht="15.75" customHeight="1">
      <c r="A3022" s="375"/>
      <c r="K3022" s="269"/>
      <c r="L3022" s="269" t="str">
        <f t="shared" si="1"/>
        <v/>
      </c>
    </row>
    <row r="3023" ht="15.75" customHeight="1">
      <c r="A3023" s="375"/>
      <c r="K3023" s="269"/>
      <c r="L3023" s="269" t="str">
        <f t="shared" si="1"/>
        <v/>
      </c>
    </row>
    <row r="3024" ht="15.75" customHeight="1">
      <c r="A3024" s="375"/>
      <c r="K3024" s="269"/>
      <c r="L3024" s="269" t="str">
        <f t="shared" si="1"/>
        <v/>
      </c>
    </row>
    <row r="3025" ht="15.75" customHeight="1">
      <c r="A3025" s="375"/>
      <c r="K3025" s="269"/>
      <c r="L3025" s="269" t="str">
        <f t="shared" si="1"/>
        <v/>
      </c>
    </row>
    <row r="3026" ht="15.75" customHeight="1">
      <c r="A3026" s="375"/>
      <c r="K3026" s="269"/>
      <c r="L3026" s="269" t="str">
        <f t="shared" si="1"/>
        <v/>
      </c>
    </row>
    <row r="3027" ht="15.75" customHeight="1">
      <c r="A3027" s="375"/>
      <c r="K3027" s="269"/>
      <c r="L3027" s="269" t="str">
        <f t="shared" si="1"/>
        <v/>
      </c>
    </row>
    <row r="3028" ht="15.75" customHeight="1">
      <c r="A3028" s="375"/>
      <c r="K3028" s="269"/>
      <c r="L3028" s="269" t="str">
        <f t="shared" si="1"/>
        <v/>
      </c>
    </row>
    <row r="3029" ht="15.75" customHeight="1">
      <c r="A3029" s="375"/>
      <c r="K3029" s="269"/>
      <c r="L3029" s="269" t="str">
        <f t="shared" si="1"/>
        <v/>
      </c>
    </row>
    <row r="3030" ht="15.75" customHeight="1">
      <c r="A3030" s="375"/>
      <c r="K3030" s="269"/>
      <c r="L3030" s="269" t="str">
        <f t="shared" si="1"/>
        <v/>
      </c>
    </row>
    <row r="3031" ht="15.75" customHeight="1">
      <c r="A3031" s="375"/>
      <c r="K3031" s="269"/>
      <c r="L3031" s="269" t="str">
        <f t="shared" si="1"/>
        <v/>
      </c>
    </row>
    <row r="3032" ht="15.75" customHeight="1">
      <c r="A3032" s="375"/>
      <c r="K3032" s="269"/>
      <c r="L3032" s="269" t="str">
        <f t="shared" si="1"/>
        <v/>
      </c>
    </row>
    <row r="3033" ht="15.75" customHeight="1">
      <c r="A3033" s="375"/>
      <c r="K3033" s="269"/>
      <c r="L3033" s="269" t="str">
        <f t="shared" si="1"/>
        <v/>
      </c>
    </row>
    <row r="3034" ht="15.75" customHeight="1">
      <c r="A3034" s="375"/>
      <c r="K3034" s="269"/>
      <c r="L3034" s="269" t="str">
        <f t="shared" si="1"/>
        <v/>
      </c>
    </row>
    <row r="3035" ht="15.75" customHeight="1">
      <c r="A3035" s="375"/>
      <c r="K3035" s="269"/>
      <c r="L3035" s="269" t="str">
        <f t="shared" si="1"/>
        <v/>
      </c>
    </row>
    <row r="3036" ht="15.75" customHeight="1">
      <c r="A3036" s="375"/>
      <c r="K3036" s="269"/>
      <c r="L3036" s="269" t="str">
        <f t="shared" si="1"/>
        <v/>
      </c>
    </row>
    <row r="3037" ht="15.75" customHeight="1">
      <c r="A3037" s="375"/>
      <c r="K3037" s="269"/>
      <c r="L3037" s="269" t="str">
        <f t="shared" si="1"/>
        <v/>
      </c>
    </row>
    <row r="3038" ht="15.75" customHeight="1">
      <c r="A3038" s="375"/>
      <c r="K3038" s="269"/>
      <c r="L3038" s="269" t="str">
        <f t="shared" si="1"/>
        <v/>
      </c>
    </row>
    <row r="3039" ht="15.75" customHeight="1">
      <c r="A3039" s="375"/>
      <c r="K3039" s="269"/>
      <c r="L3039" s="269" t="str">
        <f t="shared" si="1"/>
        <v/>
      </c>
    </row>
    <row r="3040" ht="15.75" customHeight="1">
      <c r="A3040" s="375"/>
      <c r="K3040" s="269"/>
      <c r="L3040" s="269" t="str">
        <f t="shared" si="1"/>
        <v/>
      </c>
    </row>
    <row r="3041" ht="15.75" customHeight="1">
      <c r="A3041" s="375"/>
      <c r="K3041" s="269"/>
      <c r="L3041" s="269" t="str">
        <f t="shared" si="1"/>
        <v/>
      </c>
    </row>
    <row r="3042" ht="15.75" customHeight="1">
      <c r="A3042" s="375"/>
      <c r="K3042" s="269"/>
      <c r="L3042" s="269" t="str">
        <f t="shared" si="1"/>
        <v/>
      </c>
    </row>
    <row r="3043" ht="15.75" customHeight="1">
      <c r="A3043" s="375"/>
      <c r="K3043" s="269"/>
      <c r="L3043" s="269" t="str">
        <f t="shared" si="1"/>
        <v/>
      </c>
    </row>
    <row r="3044" ht="15.75" customHeight="1">
      <c r="A3044" s="375"/>
      <c r="K3044" s="269"/>
      <c r="L3044" s="269" t="str">
        <f t="shared" si="1"/>
        <v/>
      </c>
    </row>
    <row r="3045" ht="15.75" customHeight="1">
      <c r="A3045" s="375"/>
      <c r="K3045" s="269"/>
      <c r="L3045" s="269" t="str">
        <f t="shared" si="1"/>
        <v/>
      </c>
    </row>
    <row r="3046" ht="15.75" customHeight="1">
      <c r="A3046" s="375"/>
      <c r="K3046" s="269"/>
      <c r="L3046" s="269" t="str">
        <f t="shared" si="1"/>
        <v/>
      </c>
    </row>
    <row r="3047" ht="15.75" customHeight="1">
      <c r="A3047" s="375"/>
      <c r="K3047" s="269"/>
      <c r="L3047" s="269" t="str">
        <f t="shared" si="1"/>
        <v/>
      </c>
    </row>
    <row r="3048" ht="15.75" customHeight="1">
      <c r="A3048" s="375"/>
      <c r="K3048" s="269"/>
      <c r="L3048" s="269" t="str">
        <f t="shared" si="1"/>
        <v/>
      </c>
    </row>
    <row r="3049" ht="15.75" customHeight="1">
      <c r="A3049" s="375"/>
      <c r="K3049" s="269"/>
      <c r="L3049" s="269" t="str">
        <f t="shared" si="1"/>
        <v/>
      </c>
    </row>
    <row r="3050" ht="15.75" customHeight="1">
      <c r="A3050" s="375"/>
      <c r="K3050" s="269"/>
      <c r="L3050" s="269" t="str">
        <f t="shared" si="1"/>
        <v/>
      </c>
    </row>
    <row r="3051" ht="15.75" customHeight="1">
      <c r="A3051" s="375"/>
      <c r="K3051" s="269"/>
      <c r="L3051" s="269" t="str">
        <f t="shared" si="1"/>
        <v/>
      </c>
    </row>
    <row r="3052" ht="15.75" customHeight="1">
      <c r="A3052" s="375"/>
      <c r="K3052" s="269"/>
      <c r="L3052" s="269" t="str">
        <f t="shared" si="1"/>
        <v/>
      </c>
    </row>
    <row r="3053" ht="15.75" customHeight="1">
      <c r="A3053" s="375"/>
      <c r="K3053" s="269"/>
      <c r="L3053" s="269" t="str">
        <f t="shared" si="1"/>
        <v/>
      </c>
    </row>
    <row r="3054" ht="15.75" customHeight="1">
      <c r="A3054" s="375"/>
      <c r="K3054" s="269"/>
      <c r="L3054" s="269" t="str">
        <f t="shared" si="1"/>
        <v/>
      </c>
    </row>
    <row r="3055" ht="15.75" customHeight="1">
      <c r="A3055" s="375"/>
      <c r="K3055" s="269"/>
      <c r="L3055" s="269" t="str">
        <f t="shared" si="1"/>
        <v/>
      </c>
    </row>
    <row r="3056" ht="15.75" customHeight="1">
      <c r="A3056" s="375"/>
      <c r="K3056" s="269"/>
      <c r="L3056" s="269" t="str">
        <f t="shared" si="1"/>
        <v/>
      </c>
    </row>
    <row r="3057" ht="15.75" customHeight="1">
      <c r="A3057" s="375"/>
      <c r="K3057" s="269"/>
      <c r="L3057" s="269" t="str">
        <f t="shared" si="1"/>
        <v/>
      </c>
    </row>
    <row r="3058" ht="15.75" customHeight="1">
      <c r="A3058" s="375"/>
      <c r="K3058" s="269"/>
      <c r="L3058" s="269" t="str">
        <f t="shared" si="1"/>
        <v/>
      </c>
    </row>
    <row r="3059" ht="15.75" customHeight="1">
      <c r="A3059" s="375"/>
      <c r="K3059" s="269"/>
      <c r="L3059" s="269" t="str">
        <f t="shared" si="1"/>
        <v/>
      </c>
    </row>
    <row r="3060" ht="15.75" customHeight="1">
      <c r="A3060" s="375"/>
      <c r="K3060" s="269"/>
      <c r="L3060" s="269" t="str">
        <f t="shared" si="1"/>
        <v/>
      </c>
    </row>
    <row r="3061" ht="15.75" customHeight="1">
      <c r="A3061" s="375"/>
      <c r="K3061" s="269"/>
      <c r="L3061" s="269" t="str">
        <f t="shared" si="1"/>
        <v/>
      </c>
    </row>
    <row r="3062" ht="15.75" customHeight="1">
      <c r="A3062" s="375"/>
      <c r="K3062" s="269"/>
      <c r="L3062" s="269" t="str">
        <f t="shared" si="1"/>
        <v/>
      </c>
    </row>
    <row r="3063" ht="15.75" customHeight="1">
      <c r="A3063" s="375"/>
      <c r="K3063" s="269"/>
      <c r="L3063" s="269" t="str">
        <f t="shared" si="1"/>
        <v/>
      </c>
    </row>
    <row r="3064" ht="15.75" customHeight="1">
      <c r="A3064" s="375"/>
      <c r="K3064" s="269"/>
      <c r="L3064" s="269" t="str">
        <f t="shared" si="1"/>
        <v/>
      </c>
    </row>
    <row r="3065" ht="15.75" customHeight="1">
      <c r="A3065" s="375"/>
      <c r="K3065" s="269"/>
      <c r="L3065" s="269" t="str">
        <f t="shared" si="1"/>
        <v/>
      </c>
    </row>
    <row r="3066" ht="15.75" customHeight="1">
      <c r="A3066" s="375"/>
      <c r="K3066" s="269"/>
      <c r="L3066" s="269" t="str">
        <f t="shared" si="1"/>
        <v/>
      </c>
    </row>
    <row r="3067" ht="15.75" customHeight="1">
      <c r="A3067" s="375"/>
      <c r="K3067" s="269"/>
      <c r="L3067" s="269" t="str">
        <f t="shared" si="1"/>
        <v/>
      </c>
    </row>
    <row r="3068" ht="15.75" customHeight="1">
      <c r="A3068" s="375"/>
      <c r="K3068" s="269"/>
      <c r="L3068" s="269" t="str">
        <f t="shared" si="1"/>
        <v/>
      </c>
    </row>
    <row r="3069" ht="15.75" customHeight="1">
      <c r="A3069" s="375"/>
      <c r="K3069" s="269"/>
      <c r="L3069" s="269" t="str">
        <f t="shared" si="1"/>
        <v/>
      </c>
    </row>
    <row r="3070" ht="15.75" customHeight="1">
      <c r="A3070" s="375"/>
      <c r="K3070" s="269"/>
      <c r="L3070" s="269" t="str">
        <f t="shared" si="1"/>
        <v/>
      </c>
    </row>
    <row r="3071" ht="15.75" customHeight="1">
      <c r="A3071" s="375"/>
      <c r="K3071" s="269"/>
      <c r="L3071" s="269" t="str">
        <f t="shared" si="1"/>
        <v/>
      </c>
    </row>
    <row r="3072" ht="15.75" customHeight="1">
      <c r="A3072" s="375"/>
      <c r="K3072" s="269"/>
      <c r="L3072" s="269" t="str">
        <f t="shared" si="1"/>
        <v/>
      </c>
    </row>
    <row r="3073" ht="15.75" customHeight="1">
      <c r="A3073" s="375"/>
      <c r="K3073" s="269"/>
      <c r="L3073" s="269" t="str">
        <f t="shared" si="1"/>
        <v/>
      </c>
    </row>
    <row r="3074" ht="15.75" customHeight="1">
      <c r="A3074" s="375"/>
      <c r="K3074" s="269"/>
      <c r="L3074" s="269" t="str">
        <f t="shared" si="1"/>
        <v/>
      </c>
    </row>
    <row r="3075" ht="15.75" customHeight="1">
      <c r="A3075" s="375"/>
      <c r="K3075" s="269"/>
      <c r="L3075" s="269" t="str">
        <f t="shared" si="1"/>
        <v/>
      </c>
    </row>
    <row r="3076" ht="15.75" customHeight="1">
      <c r="A3076" s="375"/>
      <c r="K3076" s="269"/>
      <c r="L3076" s="269" t="str">
        <f t="shared" si="1"/>
        <v/>
      </c>
    </row>
    <row r="3077" ht="15.75" customHeight="1">
      <c r="A3077" s="375"/>
      <c r="K3077" s="269"/>
      <c r="L3077" s="269" t="str">
        <f t="shared" si="1"/>
        <v/>
      </c>
    </row>
    <row r="3078" ht="15.75" customHeight="1">
      <c r="A3078" s="375"/>
      <c r="K3078" s="269"/>
      <c r="L3078" s="269" t="str">
        <f t="shared" si="1"/>
        <v/>
      </c>
    </row>
    <row r="3079" ht="15.75" customHeight="1">
      <c r="A3079" s="375"/>
      <c r="K3079" s="269"/>
      <c r="L3079" s="269" t="str">
        <f t="shared" si="1"/>
        <v/>
      </c>
    </row>
    <row r="3080" ht="15.75" customHeight="1">
      <c r="A3080" s="375"/>
      <c r="K3080" s="269"/>
      <c r="L3080" s="269" t="str">
        <f t="shared" si="1"/>
        <v/>
      </c>
    </row>
    <row r="3081" ht="15.75" customHeight="1">
      <c r="A3081" s="375"/>
      <c r="K3081" s="269"/>
      <c r="L3081" s="269" t="str">
        <f t="shared" si="1"/>
        <v/>
      </c>
    </row>
    <row r="3082" ht="15.75" customHeight="1">
      <c r="A3082" s="375"/>
      <c r="K3082" s="269"/>
      <c r="L3082" s="269" t="str">
        <f t="shared" si="1"/>
        <v/>
      </c>
    </row>
    <row r="3083" ht="15.75" customHeight="1">
      <c r="A3083" s="375"/>
      <c r="K3083" s="269"/>
      <c r="L3083" s="269" t="str">
        <f t="shared" si="1"/>
        <v/>
      </c>
    </row>
    <row r="3084" ht="15.75" customHeight="1">
      <c r="A3084" s="375"/>
      <c r="K3084" s="269"/>
      <c r="L3084" s="269" t="str">
        <f t="shared" si="1"/>
        <v/>
      </c>
    </row>
    <row r="3085" ht="15.75" customHeight="1">
      <c r="A3085" s="375"/>
      <c r="K3085" s="269"/>
      <c r="L3085" s="269" t="str">
        <f t="shared" si="1"/>
        <v/>
      </c>
    </row>
    <row r="3086" ht="15.75" customHeight="1">
      <c r="A3086" s="375"/>
      <c r="K3086" s="269"/>
      <c r="L3086" s="269" t="str">
        <f t="shared" si="1"/>
        <v/>
      </c>
    </row>
    <row r="3087" ht="15.75" customHeight="1">
      <c r="A3087" s="375"/>
      <c r="K3087" s="269"/>
      <c r="L3087" s="269" t="str">
        <f t="shared" si="1"/>
        <v/>
      </c>
    </row>
    <row r="3088" ht="15.75" customHeight="1">
      <c r="A3088" s="375"/>
      <c r="K3088" s="269"/>
      <c r="L3088" s="269" t="str">
        <f t="shared" si="1"/>
        <v/>
      </c>
    </row>
    <row r="3089" ht="15.75" customHeight="1">
      <c r="A3089" s="375"/>
      <c r="K3089" s="269"/>
      <c r="L3089" s="269" t="str">
        <f t="shared" si="1"/>
        <v/>
      </c>
    </row>
    <row r="3090" ht="15.75" customHeight="1">
      <c r="A3090" s="375"/>
      <c r="K3090" s="269"/>
      <c r="L3090" s="269" t="str">
        <f t="shared" si="1"/>
        <v/>
      </c>
    </row>
    <row r="3091" ht="15.75" customHeight="1">
      <c r="A3091" s="375"/>
      <c r="K3091" s="269"/>
      <c r="L3091" s="269" t="str">
        <f t="shared" si="1"/>
        <v/>
      </c>
    </row>
    <row r="3092" ht="15.75" customHeight="1">
      <c r="A3092" s="375"/>
      <c r="K3092" s="269"/>
      <c r="L3092" s="269" t="str">
        <f t="shared" si="1"/>
        <v/>
      </c>
    </row>
    <row r="3093" ht="15.75" customHeight="1">
      <c r="A3093" s="375"/>
      <c r="K3093" s="269"/>
      <c r="L3093" s="269" t="str">
        <f t="shared" si="1"/>
        <v/>
      </c>
    </row>
    <row r="3094" ht="15.75" customHeight="1">
      <c r="A3094" s="375"/>
      <c r="K3094" s="269"/>
      <c r="L3094" s="269" t="str">
        <f t="shared" si="1"/>
        <v/>
      </c>
    </row>
    <row r="3095" ht="15.75" customHeight="1">
      <c r="A3095" s="375"/>
      <c r="K3095" s="269"/>
      <c r="L3095" s="269" t="str">
        <f t="shared" si="1"/>
        <v/>
      </c>
    </row>
    <row r="3096" ht="15.75" customHeight="1">
      <c r="A3096" s="375"/>
      <c r="K3096" s="269"/>
      <c r="L3096" s="269" t="str">
        <f t="shared" si="1"/>
        <v/>
      </c>
    </row>
    <row r="3097" ht="15.75" customHeight="1">
      <c r="A3097" s="375"/>
      <c r="K3097" s="269"/>
      <c r="L3097" s="269" t="str">
        <f t="shared" si="1"/>
        <v/>
      </c>
    </row>
    <row r="3098" ht="15.75" customHeight="1">
      <c r="A3098" s="375"/>
      <c r="K3098" s="269"/>
      <c r="L3098" s="269" t="str">
        <f t="shared" si="1"/>
        <v/>
      </c>
    </row>
    <row r="3099" ht="15.75" customHeight="1">
      <c r="A3099" s="375"/>
      <c r="K3099" s="269"/>
      <c r="L3099" s="269" t="str">
        <f t="shared" si="1"/>
        <v/>
      </c>
    </row>
    <row r="3100" ht="15.75" customHeight="1">
      <c r="A3100" s="375"/>
      <c r="K3100" s="269"/>
      <c r="L3100" s="269" t="str">
        <f t="shared" si="1"/>
        <v/>
      </c>
    </row>
    <row r="3101" ht="15.75" customHeight="1">
      <c r="A3101" s="375"/>
      <c r="K3101" s="269"/>
      <c r="L3101" s="269" t="str">
        <f t="shared" si="1"/>
        <v/>
      </c>
    </row>
    <row r="3102" ht="15.75" customHeight="1">
      <c r="A3102" s="375"/>
      <c r="K3102" s="269"/>
      <c r="L3102" s="269" t="str">
        <f t="shared" si="1"/>
        <v/>
      </c>
    </row>
    <row r="3103" ht="15.75" customHeight="1">
      <c r="A3103" s="375"/>
      <c r="K3103" s="269"/>
      <c r="L3103" s="269" t="str">
        <f t="shared" si="1"/>
        <v/>
      </c>
    </row>
    <row r="3104" ht="15.75" customHeight="1">
      <c r="A3104" s="375"/>
      <c r="K3104" s="269"/>
      <c r="L3104" s="269" t="str">
        <f t="shared" si="1"/>
        <v/>
      </c>
    </row>
    <row r="3105" ht="15.75" customHeight="1">
      <c r="A3105" s="375"/>
      <c r="K3105" s="269"/>
      <c r="L3105" s="269" t="str">
        <f t="shared" si="1"/>
        <v/>
      </c>
    </row>
    <row r="3106" ht="15.75" customHeight="1">
      <c r="A3106" s="375"/>
      <c r="K3106" s="269"/>
      <c r="L3106" s="269" t="str">
        <f t="shared" si="1"/>
        <v/>
      </c>
    </row>
    <row r="3107" ht="15.75" customHeight="1">
      <c r="A3107" s="375"/>
      <c r="K3107" s="269"/>
      <c r="L3107" s="269" t="str">
        <f t="shared" si="1"/>
        <v/>
      </c>
    </row>
    <row r="3108" ht="15.75" customHeight="1">
      <c r="A3108" s="375"/>
      <c r="K3108" s="269"/>
      <c r="L3108" s="269" t="str">
        <f t="shared" si="1"/>
        <v/>
      </c>
    </row>
    <row r="3109" ht="15.75" customHeight="1">
      <c r="A3109" s="375"/>
      <c r="K3109" s="269"/>
      <c r="L3109" s="269" t="str">
        <f t="shared" si="1"/>
        <v/>
      </c>
    </row>
    <row r="3110" ht="15.75" customHeight="1">
      <c r="A3110" s="375"/>
      <c r="K3110" s="269"/>
      <c r="L3110" s="269" t="str">
        <f t="shared" si="1"/>
        <v/>
      </c>
    </row>
    <row r="3111" ht="15.75" customHeight="1">
      <c r="A3111" s="375"/>
      <c r="K3111" s="269"/>
      <c r="L3111" s="269" t="str">
        <f t="shared" si="1"/>
        <v/>
      </c>
    </row>
    <row r="3112" ht="15.75" customHeight="1">
      <c r="A3112" s="375"/>
      <c r="K3112" s="269"/>
      <c r="L3112" s="269" t="str">
        <f t="shared" si="1"/>
        <v/>
      </c>
    </row>
    <row r="3113" ht="15.75" customHeight="1">
      <c r="A3113" s="375"/>
      <c r="K3113" s="269"/>
      <c r="L3113" s="269" t="str">
        <f t="shared" si="1"/>
        <v/>
      </c>
    </row>
    <row r="3114" ht="15.75" customHeight="1">
      <c r="A3114" s="375"/>
      <c r="K3114" s="269"/>
      <c r="L3114" s="269" t="str">
        <f t="shared" si="1"/>
        <v/>
      </c>
    </row>
    <row r="3115" ht="15.75" customHeight="1">
      <c r="A3115" s="375"/>
      <c r="K3115" s="269"/>
      <c r="L3115" s="269" t="str">
        <f t="shared" si="1"/>
        <v/>
      </c>
    </row>
    <row r="3116" ht="15.75" customHeight="1">
      <c r="A3116" s="375"/>
      <c r="K3116" s="269"/>
      <c r="L3116" s="269" t="str">
        <f t="shared" si="1"/>
        <v/>
      </c>
    </row>
    <row r="3117" ht="15.75" customHeight="1">
      <c r="A3117" s="375"/>
      <c r="K3117" s="269"/>
      <c r="L3117" s="269" t="str">
        <f t="shared" si="1"/>
        <v/>
      </c>
    </row>
    <row r="3118" ht="15.75" customHeight="1">
      <c r="A3118" s="375"/>
      <c r="K3118" s="269"/>
      <c r="L3118" s="269" t="str">
        <f t="shared" si="1"/>
        <v/>
      </c>
    </row>
    <row r="3119" ht="15.75" customHeight="1">
      <c r="A3119" s="375"/>
      <c r="K3119" s="269"/>
      <c r="L3119" s="269" t="str">
        <f t="shared" si="1"/>
        <v/>
      </c>
    </row>
    <row r="3120" ht="15.75" customHeight="1">
      <c r="A3120" s="375"/>
      <c r="K3120" s="269"/>
      <c r="L3120" s="269" t="str">
        <f t="shared" si="1"/>
        <v/>
      </c>
    </row>
    <row r="3121" ht="15.75" customHeight="1">
      <c r="A3121" s="375"/>
      <c r="K3121" s="269"/>
      <c r="L3121" s="269" t="str">
        <f t="shared" si="1"/>
        <v/>
      </c>
    </row>
    <row r="3122" ht="15.75" customHeight="1">
      <c r="A3122" s="375"/>
      <c r="K3122" s="269"/>
      <c r="L3122" s="269" t="str">
        <f t="shared" si="1"/>
        <v/>
      </c>
    </row>
    <row r="3123" ht="15.75" customHeight="1">
      <c r="A3123" s="375"/>
      <c r="K3123" s="269"/>
      <c r="L3123" s="269" t="str">
        <f t="shared" si="1"/>
        <v/>
      </c>
    </row>
    <row r="3124" ht="15.75" customHeight="1">
      <c r="A3124" s="375"/>
      <c r="K3124" s="269"/>
      <c r="L3124" s="269" t="str">
        <f t="shared" si="1"/>
        <v/>
      </c>
    </row>
    <row r="3125" ht="15.75" customHeight="1">
      <c r="A3125" s="375"/>
      <c r="K3125" s="269"/>
      <c r="L3125" s="269" t="str">
        <f t="shared" si="1"/>
        <v/>
      </c>
    </row>
    <row r="3126" ht="15.75" customHeight="1">
      <c r="A3126" s="375"/>
      <c r="K3126" s="269"/>
      <c r="L3126" s="269" t="str">
        <f t="shared" si="1"/>
        <v/>
      </c>
    </row>
    <row r="3127" ht="15.75" customHeight="1">
      <c r="A3127" s="375"/>
      <c r="K3127" s="269"/>
      <c r="L3127" s="269" t="str">
        <f t="shared" si="1"/>
        <v/>
      </c>
    </row>
    <row r="3128" ht="15.75" customHeight="1">
      <c r="A3128" s="375"/>
      <c r="K3128" s="269"/>
      <c r="L3128" s="269" t="str">
        <f t="shared" si="1"/>
        <v/>
      </c>
    </row>
    <row r="3129" ht="15.75" customHeight="1">
      <c r="A3129" s="375"/>
      <c r="K3129" s="269"/>
      <c r="L3129" s="269" t="str">
        <f t="shared" si="1"/>
        <v/>
      </c>
    </row>
    <row r="3130" ht="15.75" customHeight="1">
      <c r="A3130" s="375"/>
      <c r="K3130" s="269"/>
      <c r="L3130" s="269" t="str">
        <f t="shared" si="1"/>
        <v/>
      </c>
    </row>
    <row r="3131" ht="15.75" customHeight="1">
      <c r="A3131" s="375"/>
      <c r="K3131" s="269"/>
      <c r="L3131" s="269" t="str">
        <f t="shared" si="1"/>
        <v/>
      </c>
    </row>
    <row r="3132" ht="15.75" customHeight="1">
      <c r="A3132" s="375"/>
      <c r="K3132" s="269"/>
      <c r="L3132" s="269" t="str">
        <f t="shared" si="1"/>
        <v/>
      </c>
    </row>
    <row r="3133" ht="15.75" customHeight="1">
      <c r="A3133" s="375"/>
      <c r="K3133" s="269"/>
      <c r="L3133" s="269" t="str">
        <f t="shared" si="1"/>
        <v/>
      </c>
    </row>
    <row r="3134" ht="15.75" customHeight="1">
      <c r="A3134" s="375"/>
      <c r="K3134" s="269"/>
      <c r="L3134" s="269" t="str">
        <f t="shared" si="1"/>
        <v/>
      </c>
    </row>
    <row r="3135" ht="15.75" customHeight="1">
      <c r="A3135" s="375"/>
      <c r="K3135" s="269"/>
      <c r="L3135" s="269" t="str">
        <f t="shared" si="1"/>
        <v/>
      </c>
    </row>
    <row r="3136" ht="15.75" customHeight="1">
      <c r="A3136" s="375"/>
      <c r="K3136" s="269"/>
      <c r="L3136" s="269" t="str">
        <f t="shared" si="1"/>
        <v/>
      </c>
    </row>
    <row r="3137" ht="15.75" customHeight="1">
      <c r="A3137" s="375"/>
      <c r="K3137" s="269"/>
      <c r="L3137" s="269" t="str">
        <f t="shared" si="1"/>
        <v/>
      </c>
    </row>
    <row r="3138" ht="15.75" customHeight="1">
      <c r="A3138" s="375"/>
      <c r="K3138" s="269"/>
      <c r="L3138" s="269" t="str">
        <f t="shared" si="1"/>
        <v/>
      </c>
    </row>
    <row r="3139" ht="15.75" customHeight="1">
      <c r="A3139" s="375"/>
      <c r="K3139" s="269"/>
      <c r="L3139" s="269" t="str">
        <f t="shared" si="1"/>
        <v/>
      </c>
    </row>
    <row r="3140" ht="15.75" customHeight="1">
      <c r="A3140" s="375"/>
      <c r="K3140" s="269"/>
      <c r="L3140" s="269" t="str">
        <f t="shared" si="1"/>
        <v/>
      </c>
    </row>
    <row r="3141" ht="15.75" customHeight="1">
      <c r="A3141" s="375"/>
      <c r="K3141" s="269"/>
      <c r="L3141" s="269" t="str">
        <f t="shared" si="1"/>
        <v/>
      </c>
    </row>
    <row r="3142" ht="15.75" customHeight="1">
      <c r="A3142" s="375"/>
      <c r="K3142" s="269"/>
      <c r="L3142" s="269" t="str">
        <f t="shared" si="1"/>
        <v/>
      </c>
    </row>
    <row r="3143" ht="15.75" customHeight="1">
      <c r="A3143" s="375"/>
      <c r="K3143" s="269"/>
      <c r="L3143" s="269" t="str">
        <f t="shared" si="1"/>
        <v/>
      </c>
    </row>
    <row r="3144" ht="15.75" customHeight="1">
      <c r="A3144" s="375"/>
      <c r="K3144" s="269"/>
      <c r="L3144" s="269" t="str">
        <f t="shared" si="1"/>
        <v/>
      </c>
    </row>
    <row r="3145" ht="15.75" customHeight="1">
      <c r="A3145" s="375"/>
      <c r="K3145" s="269"/>
      <c r="L3145" s="269" t="str">
        <f t="shared" si="1"/>
        <v/>
      </c>
    </row>
    <row r="3146" ht="15.75" customHeight="1">
      <c r="A3146" s="375"/>
      <c r="K3146" s="269"/>
      <c r="L3146" s="269" t="str">
        <f t="shared" si="1"/>
        <v/>
      </c>
    </row>
    <row r="3147" ht="15.75" customHeight="1">
      <c r="A3147" s="375"/>
      <c r="K3147" s="269"/>
      <c r="L3147" s="269" t="str">
        <f t="shared" si="1"/>
        <v/>
      </c>
    </row>
    <row r="3148" ht="15.75" customHeight="1">
      <c r="A3148" s="375"/>
      <c r="K3148" s="269"/>
      <c r="L3148" s="269" t="str">
        <f t="shared" si="1"/>
        <v/>
      </c>
    </row>
    <row r="3149" ht="15.75" customHeight="1">
      <c r="A3149" s="375"/>
      <c r="K3149" s="269"/>
      <c r="L3149" s="269" t="str">
        <f t="shared" si="1"/>
        <v/>
      </c>
    </row>
    <row r="3150" ht="15.75" customHeight="1">
      <c r="A3150" s="375"/>
      <c r="K3150" s="269"/>
      <c r="L3150" s="269" t="str">
        <f t="shared" si="1"/>
        <v/>
      </c>
    </row>
    <row r="3151" ht="15.75" customHeight="1">
      <c r="A3151" s="375"/>
      <c r="K3151" s="269"/>
      <c r="L3151" s="269" t="str">
        <f t="shared" si="1"/>
        <v/>
      </c>
    </row>
    <row r="3152" ht="15.75" customHeight="1">
      <c r="A3152" s="375"/>
      <c r="K3152" s="269"/>
      <c r="L3152" s="269" t="str">
        <f t="shared" si="1"/>
        <v/>
      </c>
    </row>
    <row r="3153" ht="15.75" customHeight="1">
      <c r="A3153" s="375"/>
      <c r="K3153" s="269"/>
      <c r="L3153" s="269" t="str">
        <f t="shared" si="1"/>
        <v/>
      </c>
    </row>
    <row r="3154" ht="15.75" customHeight="1">
      <c r="A3154" s="375"/>
      <c r="K3154" s="269"/>
      <c r="L3154" s="269" t="str">
        <f t="shared" si="1"/>
        <v/>
      </c>
    </row>
    <row r="3155" ht="15.75" customHeight="1">
      <c r="A3155" s="375"/>
      <c r="K3155" s="269"/>
      <c r="L3155" s="269" t="str">
        <f t="shared" si="1"/>
        <v/>
      </c>
    </row>
    <row r="3156" ht="15.75" customHeight="1">
      <c r="A3156" s="375"/>
      <c r="K3156" s="269"/>
      <c r="L3156" s="269" t="str">
        <f t="shared" si="1"/>
        <v/>
      </c>
    </row>
    <row r="3157" ht="15.75" customHeight="1">
      <c r="A3157" s="375"/>
      <c r="K3157" s="269"/>
      <c r="L3157" s="269" t="str">
        <f t="shared" si="1"/>
        <v/>
      </c>
    </row>
    <row r="3158" ht="15.75" customHeight="1">
      <c r="A3158" s="375"/>
      <c r="K3158" s="269"/>
      <c r="L3158" s="269" t="str">
        <f t="shared" si="1"/>
        <v/>
      </c>
    </row>
    <row r="3159" ht="15.75" customHeight="1">
      <c r="A3159" s="375"/>
      <c r="K3159" s="269"/>
      <c r="L3159" s="269" t="str">
        <f t="shared" si="1"/>
        <v/>
      </c>
    </row>
    <row r="3160" ht="15.75" customHeight="1">
      <c r="A3160" s="375"/>
      <c r="K3160" s="269"/>
      <c r="L3160" s="269" t="str">
        <f t="shared" si="1"/>
        <v/>
      </c>
    </row>
    <row r="3161" ht="15.75" customHeight="1">
      <c r="A3161" s="375"/>
      <c r="K3161" s="269"/>
      <c r="L3161" s="269" t="str">
        <f t="shared" si="1"/>
        <v/>
      </c>
    </row>
    <row r="3162" ht="15.75" customHeight="1">
      <c r="A3162" s="375"/>
      <c r="K3162" s="269"/>
      <c r="L3162" s="269" t="str">
        <f t="shared" si="1"/>
        <v/>
      </c>
    </row>
    <row r="3163" ht="15.75" customHeight="1">
      <c r="A3163" s="375"/>
      <c r="K3163" s="269"/>
      <c r="L3163" s="269" t="str">
        <f t="shared" si="1"/>
        <v/>
      </c>
    </row>
    <row r="3164" ht="15.75" customHeight="1">
      <c r="A3164" s="375"/>
      <c r="K3164" s="269"/>
      <c r="L3164" s="269" t="str">
        <f t="shared" si="1"/>
        <v/>
      </c>
    </row>
    <row r="3165" ht="15.75" customHeight="1">
      <c r="A3165" s="375"/>
      <c r="K3165" s="269"/>
      <c r="L3165" s="269" t="str">
        <f t="shared" si="1"/>
        <v/>
      </c>
    </row>
    <row r="3166" ht="15.75" customHeight="1">
      <c r="A3166" s="375"/>
      <c r="K3166" s="269"/>
      <c r="L3166" s="269" t="str">
        <f t="shared" si="1"/>
        <v/>
      </c>
    </row>
    <row r="3167" ht="15.75" customHeight="1">
      <c r="A3167" s="375"/>
      <c r="K3167" s="269"/>
      <c r="L3167" s="269" t="str">
        <f t="shared" si="1"/>
        <v/>
      </c>
    </row>
    <row r="3168" ht="15.75" customHeight="1">
      <c r="A3168" s="375"/>
      <c r="K3168" s="269"/>
      <c r="L3168" s="269" t="str">
        <f t="shared" si="1"/>
        <v/>
      </c>
    </row>
    <row r="3169" ht="15.75" customHeight="1">
      <c r="A3169" s="375"/>
      <c r="K3169" s="269"/>
      <c r="L3169" s="269" t="str">
        <f t="shared" si="1"/>
        <v/>
      </c>
    </row>
    <row r="3170" ht="15.75" customHeight="1">
      <c r="A3170" s="375"/>
      <c r="K3170" s="269"/>
      <c r="L3170" s="269" t="str">
        <f t="shared" si="1"/>
        <v/>
      </c>
    </row>
    <row r="3171" ht="15.75" customHeight="1">
      <c r="A3171" s="375"/>
      <c r="K3171" s="269"/>
      <c r="L3171" s="269" t="str">
        <f t="shared" si="1"/>
        <v/>
      </c>
    </row>
    <row r="3172" ht="15.75" customHeight="1">
      <c r="A3172" s="375"/>
      <c r="K3172" s="269"/>
      <c r="L3172" s="269" t="str">
        <f t="shared" si="1"/>
        <v/>
      </c>
    </row>
    <row r="3173" ht="15.75" customHeight="1">
      <c r="A3173" s="375"/>
      <c r="K3173" s="269"/>
      <c r="L3173" s="269" t="str">
        <f t="shared" si="1"/>
        <v/>
      </c>
    </row>
    <row r="3174" ht="15.75" customHeight="1">
      <c r="A3174" s="375"/>
      <c r="K3174" s="269"/>
      <c r="L3174" s="269" t="str">
        <f t="shared" si="1"/>
        <v/>
      </c>
    </row>
    <row r="3175" ht="15.75" customHeight="1">
      <c r="A3175" s="375"/>
      <c r="K3175" s="269"/>
      <c r="L3175" s="269" t="str">
        <f t="shared" si="1"/>
        <v/>
      </c>
    </row>
    <row r="3176" ht="15.75" customHeight="1">
      <c r="A3176" s="375"/>
      <c r="K3176" s="269"/>
      <c r="L3176" s="269" t="str">
        <f t="shared" si="1"/>
        <v/>
      </c>
    </row>
    <row r="3177" ht="15.75" customHeight="1">
      <c r="A3177" s="375"/>
      <c r="K3177" s="269"/>
      <c r="L3177" s="269" t="str">
        <f t="shared" si="1"/>
        <v/>
      </c>
    </row>
    <row r="3178" ht="15.75" customHeight="1">
      <c r="A3178" s="375"/>
      <c r="K3178" s="269"/>
      <c r="L3178" s="269" t="str">
        <f t="shared" si="1"/>
        <v/>
      </c>
    </row>
    <row r="3179" ht="15.75" customHeight="1">
      <c r="A3179" s="375"/>
      <c r="K3179" s="269"/>
      <c r="L3179" s="269" t="str">
        <f t="shared" si="1"/>
        <v/>
      </c>
    </row>
    <row r="3180" ht="15.75" customHeight="1">
      <c r="A3180" s="375"/>
      <c r="K3180" s="269"/>
      <c r="L3180" s="269" t="str">
        <f t="shared" si="1"/>
        <v/>
      </c>
    </row>
    <row r="3181" ht="15.75" customHeight="1">
      <c r="A3181" s="375"/>
      <c r="K3181" s="269"/>
      <c r="L3181" s="269" t="str">
        <f t="shared" si="1"/>
        <v/>
      </c>
    </row>
    <row r="3182" ht="15.75" customHeight="1">
      <c r="A3182" s="375"/>
      <c r="K3182" s="269"/>
      <c r="L3182" s="269" t="str">
        <f t="shared" si="1"/>
        <v/>
      </c>
    </row>
    <row r="3183" ht="15.75" customHeight="1">
      <c r="A3183" s="375"/>
      <c r="K3183" s="269"/>
      <c r="L3183" s="269" t="str">
        <f t="shared" si="1"/>
        <v/>
      </c>
    </row>
    <row r="3184" ht="15.75" customHeight="1">
      <c r="A3184" s="375"/>
      <c r="K3184" s="269"/>
      <c r="L3184" s="269" t="str">
        <f t="shared" si="1"/>
        <v/>
      </c>
    </row>
    <row r="3185" ht="15.75" customHeight="1">
      <c r="A3185" s="375"/>
      <c r="K3185" s="269"/>
      <c r="L3185" s="269" t="str">
        <f t="shared" si="1"/>
        <v/>
      </c>
    </row>
    <row r="3186" ht="15.75" customHeight="1">
      <c r="A3186" s="375"/>
      <c r="K3186" s="269"/>
      <c r="L3186" s="269" t="str">
        <f t="shared" si="1"/>
        <v/>
      </c>
    </row>
    <row r="3187" ht="15.75" customHeight="1">
      <c r="A3187" s="375"/>
      <c r="K3187" s="269"/>
      <c r="L3187" s="269" t="str">
        <f t="shared" si="1"/>
        <v/>
      </c>
    </row>
    <row r="3188" ht="15.75" customHeight="1">
      <c r="A3188" s="375"/>
      <c r="K3188" s="269"/>
      <c r="L3188" s="269" t="str">
        <f t="shared" si="1"/>
        <v/>
      </c>
    </row>
    <row r="3189" ht="15.75" customHeight="1">
      <c r="A3189" s="375"/>
      <c r="K3189" s="269"/>
      <c r="L3189" s="269" t="str">
        <f t="shared" si="1"/>
        <v/>
      </c>
    </row>
    <row r="3190" ht="15.75" customHeight="1">
      <c r="A3190" s="375"/>
      <c r="K3190" s="269"/>
      <c r="L3190" s="269" t="str">
        <f t="shared" si="1"/>
        <v/>
      </c>
    </row>
    <row r="3191" ht="15.75" customHeight="1">
      <c r="A3191" s="375"/>
      <c r="K3191" s="269"/>
      <c r="L3191" s="269" t="str">
        <f t="shared" si="1"/>
        <v/>
      </c>
    </row>
    <row r="3192" ht="15.75" customHeight="1">
      <c r="A3192" s="375"/>
      <c r="K3192" s="269"/>
      <c r="L3192" s="269" t="str">
        <f t="shared" si="1"/>
        <v/>
      </c>
    </row>
    <row r="3193" ht="15.75" customHeight="1">
      <c r="A3193" s="375"/>
      <c r="K3193" s="269"/>
      <c r="L3193" s="269" t="str">
        <f t="shared" si="1"/>
        <v/>
      </c>
    </row>
    <row r="3194" ht="15.75" customHeight="1">
      <c r="A3194" s="375"/>
      <c r="K3194" s="269"/>
      <c r="L3194" s="269" t="str">
        <f t="shared" si="1"/>
        <v/>
      </c>
    </row>
    <row r="3195" ht="15.75" customHeight="1">
      <c r="A3195" s="375"/>
      <c r="K3195" s="269"/>
      <c r="L3195" s="269" t="str">
        <f t="shared" si="1"/>
        <v/>
      </c>
    </row>
    <row r="3196" ht="15.75" customHeight="1">
      <c r="A3196" s="375"/>
      <c r="K3196" s="269"/>
      <c r="L3196" s="269" t="str">
        <f t="shared" si="1"/>
        <v/>
      </c>
    </row>
    <row r="3197" ht="15.75" customHeight="1">
      <c r="A3197" s="375"/>
      <c r="K3197" s="269"/>
      <c r="L3197" s="269" t="str">
        <f t="shared" si="1"/>
        <v/>
      </c>
    </row>
    <row r="3198" ht="15.75" customHeight="1">
      <c r="A3198" s="375"/>
      <c r="K3198" s="269"/>
      <c r="L3198" s="269" t="str">
        <f t="shared" si="1"/>
        <v/>
      </c>
    </row>
    <row r="3199" ht="15.75" customHeight="1">
      <c r="A3199" s="375"/>
      <c r="K3199" s="269"/>
      <c r="L3199" s="269" t="str">
        <f t="shared" si="1"/>
        <v/>
      </c>
    </row>
    <row r="3200" ht="15.75" customHeight="1">
      <c r="A3200" s="375"/>
      <c r="K3200" s="269"/>
      <c r="L3200" s="269" t="str">
        <f t="shared" si="1"/>
        <v/>
      </c>
    </row>
    <row r="3201" ht="15.75" customHeight="1">
      <c r="A3201" s="375"/>
      <c r="K3201" s="269"/>
      <c r="L3201" s="269" t="str">
        <f t="shared" si="1"/>
        <v/>
      </c>
    </row>
    <row r="3202" ht="15.75" customHeight="1">
      <c r="A3202" s="375"/>
      <c r="K3202" s="269"/>
      <c r="L3202" s="269" t="str">
        <f t="shared" si="1"/>
        <v/>
      </c>
    </row>
    <row r="3203" ht="15.75" customHeight="1">
      <c r="A3203" s="375"/>
      <c r="K3203" s="269"/>
      <c r="L3203" s="269" t="str">
        <f t="shared" si="1"/>
        <v/>
      </c>
    </row>
    <row r="3204" ht="15.75" customHeight="1">
      <c r="A3204" s="375"/>
      <c r="K3204" s="269"/>
      <c r="L3204" s="269" t="str">
        <f t="shared" si="1"/>
        <v/>
      </c>
    </row>
    <row r="3205" ht="15.75" customHeight="1">
      <c r="A3205" s="375"/>
      <c r="K3205" s="269"/>
      <c r="L3205" s="269" t="str">
        <f t="shared" si="1"/>
        <v/>
      </c>
    </row>
    <row r="3206" ht="15.75" customHeight="1">
      <c r="A3206" s="375"/>
      <c r="K3206" s="269"/>
      <c r="L3206" s="269" t="str">
        <f t="shared" si="1"/>
        <v/>
      </c>
    </row>
    <row r="3207" ht="15.75" customHeight="1">
      <c r="A3207" s="375"/>
      <c r="K3207" s="269"/>
      <c r="L3207" s="269" t="str">
        <f t="shared" si="1"/>
        <v/>
      </c>
    </row>
    <row r="3208" ht="15.75" customHeight="1">
      <c r="A3208" s="375"/>
      <c r="K3208" s="269"/>
      <c r="L3208" s="269" t="str">
        <f t="shared" si="1"/>
        <v/>
      </c>
    </row>
    <row r="3209" ht="15.75" customHeight="1">
      <c r="A3209" s="375"/>
      <c r="K3209" s="269"/>
      <c r="L3209" s="269" t="str">
        <f t="shared" si="1"/>
        <v/>
      </c>
    </row>
    <row r="3210" ht="15.75" customHeight="1">
      <c r="A3210" s="375"/>
      <c r="K3210" s="269"/>
      <c r="L3210" s="269" t="str">
        <f t="shared" si="1"/>
        <v/>
      </c>
    </row>
    <row r="3211" ht="15.75" customHeight="1">
      <c r="A3211" s="375"/>
      <c r="K3211" s="269"/>
      <c r="L3211" s="269" t="str">
        <f t="shared" si="1"/>
        <v/>
      </c>
    </row>
    <row r="3212" ht="15.75" customHeight="1">
      <c r="A3212" s="375"/>
      <c r="K3212" s="269"/>
      <c r="L3212" s="269" t="str">
        <f t="shared" si="1"/>
        <v/>
      </c>
    </row>
    <row r="3213" ht="15.75" customHeight="1">
      <c r="A3213" s="375"/>
      <c r="K3213" s="269"/>
      <c r="L3213" s="269" t="str">
        <f t="shared" si="1"/>
        <v/>
      </c>
    </row>
    <row r="3214" ht="15.75" customHeight="1">
      <c r="A3214" s="375"/>
      <c r="K3214" s="269"/>
      <c r="L3214" s="269" t="str">
        <f t="shared" si="1"/>
        <v/>
      </c>
    </row>
    <row r="3215" ht="15.75" customHeight="1">
      <c r="A3215" s="375"/>
      <c r="K3215" s="269"/>
      <c r="L3215" s="269" t="str">
        <f t="shared" si="1"/>
        <v/>
      </c>
    </row>
    <row r="3216" ht="15.75" customHeight="1">
      <c r="A3216" s="375"/>
      <c r="K3216" s="269"/>
      <c r="L3216" s="269" t="str">
        <f t="shared" si="1"/>
        <v/>
      </c>
    </row>
    <row r="3217" ht="15.75" customHeight="1">
      <c r="A3217" s="375"/>
      <c r="K3217" s="269"/>
      <c r="L3217" s="269" t="str">
        <f t="shared" si="1"/>
        <v/>
      </c>
    </row>
    <row r="3218" ht="15.75" customHeight="1">
      <c r="A3218" s="375"/>
      <c r="K3218" s="269"/>
      <c r="L3218" s="269" t="str">
        <f t="shared" si="1"/>
        <v/>
      </c>
    </row>
    <row r="3219" ht="15.75" customHeight="1">
      <c r="A3219" s="375"/>
      <c r="K3219" s="269"/>
      <c r="L3219" s="269" t="str">
        <f t="shared" si="1"/>
        <v/>
      </c>
    </row>
    <row r="3220" ht="15.75" customHeight="1">
      <c r="A3220" s="375"/>
      <c r="K3220" s="269"/>
      <c r="L3220" s="269" t="str">
        <f t="shared" si="1"/>
        <v/>
      </c>
    </row>
    <row r="3221" ht="15.75" customHeight="1">
      <c r="A3221" s="375"/>
      <c r="K3221" s="269"/>
      <c r="L3221" s="269" t="str">
        <f t="shared" si="1"/>
        <v/>
      </c>
    </row>
    <row r="3222" ht="15.75" customHeight="1">
      <c r="A3222" s="375"/>
      <c r="K3222" s="269"/>
      <c r="L3222" s="269" t="str">
        <f t="shared" si="1"/>
        <v/>
      </c>
    </row>
    <row r="3223" ht="15.75" customHeight="1">
      <c r="A3223" s="375"/>
      <c r="K3223" s="269"/>
      <c r="L3223" s="269" t="str">
        <f t="shared" si="1"/>
        <v/>
      </c>
    </row>
    <row r="3224" ht="15.75" customHeight="1">
      <c r="A3224" s="375"/>
      <c r="K3224" s="269"/>
      <c r="L3224" s="269" t="str">
        <f t="shared" si="1"/>
        <v/>
      </c>
    </row>
    <row r="3225" ht="15.75" customHeight="1">
      <c r="A3225" s="375"/>
      <c r="K3225" s="269"/>
      <c r="L3225" s="269" t="str">
        <f t="shared" si="1"/>
        <v/>
      </c>
    </row>
    <row r="3226" ht="15.75" customHeight="1">
      <c r="A3226" s="375"/>
      <c r="K3226" s="269"/>
      <c r="L3226" s="269" t="str">
        <f t="shared" si="1"/>
        <v/>
      </c>
    </row>
    <row r="3227" ht="15.75" customHeight="1">
      <c r="A3227" s="375"/>
      <c r="K3227" s="269"/>
      <c r="L3227" s="269" t="str">
        <f t="shared" si="1"/>
        <v/>
      </c>
    </row>
    <row r="3228" ht="15.75" customHeight="1">
      <c r="A3228" s="375"/>
      <c r="K3228" s="269"/>
      <c r="L3228" s="269" t="str">
        <f t="shared" si="1"/>
        <v/>
      </c>
    </row>
    <row r="3229" ht="15.75" customHeight="1">
      <c r="A3229" s="375"/>
      <c r="K3229" s="269"/>
      <c r="L3229" s="269" t="str">
        <f t="shared" si="1"/>
        <v/>
      </c>
    </row>
    <row r="3230" ht="15.75" customHeight="1">
      <c r="A3230" s="375"/>
      <c r="K3230" s="269"/>
      <c r="L3230" s="269" t="str">
        <f t="shared" si="1"/>
        <v/>
      </c>
    </row>
    <row r="3231" ht="15.75" customHeight="1">
      <c r="A3231" s="375"/>
      <c r="K3231" s="269"/>
      <c r="L3231" s="269" t="str">
        <f t="shared" si="1"/>
        <v/>
      </c>
    </row>
    <row r="3232" ht="15.75" customHeight="1">
      <c r="A3232" s="375"/>
      <c r="K3232" s="269"/>
      <c r="L3232" s="269" t="str">
        <f t="shared" si="1"/>
        <v/>
      </c>
    </row>
    <row r="3233" ht="15.75" customHeight="1">
      <c r="A3233" s="375"/>
      <c r="K3233" s="269"/>
      <c r="L3233" s="269" t="str">
        <f t="shared" si="1"/>
        <v/>
      </c>
    </row>
    <row r="3234" ht="15.75" customHeight="1">
      <c r="A3234" s="375"/>
      <c r="K3234" s="269"/>
      <c r="L3234" s="269" t="str">
        <f t="shared" si="1"/>
        <v/>
      </c>
    </row>
    <row r="3235" ht="15.75" customHeight="1">
      <c r="A3235" s="375"/>
      <c r="K3235" s="269"/>
      <c r="L3235" s="269" t="str">
        <f t="shared" si="1"/>
        <v/>
      </c>
    </row>
    <row r="3236" ht="15.75" customHeight="1">
      <c r="A3236" s="375"/>
      <c r="K3236" s="269"/>
      <c r="L3236" s="269" t="str">
        <f t="shared" si="1"/>
        <v/>
      </c>
    </row>
    <row r="3237" ht="15.75" customHeight="1">
      <c r="A3237" s="375"/>
      <c r="K3237" s="269"/>
      <c r="L3237" s="269" t="str">
        <f t="shared" si="1"/>
        <v/>
      </c>
    </row>
    <row r="3238" ht="15.75" customHeight="1">
      <c r="A3238" s="375"/>
      <c r="K3238" s="269"/>
      <c r="L3238" s="269" t="str">
        <f t="shared" si="1"/>
        <v/>
      </c>
    </row>
    <row r="3239" ht="15.75" customHeight="1">
      <c r="A3239" s="375"/>
      <c r="K3239" s="269"/>
      <c r="L3239" s="269" t="str">
        <f t="shared" si="1"/>
        <v/>
      </c>
    </row>
    <row r="3240" ht="15.75" customHeight="1">
      <c r="A3240" s="375"/>
      <c r="K3240" s="269"/>
      <c r="L3240" s="269" t="str">
        <f t="shared" si="1"/>
        <v/>
      </c>
    </row>
    <row r="3241" ht="15.75" customHeight="1">
      <c r="A3241" s="375"/>
      <c r="K3241" s="269"/>
      <c r="L3241" s="269" t="str">
        <f t="shared" si="1"/>
        <v/>
      </c>
    </row>
    <row r="3242" ht="15.75" customHeight="1">
      <c r="A3242" s="375"/>
      <c r="K3242" s="269"/>
      <c r="L3242" s="269" t="str">
        <f t="shared" si="1"/>
        <v/>
      </c>
    </row>
    <row r="3243" ht="15.75" customHeight="1">
      <c r="A3243" s="375"/>
      <c r="K3243" s="269"/>
      <c r="L3243" s="269" t="str">
        <f t="shared" si="1"/>
        <v/>
      </c>
    </row>
    <row r="3244" ht="15.75" customHeight="1">
      <c r="A3244" s="375"/>
      <c r="K3244" s="269"/>
      <c r="L3244" s="269" t="str">
        <f t="shared" si="1"/>
        <v/>
      </c>
    </row>
    <row r="3245" ht="15.75" customHeight="1">
      <c r="A3245" s="375"/>
      <c r="K3245" s="269"/>
      <c r="L3245" s="269" t="str">
        <f t="shared" si="1"/>
        <v/>
      </c>
    </row>
    <row r="3246" ht="15.75" customHeight="1">
      <c r="A3246" s="375"/>
      <c r="K3246" s="269"/>
      <c r="L3246" s="269" t="str">
        <f t="shared" si="1"/>
        <v/>
      </c>
    </row>
    <row r="3247" ht="15.75" customHeight="1">
      <c r="A3247" s="375"/>
      <c r="K3247" s="269"/>
      <c r="L3247" s="269" t="str">
        <f t="shared" si="1"/>
        <v/>
      </c>
    </row>
    <row r="3248" ht="15.75" customHeight="1">
      <c r="A3248" s="375"/>
      <c r="K3248" s="269"/>
      <c r="L3248" s="269" t="str">
        <f t="shared" si="1"/>
        <v/>
      </c>
    </row>
    <row r="3249" ht="15.75" customHeight="1">
      <c r="A3249" s="375"/>
      <c r="K3249" s="269"/>
      <c r="L3249" s="269" t="str">
        <f t="shared" si="1"/>
        <v/>
      </c>
    </row>
    <row r="3250" ht="15.75" customHeight="1">
      <c r="A3250" s="375"/>
      <c r="K3250" s="269"/>
      <c r="L3250" s="269" t="str">
        <f t="shared" si="1"/>
        <v/>
      </c>
    </row>
    <row r="3251" ht="15.75" customHeight="1">
      <c r="A3251" s="375"/>
      <c r="K3251" s="269"/>
      <c r="L3251" s="269" t="str">
        <f t="shared" si="1"/>
        <v/>
      </c>
    </row>
    <row r="3252" ht="15.75" customHeight="1">
      <c r="A3252" s="375"/>
      <c r="K3252" s="269"/>
      <c r="L3252" s="269" t="str">
        <f t="shared" si="1"/>
        <v/>
      </c>
    </row>
    <row r="3253" ht="15.75" customHeight="1">
      <c r="A3253" s="375"/>
      <c r="K3253" s="269"/>
      <c r="L3253" s="269" t="str">
        <f t="shared" si="1"/>
        <v/>
      </c>
    </row>
    <row r="3254" ht="15.75" customHeight="1">
      <c r="A3254" s="375"/>
      <c r="K3254" s="269"/>
      <c r="L3254" s="269" t="str">
        <f t="shared" si="1"/>
        <v/>
      </c>
    </row>
    <row r="3255" ht="15.75" customHeight="1">
      <c r="A3255" s="375"/>
      <c r="K3255" s="269"/>
      <c r="L3255" s="269" t="str">
        <f t="shared" si="1"/>
        <v/>
      </c>
    </row>
    <row r="3256" ht="15.75" customHeight="1">
      <c r="A3256" s="375"/>
      <c r="K3256" s="269"/>
      <c r="L3256" s="269" t="str">
        <f t="shared" si="1"/>
        <v/>
      </c>
    </row>
    <row r="3257" ht="15.75" customHeight="1">
      <c r="A3257" s="375"/>
      <c r="K3257" s="269"/>
      <c r="L3257" s="269" t="str">
        <f t="shared" si="1"/>
        <v/>
      </c>
    </row>
    <row r="3258" ht="15.75" customHeight="1">
      <c r="A3258" s="375"/>
      <c r="K3258" s="269"/>
      <c r="L3258" s="269" t="str">
        <f t="shared" si="1"/>
        <v/>
      </c>
    </row>
    <row r="3259" ht="15.75" customHeight="1">
      <c r="A3259" s="375"/>
      <c r="K3259" s="269"/>
      <c r="L3259" s="269" t="str">
        <f t="shared" si="1"/>
        <v/>
      </c>
    </row>
    <row r="3260" ht="15.75" customHeight="1">
      <c r="A3260" s="375"/>
      <c r="K3260" s="269"/>
      <c r="L3260" s="269" t="str">
        <f t="shared" si="1"/>
        <v/>
      </c>
    </row>
    <row r="3261" ht="15.75" customHeight="1">
      <c r="A3261" s="375"/>
      <c r="K3261" s="269"/>
      <c r="L3261" s="269" t="str">
        <f t="shared" si="1"/>
        <v/>
      </c>
    </row>
    <row r="3262" ht="15.75" customHeight="1">
      <c r="A3262" s="375"/>
      <c r="K3262" s="269"/>
      <c r="L3262" s="269" t="str">
        <f t="shared" si="1"/>
        <v/>
      </c>
    </row>
    <row r="3263" ht="15.75" customHeight="1">
      <c r="A3263" s="375"/>
      <c r="K3263" s="269"/>
      <c r="L3263" s="269" t="str">
        <f t="shared" si="1"/>
        <v/>
      </c>
    </row>
    <row r="3264" ht="15.75" customHeight="1">
      <c r="A3264" s="375"/>
      <c r="K3264" s="269"/>
      <c r="L3264" s="269" t="str">
        <f t="shared" si="1"/>
        <v/>
      </c>
    </row>
    <row r="3265" ht="15.75" customHeight="1">
      <c r="A3265" s="375"/>
      <c r="K3265" s="269"/>
      <c r="L3265" s="269" t="str">
        <f t="shared" si="1"/>
        <v/>
      </c>
    </row>
    <row r="3266" ht="15.75" customHeight="1">
      <c r="A3266" s="375"/>
      <c r="K3266" s="269"/>
      <c r="L3266" s="269" t="str">
        <f t="shared" si="1"/>
        <v/>
      </c>
    </row>
    <row r="3267" ht="15.75" customHeight="1">
      <c r="A3267" s="375"/>
      <c r="K3267" s="269"/>
      <c r="L3267" s="269" t="str">
        <f t="shared" si="1"/>
        <v/>
      </c>
    </row>
    <row r="3268" ht="15.75" customHeight="1">
      <c r="A3268" s="375"/>
      <c r="K3268" s="269"/>
      <c r="L3268" s="269" t="str">
        <f t="shared" si="1"/>
        <v/>
      </c>
    </row>
    <row r="3269" ht="15.75" customHeight="1">
      <c r="A3269" s="375"/>
      <c r="K3269" s="269"/>
      <c r="L3269" s="269" t="str">
        <f t="shared" si="1"/>
        <v/>
      </c>
    </row>
    <row r="3270" ht="15.75" customHeight="1">
      <c r="A3270" s="375"/>
      <c r="K3270" s="269"/>
      <c r="L3270" s="269" t="str">
        <f t="shared" si="1"/>
        <v/>
      </c>
    </row>
    <row r="3271" ht="15.75" customHeight="1">
      <c r="A3271" s="375"/>
      <c r="K3271" s="269"/>
      <c r="L3271" s="269" t="str">
        <f t="shared" si="1"/>
        <v/>
      </c>
    </row>
    <row r="3272" ht="15.75" customHeight="1">
      <c r="A3272" s="375"/>
      <c r="K3272" s="269"/>
      <c r="L3272" s="269" t="str">
        <f t="shared" si="1"/>
        <v/>
      </c>
    </row>
    <row r="3273" ht="15.75" customHeight="1">
      <c r="A3273" s="375"/>
      <c r="K3273" s="269"/>
      <c r="L3273" s="269" t="str">
        <f t="shared" si="1"/>
        <v/>
      </c>
    </row>
    <row r="3274" ht="15.75" customHeight="1">
      <c r="A3274" s="375"/>
      <c r="K3274" s="269"/>
      <c r="L3274" s="269" t="str">
        <f t="shared" si="1"/>
        <v/>
      </c>
    </row>
    <row r="3275" ht="15.75" customHeight="1">
      <c r="A3275" s="375"/>
      <c r="K3275" s="269"/>
      <c r="L3275" s="269" t="str">
        <f t="shared" si="1"/>
        <v/>
      </c>
    </row>
    <row r="3276" ht="15.75" customHeight="1">
      <c r="A3276" s="375"/>
      <c r="K3276" s="269"/>
      <c r="L3276" s="269" t="str">
        <f t="shared" si="1"/>
        <v/>
      </c>
    </row>
    <row r="3277" ht="15.75" customHeight="1">
      <c r="A3277" s="375"/>
      <c r="K3277" s="269"/>
      <c r="L3277" s="269" t="str">
        <f t="shared" si="1"/>
        <v/>
      </c>
    </row>
    <row r="3278" ht="15.75" customHeight="1">
      <c r="A3278" s="375"/>
      <c r="K3278" s="269"/>
      <c r="L3278" s="269" t="str">
        <f t="shared" si="1"/>
        <v/>
      </c>
    </row>
    <row r="3279" ht="15.75" customHeight="1">
      <c r="A3279" s="375"/>
      <c r="K3279" s="269"/>
      <c r="L3279" s="269" t="str">
        <f t="shared" si="1"/>
        <v/>
      </c>
    </row>
    <row r="3280" ht="15.75" customHeight="1">
      <c r="A3280" s="375"/>
      <c r="K3280" s="269"/>
      <c r="L3280" s="269" t="str">
        <f t="shared" si="1"/>
        <v/>
      </c>
    </row>
    <row r="3281" ht="15.75" customHeight="1">
      <c r="A3281" s="375"/>
      <c r="K3281" s="269"/>
      <c r="L3281" s="269" t="str">
        <f t="shared" si="1"/>
        <v/>
      </c>
    </row>
    <row r="3282" ht="15.75" customHeight="1">
      <c r="A3282" s="375"/>
      <c r="K3282" s="269"/>
      <c r="L3282" s="269" t="str">
        <f t="shared" si="1"/>
        <v/>
      </c>
    </row>
    <row r="3283" ht="15.75" customHeight="1">
      <c r="A3283" s="375"/>
      <c r="K3283" s="269"/>
      <c r="L3283" s="269" t="str">
        <f t="shared" si="1"/>
        <v/>
      </c>
    </row>
    <row r="3284" ht="15.75" customHeight="1">
      <c r="A3284" s="375"/>
      <c r="K3284" s="269"/>
      <c r="L3284" s="269" t="str">
        <f t="shared" si="1"/>
        <v/>
      </c>
    </row>
    <row r="3285" ht="15.75" customHeight="1">
      <c r="A3285" s="375"/>
      <c r="K3285" s="269"/>
      <c r="L3285" s="269" t="str">
        <f t="shared" si="1"/>
        <v/>
      </c>
    </row>
    <row r="3286" ht="15.75" customHeight="1">
      <c r="A3286" s="375"/>
      <c r="K3286" s="269"/>
      <c r="L3286" s="269" t="str">
        <f t="shared" si="1"/>
        <v/>
      </c>
    </row>
    <row r="3287" ht="15.75" customHeight="1">
      <c r="A3287" s="375"/>
      <c r="K3287" s="269"/>
      <c r="L3287" s="269" t="str">
        <f t="shared" si="1"/>
        <v/>
      </c>
    </row>
    <row r="3288" ht="15.75" customHeight="1">
      <c r="A3288" s="375"/>
      <c r="K3288" s="269"/>
      <c r="L3288" s="269" t="str">
        <f t="shared" si="1"/>
        <v/>
      </c>
    </row>
    <row r="3289" ht="15.75" customHeight="1">
      <c r="A3289" s="375"/>
      <c r="K3289" s="269"/>
      <c r="L3289" s="269" t="str">
        <f t="shared" si="1"/>
        <v/>
      </c>
    </row>
    <row r="3290" ht="15.75" customHeight="1">
      <c r="A3290" s="375"/>
      <c r="K3290" s="269"/>
      <c r="L3290" s="269" t="str">
        <f t="shared" si="1"/>
        <v/>
      </c>
    </row>
    <row r="3291" ht="15.75" customHeight="1">
      <c r="A3291" s="375"/>
      <c r="K3291" s="269"/>
      <c r="L3291" s="269" t="str">
        <f t="shared" si="1"/>
        <v/>
      </c>
    </row>
    <row r="3292" ht="15.75" customHeight="1">
      <c r="A3292" s="375"/>
      <c r="K3292" s="269"/>
      <c r="L3292" s="269" t="str">
        <f t="shared" si="1"/>
        <v/>
      </c>
    </row>
    <row r="3293" ht="15.75" customHeight="1">
      <c r="A3293" s="375"/>
      <c r="K3293" s="269"/>
      <c r="L3293" s="269" t="str">
        <f t="shared" si="1"/>
        <v/>
      </c>
    </row>
    <row r="3294" ht="15.75" customHeight="1">
      <c r="A3294" s="375"/>
      <c r="K3294" s="269"/>
      <c r="L3294" s="269" t="str">
        <f t="shared" si="1"/>
        <v/>
      </c>
    </row>
    <row r="3295" ht="15.75" customHeight="1">
      <c r="A3295" s="375"/>
      <c r="K3295" s="269"/>
      <c r="L3295" s="269" t="str">
        <f t="shared" si="1"/>
        <v/>
      </c>
    </row>
    <row r="3296" ht="15.75" customHeight="1">
      <c r="A3296" s="375"/>
      <c r="K3296" s="269"/>
      <c r="L3296" s="269" t="str">
        <f t="shared" si="1"/>
        <v/>
      </c>
    </row>
    <row r="3297" ht="15.75" customHeight="1">
      <c r="A3297" s="375"/>
      <c r="K3297" s="269"/>
      <c r="L3297" s="269" t="str">
        <f t="shared" si="1"/>
        <v/>
      </c>
    </row>
    <row r="3298" ht="15.75" customHeight="1">
      <c r="A3298" s="375"/>
      <c r="K3298" s="269"/>
      <c r="L3298" s="269" t="str">
        <f t="shared" si="1"/>
        <v/>
      </c>
    </row>
    <row r="3299" ht="15.75" customHeight="1">
      <c r="A3299" s="375"/>
      <c r="K3299" s="269"/>
      <c r="L3299" s="269" t="str">
        <f t="shared" si="1"/>
        <v/>
      </c>
    </row>
    <row r="3300" ht="15.75" customHeight="1">
      <c r="A3300" s="375"/>
      <c r="K3300" s="269"/>
      <c r="L3300" s="269" t="str">
        <f t="shared" si="1"/>
        <v/>
      </c>
    </row>
    <row r="3301" ht="15.75" customHeight="1">
      <c r="A3301" s="375"/>
      <c r="K3301" s="269"/>
      <c r="L3301" s="269" t="str">
        <f t="shared" si="1"/>
        <v/>
      </c>
    </row>
    <row r="3302" ht="15.75" customHeight="1">
      <c r="A3302" s="375"/>
      <c r="K3302" s="269"/>
      <c r="L3302" s="269" t="str">
        <f t="shared" si="1"/>
        <v/>
      </c>
    </row>
    <row r="3303" ht="15.75" customHeight="1">
      <c r="A3303" s="375"/>
      <c r="K3303" s="269"/>
      <c r="L3303" s="269" t="str">
        <f t="shared" si="1"/>
        <v/>
      </c>
    </row>
    <row r="3304" ht="15.75" customHeight="1">
      <c r="A3304" s="375"/>
      <c r="K3304" s="269"/>
      <c r="L3304" s="269" t="str">
        <f t="shared" si="1"/>
        <v/>
      </c>
    </row>
    <row r="3305" ht="15.75" customHeight="1">
      <c r="A3305" s="375"/>
      <c r="K3305" s="269"/>
      <c r="L3305" s="269" t="str">
        <f t="shared" si="1"/>
        <v/>
      </c>
    </row>
    <row r="3306" ht="15.75" customHeight="1">
      <c r="A3306" s="375"/>
      <c r="K3306" s="269"/>
      <c r="L3306" s="269" t="str">
        <f t="shared" si="1"/>
        <v/>
      </c>
    </row>
    <row r="3307" ht="15.75" customHeight="1">
      <c r="A3307" s="375"/>
      <c r="K3307" s="269"/>
      <c r="L3307" s="269" t="str">
        <f t="shared" si="1"/>
        <v/>
      </c>
    </row>
    <row r="3308" ht="15.75" customHeight="1">
      <c r="A3308" s="375"/>
      <c r="K3308" s="269"/>
      <c r="L3308" s="269" t="str">
        <f t="shared" si="1"/>
        <v/>
      </c>
    </row>
    <row r="3309" ht="15.75" customHeight="1">
      <c r="A3309" s="375"/>
      <c r="K3309" s="269"/>
      <c r="L3309" s="269" t="str">
        <f t="shared" si="1"/>
        <v/>
      </c>
    </row>
    <row r="3310" ht="15.75" customHeight="1">
      <c r="A3310" s="375"/>
      <c r="K3310" s="269"/>
      <c r="L3310" s="269" t="str">
        <f t="shared" si="1"/>
        <v/>
      </c>
    </row>
    <row r="3311" ht="15.75" customHeight="1">
      <c r="A3311" s="375"/>
      <c r="K3311" s="269"/>
      <c r="L3311" s="269" t="str">
        <f t="shared" si="1"/>
        <v/>
      </c>
    </row>
    <row r="3312" ht="15.75" customHeight="1">
      <c r="A3312" s="375"/>
      <c r="K3312" s="269"/>
      <c r="L3312" s="269" t="str">
        <f t="shared" si="1"/>
        <v/>
      </c>
    </row>
    <row r="3313" ht="15.75" customHeight="1">
      <c r="A3313" s="375"/>
      <c r="K3313" s="269"/>
      <c r="L3313" s="269" t="str">
        <f t="shared" si="1"/>
        <v/>
      </c>
    </row>
    <row r="3314" ht="15.75" customHeight="1">
      <c r="A3314" s="375"/>
      <c r="K3314" s="269"/>
      <c r="L3314" s="269" t="str">
        <f t="shared" si="1"/>
        <v/>
      </c>
    </row>
    <row r="3315" ht="15.75" customHeight="1">
      <c r="A3315" s="375"/>
      <c r="K3315" s="269"/>
      <c r="L3315" s="269" t="str">
        <f t="shared" si="1"/>
        <v/>
      </c>
    </row>
    <row r="3316" ht="15.75" customHeight="1">
      <c r="A3316" s="375"/>
      <c r="K3316" s="269"/>
      <c r="L3316" s="269" t="str">
        <f t="shared" si="1"/>
        <v/>
      </c>
    </row>
    <row r="3317" ht="15.75" customHeight="1">
      <c r="A3317" s="375"/>
      <c r="K3317" s="269"/>
      <c r="L3317" s="269" t="str">
        <f t="shared" si="1"/>
        <v/>
      </c>
    </row>
    <row r="3318" ht="15.75" customHeight="1">
      <c r="A3318" s="375"/>
      <c r="K3318" s="269"/>
      <c r="L3318" s="269" t="str">
        <f t="shared" si="1"/>
        <v/>
      </c>
    </row>
    <row r="3319" ht="15.75" customHeight="1">
      <c r="A3319" s="375"/>
      <c r="K3319" s="269"/>
      <c r="L3319" s="269" t="str">
        <f t="shared" si="1"/>
        <v/>
      </c>
    </row>
    <row r="3320" ht="15.75" customHeight="1">
      <c r="A3320" s="375"/>
      <c r="K3320" s="269"/>
      <c r="L3320" s="269" t="str">
        <f t="shared" si="1"/>
        <v/>
      </c>
    </row>
    <row r="3321" ht="15.75" customHeight="1">
      <c r="A3321" s="375"/>
      <c r="K3321" s="269"/>
      <c r="L3321" s="269" t="str">
        <f t="shared" si="1"/>
        <v/>
      </c>
    </row>
    <row r="3322" ht="15.75" customHeight="1">
      <c r="A3322" s="375"/>
      <c r="K3322" s="269"/>
      <c r="L3322" s="269" t="str">
        <f t="shared" si="1"/>
        <v/>
      </c>
    </row>
    <row r="3323" ht="15.75" customHeight="1">
      <c r="A3323" s="375"/>
      <c r="K3323" s="269"/>
      <c r="L3323" s="269" t="str">
        <f t="shared" si="1"/>
        <v/>
      </c>
    </row>
    <row r="3324" ht="15.75" customHeight="1">
      <c r="A3324" s="375"/>
      <c r="K3324" s="269"/>
      <c r="L3324" s="269" t="str">
        <f t="shared" si="1"/>
        <v/>
      </c>
    </row>
    <row r="3325" ht="15.75" customHeight="1">
      <c r="A3325" s="375"/>
      <c r="K3325" s="269"/>
      <c r="L3325" s="269" t="str">
        <f t="shared" si="1"/>
        <v/>
      </c>
    </row>
    <row r="3326" ht="15.75" customHeight="1">
      <c r="A3326" s="375"/>
      <c r="K3326" s="269"/>
      <c r="L3326" s="269" t="str">
        <f t="shared" si="1"/>
        <v/>
      </c>
    </row>
    <row r="3327" ht="15.75" customHeight="1">
      <c r="A3327" s="375"/>
      <c r="K3327" s="269"/>
      <c r="L3327" s="269" t="str">
        <f t="shared" si="1"/>
        <v/>
      </c>
    </row>
    <row r="3328" ht="15.75" customHeight="1">
      <c r="A3328" s="375"/>
      <c r="K3328" s="269"/>
      <c r="L3328" s="269" t="str">
        <f t="shared" si="1"/>
        <v/>
      </c>
    </row>
    <row r="3329" ht="15.75" customHeight="1">
      <c r="A3329" s="375"/>
      <c r="K3329" s="269"/>
      <c r="L3329" s="269" t="str">
        <f t="shared" si="1"/>
        <v/>
      </c>
    </row>
    <row r="3330" ht="15.75" customHeight="1">
      <c r="A3330" s="375"/>
      <c r="K3330" s="269"/>
      <c r="L3330" s="269" t="str">
        <f t="shared" si="1"/>
        <v/>
      </c>
    </row>
    <row r="3331" ht="15.75" customHeight="1">
      <c r="A3331" s="375"/>
      <c r="K3331" s="269"/>
      <c r="L3331" s="269" t="str">
        <f t="shared" si="1"/>
        <v/>
      </c>
    </row>
    <row r="3332" ht="15.75" customHeight="1">
      <c r="A3332" s="375"/>
      <c r="K3332" s="269"/>
      <c r="L3332" s="269" t="str">
        <f t="shared" si="1"/>
        <v/>
      </c>
    </row>
    <row r="3333" ht="15.75" customHeight="1">
      <c r="A3333" s="375"/>
      <c r="K3333" s="269"/>
      <c r="L3333" s="269" t="str">
        <f t="shared" si="1"/>
        <v/>
      </c>
    </row>
    <row r="3334" ht="15.75" customHeight="1">
      <c r="A3334" s="375"/>
      <c r="K3334" s="269"/>
      <c r="L3334" s="269" t="str">
        <f t="shared" si="1"/>
        <v/>
      </c>
    </row>
    <row r="3335" ht="15.75" customHeight="1">
      <c r="A3335" s="375"/>
      <c r="K3335" s="269"/>
      <c r="L3335" s="269" t="str">
        <f t="shared" si="1"/>
        <v/>
      </c>
    </row>
    <row r="3336" ht="15.75" customHeight="1">
      <c r="A3336" s="375"/>
      <c r="K3336" s="269"/>
      <c r="L3336" s="269" t="str">
        <f t="shared" si="1"/>
        <v/>
      </c>
    </row>
    <row r="3337" ht="15.75" customHeight="1">
      <c r="A3337" s="375"/>
      <c r="K3337" s="269"/>
      <c r="L3337" s="269" t="str">
        <f t="shared" si="1"/>
        <v/>
      </c>
    </row>
    <row r="3338" ht="15.75" customHeight="1">
      <c r="A3338" s="375"/>
      <c r="K3338" s="269"/>
      <c r="L3338" s="269" t="str">
        <f t="shared" si="1"/>
        <v/>
      </c>
    </row>
    <row r="3339" ht="15.75" customHeight="1">
      <c r="A3339" s="375"/>
      <c r="K3339" s="269"/>
      <c r="L3339" s="269" t="str">
        <f t="shared" si="1"/>
        <v/>
      </c>
    </row>
    <row r="3340" ht="15.75" customHeight="1">
      <c r="A3340" s="375"/>
      <c r="K3340" s="269"/>
      <c r="L3340" s="269" t="str">
        <f t="shared" si="1"/>
        <v/>
      </c>
    </row>
    <row r="3341" ht="15.75" customHeight="1">
      <c r="A3341" s="375"/>
      <c r="K3341" s="269"/>
      <c r="L3341" s="269" t="str">
        <f t="shared" si="1"/>
        <v/>
      </c>
    </row>
    <row r="3342" ht="15.75" customHeight="1">
      <c r="A3342" s="375"/>
      <c r="K3342" s="269"/>
      <c r="L3342" s="269" t="str">
        <f t="shared" si="1"/>
        <v/>
      </c>
    </row>
    <row r="3343" ht="15.75" customHeight="1">
      <c r="A3343" s="375"/>
      <c r="K3343" s="269"/>
      <c r="L3343" s="269" t="str">
        <f t="shared" si="1"/>
        <v/>
      </c>
    </row>
    <row r="3344" ht="15.75" customHeight="1">
      <c r="A3344" s="375"/>
      <c r="K3344" s="269"/>
      <c r="L3344" s="269" t="str">
        <f t="shared" si="1"/>
        <v/>
      </c>
    </row>
    <row r="3345" ht="15.75" customHeight="1">
      <c r="A3345" s="375"/>
      <c r="K3345" s="269"/>
      <c r="L3345" s="269" t="str">
        <f t="shared" si="1"/>
        <v/>
      </c>
    </row>
    <row r="3346" ht="15.75" customHeight="1">
      <c r="A3346" s="375"/>
      <c r="K3346" s="269"/>
      <c r="L3346" s="269" t="str">
        <f t="shared" si="1"/>
        <v/>
      </c>
    </row>
    <row r="3347" ht="15.75" customHeight="1">
      <c r="A3347" s="375"/>
      <c r="K3347" s="269"/>
      <c r="L3347" s="269" t="str">
        <f t="shared" si="1"/>
        <v/>
      </c>
    </row>
    <row r="3348" ht="15.75" customHeight="1">
      <c r="A3348" s="375"/>
      <c r="K3348" s="269"/>
      <c r="L3348" s="269" t="str">
        <f t="shared" si="1"/>
        <v/>
      </c>
    </row>
    <row r="3349" ht="15.75" customHeight="1">
      <c r="A3349" s="375"/>
      <c r="K3349" s="269"/>
      <c r="L3349" s="269" t="str">
        <f t="shared" si="1"/>
        <v/>
      </c>
    </row>
    <row r="3350" ht="15.75" customHeight="1">
      <c r="A3350" s="375"/>
      <c r="K3350" s="269"/>
      <c r="L3350" s="269" t="str">
        <f t="shared" si="1"/>
        <v/>
      </c>
    </row>
    <row r="3351" ht="15.75" customHeight="1">
      <c r="A3351" s="375"/>
      <c r="K3351" s="269"/>
      <c r="L3351" s="269" t="str">
        <f t="shared" si="1"/>
        <v/>
      </c>
    </row>
    <row r="3352" ht="15.75" customHeight="1">
      <c r="A3352" s="375"/>
      <c r="K3352" s="269"/>
      <c r="L3352" s="269" t="str">
        <f t="shared" si="1"/>
        <v/>
      </c>
    </row>
    <row r="3353" ht="15.75" customHeight="1">
      <c r="A3353" s="375"/>
      <c r="K3353" s="269"/>
      <c r="L3353" s="269" t="str">
        <f t="shared" si="1"/>
        <v/>
      </c>
    </row>
    <row r="3354" ht="15.75" customHeight="1">
      <c r="A3354" s="375"/>
      <c r="K3354" s="269"/>
      <c r="L3354" s="269" t="str">
        <f t="shared" si="1"/>
        <v/>
      </c>
    </row>
    <row r="3355" ht="15.75" customHeight="1">
      <c r="A3355" s="375"/>
      <c r="K3355" s="269"/>
      <c r="L3355" s="269" t="str">
        <f t="shared" si="1"/>
        <v/>
      </c>
    </row>
    <row r="3356" ht="15.75" customHeight="1">
      <c r="A3356" s="375"/>
      <c r="K3356" s="269"/>
      <c r="L3356" s="269" t="str">
        <f t="shared" si="1"/>
        <v/>
      </c>
    </row>
    <row r="3357" ht="15.75" customHeight="1">
      <c r="A3357" s="375"/>
      <c r="K3357" s="269"/>
      <c r="L3357" s="269" t="str">
        <f t="shared" si="1"/>
        <v/>
      </c>
    </row>
    <row r="3358" ht="15.75" customHeight="1">
      <c r="A3358" s="375"/>
      <c r="K3358" s="269"/>
      <c r="L3358" s="269" t="str">
        <f t="shared" si="1"/>
        <v/>
      </c>
    </row>
    <row r="3359" ht="15.75" customHeight="1">
      <c r="A3359" s="375"/>
      <c r="K3359" s="269"/>
      <c r="L3359" s="269" t="str">
        <f t="shared" si="1"/>
        <v/>
      </c>
    </row>
    <row r="3360" ht="15.75" customHeight="1">
      <c r="A3360" s="375"/>
      <c r="K3360" s="269"/>
      <c r="L3360" s="269" t="str">
        <f t="shared" si="1"/>
        <v/>
      </c>
    </row>
    <row r="3361" ht="15.75" customHeight="1">
      <c r="A3361" s="375"/>
      <c r="K3361" s="269"/>
      <c r="L3361" s="269" t="str">
        <f t="shared" si="1"/>
        <v/>
      </c>
    </row>
    <row r="3362" ht="15.75" customHeight="1">
      <c r="A3362" s="375"/>
      <c r="K3362" s="269"/>
      <c r="L3362" s="269" t="str">
        <f t="shared" si="1"/>
        <v/>
      </c>
    </row>
    <row r="3363" ht="15.75" customHeight="1">
      <c r="A3363" s="375"/>
      <c r="K3363" s="269"/>
      <c r="L3363" s="269" t="str">
        <f t="shared" si="1"/>
        <v/>
      </c>
    </row>
    <row r="3364" ht="15.75" customHeight="1">
      <c r="A3364" s="375"/>
      <c r="K3364" s="269"/>
      <c r="L3364" s="269" t="str">
        <f t="shared" si="1"/>
        <v/>
      </c>
    </row>
    <row r="3365" ht="15.75" customHeight="1">
      <c r="A3365" s="375"/>
      <c r="K3365" s="269"/>
      <c r="L3365" s="269" t="str">
        <f t="shared" si="1"/>
        <v/>
      </c>
    </row>
    <row r="3366" ht="15.75" customHeight="1">
      <c r="A3366" s="375"/>
      <c r="K3366" s="269"/>
      <c r="L3366" s="269" t="str">
        <f t="shared" si="1"/>
        <v/>
      </c>
    </row>
    <row r="3367" ht="15.75" customHeight="1">
      <c r="A3367" s="375"/>
      <c r="K3367" s="269"/>
      <c r="L3367" s="269" t="str">
        <f t="shared" si="1"/>
        <v/>
      </c>
    </row>
    <row r="3368" ht="15.75" customHeight="1">
      <c r="A3368" s="375"/>
      <c r="K3368" s="269"/>
      <c r="L3368" s="269" t="str">
        <f t="shared" si="1"/>
        <v/>
      </c>
    </row>
    <row r="3369" ht="15.75" customHeight="1">
      <c r="A3369" s="375"/>
      <c r="K3369" s="269"/>
      <c r="L3369" s="269" t="str">
        <f t="shared" si="1"/>
        <v/>
      </c>
    </row>
    <row r="3370" ht="15.75" customHeight="1">
      <c r="A3370" s="375"/>
      <c r="K3370" s="269"/>
      <c r="L3370" s="269" t="str">
        <f t="shared" si="1"/>
        <v/>
      </c>
    </row>
    <row r="3371" ht="15.75" customHeight="1">
      <c r="A3371" s="375"/>
      <c r="K3371" s="269"/>
      <c r="L3371" s="269" t="str">
        <f t="shared" si="1"/>
        <v/>
      </c>
    </row>
    <row r="3372" ht="15.75" customHeight="1">
      <c r="A3372" s="375"/>
      <c r="K3372" s="269"/>
      <c r="L3372" s="269" t="str">
        <f t="shared" si="1"/>
        <v/>
      </c>
    </row>
    <row r="3373" ht="15.75" customHeight="1">
      <c r="A3373" s="375"/>
      <c r="K3373" s="269"/>
      <c r="L3373" s="269" t="str">
        <f t="shared" si="1"/>
        <v/>
      </c>
    </row>
    <row r="3374" ht="15.75" customHeight="1">
      <c r="A3374" s="375"/>
      <c r="K3374" s="269"/>
      <c r="L3374" s="269" t="str">
        <f t="shared" si="1"/>
        <v/>
      </c>
    </row>
    <row r="3375" ht="15.75" customHeight="1">
      <c r="A3375" s="375"/>
      <c r="K3375" s="269"/>
      <c r="L3375" s="269" t="str">
        <f t="shared" si="1"/>
        <v/>
      </c>
    </row>
    <row r="3376" ht="15.75" customHeight="1">
      <c r="A3376" s="375"/>
      <c r="K3376" s="269"/>
      <c r="L3376" s="269" t="str">
        <f t="shared" si="1"/>
        <v/>
      </c>
    </row>
    <row r="3377" ht="15.75" customHeight="1">
      <c r="A3377" s="375"/>
      <c r="K3377" s="269"/>
      <c r="L3377" s="269" t="str">
        <f t="shared" si="1"/>
        <v/>
      </c>
    </row>
    <row r="3378" ht="15.75" customHeight="1">
      <c r="A3378" s="375"/>
      <c r="K3378" s="269"/>
      <c r="L3378" s="269" t="str">
        <f t="shared" si="1"/>
        <v/>
      </c>
    </row>
    <row r="3379" ht="15.75" customHeight="1">
      <c r="A3379" s="375"/>
      <c r="K3379" s="269"/>
      <c r="L3379" s="269" t="str">
        <f t="shared" si="1"/>
        <v/>
      </c>
    </row>
    <row r="3380" ht="15.75" customHeight="1">
      <c r="A3380" s="375"/>
      <c r="K3380" s="269"/>
      <c r="L3380" s="269" t="str">
        <f t="shared" si="1"/>
        <v/>
      </c>
    </row>
    <row r="3381" ht="15.75" customHeight="1">
      <c r="A3381" s="375"/>
      <c r="K3381" s="269"/>
      <c r="L3381" s="269" t="str">
        <f t="shared" si="1"/>
        <v/>
      </c>
    </row>
    <row r="3382" ht="15.75" customHeight="1">
      <c r="A3382" s="375"/>
      <c r="K3382" s="269"/>
      <c r="L3382" s="269" t="str">
        <f t="shared" si="1"/>
        <v/>
      </c>
    </row>
    <row r="3383" ht="15.75" customHeight="1">
      <c r="A3383" s="375"/>
      <c r="K3383" s="269"/>
      <c r="L3383" s="269" t="str">
        <f t="shared" si="1"/>
        <v/>
      </c>
    </row>
    <row r="3384" ht="15.75" customHeight="1">
      <c r="A3384" s="375"/>
      <c r="K3384" s="269"/>
      <c r="L3384" s="269" t="str">
        <f t="shared" si="1"/>
        <v/>
      </c>
    </row>
    <row r="3385" ht="15.75" customHeight="1">
      <c r="A3385" s="375"/>
      <c r="K3385" s="269"/>
      <c r="L3385" s="269" t="str">
        <f t="shared" si="1"/>
        <v/>
      </c>
    </row>
    <row r="3386" ht="15.75" customHeight="1">
      <c r="A3386" s="375"/>
      <c r="K3386" s="269"/>
      <c r="L3386" s="269" t="str">
        <f t="shared" si="1"/>
        <v/>
      </c>
    </row>
    <row r="3387" ht="15.75" customHeight="1">
      <c r="A3387" s="375"/>
      <c r="K3387" s="269"/>
      <c r="L3387" s="269" t="str">
        <f t="shared" si="1"/>
        <v/>
      </c>
    </row>
    <row r="3388" ht="15.75" customHeight="1">
      <c r="A3388" s="375"/>
      <c r="K3388" s="269"/>
      <c r="L3388" s="269" t="str">
        <f t="shared" si="1"/>
        <v/>
      </c>
    </row>
    <row r="3389" ht="15.75" customHeight="1">
      <c r="A3389" s="375"/>
      <c r="K3389" s="269"/>
      <c r="L3389" s="269" t="str">
        <f t="shared" si="1"/>
        <v/>
      </c>
    </row>
    <row r="3390" ht="15.75" customHeight="1">
      <c r="A3390" s="375"/>
      <c r="K3390" s="269"/>
      <c r="L3390" s="269" t="str">
        <f t="shared" si="1"/>
        <v/>
      </c>
    </row>
    <row r="3391" ht="15.75" customHeight="1">
      <c r="A3391" s="375"/>
      <c r="K3391" s="269"/>
      <c r="L3391" s="269" t="str">
        <f t="shared" si="1"/>
        <v/>
      </c>
    </row>
    <row r="3392" ht="15.75" customHeight="1">
      <c r="A3392" s="375"/>
      <c r="K3392" s="269"/>
      <c r="L3392" s="269" t="str">
        <f t="shared" si="1"/>
        <v/>
      </c>
    </row>
    <row r="3393" ht="15.75" customHeight="1">
      <c r="A3393" s="375"/>
      <c r="K3393" s="269"/>
      <c r="L3393" s="269" t="str">
        <f t="shared" si="1"/>
        <v/>
      </c>
    </row>
    <row r="3394" ht="15.75" customHeight="1">
      <c r="A3394" s="375"/>
      <c r="K3394" s="269"/>
      <c r="L3394" s="269" t="str">
        <f t="shared" si="1"/>
        <v/>
      </c>
    </row>
    <row r="3395" ht="15.75" customHeight="1">
      <c r="A3395" s="375"/>
      <c r="K3395" s="269"/>
      <c r="L3395" s="269" t="str">
        <f t="shared" si="1"/>
        <v/>
      </c>
    </row>
    <row r="3396" ht="15.75" customHeight="1">
      <c r="A3396" s="375"/>
      <c r="K3396" s="269"/>
      <c r="L3396" s="269" t="str">
        <f t="shared" si="1"/>
        <v/>
      </c>
    </row>
    <row r="3397" ht="15.75" customHeight="1">
      <c r="A3397" s="375"/>
      <c r="K3397" s="269"/>
      <c r="L3397" s="269" t="str">
        <f t="shared" si="1"/>
        <v/>
      </c>
    </row>
    <row r="3398" ht="15.75" customHeight="1">
      <c r="A3398" s="375"/>
      <c r="K3398" s="269"/>
      <c r="L3398" s="269" t="str">
        <f t="shared" si="1"/>
        <v/>
      </c>
    </row>
    <row r="3399" ht="15.75" customHeight="1">
      <c r="A3399" s="375"/>
      <c r="K3399" s="269"/>
      <c r="L3399" s="269" t="str">
        <f t="shared" si="1"/>
        <v/>
      </c>
    </row>
    <row r="3400" ht="15.75" customHeight="1">
      <c r="A3400" s="375"/>
      <c r="K3400" s="269"/>
      <c r="L3400" s="269" t="str">
        <f t="shared" si="1"/>
        <v/>
      </c>
    </row>
    <row r="3401" ht="15.75" customHeight="1">
      <c r="A3401" s="375"/>
      <c r="K3401" s="269"/>
      <c r="L3401" s="269" t="str">
        <f t="shared" si="1"/>
        <v/>
      </c>
    </row>
    <row r="3402" ht="15.75" customHeight="1">
      <c r="A3402" s="375"/>
      <c r="K3402" s="269"/>
      <c r="L3402" s="269" t="str">
        <f t="shared" si="1"/>
        <v/>
      </c>
    </row>
    <row r="3403" ht="15.75" customHeight="1">
      <c r="A3403" s="375"/>
      <c r="K3403" s="269"/>
      <c r="L3403" s="269" t="str">
        <f t="shared" si="1"/>
        <v/>
      </c>
    </row>
    <row r="3404" ht="15.75" customHeight="1">
      <c r="A3404" s="375"/>
      <c r="K3404" s="269"/>
      <c r="L3404" s="269" t="str">
        <f t="shared" si="1"/>
        <v/>
      </c>
    </row>
    <row r="3405" ht="15.75" customHeight="1">
      <c r="A3405" s="375"/>
      <c r="K3405" s="269"/>
      <c r="L3405" s="269" t="str">
        <f t="shared" si="1"/>
        <v/>
      </c>
    </row>
    <row r="3406" ht="15.75" customHeight="1">
      <c r="A3406" s="375"/>
      <c r="K3406" s="269"/>
      <c r="L3406" s="269" t="str">
        <f t="shared" si="1"/>
        <v/>
      </c>
    </row>
    <row r="3407" ht="15.75" customHeight="1">
      <c r="A3407" s="375"/>
      <c r="K3407" s="269"/>
      <c r="L3407" s="269" t="str">
        <f t="shared" si="1"/>
        <v/>
      </c>
    </row>
    <row r="3408" ht="15.75" customHeight="1">
      <c r="A3408" s="375"/>
      <c r="K3408" s="269"/>
      <c r="L3408" s="269" t="str">
        <f t="shared" si="1"/>
        <v/>
      </c>
    </row>
    <row r="3409" ht="15.75" customHeight="1">
      <c r="A3409" s="375"/>
      <c r="K3409" s="269"/>
      <c r="L3409" s="269" t="str">
        <f t="shared" si="1"/>
        <v/>
      </c>
    </row>
    <row r="3410" ht="15.75" customHeight="1">
      <c r="A3410" s="375"/>
      <c r="K3410" s="269"/>
      <c r="L3410" s="269" t="str">
        <f t="shared" si="1"/>
        <v/>
      </c>
    </row>
    <row r="3411" ht="15.75" customHeight="1">
      <c r="A3411" s="375"/>
      <c r="K3411" s="269"/>
      <c r="L3411" s="269" t="str">
        <f t="shared" si="1"/>
        <v/>
      </c>
    </row>
    <row r="3412" ht="15.75" customHeight="1">
      <c r="A3412" s="375"/>
      <c r="K3412" s="269"/>
      <c r="L3412" s="269" t="str">
        <f t="shared" si="1"/>
        <v/>
      </c>
    </row>
    <row r="3413" ht="15.75" customHeight="1">
      <c r="A3413" s="375"/>
      <c r="K3413" s="269"/>
      <c r="L3413" s="269" t="str">
        <f t="shared" si="1"/>
        <v/>
      </c>
    </row>
    <row r="3414" ht="15.75" customHeight="1">
      <c r="A3414" s="375"/>
      <c r="K3414" s="269"/>
      <c r="L3414" s="269" t="str">
        <f t="shared" si="1"/>
        <v/>
      </c>
    </row>
    <row r="3415" ht="15.75" customHeight="1">
      <c r="A3415" s="375"/>
      <c r="K3415" s="269"/>
      <c r="L3415" s="269" t="str">
        <f t="shared" si="1"/>
        <v/>
      </c>
    </row>
    <row r="3416" ht="15.75" customHeight="1">
      <c r="A3416" s="375"/>
      <c r="K3416" s="269"/>
      <c r="L3416" s="269" t="str">
        <f t="shared" si="1"/>
        <v/>
      </c>
    </row>
    <row r="3417" ht="15.75" customHeight="1">
      <c r="A3417" s="375"/>
      <c r="K3417" s="269"/>
      <c r="L3417" s="269" t="str">
        <f t="shared" si="1"/>
        <v/>
      </c>
    </row>
    <row r="3418" ht="15.75" customHeight="1">
      <c r="A3418" s="375"/>
      <c r="K3418" s="269"/>
      <c r="L3418" s="269" t="str">
        <f t="shared" si="1"/>
        <v/>
      </c>
    </row>
    <row r="3419" ht="15.75" customHeight="1">
      <c r="A3419" s="375"/>
      <c r="K3419" s="269"/>
      <c r="L3419" s="269" t="str">
        <f t="shared" si="1"/>
        <v/>
      </c>
    </row>
    <row r="3420" ht="15.75" customHeight="1">
      <c r="A3420" s="375"/>
      <c r="K3420" s="269"/>
      <c r="L3420" s="269" t="str">
        <f t="shared" si="1"/>
        <v/>
      </c>
    </row>
    <row r="3421" ht="15.75" customHeight="1">
      <c r="A3421" s="375"/>
      <c r="K3421" s="269"/>
      <c r="L3421" s="269" t="str">
        <f t="shared" si="1"/>
        <v/>
      </c>
    </row>
    <row r="3422" ht="15.75" customHeight="1">
      <c r="A3422" s="375"/>
      <c r="K3422" s="269"/>
      <c r="L3422" s="269" t="str">
        <f t="shared" si="1"/>
        <v/>
      </c>
    </row>
    <row r="3423" ht="15.75" customHeight="1">
      <c r="A3423" s="375"/>
      <c r="K3423" s="269"/>
      <c r="L3423" s="269" t="str">
        <f t="shared" si="1"/>
        <v/>
      </c>
    </row>
    <row r="3424" ht="15.75" customHeight="1">
      <c r="A3424" s="375"/>
      <c r="K3424" s="269"/>
      <c r="L3424" s="269" t="str">
        <f t="shared" si="1"/>
        <v/>
      </c>
    </row>
    <row r="3425" ht="15.75" customHeight="1">
      <c r="A3425" s="375"/>
      <c r="K3425" s="269"/>
      <c r="L3425" s="269" t="str">
        <f t="shared" si="1"/>
        <v/>
      </c>
    </row>
    <row r="3426" ht="15.75" customHeight="1">
      <c r="A3426" s="375"/>
      <c r="K3426" s="269"/>
      <c r="L3426" s="269" t="str">
        <f t="shared" si="1"/>
        <v/>
      </c>
    </row>
    <row r="3427" ht="15.75" customHeight="1">
      <c r="A3427" s="375"/>
      <c r="K3427" s="269"/>
      <c r="L3427" s="269" t="str">
        <f t="shared" si="1"/>
        <v/>
      </c>
    </row>
    <row r="3428" ht="15.75" customHeight="1">
      <c r="A3428" s="375"/>
      <c r="K3428" s="269"/>
      <c r="L3428" s="269" t="str">
        <f t="shared" si="1"/>
        <v/>
      </c>
    </row>
    <row r="3429" ht="15.75" customHeight="1">
      <c r="A3429" s="375"/>
      <c r="K3429" s="269"/>
      <c r="L3429" s="269" t="str">
        <f t="shared" si="1"/>
        <v/>
      </c>
    </row>
    <row r="3430" ht="15.75" customHeight="1">
      <c r="A3430" s="375"/>
      <c r="K3430" s="269"/>
      <c r="L3430" s="269" t="str">
        <f t="shared" si="1"/>
        <v/>
      </c>
    </row>
    <row r="3431" ht="15.75" customHeight="1">
      <c r="A3431" s="375"/>
      <c r="K3431" s="269"/>
      <c r="L3431" s="269" t="str">
        <f t="shared" si="1"/>
        <v/>
      </c>
    </row>
    <row r="3432" ht="15.75" customHeight="1">
      <c r="A3432" s="375"/>
      <c r="K3432" s="269"/>
      <c r="L3432" s="269" t="str">
        <f t="shared" si="1"/>
        <v/>
      </c>
    </row>
    <row r="3433" ht="15.75" customHeight="1">
      <c r="A3433" s="375"/>
      <c r="K3433" s="269"/>
      <c r="L3433" s="269" t="str">
        <f t="shared" si="1"/>
        <v/>
      </c>
    </row>
    <row r="3434" ht="15.75" customHeight="1">
      <c r="A3434" s="375"/>
      <c r="K3434" s="269"/>
      <c r="L3434" s="269" t="str">
        <f t="shared" si="1"/>
        <v/>
      </c>
    </row>
    <row r="3435" ht="15.75" customHeight="1">
      <c r="A3435" s="375"/>
      <c r="K3435" s="269"/>
      <c r="L3435" s="269" t="str">
        <f t="shared" si="1"/>
        <v/>
      </c>
    </row>
    <row r="3436" ht="15.75" customHeight="1">
      <c r="A3436" s="375"/>
      <c r="K3436" s="269"/>
      <c r="L3436" s="269" t="str">
        <f t="shared" si="1"/>
        <v/>
      </c>
    </row>
    <row r="3437" ht="15.75" customHeight="1">
      <c r="A3437" s="375"/>
      <c r="K3437" s="269"/>
      <c r="L3437" s="269" t="str">
        <f t="shared" si="1"/>
        <v/>
      </c>
    </row>
    <row r="3438" ht="15.75" customHeight="1">
      <c r="A3438" s="375"/>
      <c r="K3438" s="269"/>
      <c r="L3438" s="269" t="str">
        <f t="shared" si="1"/>
        <v/>
      </c>
    </row>
    <row r="3439" ht="15.75" customHeight="1">
      <c r="A3439" s="375"/>
      <c r="K3439" s="269"/>
      <c r="L3439" s="269" t="str">
        <f t="shared" si="1"/>
        <v/>
      </c>
    </row>
    <row r="3440" ht="15.75" customHeight="1">
      <c r="A3440" s="375"/>
      <c r="K3440" s="269"/>
      <c r="L3440" s="269" t="str">
        <f t="shared" si="1"/>
        <v/>
      </c>
    </row>
    <row r="3441" ht="15.75" customHeight="1">
      <c r="A3441" s="375"/>
      <c r="K3441" s="269"/>
      <c r="L3441" s="269" t="str">
        <f t="shared" si="1"/>
        <v/>
      </c>
    </row>
    <row r="3442" ht="15.75" customHeight="1">
      <c r="A3442" s="375"/>
      <c r="K3442" s="269"/>
      <c r="L3442" s="269" t="str">
        <f t="shared" si="1"/>
        <v/>
      </c>
    </row>
    <row r="3443" ht="15.75" customHeight="1">
      <c r="A3443" s="375"/>
      <c r="K3443" s="269"/>
      <c r="L3443" s="269" t="str">
        <f t="shared" si="1"/>
        <v/>
      </c>
    </row>
    <row r="3444" ht="15.75" customHeight="1">
      <c r="A3444" s="375"/>
      <c r="K3444" s="269"/>
      <c r="L3444" s="269" t="str">
        <f t="shared" si="1"/>
        <v/>
      </c>
    </row>
    <row r="3445" ht="15.75" customHeight="1">
      <c r="A3445" s="375"/>
      <c r="K3445" s="269"/>
      <c r="L3445" s="269" t="str">
        <f t="shared" si="1"/>
        <v/>
      </c>
    </row>
    <row r="3446" ht="15.75" customHeight="1">
      <c r="A3446" s="375"/>
      <c r="K3446" s="269"/>
      <c r="L3446" s="269" t="str">
        <f t="shared" si="1"/>
        <v/>
      </c>
    </row>
    <row r="3447" ht="15.75" customHeight="1">
      <c r="A3447" s="375"/>
      <c r="K3447" s="269"/>
      <c r="L3447" s="269" t="str">
        <f t="shared" si="1"/>
        <v/>
      </c>
    </row>
    <row r="3448" ht="15.75" customHeight="1">
      <c r="A3448" s="375"/>
      <c r="K3448" s="269"/>
      <c r="L3448" s="269" t="str">
        <f t="shared" si="1"/>
        <v/>
      </c>
    </row>
    <row r="3449" ht="15.75" customHeight="1">
      <c r="A3449" s="375"/>
      <c r="K3449" s="269"/>
      <c r="L3449" s="269" t="str">
        <f t="shared" si="1"/>
        <v/>
      </c>
    </row>
    <row r="3450" ht="15.75" customHeight="1">
      <c r="A3450" s="375"/>
      <c r="K3450" s="269"/>
      <c r="L3450" s="269" t="str">
        <f t="shared" si="1"/>
        <v/>
      </c>
    </row>
    <row r="3451" ht="15.75" customHeight="1">
      <c r="A3451" s="375"/>
      <c r="K3451" s="269"/>
      <c r="L3451" s="269" t="str">
        <f t="shared" si="1"/>
        <v/>
      </c>
    </row>
    <row r="3452" ht="15.75" customHeight="1">
      <c r="A3452" s="375"/>
      <c r="K3452" s="269"/>
      <c r="L3452" s="269" t="str">
        <f t="shared" si="1"/>
        <v/>
      </c>
    </row>
    <row r="3453" ht="15.75" customHeight="1">
      <c r="A3453" s="375"/>
      <c r="K3453" s="269"/>
      <c r="L3453" s="269" t="str">
        <f t="shared" si="1"/>
        <v/>
      </c>
    </row>
    <row r="3454" ht="15.75" customHeight="1">
      <c r="A3454" s="375"/>
      <c r="K3454" s="269"/>
      <c r="L3454" s="269" t="str">
        <f t="shared" si="1"/>
        <v/>
      </c>
    </row>
    <row r="3455" ht="15.75" customHeight="1">
      <c r="A3455" s="375"/>
      <c r="K3455" s="269"/>
      <c r="L3455" s="269" t="str">
        <f t="shared" si="1"/>
        <v/>
      </c>
    </row>
    <row r="3456" ht="15.75" customHeight="1">
      <c r="A3456" s="375"/>
      <c r="K3456" s="269"/>
      <c r="L3456" s="269" t="str">
        <f t="shared" si="1"/>
        <v/>
      </c>
    </row>
    <row r="3457" ht="15.75" customHeight="1">
      <c r="A3457" s="375"/>
      <c r="K3457" s="269"/>
      <c r="L3457" s="269" t="str">
        <f t="shared" si="1"/>
        <v/>
      </c>
    </row>
    <row r="3458" ht="15.75" customHeight="1">
      <c r="A3458" s="375"/>
      <c r="K3458" s="269"/>
      <c r="L3458" s="269" t="str">
        <f t="shared" si="1"/>
        <v/>
      </c>
    </row>
    <row r="3459" ht="15.75" customHeight="1">
      <c r="A3459" s="375"/>
      <c r="K3459" s="269"/>
      <c r="L3459" s="269" t="str">
        <f t="shared" si="1"/>
        <v/>
      </c>
    </row>
    <row r="3460" ht="15.75" customHeight="1">
      <c r="A3460" s="375"/>
      <c r="K3460" s="269"/>
      <c r="L3460" s="269" t="str">
        <f t="shared" si="1"/>
        <v/>
      </c>
    </row>
    <row r="3461" ht="15.75" customHeight="1">
      <c r="A3461" s="375"/>
      <c r="K3461" s="269"/>
      <c r="L3461" s="269" t="str">
        <f t="shared" si="1"/>
        <v/>
      </c>
    </row>
    <row r="3462" ht="15.75" customHeight="1">
      <c r="A3462" s="375"/>
      <c r="K3462" s="269"/>
      <c r="L3462" s="269" t="str">
        <f t="shared" si="1"/>
        <v/>
      </c>
    </row>
    <row r="3463" ht="15.75" customHeight="1">
      <c r="A3463" s="375"/>
      <c r="K3463" s="269"/>
      <c r="L3463" s="269" t="str">
        <f t="shared" si="1"/>
        <v/>
      </c>
    </row>
    <row r="3464" ht="15.75" customHeight="1">
      <c r="A3464" s="375"/>
      <c r="K3464" s="269"/>
      <c r="L3464" s="269" t="str">
        <f t="shared" si="1"/>
        <v/>
      </c>
    </row>
    <row r="3465" ht="15.75" customHeight="1">
      <c r="A3465" s="375"/>
      <c r="K3465" s="269"/>
      <c r="L3465" s="269" t="str">
        <f t="shared" si="1"/>
        <v/>
      </c>
    </row>
    <row r="3466" ht="15.75" customHeight="1">
      <c r="A3466" s="375"/>
      <c r="K3466" s="269"/>
      <c r="L3466" s="269" t="str">
        <f t="shared" si="1"/>
        <v/>
      </c>
    </row>
    <row r="3467" ht="15.75" customHeight="1">
      <c r="A3467" s="375"/>
      <c r="K3467" s="269"/>
      <c r="L3467" s="269" t="str">
        <f t="shared" si="1"/>
        <v/>
      </c>
    </row>
    <row r="3468" ht="15.75" customHeight="1">
      <c r="A3468" s="375"/>
      <c r="K3468" s="269"/>
      <c r="L3468" s="269" t="str">
        <f t="shared" si="1"/>
        <v/>
      </c>
    </row>
    <row r="3469" ht="15.75" customHeight="1">
      <c r="A3469" s="375"/>
      <c r="K3469" s="269"/>
      <c r="L3469" s="269" t="str">
        <f t="shared" si="1"/>
        <v/>
      </c>
    </row>
    <row r="3470" ht="15.75" customHeight="1">
      <c r="A3470" s="375"/>
      <c r="K3470" s="269"/>
      <c r="L3470" s="269" t="str">
        <f t="shared" si="1"/>
        <v/>
      </c>
    </row>
    <row r="3471" ht="15.75" customHeight="1">
      <c r="A3471" s="375"/>
      <c r="K3471" s="269"/>
      <c r="L3471" s="269" t="str">
        <f t="shared" si="1"/>
        <v/>
      </c>
    </row>
    <row r="3472" ht="15.75" customHeight="1">
      <c r="A3472" s="375"/>
      <c r="K3472" s="269"/>
      <c r="L3472" s="269" t="str">
        <f t="shared" si="1"/>
        <v/>
      </c>
    </row>
    <row r="3473" ht="15.75" customHeight="1">
      <c r="A3473" s="375"/>
      <c r="K3473" s="269"/>
      <c r="L3473" s="269" t="str">
        <f t="shared" si="1"/>
        <v/>
      </c>
    </row>
    <row r="3474" ht="15.75" customHeight="1">
      <c r="A3474" s="375"/>
      <c r="K3474" s="269"/>
      <c r="L3474" s="269" t="str">
        <f t="shared" si="1"/>
        <v/>
      </c>
    </row>
    <row r="3475" ht="15.75" customHeight="1">
      <c r="A3475" s="375"/>
      <c r="K3475" s="269"/>
      <c r="L3475" s="269" t="str">
        <f t="shared" si="1"/>
        <v/>
      </c>
    </row>
    <row r="3476" ht="15.75" customHeight="1">
      <c r="A3476" s="375"/>
      <c r="K3476" s="269"/>
      <c r="L3476" s="269" t="str">
        <f t="shared" si="1"/>
        <v/>
      </c>
    </row>
    <row r="3477" ht="15.75" customHeight="1">
      <c r="A3477" s="375"/>
      <c r="K3477" s="269"/>
      <c r="L3477" s="269" t="str">
        <f t="shared" si="1"/>
        <v/>
      </c>
    </row>
    <row r="3478" ht="15.75" customHeight="1">
      <c r="A3478" s="375"/>
      <c r="K3478" s="269"/>
      <c r="L3478" s="269" t="str">
        <f t="shared" si="1"/>
        <v/>
      </c>
    </row>
    <row r="3479" ht="15.75" customHeight="1">
      <c r="A3479" s="375"/>
      <c r="K3479" s="269"/>
      <c r="L3479" s="269" t="str">
        <f t="shared" si="1"/>
        <v/>
      </c>
    </row>
    <row r="3480" ht="15.75" customHeight="1">
      <c r="A3480" s="375"/>
      <c r="K3480" s="269"/>
      <c r="L3480" s="269" t="str">
        <f t="shared" si="1"/>
        <v/>
      </c>
    </row>
    <row r="3481" ht="15.75" customHeight="1">
      <c r="A3481" s="375"/>
      <c r="K3481" s="269"/>
      <c r="L3481" s="269" t="str">
        <f t="shared" si="1"/>
        <v/>
      </c>
    </row>
    <row r="3482" ht="15.75" customHeight="1">
      <c r="A3482" s="375"/>
      <c r="K3482" s="269"/>
      <c r="L3482" s="269" t="str">
        <f t="shared" si="1"/>
        <v/>
      </c>
    </row>
    <row r="3483" ht="15.75" customHeight="1">
      <c r="A3483" s="375"/>
      <c r="K3483" s="269"/>
      <c r="L3483" s="269" t="str">
        <f t="shared" si="1"/>
        <v/>
      </c>
    </row>
    <row r="3484" ht="15.75" customHeight="1">
      <c r="A3484" s="375"/>
      <c r="K3484" s="269"/>
      <c r="L3484" s="269" t="str">
        <f t="shared" si="1"/>
        <v/>
      </c>
    </row>
    <row r="3485" ht="15.75" customHeight="1">
      <c r="A3485" s="375"/>
      <c r="K3485" s="269"/>
      <c r="L3485" s="269" t="str">
        <f t="shared" si="1"/>
        <v/>
      </c>
    </row>
    <row r="3486" ht="15.75" customHeight="1">
      <c r="A3486" s="375"/>
      <c r="K3486" s="269"/>
      <c r="L3486" s="269" t="str">
        <f t="shared" si="1"/>
        <v/>
      </c>
    </row>
    <row r="3487" ht="15.75" customHeight="1">
      <c r="A3487" s="375"/>
      <c r="K3487" s="269"/>
      <c r="L3487" s="269" t="str">
        <f t="shared" si="1"/>
        <v/>
      </c>
    </row>
    <row r="3488" ht="15.75" customHeight="1">
      <c r="A3488" s="375"/>
      <c r="K3488" s="269"/>
      <c r="L3488" s="269" t="str">
        <f t="shared" si="1"/>
        <v/>
      </c>
    </row>
    <row r="3489" ht="15.75" customHeight="1">
      <c r="A3489" s="375"/>
      <c r="K3489" s="269"/>
      <c r="L3489" s="269" t="str">
        <f t="shared" si="1"/>
        <v/>
      </c>
    </row>
    <row r="3490" ht="15.75" customHeight="1">
      <c r="A3490" s="375"/>
      <c r="K3490" s="269"/>
      <c r="L3490" s="269" t="str">
        <f t="shared" si="1"/>
        <v/>
      </c>
    </row>
    <row r="3491" ht="15.75" customHeight="1">
      <c r="A3491" s="375"/>
      <c r="K3491" s="269"/>
      <c r="L3491" s="269" t="str">
        <f t="shared" si="1"/>
        <v/>
      </c>
    </row>
    <row r="3492" ht="15.75" customHeight="1">
      <c r="A3492" s="375"/>
      <c r="K3492" s="269"/>
      <c r="L3492" s="269" t="str">
        <f t="shared" si="1"/>
        <v/>
      </c>
    </row>
    <row r="3493" ht="15.75" customHeight="1">
      <c r="A3493" s="375"/>
      <c r="K3493" s="269"/>
      <c r="L3493" s="269" t="str">
        <f t="shared" si="1"/>
        <v/>
      </c>
    </row>
    <row r="3494" ht="15.75" customHeight="1">
      <c r="A3494" s="375"/>
      <c r="K3494" s="269"/>
      <c r="L3494" s="269" t="str">
        <f t="shared" si="1"/>
        <v/>
      </c>
    </row>
    <row r="3495" ht="15.75" customHeight="1">
      <c r="A3495" s="375"/>
      <c r="K3495" s="269"/>
      <c r="L3495" s="269" t="str">
        <f t="shared" si="1"/>
        <v/>
      </c>
    </row>
    <row r="3496" ht="15.75" customHeight="1">
      <c r="A3496" s="375"/>
      <c r="K3496" s="269"/>
      <c r="L3496" s="269" t="str">
        <f t="shared" si="1"/>
        <v/>
      </c>
    </row>
    <row r="3497" ht="15.75" customHeight="1">
      <c r="A3497" s="375"/>
      <c r="K3497" s="269"/>
      <c r="L3497" s="269" t="str">
        <f t="shared" si="1"/>
        <v/>
      </c>
    </row>
    <row r="3498" ht="15.75" customHeight="1">
      <c r="A3498" s="375"/>
      <c r="K3498" s="269"/>
      <c r="L3498" s="269" t="str">
        <f t="shared" si="1"/>
        <v/>
      </c>
    </row>
    <row r="3499" ht="15.75" customHeight="1">
      <c r="A3499" s="375"/>
      <c r="K3499" s="269"/>
      <c r="L3499" s="269" t="str">
        <f t="shared" si="1"/>
        <v/>
      </c>
    </row>
    <row r="3500" ht="15.75" customHeight="1">
      <c r="A3500" s="375"/>
      <c r="K3500" s="269"/>
      <c r="L3500" s="269" t="str">
        <f t="shared" si="1"/>
        <v/>
      </c>
    </row>
    <row r="3501" ht="15.75" customHeight="1">
      <c r="A3501" s="375"/>
      <c r="K3501" s="269"/>
      <c r="L3501" s="269" t="str">
        <f t="shared" si="1"/>
        <v/>
      </c>
    </row>
    <row r="3502" ht="15.75" customHeight="1">
      <c r="A3502" s="375"/>
      <c r="K3502" s="269"/>
      <c r="L3502" s="269" t="str">
        <f t="shared" si="1"/>
        <v/>
      </c>
    </row>
    <row r="3503" ht="15.75" customHeight="1">
      <c r="A3503" s="375"/>
      <c r="K3503" s="269"/>
      <c r="L3503" s="269" t="str">
        <f t="shared" si="1"/>
        <v/>
      </c>
    </row>
    <row r="3504" ht="15.75" customHeight="1">
      <c r="A3504" s="375"/>
      <c r="K3504" s="269"/>
      <c r="L3504" s="269" t="str">
        <f t="shared" si="1"/>
        <v/>
      </c>
    </row>
    <row r="3505" ht="15.75" customHeight="1">
      <c r="A3505" s="375"/>
      <c r="K3505" s="269"/>
      <c r="L3505" s="269" t="str">
        <f t="shared" si="1"/>
        <v/>
      </c>
    </row>
    <row r="3506" ht="15.75" customHeight="1">
      <c r="A3506" s="375"/>
      <c r="K3506" s="269"/>
      <c r="L3506" s="269" t="str">
        <f t="shared" si="1"/>
        <v/>
      </c>
    </row>
    <row r="3507" ht="15.75" customHeight="1">
      <c r="A3507" s="375"/>
      <c r="K3507" s="269"/>
      <c r="L3507" s="269" t="str">
        <f t="shared" si="1"/>
        <v/>
      </c>
    </row>
    <row r="3508" ht="15.75" customHeight="1">
      <c r="A3508" s="375"/>
      <c r="K3508" s="269"/>
      <c r="L3508" s="269" t="str">
        <f t="shared" si="1"/>
        <v/>
      </c>
    </row>
    <row r="3509" ht="15.75" customHeight="1">
      <c r="A3509" s="375"/>
      <c r="K3509" s="269"/>
      <c r="L3509" s="269" t="str">
        <f t="shared" si="1"/>
        <v/>
      </c>
    </row>
    <row r="3510" ht="15.75" customHeight="1">
      <c r="A3510" s="375"/>
      <c r="K3510" s="269"/>
      <c r="L3510" s="269" t="str">
        <f t="shared" si="1"/>
        <v/>
      </c>
    </row>
    <row r="3511" ht="15.75" customHeight="1">
      <c r="A3511" s="375"/>
      <c r="K3511" s="269"/>
      <c r="L3511" s="269" t="str">
        <f t="shared" si="1"/>
        <v/>
      </c>
    </row>
    <row r="3512" ht="15.75" customHeight="1">
      <c r="A3512" s="375"/>
      <c r="K3512" s="269"/>
      <c r="L3512" s="269" t="str">
        <f t="shared" si="1"/>
        <v/>
      </c>
    </row>
    <row r="3513" ht="15.75" customHeight="1">
      <c r="A3513" s="375"/>
      <c r="K3513" s="269"/>
      <c r="L3513" s="269" t="str">
        <f t="shared" si="1"/>
        <v/>
      </c>
    </row>
    <row r="3514" ht="15.75" customHeight="1">
      <c r="A3514" s="375"/>
      <c r="K3514" s="269"/>
      <c r="L3514" s="269" t="str">
        <f t="shared" si="1"/>
        <v/>
      </c>
    </row>
    <row r="3515" ht="15.75" customHeight="1">
      <c r="A3515" s="375"/>
      <c r="K3515" s="269"/>
      <c r="L3515" s="269" t="str">
        <f t="shared" si="1"/>
        <v/>
      </c>
    </row>
    <row r="3516" ht="15.75" customHeight="1">
      <c r="A3516" s="375"/>
      <c r="K3516" s="269"/>
      <c r="L3516" s="269" t="str">
        <f t="shared" si="1"/>
        <v/>
      </c>
    </row>
    <row r="3517" ht="15.75" customHeight="1">
      <c r="A3517" s="375"/>
      <c r="K3517" s="269"/>
      <c r="L3517" s="269" t="str">
        <f t="shared" si="1"/>
        <v/>
      </c>
    </row>
    <row r="3518" ht="15.75" customHeight="1">
      <c r="A3518" s="375"/>
      <c r="K3518" s="269"/>
      <c r="L3518" s="269" t="str">
        <f t="shared" si="1"/>
        <v/>
      </c>
    </row>
    <row r="3519" ht="15.75" customHeight="1">
      <c r="A3519" s="375"/>
      <c r="K3519" s="269"/>
      <c r="L3519" s="269" t="str">
        <f t="shared" si="1"/>
        <v/>
      </c>
    </row>
    <row r="3520" ht="15.75" customHeight="1">
      <c r="A3520" s="375"/>
      <c r="K3520" s="269"/>
      <c r="L3520" s="269" t="str">
        <f t="shared" si="1"/>
        <v/>
      </c>
    </row>
    <row r="3521" ht="15.75" customHeight="1">
      <c r="A3521" s="375"/>
      <c r="K3521" s="269"/>
      <c r="L3521" s="269" t="str">
        <f t="shared" si="1"/>
        <v/>
      </c>
    </row>
    <row r="3522" ht="15.75" customHeight="1">
      <c r="A3522" s="375"/>
      <c r="K3522" s="269"/>
      <c r="L3522" s="269" t="str">
        <f t="shared" si="1"/>
        <v/>
      </c>
    </row>
    <row r="3523" ht="15.75" customHeight="1">
      <c r="A3523" s="375"/>
      <c r="K3523" s="269"/>
      <c r="L3523" s="269" t="str">
        <f t="shared" si="1"/>
        <v/>
      </c>
    </row>
    <row r="3524" ht="15.75" customHeight="1">
      <c r="A3524" s="375"/>
      <c r="K3524" s="269"/>
      <c r="L3524" s="269" t="str">
        <f t="shared" si="1"/>
        <v/>
      </c>
    </row>
    <row r="3525" ht="15.75" customHeight="1">
      <c r="A3525" s="375"/>
      <c r="K3525" s="269"/>
      <c r="L3525" s="269" t="str">
        <f t="shared" si="1"/>
        <v/>
      </c>
    </row>
    <row r="3526" ht="15.75" customHeight="1">
      <c r="A3526" s="375"/>
      <c r="K3526" s="269"/>
      <c r="L3526" s="269" t="str">
        <f t="shared" si="1"/>
        <v/>
      </c>
    </row>
    <row r="3527" ht="15.75" customHeight="1">
      <c r="A3527" s="375"/>
      <c r="K3527" s="269"/>
      <c r="L3527" s="269" t="str">
        <f t="shared" si="1"/>
        <v/>
      </c>
    </row>
    <row r="3528" ht="15.75" customHeight="1">
      <c r="A3528" s="375"/>
      <c r="K3528" s="269"/>
      <c r="L3528" s="269" t="str">
        <f t="shared" si="1"/>
        <v/>
      </c>
    </row>
    <row r="3529" ht="15.75" customHeight="1">
      <c r="A3529" s="375"/>
      <c r="K3529" s="269"/>
      <c r="L3529" s="269" t="str">
        <f t="shared" si="1"/>
        <v/>
      </c>
    </row>
    <row r="3530" ht="15.75" customHeight="1">
      <c r="A3530" s="375"/>
      <c r="K3530" s="269"/>
      <c r="L3530" s="269" t="str">
        <f t="shared" si="1"/>
        <v/>
      </c>
    </row>
    <row r="3531" ht="15.75" customHeight="1">
      <c r="A3531" s="375"/>
      <c r="K3531" s="269"/>
      <c r="L3531" s="269" t="str">
        <f t="shared" si="1"/>
        <v/>
      </c>
    </row>
    <row r="3532" ht="15.75" customHeight="1">
      <c r="A3532" s="375"/>
      <c r="K3532" s="269"/>
      <c r="L3532" s="269" t="str">
        <f t="shared" si="1"/>
        <v/>
      </c>
    </row>
    <row r="3533" ht="15.75" customHeight="1">
      <c r="A3533" s="375"/>
      <c r="K3533" s="269"/>
      <c r="L3533" s="269" t="str">
        <f t="shared" si="1"/>
        <v/>
      </c>
    </row>
    <row r="3534" ht="15.75" customHeight="1">
      <c r="A3534" s="375"/>
      <c r="K3534" s="269"/>
      <c r="L3534" s="269" t="str">
        <f t="shared" si="1"/>
        <v/>
      </c>
    </row>
    <row r="3535" ht="15.75" customHeight="1">
      <c r="A3535" s="375"/>
      <c r="K3535" s="269"/>
      <c r="L3535" s="269" t="str">
        <f t="shared" si="1"/>
        <v/>
      </c>
    </row>
    <row r="3536" ht="15.75" customHeight="1">
      <c r="A3536" s="375"/>
      <c r="K3536" s="269"/>
      <c r="L3536" s="269" t="str">
        <f t="shared" si="1"/>
        <v/>
      </c>
    </row>
    <row r="3537" ht="15.75" customHeight="1">
      <c r="A3537" s="375"/>
      <c r="K3537" s="269"/>
      <c r="L3537" s="269" t="str">
        <f t="shared" si="1"/>
        <v/>
      </c>
    </row>
    <row r="3538" ht="15.75" customHeight="1">
      <c r="A3538" s="375"/>
      <c r="K3538" s="269"/>
      <c r="L3538" s="269" t="str">
        <f t="shared" si="1"/>
        <v/>
      </c>
    </row>
    <row r="3539" ht="15.75" customHeight="1">
      <c r="A3539" s="375"/>
      <c r="K3539" s="269"/>
      <c r="L3539" s="269" t="str">
        <f t="shared" si="1"/>
        <v/>
      </c>
    </row>
    <row r="3540" ht="15.75" customHeight="1">
      <c r="A3540" s="375"/>
      <c r="K3540" s="269"/>
      <c r="L3540" s="269" t="str">
        <f t="shared" si="1"/>
        <v/>
      </c>
    </row>
    <row r="3541" ht="15.75" customHeight="1">
      <c r="A3541" s="375"/>
      <c r="K3541" s="269"/>
      <c r="L3541" s="269" t="str">
        <f t="shared" si="1"/>
        <v/>
      </c>
    </row>
    <row r="3542" ht="15.75" customHeight="1">
      <c r="A3542" s="375"/>
      <c r="K3542" s="269"/>
      <c r="L3542" s="269" t="str">
        <f t="shared" si="1"/>
        <v/>
      </c>
    </row>
    <row r="3543" ht="15.75" customHeight="1">
      <c r="A3543" s="375"/>
      <c r="K3543" s="269"/>
      <c r="L3543" s="269" t="str">
        <f t="shared" si="1"/>
        <v/>
      </c>
    </row>
    <row r="3544" ht="15.75" customHeight="1">
      <c r="A3544" s="375"/>
      <c r="K3544" s="269"/>
      <c r="L3544" s="269" t="str">
        <f t="shared" si="1"/>
        <v/>
      </c>
    </row>
    <row r="3545" ht="15.75" customHeight="1">
      <c r="A3545" s="375"/>
      <c r="K3545" s="269"/>
      <c r="L3545" s="269" t="str">
        <f t="shared" si="1"/>
        <v/>
      </c>
    </row>
    <row r="3546" ht="15.75" customHeight="1">
      <c r="A3546" s="375"/>
      <c r="K3546" s="269"/>
      <c r="L3546" s="269" t="str">
        <f t="shared" si="1"/>
        <v/>
      </c>
    </row>
    <row r="3547" ht="15.75" customHeight="1">
      <c r="A3547" s="375"/>
      <c r="K3547" s="269"/>
      <c r="L3547" s="269" t="str">
        <f t="shared" si="1"/>
        <v/>
      </c>
    </row>
    <row r="3548" ht="15.75" customHeight="1">
      <c r="A3548" s="375"/>
      <c r="K3548" s="269"/>
      <c r="L3548" s="269" t="str">
        <f t="shared" si="1"/>
        <v/>
      </c>
    </row>
    <row r="3549" ht="15.75" customHeight="1">
      <c r="A3549" s="375"/>
      <c r="K3549" s="269"/>
      <c r="L3549" s="269" t="str">
        <f t="shared" si="1"/>
        <v/>
      </c>
    </row>
    <row r="3550" ht="15.75" customHeight="1">
      <c r="A3550" s="375"/>
      <c r="K3550" s="269"/>
      <c r="L3550" s="269" t="str">
        <f t="shared" si="1"/>
        <v/>
      </c>
    </row>
    <row r="3551" ht="15.75" customHeight="1">
      <c r="A3551" s="375"/>
      <c r="K3551" s="269"/>
      <c r="L3551" s="269" t="str">
        <f t="shared" si="1"/>
        <v/>
      </c>
    </row>
    <row r="3552" ht="15.75" customHeight="1">
      <c r="A3552" s="375"/>
      <c r="K3552" s="269"/>
      <c r="L3552" s="269" t="str">
        <f t="shared" si="1"/>
        <v/>
      </c>
    </row>
    <row r="3553" ht="15.75" customHeight="1">
      <c r="A3553" s="375"/>
      <c r="K3553" s="269"/>
      <c r="L3553" s="269" t="str">
        <f t="shared" si="1"/>
        <v/>
      </c>
    </row>
    <row r="3554" ht="15.75" customHeight="1">
      <c r="A3554" s="375"/>
      <c r="K3554" s="269"/>
      <c r="L3554" s="269" t="str">
        <f t="shared" si="1"/>
        <v/>
      </c>
    </row>
    <row r="3555" ht="15.75" customHeight="1">
      <c r="A3555" s="375"/>
      <c r="K3555" s="269"/>
      <c r="L3555" s="269" t="str">
        <f t="shared" si="1"/>
        <v/>
      </c>
    </row>
    <row r="3556" ht="15.75" customHeight="1">
      <c r="A3556" s="375"/>
      <c r="K3556" s="269"/>
      <c r="L3556" s="269" t="str">
        <f t="shared" si="1"/>
        <v/>
      </c>
    </row>
    <row r="3557" ht="15.75" customHeight="1">
      <c r="A3557" s="375"/>
      <c r="K3557" s="269"/>
      <c r="L3557" s="269" t="str">
        <f t="shared" si="1"/>
        <v/>
      </c>
    </row>
    <row r="3558" ht="15.75" customHeight="1">
      <c r="A3558" s="375"/>
      <c r="K3558" s="269"/>
      <c r="L3558" s="269" t="str">
        <f t="shared" si="1"/>
        <v/>
      </c>
    </row>
    <row r="3559" ht="15.75" customHeight="1">
      <c r="A3559" s="375"/>
      <c r="K3559" s="269"/>
      <c r="L3559" s="269" t="str">
        <f t="shared" si="1"/>
        <v/>
      </c>
    </row>
    <row r="3560" ht="15.75" customHeight="1">
      <c r="A3560" s="375"/>
      <c r="K3560" s="269"/>
      <c r="L3560" s="269" t="str">
        <f t="shared" si="1"/>
        <v/>
      </c>
    </row>
    <row r="3561" ht="15.75" customHeight="1">
      <c r="A3561" s="375"/>
      <c r="K3561" s="269"/>
      <c r="L3561" s="269" t="str">
        <f t="shared" si="1"/>
        <v/>
      </c>
    </row>
    <row r="3562" ht="15.75" customHeight="1">
      <c r="A3562" s="375"/>
      <c r="K3562" s="269"/>
      <c r="L3562" s="269" t="str">
        <f t="shared" si="1"/>
        <v/>
      </c>
    </row>
    <row r="3563" ht="15.75" customHeight="1">
      <c r="A3563" s="375"/>
      <c r="K3563" s="269"/>
      <c r="L3563" s="269" t="str">
        <f t="shared" si="1"/>
        <v/>
      </c>
    </row>
    <row r="3564" ht="15.75" customHeight="1">
      <c r="A3564" s="375"/>
      <c r="K3564" s="269"/>
      <c r="L3564" s="269" t="str">
        <f t="shared" si="1"/>
        <v/>
      </c>
    </row>
    <row r="3565" ht="15.75" customHeight="1">
      <c r="A3565" s="375"/>
      <c r="K3565" s="269"/>
      <c r="L3565" s="269" t="str">
        <f t="shared" si="1"/>
        <v/>
      </c>
    </row>
    <row r="3566" ht="15.75" customHeight="1">
      <c r="A3566" s="375"/>
      <c r="K3566" s="269"/>
      <c r="L3566" s="269" t="str">
        <f t="shared" si="1"/>
        <v/>
      </c>
    </row>
    <row r="3567" ht="15.75" customHeight="1">
      <c r="A3567" s="375"/>
      <c r="K3567" s="269"/>
      <c r="L3567" s="269" t="str">
        <f t="shared" si="1"/>
        <v/>
      </c>
    </row>
    <row r="3568" ht="15.75" customHeight="1">
      <c r="A3568" s="375"/>
      <c r="K3568" s="269"/>
      <c r="L3568" s="269" t="str">
        <f t="shared" si="1"/>
        <v/>
      </c>
    </row>
    <row r="3569" ht="15.75" customHeight="1">
      <c r="A3569" s="375"/>
      <c r="K3569" s="269"/>
      <c r="L3569" s="269" t="str">
        <f t="shared" si="1"/>
        <v/>
      </c>
    </row>
    <row r="3570" ht="15.75" customHeight="1">
      <c r="A3570" s="375"/>
      <c r="K3570" s="269"/>
      <c r="L3570" s="269" t="str">
        <f t="shared" si="1"/>
        <v/>
      </c>
    </row>
    <row r="3571" ht="15.75" customHeight="1">
      <c r="A3571" s="375"/>
      <c r="K3571" s="269"/>
      <c r="L3571" s="269" t="str">
        <f t="shared" si="1"/>
        <v/>
      </c>
    </row>
    <row r="3572" ht="15.75" customHeight="1">
      <c r="A3572" s="375"/>
      <c r="K3572" s="269"/>
      <c r="L3572" s="269" t="str">
        <f t="shared" si="1"/>
        <v/>
      </c>
    </row>
    <row r="3573" ht="15.75" customHeight="1">
      <c r="A3573" s="375"/>
      <c r="K3573" s="269"/>
      <c r="L3573" s="269" t="str">
        <f t="shared" si="1"/>
        <v/>
      </c>
    </row>
    <row r="3574" ht="15.75" customHeight="1">
      <c r="A3574" s="375"/>
      <c r="K3574" s="269"/>
      <c r="L3574" s="269" t="str">
        <f t="shared" si="1"/>
        <v/>
      </c>
    </row>
    <row r="3575" ht="15.75" customHeight="1">
      <c r="A3575" s="375"/>
      <c r="K3575" s="269"/>
      <c r="L3575" s="269" t="str">
        <f t="shared" si="1"/>
        <v/>
      </c>
    </row>
    <row r="3576" ht="15.75" customHeight="1">
      <c r="A3576" s="375"/>
      <c r="K3576" s="269"/>
      <c r="L3576" s="269" t="str">
        <f t="shared" si="1"/>
        <v/>
      </c>
    </row>
    <row r="3577" ht="15.75" customHeight="1">
      <c r="A3577" s="375"/>
      <c r="K3577" s="269"/>
      <c r="L3577" s="269" t="str">
        <f t="shared" si="1"/>
        <v/>
      </c>
    </row>
    <row r="3578" ht="15.75" customHeight="1">
      <c r="A3578" s="375"/>
      <c r="K3578" s="269"/>
      <c r="L3578" s="269" t="str">
        <f t="shared" si="1"/>
        <v/>
      </c>
    </row>
    <row r="3579" ht="15.75" customHeight="1">
      <c r="A3579" s="375"/>
      <c r="K3579" s="269"/>
      <c r="L3579" s="269" t="str">
        <f t="shared" si="1"/>
        <v/>
      </c>
    </row>
    <row r="3580" ht="15.75" customHeight="1">
      <c r="A3580" s="375"/>
      <c r="K3580" s="269"/>
      <c r="L3580" s="269" t="str">
        <f t="shared" si="1"/>
        <v/>
      </c>
    </row>
    <row r="3581" ht="15.75" customHeight="1">
      <c r="A3581" s="375"/>
      <c r="K3581" s="269"/>
      <c r="L3581" s="269" t="str">
        <f t="shared" si="1"/>
        <v/>
      </c>
    </row>
    <row r="3582" ht="15.75" customHeight="1">
      <c r="A3582" s="375"/>
      <c r="K3582" s="269"/>
      <c r="L3582" s="269" t="str">
        <f t="shared" si="1"/>
        <v/>
      </c>
    </row>
    <row r="3583" ht="15.75" customHeight="1">
      <c r="A3583" s="375"/>
      <c r="K3583" s="269"/>
      <c r="L3583" s="269" t="str">
        <f t="shared" si="1"/>
        <v/>
      </c>
    </row>
    <row r="3584" ht="15.75" customHeight="1">
      <c r="A3584" s="375"/>
      <c r="K3584" s="269"/>
      <c r="L3584" s="269" t="str">
        <f t="shared" si="1"/>
        <v/>
      </c>
    </row>
    <row r="3585" ht="15.75" customHeight="1">
      <c r="A3585" s="375"/>
      <c r="K3585" s="269"/>
      <c r="L3585" s="269" t="str">
        <f t="shared" si="1"/>
        <v/>
      </c>
    </row>
    <row r="3586" ht="15.75" customHeight="1">
      <c r="A3586" s="375"/>
      <c r="K3586" s="269"/>
      <c r="L3586" s="269" t="str">
        <f t="shared" si="1"/>
        <v/>
      </c>
    </row>
    <row r="3587" ht="15.75" customHeight="1">
      <c r="A3587" s="375"/>
      <c r="K3587" s="269"/>
      <c r="L3587" s="269" t="str">
        <f t="shared" si="1"/>
        <v/>
      </c>
    </row>
    <row r="3588" ht="15.75" customHeight="1">
      <c r="A3588" s="375"/>
      <c r="K3588" s="269"/>
      <c r="L3588" s="269" t="str">
        <f t="shared" si="1"/>
        <v/>
      </c>
    </row>
    <row r="3589" ht="15.75" customHeight="1">
      <c r="A3589" s="375"/>
      <c r="K3589" s="269"/>
      <c r="L3589" s="269" t="str">
        <f t="shared" si="1"/>
        <v/>
      </c>
    </row>
    <row r="3590" ht="15.75" customHeight="1">
      <c r="A3590" s="375"/>
      <c r="K3590" s="269"/>
      <c r="L3590" s="269" t="str">
        <f t="shared" si="1"/>
        <v/>
      </c>
    </row>
    <row r="3591" ht="15.75" customHeight="1">
      <c r="A3591" s="375"/>
      <c r="K3591" s="269"/>
      <c r="L3591" s="269" t="str">
        <f t="shared" si="1"/>
        <v/>
      </c>
    </row>
    <row r="3592" ht="15.75" customHeight="1">
      <c r="A3592" s="375"/>
      <c r="K3592" s="269"/>
      <c r="L3592" s="269" t="str">
        <f t="shared" si="1"/>
        <v/>
      </c>
    </row>
    <row r="3593" ht="15.75" customHeight="1">
      <c r="A3593" s="375"/>
      <c r="K3593" s="269"/>
      <c r="L3593" s="269" t="str">
        <f t="shared" si="1"/>
        <v/>
      </c>
    </row>
    <row r="3594" ht="15.75" customHeight="1">
      <c r="A3594" s="375"/>
      <c r="K3594" s="269"/>
      <c r="L3594" s="269" t="str">
        <f t="shared" si="1"/>
        <v/>
      </c>
    </row>
    <row r="3595" ht="15.75" customHeight="1">
      <c r="A3595" s="375"/>
      <c r="K3595" s="269"/>
      <c r="L3595" s="269" t="str">
        <f t="shared" si="1"/>
        <v/>
      </c>
    </row>
    <row r="3596" ht="15.75" customHeight="1">
      <c r="A3596" s="375"/>
      <c r="K3596" s="269"/>
      <c r="L3596" s="269" t="str">
        <f t="shared" si="1"/>
        <v/>
      </c>
    </row>
    <row r="3597" ht="15.75" customHeight="1">
      <c r="A3597" s="375"/>
      <c r="K3597" s="269"/>
      <c r="L3597" s="269" t="str">
        <f t="shared" si="1"/>
        <v/>
      </c>
    </row>
    <row r="3598" ht="15.75" customHeight="1">
      <c r="A3598" s="375"/>
      <c r="K3598" s="269"/>
      <c r="L3598" s="269" t="str">
        <f t="shared" si="1"/>
        <v/>
      </c>
    </row>
    <row r="3599" ht="15.75" customHeight="1">
      <c r="A3599" s="375"/>
      <c r="K3599" s="269"/>
      <c r="L3599" s="269" t="str">
        <f t="shared" si="1"/>
        <v/>
      </c>
    </row>
    <row r="3600" ht="15.75" customHeight="1">
      <c r="A3600" s="375"/>
      <c r="K3600" s="269"/>
      <c r="L3600" s="269" t="str">
        <f t="shared" si="1"/>
        <v/>
      </c>
    </row>
    <row r="3601" ht="15.75" customHeight="1">
      <c r="A3601" s="375"/>
      <c r="K3601" s="269"/>
      <c r="L3601" s="269" t="str">
        <f t="shared" si="1"/>
        <v/>
      </c>
    </row>
    <row r="3602" ht="15.75" customHeight="1">
      <c r="A3602" s="375"/>
      <c r="K3602" s="269"/>
      <c r="L3602" s="269" t="str">
        <f t="shared" si="1"/>
        <v/>
      </c>
    </row>
    <row r="3603" ht="15.75" customHeight="1">
      <c r="A3603" s="375"/>
      <c r="K3603" s="269"/>
      <c r="L3603" s="269" t="str">
        <f t="shared" si="1"/>
        <v/>
      </c>
    </row>
    <row r="3604" ht="15.75" customHeight="1">
      <c r="A3604" s="375"/>
      <c r="K3604" s="269"/>
      <c r="L3604" s="269" t="str">
        <f t="shared" si="1"/>
        <v/>
      </c>
    </row>
    <row r="3605" ht="15.75" customHeight="1">
      <c r="A3605" s="375"/>
      <c r="K3605" s="269"/>
      <c r="L3605" s="269" t="str">
        <f t="shared" si="1"/>
        <v/>
      </c>
    </row>
    <row r="3606" ht="15.75" customHeight="1">
      <c r="A3606" s="375"/>
      <c r="K3606" s="269"/>
      <c r="L3606" s="269" t="str">
        <f t="shared" si="1"/>
        <v/>
      </c>
    </row>
    <row r="3607" ht="15.75" customHeight="1">
      <c r="A3607" s="375"/>
      <c r="K3607" s="269"/>
      <c r="L3607" s="269" t="str">
        <f t="shared" si="1"/>
        <v/>
      </c>
    </row>
    <row r="3608" ht="15.75" customHeight="1">
      <c r="A3608" s="375"/>
      <c r="K3608" s="269"/>
      <c r="L3608" s="269" t="str">
        <f t="shared" si="1"/>
        <v/>
      </c>
    </row>
    <row r="3609" ht="15.75" customHeight="1">
      <c r="A3609" s="375"/>
      <c r="K3609" s="269"/>
      <c r="L3609" s="269" t="str">
        <f t="shared" si="1"/>
        <v/>
      </c>
    </row>
    <row r="3610" ht="15.75" customHeight="1">
      <c r="A3610" s="375"/>
      <c r="K3610" s="269"/>
      <c r="L3610" s="269" t="str">
        <f t="shared" si="1"/>
        <v/>
      </c>
    </row>
    <row r="3611" ht="15.75" customHeight="1">
      <c r="A3611" s="375"/>
      <c r="K3611" s="269"/>
      <c r="L3611" s="269" t="str">
        <f t="shared" si="1"/>
        <v/>
      </c>
    </row>
    <row r="3612" ht="15.75" customHeight="1">
      <c r="A3612" s="375"/>
      <c r="K3612" s="269"/>
      <c r="L3612" s="269" t="str">
        <f t="shared" si="1"/>
        <v/>
      </c>
    </row>
    <row r="3613" ht="15.75" customHeight="1">
      <c r="A3613" s="375"/>
      <c r="K3613" s="269"/>
      <c r="L3613" s="269" t="str">
        <f t="shared" si="1"/>
        <v/>
      </c>
    </row>
    <row r="3614" ht="15.75" customHeight="1">
      <c r="A3614" s="375"/>
      <c r="K3614" s="269"/>
      <c r="L3614" s="269" t="str">
        <f t="shared" si="1"/>
        <v/>
      </c>
    </row>
    <row r="3615" ht="15.75" customHeight="1">
      <c r="A3615" s="375"/>
      <c r="K3615" s="269"/>
      <c r="L3615" s="269" t="str">
        <f t="shared" si="1"/>
        <v/>
      </c>
    </row>
    <row r="3616" ht="15.75" customHeight="1">
      <c r="A3616" s="375"/>
      <c r="K3616" s="269"/>
      <c r="L3616" s="269" t="str">
        <f t="shared" si="1"/>
        <v/>
      </c>
    </row>
    <row r="3617" ht="15.75" customHeight="1">
      <c r="A3617" s="375"/>
      <c r="K3617" s="269"/>
      <c r="L3617" s="269" t="str">
        <f t="shared" si="1"/>
        <v/>
      </c>
    </row>
    <row r="3618" ht="15.75" customHeight="1">
      <c r="A3618" s="375"/>
      <c r="K3618" s="269"/>
      <c r="L3618" s="269" t="str">
        <f t="shared" si="1"/>
        <v/>
      </c>
    </row>
    <row r="3619" ht="15.75" customHeight="1">
      <c r="A3619" s="375"/>
      <c r="K3619" s="269"/>
      <c r="L3619" s="269" t="str">
        <f t="shared" si="1"/>
        <v/>
      </c>
    </row>
    <row r="3620" ht="15.75" customHeight="1">
      <c r="A3620" s="375"/>
      <c r="K3620" s="269"/>
      <c r="L3620" s="269" t="str">
        <f t="shared" si="1"/>
        <v/>
      </c>
    </row>
    <row r="3621" ht="15.75" customHeight="1">
      <c r="A3621" s="375"/>
      <c r="K3621" s="269"/>
      <c r="L3621" s="269" t="str">
        <f t="shared" si="1"/>
        <v/>
      </c>
    </row>
    <row r="3622" ht="15.75" customHeight="1">
      <c r="A3622" s="375"/>
      <c r="K3622" s="269"/>
      <c r="L3622" s="269" t="str">
        <f t="shared" si="1"/>
        <v/>
      </c>
    </row>
    <row r="3623" ht="15.75" customHeight="1">
      <c r="A3623" s="375"/>
      <c r="K3623" s="269"/>
      <c r="L3623" s="269" t="str">
        <f t="shared" si="1"/>
        <v/>
      </c>
    </row>
    <row r="3624" ht="15.75" customHeight="1">
      <c r="A3624" s="375"/>
      <c r="K3624" s="269"/>
      <c r="L3624" s="269" t="str">
        <f t="shared" si="1"/>
        <v/>
      </c>
    </row>
    <row r="3625" ht="15.75" customHeight="1">
      <c r="A3625" s="375"/>
      <c r="K3625" s="269"/>
      <c r="L3625" s="269" t="str">
        <f t="shared" si="1"/>
        <v/>
      </c>
    </row>
    <row r="3626" ht="15.75" customHeight="1">
      <c r="A3626" s="375"/>
      <c r="K3626" s="269"/>
      <c r="L3626" s="269" t="str">
        <f t="shared" si="1"/>
        <v/>
      </c>
    </row>
    <row r="3627" ht="15.75" customHeight="1">
      <c r="A3627" s="375"/>
      <c r="K3627" s="269"/>
      <c r="L3627" s="269" t="str">
        <f t="shared" si="1"/>
        <v/>
      </c>
    </row>
    <row r="3628" ht="15.75" customHeight="1">
      <c r="A3628" s="375"/>
      <c r="K3628" s="269"/>
      <c r="L3628" s="269" t="str">
        <f t="shared" si="1"/>
        <v/>
      </c>
    </row>
    <row r="3629" ht="15.75" customHeight="1">
      <c r="A3629" s="375"/>
      <c r="K3629" s="269"/>
      <c r="L3629" s="269" t="str">
        <f t="shared" si="1"/>
        <v/>
      </c>
    </row>
    <row r="3630" ht="15.75" customHeight="1">
      <c r="A3630" s="375"/>
      <c r="K3630" s="269"/>
      <c r="L3630" s="269" t="str">
        <f t="shared" si="1"/>
        <v/>
      </c>
    </row>
    <row r="3631" ht="15.75" customHeight="1">
      <c r="A3631" s="375"/>
      <c r="K3631" s="269"/>
      <c r="L3631" s="269" t="str">
        <f t="shared" si="1"/>
        <v/>
      </c>
    </row>
    <row r="3632" ht="15.75" customHeight="1">
      <c r="A3632" s="375"/>
      <c r="K3632" s="269"/>
      <c r="L3632" s="269" t="str">
        <f t="shared" si="1"/>
        <v/>
      </c>
    </row>
    <row r="3633" ht="15.75" customHeight="1">
      <c r="A3633" s="375"/>
      <c r="K3633" s="269"/>
      <c r="L3633" s="269" t="str">
        <f t="shared" si="1"/>
        <v/>
      </c>
    </row>
    <row r="3634" ht="15.75" customHeight="1">
      <c r="A3634" s="375"/>
      <c r="K3634" s="269"/>
      <c r="L3634" s="269" t="str">
        <f t="shared" si="1"/>
        <v/>
      </c>
    </row>
    <row r="3635" ht="15.75" customHeight="1">
      <c r="A3635" s="375"/>
      <c r="K3635" s="269"/>
      <c r="L3635" s="269" t="str">
        <f t="shared" si="1"/>
        <v/>
      </c>
    </row>
    <row r="3636" ht="15.75" customHeight="1">
      <c r="A3636" s="375"/>
      <c r="K3636" s="269"/>
      <c r="L3636" s="269" t="str">
        <f t="shared" si="1"/>
        <v/>
      </c>
    </row>
    <row r="3637" ht="15.75" customHeight="1">
      <c r="A3637" s="375"/>
      <c r="K3637" s="269"/>
      <c r="L3637" s="269" t="str">
        <f t="shared" si="1"/>
        <v/>
      </c>
    </row>
    <row r="3638" ht="15.75" customHeight="1">
      <c r="A3638" s="375"/>
      <c r="K3638" s="269"/>
      <c r="L3638" s="269" t="str">
        <f t="shared" si="1"/>
        <v/>
      </c>
    </row>
    <row r="3639" ht="15.75" customHeight="1">
      <c r="A3639" s="375"/>
      <c r="K3639" s="269"/>
      <c r="L3639" s="269" t="str">
        <f t="shared" si="1"/>
        <v/>
      </c>
    </row>
    <row r="3640" ht="15.75" customHeight="1">
      <c r="A3640" s="375"/>
      <c r="K3640" s="269"/>
      <c r="L3640" s="269" t="str">
        <f t="shared" si="1"/>
        <v/>
      </c>
    </row>
    <row r="3641" ht="15.75" customHeight="1">
      <c r="A3641" s="375"/>
      <c r="K3641" s="269"/>
      <c r="L3641" s="269" t="str">
        <f t="shared" si="1"/>
        <v/>
      </c>
    </row>
    <row r="3642" ht="15.75" customHeight="1">
      <c r="A3642" s="375"/>
      <c r="K3642" s="269"/>
      <c r="L3642" s="269" t="str">
        <f t="shared" si="1"/>
        <v/>
      </c>
    </row>
    <row r="3643" ht="15.75" customHeight="1">
      <c r="A3643" s="375"/>
      <c r="K3643" s="269"/>
      <c r="L3643" s="269" t="str">
        <f t="shared" si="1"/>
        <v/>
      </c>
    </row>
    <row r="3644" ht="15.75" customHeight="1">
      <c r="A3644" s="375"/>
      <c r="K3644" s="269"/>
      <c r="L3644" s="269" t="str">
        <f t="shared" si="1"/>
        <v/>
      </c>
    </row>
    <row r="3645" ht="15.75" customHeight="1">
      <c r="A3645" s="375"/>
      <c r="K3645" s="269"/>
      <c r="L3645" s="269" t="str">
        <f t="shared" si="1"/>
        <v/>
      </c>
    </row>
    <row r="3646" ht="15.75" customHeight="1">
      <c r="A3646" s="375"/>
      <c r="K3646" s="269"/>
      <c r="L3646" s="269" t="str">
        <f t="shared" si="1"/>
        <v/>
      </c>
    </row>
    <row r="3647" ht="15.75" customHeight="1">
      <c r="A3647" s="375"/>
      <c r="K3647" s="269"/>
      <c r="L3647" s="269" t="str">
        <f t="shared" si="1"/>
        <v/>
      </c>
    </row>
    <row r="3648" ht="15.75" customHeight="1">
      <c r="A3648" s="375"/>
      <c r="K3648" s="269"/>
      <c r="L3648" s="269" t="str">
        <f t="shared" si="1"/>
        <v/>
      </c>
    </row>
    <row r="3649" ht="15.75" customHeight="1">
      <c r="A3649" s="375"/>
      <c r="K3649" s="269"/>
      <c r="L3649" s="269" t="str">
        <f t="shared" si="1"/>
        <v/>
      </c>
    </row>
    <row r="3650" ht="15.75" customHeight="1">
      <c r="A3650" s="375"/>
      <c r="K3650" s="269"/>
      <c r="L3650" s="269" t="str">
        <f t="shared" si="1"/>
        <v/>
      </c>
    </row>
    <row r="3651" ht="15.75" customHeight="1">
      <c r="A3651" s="375"/>
      <c r="K3651" s="269"/>
      <c r="L3651" s="269" t="str">
        <f t="shared" si="1"/>
        <v/>
      </c>
    </row>
    <row r="3652" ht="15.75" customHeight="1">
      <c r="A3652" s="375"/>
      <c r="K3652" s="269"/>
      <c r="L3652" s="269" t="str">
        <f t="shared" si="1"/>
        <v/>
      </c>
    </row>
    <row r="3653" ht="15.75" customHeight="1">
      <c r="A3653" s="375"/>
      <c r="K3653" s="269"/>
      <c r="L3653" s="269" t="str">
        <f t="shared" si="1"/>
        <v/>
      </c>
    </row>
    <row r="3654" ht="15.75" customHeight="1">
      <c r="A3654" s="375"/>
      <c r="K3654" s="269"/>
      <c r="L3654" s="269" t="str">
        <f t="shared" si="1"/>
        <v/>
      </c>
    </row>
    <row r="3655" ht="15.75" customHeight="1">
      <c r="A3655" s="375"/>
      <c r="K3655" s="269"/>
      <c r="L3655" s="269" t="str">
        <f t="shared" si="1"/>
        <v/>
      </c>
    </row>
    <row r="3656" ht="15.75" customHeight="1">
      <c r="A3656" s="375"/>
      <c r="K3656" s="269"/>
      <c r="L3656" s="269" t="str">
        <f t="shared" si="1"/>
        <v/>
      </c>
    </row>
    <row r="3657" ht="15.75" customHeight="1">
      <c r="A3657" s="375"/>
      <c r="K3657" s="269"/>
      <c r="L3657" s="269" t="str">
        <f t="shared" si="1"/>
        <v/>
      </c>
    </row>
    <row r="3658" ht="15.75" customHeight="1">
      <c r="A3658" s="375"/>
      <c r="K3658" s="269"/>
      <c r="L3658" s="269" t="str">
        <f t="shared" si="1"/>
        <v/>
      </c>
    </row>
    <row r="3659" ht="15.75" customHeight="1">
      <c r="A3659" s="375"/>
      <c r="K3659" s="269"/>
      <c r="L3659" s="269" t="str">
        <f t="shared" si="1"/>
        <v/>
      </c>
    </row>
    <row r="3660" ht="15.75" customHeight="1">
      <c r="A3660" s="375"/>
      <c r="K3660" s="269"/>
      <c r="L3660" s="269" t="str">
        <f t="shared" si="1"/>
        <v/>
      </c>
    </row>
    <row r="3661" ht="15.75" customHeight="1">
      <c r="A3661" s="375"/>
      <c r="K3661" s="269"/>
      <c r="L3661" s="269" t="str">
        <f t="shared" si="1"/>
        <v/>
      </c>
    </row>
    <row r="3662" ht="15.75" customHeight="1">
      <c r="A3662" s="375"/>
      <c r="K3662" s="269"/>
      <c r="L3662" s="269" t="str">
        <f t="shared" si="1"/>
        <v/>
      </c>
    </row>
    <row r="3663" ht="15.75" customHeight="1">
      <c r="A3663" s="375"/>
      <c r="K3663" s="269"/>
      <c r="L3663" s="269" t="str">
        <f t="shared" si="1"/>
        <v/>
      </c>
    </row>
    <row r="3664" ht="15.75" customHeight="1">
      <c r="A3664" s="375"/>
      <c r="K3664" s="269"/>
      <c r="L3664" s="269" t="str">
        <f t="shared" si="1"/>
        <v/>
      </c>
    </row>
    <row r="3665" ht="15.75" customHeight="1">
      <c r="A3665" s="375"/>
      <c r="K3665" s="269"/>
      <c r="L3665" s="269" t="str">
        <f t="shared" si="1"/>
        <v/>
      </c>
    </row>
    <row r="3666" ht="15.75" customHeight="1">
      <c r="A3666" s="375"/>
      <c r="K3666" s="269"/>
      <c r="L3666" s="269" t="str">
        <f t="shared" si="1"/>
        <v/>
      </c>
    </row>
    <row r="3667" ht="15.75" customHeight="1">
      <c r="A3667" s="375"/>
      <c r="K3667" s="269"/>
      <c r="L3667" s="269" t="str">
        <f t="shared" si="1"/>
        <v/>
      </c>
    </row>
    <row r="3668" ht="15.75" customHeight="1">
      <c r="A3668" s="375"/>
      <c r="K3668" s="269"/>
      <c r="L3668" s="269" t="str">
        <f t="shared" si="1"/>
        <v/>
      </c>
    </row>
    <row r="3669" ht="15.75" customHeight="1">
      <c r="A3669" s="375"/>
      <c r="K3669" s="269"/>
      <c r="L3669" s="269" t="str">
        <f t="shared" si="1"/>
        <v/>
      </c>
    </row>
    <row r="3670" ht="15.75" customHeight="1">
      <c r="A3670" s="375"/>
      <c r="K3670" s="269"/>
      <c r="L3670" s="269" t="str">
        <f t="shared" si="1"/>
        <v/>
      </c>
    </row>
    <row r="3671" ht="15.75" customHeight="1">
      <c r="A3671" s="375"/>
      <c r="K3671" s="269"/>
      <c r="L3671" s="269" t="str">
        <f t="shared" si="1"/>
        <v/>
      </c>
    </row>
    <row r="3672" ht="15.75" customHeight="1">
      <c r="A3672" s="375"/>
      <c r="K3672" s="269"/>
      <c r="L3672" s="269" t="str">
        <f t="shared" si="1"/>
        <v/>
      </c>
    </row>
    <row r="3673" ht="15.75" customHeight="1">
      <c r="A3673" s="375"/>
      <c r="K3673" s="269"/>
      <c r="L3673" s="269" t="str">
        <f t="shared" si="1"/>
        <v/>
      </c>
    </row>
    <row r="3674" ht="15.75" customHeight="1">
      <c r="A3674" s="375"/>
      <c r="K3674" s="269"/>
      <c r="L3674" s="269" t="str">
        <f t="shared" si="1"/>
        <v/>
      </c>
    </row>
    <row r="3675" ht="15.75" customHeight="1">
      <c r="A3675" s="375"/>
      <c r="K3675" s="269"/>
      <c r="L3675" s="269" t="str">
        <f t="shared" si="1"/>
        <v/>
      </c>
    </row>
    <row r="3676" ht="15.75" customHeight="1">
      <c r="A3676" s="375"/>
      <c r="K3676" s="269"/>
      <c r="L3676" s="269" t="str">
        <f t="shared" si="1"/>
        <v/>
      </c>
    </row>
    <row r="3677" ht="15.75" customHeight="1">
      <c r="A3677" s="375"/>
      <c r="K3677" s="269"/>
      <c r="L3677" s="269" t="str">
        <f t="shared" si="1"/>
        <v/>
      </c>
    </row>
    <row r="3678" ht="15.75" customHeight="1">
      <c r="A3678" s="375"/>
      <c r="K3678" s="269"/>
      <c r="L3678" s="269" t="str">
        <f t="shared" si="1"/>
        <v/>
      </c>
    </row>
    <row r="3679" ht="15.75" customHeight="1">
      <c r="A3679" s="375"/>
      <c r="K3679" s="269"/>
      <c r="L3679" s="269" t="str">
        <f t="shared" si="1"/>
        <v/>
      </c>
    </row>
    <row r="3680" ht="15.75" customHeight="1">
      <c r="A3680" s="375"/>
      <c r="K3680" s="269"/>
      <c r="L3680" s="269" t="str">
        <f t="shared" si="1"/>
        <v/>
      </c>
    </row>
    <row r="3681" ht="15.75" customHeight="1">
      <c r="A3681" s="375"/>
      <c r="K3681" s="269"/>
      <c r="L3681" s="269" t="str">
        <f t="shared" si="1"/>
        <v/>
      </c>
    </row>
    <row r="3682" ht="15.75" customHeight="1">
      <c r="A3682" s="375"/>
      <c r="K3682" s="269"/>
      <c r="L3682" s="269" t="str">
        <f t="shared" si="1"/>
        <v/>
      </c>
    </row>
    <row r="3683" ht="15.75" customHeight="1">
      <c r="A3683" s="375"/>
      <c r="K3683" s="269"/>
      <c r="L3683" s="269" t="str">
        <f t="shared" si="1"/>
        <v/>
      </c>
    </row>
    <row r="3684" ht="15.75" customHeight="1">
      <c r="A3684" s="375"/>
      <c r="K3684" s="269"/>
      <c r="L3684" s="269" t="str">
        <f t="shared" si="1"/>
        <v/>
      </c>
    </row>
    <row r="3685" ht="15.75" customHeight="1">
      <c r="A3685" s="375"/>
      <c r="K3685" s="269"/>
      <c r="L3685" s="269" t="str">
        <f t="shared" si="1"/>
        <v/>
      </c>
    </row>
    <row r="3686" ht="15.75" customHeight="1">
      <c r="A3686" s="375"/>
      <c r="K3686" s="269"/>
      <c r="L3686" s="269" t="str">
        <f t="shared" si="1"/>
        <v/>
      </c>
    </row>
    <row r="3687" ht="15.75" customHeight="1">
      <c r="A3687" s="375"/>
      <c r="K3687" s="269"/>
      <c r="L3687" s="269" t="str">
        <f t="shared" si="1"/>
        <v/>
      </c>
    </row>
    <row r="3688" ht="15.75" customHeight="1">
      <c r="A3688" s="375"/>
      <c r="K3688" s="269"/>
      <c r="L3688" s="269" t="str">
        <f t="shared" si="1"/>
        <v/>
      </c>
    </row>
    <row r="3689" ht="15.75" customHeight="1">
      <c r="A3689" s="375"/>
      <c r="K3689" s="269"/>
      <c r="L3689" s="269" t="str">
        <f t="shared" si="1"/>
        <v/>
      </c>
    </row>
    <row r="3690" ht="15.75" customHeight="1">
      <c r="A3690" s="375"/>
      <c r="K3690" s="269"/>
      <c r="L3690" s="269" t="str">
        <f t="shared" si="1"/>
        <v/>
      </c>
    </row>
    <row r="3691" ht="15.75" customHeight="1">
      <c r="A3691" s="375"/>
      <c r="K3691" s="269"/>
      <c r="L3691" s="269" t="str">
        <f t="shared" si="1"/>
        <v/>
      </c>
    </row>
    <row r="3692" ht="15.75" customHeight="1">
      <c r="A3692" s="375"/>
      <c r="K3692" s="269"/>
      <c r="L3692" s="269" t="str">
        <f t="shared" si="1"/>
        <v/>
      </c>
    </row>
    <row r="3693" ht="15.75" customHeight="1">
      <c r="A3693" s="375"/>
      <c r="K3693" s="269"/>
      <c r="L3693" s="269" t="str">
        <f t="shared" si="1"/>
        <v/>
      </c>
    </row>
    <row r="3694" ht="15.75" customHeight="1">
      <c r="A3694" s="375"/>
      <c r="K3694" s="269"/>
      <c r="L3694" s="269" t="str">
        <f t="shared" si="1"/>
        <v/>
      </c>
    </row>
    <row r="3695" ht="15.75" customHeight="1">
      <c r="A3695" s="375"/>
      <c r="K3695" s="269"/>
      <c r="L3695" s="269" t="str">
        <f t="shared" si="1"/>
        <v/>
      </c>
    </row>
    <row r="3696" ht="15.75" customHeight="1">
      <c r="A3696" s="375"/>
      <c r="K3696" s="269"/>
      <c r="L3696" s="269" t="str">
        <f t="shared" si="1"/>
        <v/>
      </c>
    </row>
    <row r="3697" ht="15.75" customHeight="1">
      <c r="A3697" s="375"/>
      <c r="K3697" s="269"/>
      <c r="L3697" s="269" t="str">
        <f t="shared" si="1"/>
        <v/>
      </c>
    </row>
    <row r="3698" ht="15.75" customHeight="1">
      <c r="A3698" s="375"/>
      <c r="K3698" s="269"/>
      <c r="L3698" s="269" t="str">
        <f t="shared" si="1"/>
        <v/>
      </c>
    </row>
    <row r="3699" ht="15.75" customHeight="1">
      <c r="A3699" s="375"/>
      <c r="K3699" s="269"/>
      <c r="L3699" s="269" t="str">
        <f t="shared" si="1"/>
        <v/>
      </c>
    </row>
    <row r="3700" ht="15.75" customHeight="1">
      <c r="A3700" s="375"/>
      <c r="K3700" s="269"/>
      <c r="L3700" s="269" t="str">
        <f t="shared" si="1"/>
        <v/>
      </c>
    </row>
    <row r="3701" ht="15.75" customHeight="1">
      <c r="A3701" s="375"/>
      <c r="K3701" s="269"/>
      <c r="L3701" s="269" t="str">
        <f t="shared" si="1"/>
        <v/>
      </c>
    </row>
    <row r="3702" ht="15.75" customHeight="1">
      <c r="A3702" s="375"/>
      <c r="K3702" s="269"/>
      <c r="L3702" s="269" t="str">
        <f t="shared" si="1"/>
        <v/>
      </c>
    </row>
    <row r="3703" ht="15.75" customHeight="1">
      <c r="A3703" s="375"/>
      <c r="K3703" s="269"/>
      <c r="L3703" s="269" t="str">
        <f t="shared" si="1"/>
        <v/>
      </c>
    </row>
    <row r="3704" ht="15.75" customHeight="1">
      <c r="A3704" s="375"/>
      <c r="K3704" s="269"/>
      <c r="L3704" s="269" t="str">
        <f t="shared" si="1"/>
        <v/>
      </c>
    </row>
    <row r="3705" ht="15.75" customHeight="1">
      <c r="A3705" s="375"/>
      <c r="K3705" s="269"/>
      <c r="L3705" s="269" t="str">
        <f t="shared" si="1"/>
        <v/>
      </c>
    </row>
    <row r="3706" ht="15.75" customHeight="1">
      <c r="A3706" s="375"/>
      <c r="K3706" s="269"/>
      <c r="L3706" s="269" t="str">
        <f t="shared" si="1"/>
        <v/>
      </c>
    </row>
    <row r="3707" ht="15.75" customHeight="1">
      <c r="A3707" s="375"/>
      <c r="K3707" s="269"/>
      <c r="L3707" s="269" t="str">
        <f t="shared" si="1"/>
        <v/>
      </c>
    </row>
    <row r="3708" ht="15.75" customHeight="1">
      <c r="A3708" s="375"/>
      <c r="K3708" s="269"/>
      <c r="L3708" s="269" t="str">
        <f t="shared" si="1"/>
        <v/>
      </c>
    </row>
    <row r="3709" ht="15.75" customHeight="1">
      <c r="A3709" s="375"/>
      <c r="K3709" s="269"/>
      <c r="L3709" s="269" t="str">
        <f t="shared" si="1"/>
        <v/>
      </c>
    </row>
    <row r="3710" ht="15.75" customHeight="1">
      <c r="A3710" s="375"/>
      <c r="K3710" s="269"/>
      <c r="L3710" s="269" t="str">
        <f t="shared" si="1"/>
        <v/>
      </c>
    </row>
    <row r="3711" ht="15.75" customHeight="1">
      <c r="A3711" s="375"/>
      <c r="K3711" s="269"/>
      <c r="L3711" s="269" t="str">
        <f t="shared" si="1"/>
        <v/>
      </c>
    </row>
    <row r="3712" ht="15.75" customHeight="1">
      <c r="A3712" s="375"/>
      <c r="K3712" s="269"/>
      <c r="L3712" s="269" t="str">
        <f t="shared" si="1"/>
        <v/>
      </c>
    </row>
    <row r="3713" ht="15.75" customHeight="1">
      <c r="A3713" s="375"/>
      <c r="K3713" s="269"/>
      <c r="L3713" s="269" t="str">
        <f t="shared" si="1"/>
        <v/>
      </c>
    </row>
    <row r="3714" ht="15.75" customHeight="1">
      <c r="A3714" s="375"/>
      <c r="K3714" s="269"/>
      <c r="L3714" s="269" t="str">
        <f t="shared" si="1"/>
        <v/>
      </c>
    </row>
    <row r="3715" ht="15.75" customHeight="1">
      <c r="A3715" s="375"/>
      <c r="K3715" s="269"/>
      <c r="L3715" s="269" t="str">
        <f t="shared" si="1"/>
        <v/>
      </c>
    </row>
    <row r="3716" ht="15.75" customHeight="1">
      <c r="A3716" s="375"/>
      <c r="K3716" s="269"/>
      <c r="L3716" s="269" t="str">
        <f t="shared" si="1"/>
        <v/>
      </c>
    </row>
    <row r="3717" ht="15.75" customHeight="1">
      <c r="A3717" s="375"/>
      <c r="K3717" s="269"/>
      <c r="L3717" s="269" t="str">
        <f t="shared" si="1"/>
        <v/>
      </c>
    </row>
    <row r="3718" ht="15.75" customHeight="1">
      <c r="A3718" s="375"/>
      <c r="K3718" s="269"/>
      <c r="L3718" s="269" t="str">
        <f t="shared" si="1"/>
        <v/>
      </c>
    </row>
    <row r="3719" ht="15.75" customHeight="1">
      <c r="A3719" s="375"/>
      <c r="K3719" s="269"/>
      <c r="L3719" s="269" t="str">
        <f t="shared" si="1"/>
        <v/>
      </c>
    </row>
    <row r="3720" ht="15.75" customHeight="1">
      <c r="A3720" s="375"/>
      <c r="K3720" s="269"/>
      <c r="L3720" s="269" t="str">
        <f t="shared" si="1"/>
        <v/>
      </c>
    </row>
    <row r="3721" ht="15.75" customHeight="1">
      <c r="A3721" s="375"/>
      <c r="K3721" s="269"/>
      <c r="L3721" s="269" t="str">
        <f t="shared" si="1"/>
        <v/>
      </c>
    </row>
    <row r="3722" ht="15.75" customHeight="1">
      <c r="A3722" s="375"/>
      <c r="K3722" s="269"/>
      <c r="L3722" s="269" t="str">
        <f t="shared" si="1"/>
        <v/>
      </c>
    </row>
    <row r="3723" ht="15.75" customHeight="1">
      <c r="A3723" s="375"/>
      <c r="K3723" s="269"/>
      <c r="L3723" s="269" t="str">
        <f t="shared" si="1"/>
        <v/>
      </c>
    </row>
    <row r="3724" ht="15.75" customHeight="1">
      <c r="A3724" s="375"/>
      <c r="K3724" s="269"/>
      <c r="L3724" s="269" t="str">
        <f t="shared" si="1"/>
        <v/>
      </c>
    </row>
    <row r="3725" ht="15.75" customHeight="1">
      <c r="A3725" s="375"/>
      <c r="K3725" s="269"/>
      <c r="L3725" s="269" t="str">
        <f t="shared" si="1"/>
        <v/>
      </c>
    </row>
    <row r="3726" ht="15.75" customHeight="1">
      <c r="A3726" s="375"/>
      <c r="K3726" s="269"/>
      <c r="L3726" s="269" t="str">
        <f t="shared" si="1"/>
        <v/>
      </c>
    </row>
    <row r="3727" ht="15.75" customHeight="1">
      <c r="A3727" s="375"/>
      <c r="K3727" s="269"/>
      <c r="L3727" s="269" t="str">
        <f t="shared" si="1"/>
        <v/>
      </c>
    </row>
    <row r="3728" ht="15.75" customHeight="1">
      <c r="A3728" s="375"/>
      <c r="K3728" s="269"/>
      <c r="L3728" s="269" t="str">
        <f t="shared" si="1"/>
        <v/>
      </c>
    </row>
    <row r="3729" ht="15.75" customHeight="1">
      <c r="A3729" s="375"/>
      <c r="K3729" s="269"/>
      <c r="L3729" s="269" t="str">
        <f t="shared" si="1"/>
        <v/>
      </c>
    </row>
    <row r="3730" ht="15.75" customHeight="1">
      <c r="A3730" s="375"/>
      <c r="K3730" s="269"/>
      <c r="L3730" s="269" t="str">
        <f t="shared" si="1"/>
        <v/>
      </c>
    </row>
    <row r="3731" ht="15.75" customHeight="1">
      <c r="A3731" s="375"/>
      <c r="K3731" s="269"/>
      <c r="L3731" s="269" t="str">
        <f t="shared" si="1"/>
        <v/>
      </c>
    </row>
    <row r="3732" ht="15.75" customHeight="1">
      <c r="A3732" s="375"/>
      <c r="K3732" s="269"/>
      <c r="L3732" s="269" t="str">
        <f t="shared" si="1"/>
        <v/>
      </c>
    </row>
    <row r="3733" ht="15.75" customHeight="1">
      <c r="A3733" s="375"/>
      <c r="K3733" s="269"/>
      <c r="L3733" s="269" t="str">
        <f t="shared" si="1"/>
        <v/>
      </c>
    </row>
    <row r="3734" ht="15.75" customHeight="1">
      <c r="A3734" s="375"/>
      <c r="K3734" s="269"/>
      <c r="L3734" s="269" t="str">
        <f t="shared" si="1"/>
        <v/>
      </c>
    </row>
    <row r="3735" ht="15.75" customHeight="1">
      <c r="A3735" s="375"/>
      <c r="K3735" s="269"/>
      <c r="L3735" s="269" t="str">
        <f t="shared" si="1"/>
        <v/>
      </c>
    </row>
    <row r="3736" ht="15.75" customHeight="1">
      <c r="A3736" s="375"/>
      <c r="K3736" s="269"/>
      <c r="L3736" s="269" t="str">
        <f t="shared" si="1"/>
        <v/>
      </c>
    </row>
    <row r="3737" ht="15.75" customHeight="1">
      <c r="A3737" s="375"/>
      <c r="K3737" s="269"/>
      <c r="L3737" s="269" t="str">
        <f t="shared" si="1"/>
        <v/>
      </c>
    </row>
    <row r="3738" ht="15.75" customHeight="1">
      <c r="A3738" s="375"/>
      <c r="K3738" s="269"/>
      <c r="L3738" s="269" t="str">
        <f t="shared" si="1"/>
        <v/>
      </c>
    </row>
    <row r="3739" ht="15.75" customHeight="1">
      <c r="A3739" s="375"/>
      <c r="K3739" s="269"/>
      <c r="L3739" s="269" t="str">
        <f t="shared" si="1"/>
        <v/>
      </c>
    </row>
    <row r="3740" ht="15.75" customHeight="1">
      <c r="A3740" s="375"/>
      <c r="K3740" s="269"/>
      <c r="L3740" s="269" t="str">
        <f t="shared" si="1"/>
        <v/>
      </c>
    </row>
    <row r="3741" ht="15.75" customHeight="1">
      <c r="A3741" s="375"/>
      <c r="K3741" s="269"/>
      <c r="L3741" s="269" t="str">
        <f t="shared" si="1"/>
        <v/>
      </c>
    </row>
    <row r="3742" ht="15.75" customHeight="1">
      <c r="A3742" s="375"/>
      <c r="K3742" s="269"/>
      <c r="L3742" s="269" t="str">
        <f t="shared" si="1"/>
        <v/>
      </c>
    </row>
    <row r="3743" ht="15.75" customHeight="1">
      <c r="A3743" s="375"/>
      <c r="K3743" s="269"/>
      <c r="L3743" s="269" t="str">
        <f t="shared" si="1"/>
        <v/>
      </c>
    </row>
    <row r="3744" ht="15.75" customHeight="1">
      <c r="A3744" s="375"/>
      <c r="K3744" s="269"/>
      <c r="L3744" s="269" t="str">
        <f t="shared" si="1"/>
        <v/>
      </c>
    </row>
    <row r="3745" ht="15.75" customHeight="1">
      <c r="A3745" s="375"/>
      <c r="K3745" s="269"/>
      <c r="L3745" s="269" t="str">
        <f t="shared" si="1"/>
        <v/>
      </c>
    </row>
    <row r="3746" ht="15.75" customHeight="1">
      <c r="A3746" s="375"/>
      <c r="K3746" s="269"/>
      <c r="L3746" s="269" t="str">
        <f t="shared" si="1"/>
        <v/>
      </c>
    </row>
    <row r="3747" ht="15.75" customHeight="1">
      <c r="A3747" s="375"/>
      <c r="K3747" s="269"/>
      <c r="L3747" s="269" t="str">
        <f t="shared" si="1"/>
        <v/>
      </c>
    </row>
    <row r="3748" ht="15.75" customHeight="1">
      <c r="A3748" s="375"/>
      <c r="K3748" s="269"/>
      <c r="L3748" s="269" t="str">
        <f t="shared" si="1"/>
        <v/>
      </c>
    </row>
    <row r="3749" ht="15.75" customHeight="1">
      <c r="A3749" s="375"/>
      <c r="K3749" s="269"/>
      <c r="L3749" s="269" t="str">
        <f t="shared" si="1"/>
        <v/>
      </c>
    </row>
    <row r="3750" ht="15.75" customHeight="1">
      <c r="A3750" s="375"/>
      <c r="K3750" s="269"/>
      <c r="L3750" s="269" t="str">
        <f t="shared" si="1"/>
        <v/>
      </c>
    </row>
    <row r="3751" ht="15.75" customHeight="1">
      <c r="A3751" s="375"/>
      <c r="K3751" s="269"/>
      <c r="L3751" s="269" t="str">
        <f t="shared" si="1"/>
        <v/>
      </c>
    </row>
    <row r="3752" ht="15.75" customHeight="1">
      <c r="A3752" s="375"/>
      <c r="K3752" s="269"/>
      <c r="L3752" s="269" t="str">
        <f t="shared" si="1"/>
        <v/>
      </c>
    </row>
    <row r="3753" ht="15.75" customHeight="1">
      <c r="A3753" s="375"/>
      <c r="K3753" s="269"/>
      <c r="L3753" s="269" t="str">
        <f t="shared" si="1"/>
        <v/>
      </c>
    </row>
    <row r="3754" ht="15.75" customHeight="1">
      <c r="A3754" s="375"/>
      <c r="K3754" s="269"/>
      <c r="L3754" s="269" t="str">
        <f t="shared" si="1"/>
        <v/>
      </c>
    </row>
    <row r="3755" ht="15.75" customHeight="1">
      <c r="A3755" s="375"/>
      <c r="K3755" s="269"/>
      <c r="L3755" s="269" t="str">
        <f t="shared" si="1"/>
        <v/>
      </c>
    </row>
    <row r="3756" ht="15.75" customHeight="1">
      <c r="A3756" s="375"/>
      <c r="K3756" s="269"/>
      <c r="L3756" s="269" t="str">
        <f t="shared" si="1"/>
        <v/>
      </c>
    </row>
    <row r="3757" ht="15.75" customHeight="1">
      <c r="A3757" s="375"/>
      <c r="K3757" s="269"/>
      <c r="L3757" s="269" t="str">
        <f t="shared" si="1"/>
        <v/>
      </c>
    </row>
    <row r="3758" ht="15.75" customHeight="1">
      <c r="A3758" s="375"/>
      <c r="K3758" s="269"/>
      <c r="L3758" s="269" t="str">
        <f t="shared" si="1"/>
        <v/>
      </c>
    </row>
    <row r="3759" ht="15.75" customHeight="1">
      <c r="A3759" s="375"/>
      <c r="K3759" s="269"/>
      <c r="L3759" s="269" t="str">
        <f t="shared" si="1"/>
        <v/>
      </c>
    </row>
    <row r="3760" ht="15.75" customHeight="1">
      <c r="A3760" s="375"/>
      <c r="K3760" s="269"/>
      <c r="L3760" s="269" t="str">
        <f t="shared" si="1"/>
        <v/>
      </c>
    </row>
    <row r="3761" ht="15.75" customHeight="1">
      <c r="A3761" s="375"/>
      <c r="K3761" s="269"/>
      <c r="L3761" s="269" t="str">
        <f t="shared" si="1"/>
        <v/>
      </c>
    </row>
    <row r="3762" ht="15.75" customHeight="1">
      <c r="A3762" s="375"/>
      <c r="K3762" s="269"/>
      <c r="L3762" s="269" t="str">
        <f t="shared" si="1"/>
        <v/>
      </c>
    </row>
    <row r="3763" ht="15.75" customHeight="1">
      <c r="A3763" s="375"/>
      <c r="K3763" s="269"/>
      <c r="L3763" s="269" t="str">
        <f t="shared" si="1"/>
        <v/>
      </c>
    </row>
    <row r="3764" ht="15.75" customHeight="1">
      <c r="A3764" s="375"/>
      <c r="K3764" s="269"/>
      <c r="L3764" s="269" t="str">
        <f t="shared" si="1"/>
        <v/>
      </c>
    </row>
    <row r="3765" ht="15.75" customHeight="1">
      <c r="A3765" s="375"/>
      <c r="K3765" s="269"/>
      <c r="L3765" s="269" t="str">
        <f t="shared" si="1"/>
        <v/>
      </c>
    </row>
    <row r="3766" ht="15.75" customHeight="1">
      <c r="A3766" s="375"/>
      <c r="K3766" s="269"/>
      <c r="L3766" s="269" t="str">
        <f t="shared" si="1"/>
        <v/>
      </c>
    </row>
    <row r="3767" ht="15.75" customHeight="1">
      <c r="A3767" s="375"/>
      <c r="K3767" s="269"/>
      <c r="L3767" s="269" t="str">
        <f t="shared" si="1"/>
        <v/>
      </c>
    </row>
    <row r="3768" ht="15.75" customHeight="1">
      <c r="A3768" s="375"/>
      <c r="K3768" s="269"/>
      <c r="L3768" s="269" t="str">
        <f t="shared" si="1"/>
        <v/>
      </c>
    </row>
    <row r="3769" ht="15.75" customHeight="1">
      <c r="A3769" s="375"/>
      <c r="K3769" s="269"/>
      <c r="L3769" s="269" t="str">
        <f t="shared" si="1"/>
        <v/>
      </c>
    </row>
    <row r="3770" ht="15.75" customHeight="1">
      <c r="A3770" s="375"/>
      <c r="K3770" s="269"/>
      <c r="L3770" s="269" t="str">
        <f t="shared" si="1"/>
        <v/>
      </c>
    </row>
    <row r="3771" ht="15.75" customHeight="1">
      <c r="A3771" s="375"/>
      <c r="K3771" s="269"/>
      <c r="L3771" s="269" t="str">
        <f t="shared" si="1"/>
        <v/>
      </c>
    </row>
    <row r="3772" ht="15.75" customHeight="1">
      <c r="A3772" s="375"/>
      <c r="K3772" s="269"/>
      <c r="L3772" s="269" t="str">
        <f t="shared" si="1"/>
        <v/>
      </c>
    </row>
    <row r="3773" ht="15.75" customHeight="1">
      <c r="A3773" s="375"/>
      <c r="K3773" s="269"/>
      <c r="L3773" s="269" t="str">
        <f t="shared" si="1"/>
        <v/>
      </c>
    </row>
    <row r="3774" ht="15.75" customHeight="1">
      <c r="A3774" s="375"/>
      <c r="K3774" s="269"/>
      <c r="L3774" s="269" t="str">
        <f t="shared" si="1"/>
        <v/>
      </c>
    </row>
    <row r="3775" ht="15.75" customHeight="1">
      <c r="A3775" s="375"/>
      <c r="K3775" s="269"/>
      <c r="L3775" s="269" t="str">
        <f t="shared" si="1"/>
        <v/>
      </c>
    </row>
    <row r="3776" ht="15.75" customHeight="1">
      <c r="A3776" s="375"/>
      <c r="K3776" s="269"/>
      <c r="L3776" s="269" t="str">
        <f t="shared" si="1"/>
        <v/>
      </c>
    </row>
    <row r="3777" ht="15.75" customHeight="1">
      <c r="A3777" s="375"/>
      <c r="K3777" s="269"/>
      <c r="L3777" s="269" t="str">
        <f t="shared" si="1"/>
        <v/>
      </c>
    </row>
    <row r="3778" ht="15.75" customHeight="1">
      <c r="A3778" s="375"/>
      <c r="K3778" s="269"/>
      <c r="L3778" s="269" t="str">
        <f t="shared" si="1"/>
        <v/>
      </c>
    </row>
    <row r="3779" ht="15.75" customHeight="1">
      <c r="A3779" s="375"/>
      <c r="K3779" s="269"/>
      <c r="L3779" s="269" t="str">
        <f t="shared" si="1"/>
        <v/>
      </c>
    </row>
    <row r="3780" ht="15.75" customHeight="1">
      <c r="A3780" s="375"/>
      <c r="K3780" s="269"/>
      <c r="L3780" s="269" t="str">
        <f t="shared" si="1"/>
        <v/>
      </c>
    </row>
    <row r="3781" ht="15.75" customHeight="1">
      <c r="A3781" s="375"/>
      <c r="K3781" s="269"/>
      <c r="L3781" s="269" t="str">
        <f t="shared" si="1"/>
        <v/>
      </c>
    </row>
    <row r="3782" ht="15.75" customHeight="1">
      <c r="A3782" s="375"/>
      <c r="K3782" s="269"/>
      <c r="L3782" s="269" t="str">
        <f t="shared" si="1"/>
        <v/>
      </c>
    </row>
    <row r="3783" ht="15.75" customHeight="1">
      <c r="A3783" s="375"/>
      <c r="K3783" s="269"/>
      <c r="L3783" s="269" t="str">
        <f t="shared" si="1"/>
        <v/>
      </c>
    </row>
    <row r="3784" ht="15.75" customHeight="1">
      <c r="A3784" s="375"/>
      <c r="K3784" s="269"/>
      <c r="L3784" s="269" t="str">
        <f t="shared" si="1"/>
        <v/>
      </c>
    </row>
    <row r="3785" ht="15.75" customHeight="1">
      <c r="A3785" s="375"/>
      <c r="K3785" s="269"/>
      <c r="L3785" s="269" t="str">
        <f t="shared" si="1"/>
        <v/>
      </c>
    </row>
    <row r="3786" ht="15.75" customHeight="1">
      <c r="A3786" s="375"/>
      <c r="K3786" s="269"/>
      <c r="L3786" s="269" t="str">
        <f t="shared" si="1"/>
        <v/>
      </c>
    </row>
    <row r="3787" ht="15.75" customHeight="1">
      <c r="A3787" s="375"/>
      <c r="K3787" s="269"/>
      <c r="L3787" s="269" t="str">
        <f t="shared" si="1"/>
        <v/>
      </c>
    </row>
    <row r="3788" ht="15.75" customHeight="1">
      <c r="A3788" s="375"/>
      <c r="K3788" s="269"/>
      <c r="L3788" s="269" t="str">
        <f t="shared" si="1"/>
        <v/>
      </c>
    </row>
    <row r="3789" ht="15.75" customHeight="1">
      <c r="A3789" s="375"/>
      <c r="K3789" s="269"/>
      <c r="L3789" s="269" t="str">
        <f t="shared" si="1"/>
        <v/>
      </c>
    </row>
    <row r="3790" ht="15.75" customHeight="1">
      <c r="A3790" s="375"/>
      <c r="K3790" s="269"/>
      <c r="L3790" s="269" t="str">
        <f t="shared" si="1"/>
        <v/>
      </c>
    </row>
    <row r="3791" ht="15.75" customHeight="1">
      <c r="A3791" s="375"/>
      <c r="K3791" s="269"/>
      <c r="L3791" s="269" t="str">
        <f t="shared" si="1"/>
        <v/>
      </c>
    </row>
    <row r="3792" ht="15.75" customHeight="1">
      <c r="A3792" s="375"/>
      <c r="K3792" s="269"/>
      <c r="L3792" s="269" t="str">
        <f t="shared" si="1"/>
        <v/>
      </c>
    </row>
    <row r="3793" ht="15.75" customHeight="1">
      <c r="A3793" s="375"/>
      <c r="K3793" s="269"/>
      <c r="L3793" s="269" t="str">
        <f t="shared" si="1"/>
        <v/>
      </c>
    </row>
    <row r="3794" ht="15.75" customHeight="1">
      <c r="A3794" s="375"/>
      <c r="K3794" s="269"/>
      <c r="L3794" s="269" t="str">
        <f t="shared" si="1"/>
        <v/>
      </c>
    </row>
    <row r="3795" ht="15.75" customHeight="1">
      <c r="A3795" s="375"/>
      <c r="K3795" s="269"/>
      <c r="L3795" s="269" t="str">
        <f t="shared" si="1"/>
        <v/>
      </c>
    </row>
    <row r="3796" ht="15.75" customHeight="1">
      <c r="A3796" s="375"/>
      <c r="K3796" s="269"/>
      <c r="L3796" s="269" t="str">
        <f t="shared" si="1"/>
        <v/>
      </c>
    </row>
    <row r="3797" ht="15.75" customHeight="1">
      <c r="A3797" s="375"/>
      <c r="K3797" s="269"/>
      <c r="L3797" s="269" t="str">
        <f t="shared" si="1"/>
        <v/>
      </c>
    </row>
    <row r="3798" ht="15.75" customHeight="1">
      <c r="A3798" s="375"/>
      <c r="K3798" s="269"/>
      <c r="L3798" s="269" t="str">
        <f t="shared" si="1"/>
        <v/>
      </c>
    </row>
    <row r="3799" ht="15.75" customHeight="1">
      <c r="A3799" s="375"/>
      <c r="K3799" s="269"/>
      <c r="L3799" s="269" t="str">
        <f t="shared" si="1"/>
        <v/>
      </c>
    </row>
    <row r="3800" ht="15.75" customHeight="1">
      <c r="A3800" s="375"/>
      <c r="K3800" s="269"/>
      <c r="L3800" s="269" t="str">
        <f t="shared" si="1"/>
        <v/>
      </c>
    </row>
    <row r="3801" ht="15.75" customHeight="1">
      <c r="A3801" s="375"/>
      <c r="K3801" s="269"/>
      <c r="L3801" s="269" t="str">
        <f t="shared" si="1"/>
        <v/>
      </c>
    </row>
    <row r="3802" ht="15.75" customHeight="1">
      <c r="A3802" s="375"/>
      <c r="K3802" s="269"/>
      <c r="L3802" s="269" t="str">
        <f t="shared" si="1"/>
        <v/>
      </c>
    </row>
    <row r="3803" ht="15.75" customHeight="1">
      <c r="A3803" s="375"/>
      <c r="K3803" s="269"/>
      <c r="L3803" s="269" t="str">
        <f t="shared" si="1"/>
        <v/>
      </c>
    </row>
    <row r="3804" ht="15.75" customHeight="1">
      <c r="A3804" s="375"/>
      <c r="K3804" s="269"/>
      <c r="L3804" s="269" t="str">
        <f t="shared" si="1"/>
        <v/>
      </c>
    </row>
    <row r="3805" ht="15.75" customHeight="1">
      <c r="A3805" s="375"/>
      <c r="K3805" s="269"/>
      <c r="L3805" s="269" t="str">
        <f t="shared" si="1"/>
        <v/>
      </c>
    </row>
    <row r="3806" ht="15.75" customHeight="1">
      <c r="A3806" s="375"/>
      <c r="K3806" s="269"/>
      <c r="L3806" s="269" t="str">
        <f t="shared" si="1"/>
        <v/>
      </c>
    </row>
    <row r="3807" ht="15.75" customHeight="1">
      <c r="A3807" s="375"/>
      <c r="K3807" s="269"/>
      <c r="L3807" s="269" t="str">
        <f t="shared" si="1"/>
        <v/>
      </c>
    </row>
    <row r="3808" ht="15.75" customHeight="1">
      <c r="A3808" s="375"/>
      <c r="K3808" s="269"/>
      <c r="L3808" s="269" t="str">
        <f t="shared" si="1"/>
        <v/>
      </c>
    </row>
    <row r="3809" ht="15.75" customHeight="1">
      <c r="A3809" s="375"/>
      <c r="K3809" s="269"/>
      <c r="L3809" s="269" t="str">
        <f t="shared" si="1"/>
        <v/>
      </c>
    </row>
    <row r="3810" ht="15.75" customHeight="1">
      <c r="A3810" s="375"/>
      <c r="K3810" s="269"/>
      <c r="L3810" s="269" t="str">
        <f t="shared" si="1"/>
        <v/>
      </c>
    </row>
    <row r="3811" ht="15.75" customHeight="1">
      <c r="A3811" s="375"/>
      <c r="K3811" s="269"/>
      <c r="L3811" s="269" t="str">
        <f t="shared" si="1"/>
        <v/>
      </c>
    </row>
    <row r="3812" ht="15.75" customHeight="1">
      <c r="A3812" s="375"/>
      <c r="K3812" s="269"/>
      <c r="L3812" s="269" t="str">
        <f t="shared" si="1"/>
        <v/>
      </c>
    </row>
    <row r="3813" ht="15.75" customHeight="1">
      <c r="A3813" s="375"/>
      <c r="K3813" s="269"/>
      <c r="L3813" s="269" t="str">
        <f t="shared" si="1"/>
        <v/>
      </c>
    </row>
    <row r="3814" ht="15.75" customHeight="1">
      <c r="A3814" s="375"/>
      <c r="K3814" s="269"/>
      <c r="L3814" s="269" t="str">
        <f t="shared" si="1"/>
        <v/>
      </c>
    </row>
    <row r="3815" ht="15.75" customHeight="1">
      <c r="A3815" s="375"/>
      <c r="K3815" s="269"/>
      <c r="L3815" s="269" t="str">
        <f t="shared" si="1"/>
        <v/>
      </c>
    </row>
    <row r="3816" ht="15.75" customHeight="1">
      <c r="A3816" s="375"/>
      <c r="K3816" s="269"/>
      <c r="L3816" s="269" t="str">
        <f t="shared" si="1"/>
        <v/>
      </c>
    </row>
    <row r="3817" ht="15.75" customHeight="1">
      <c r="A3817" s="375"/>
      <c r="K3817" s="269"/>
      <c r="L3817" s="269" t="str">
        <f t="shared" si="1"/>
        <v/>
      </c>
    </row>
    <row r="3818" ht="15.75" customHeight="1">
      <c r="A3818" s="375"/>
      <c r="K3818" s="269"/>
      <c r="L3818" s="269" t="str">
        <f t="shared" si="1"/>
        <v/>
      </c>
    </row>
    <row r="3819" ht="15.75" customHeight="1">
      <c r="A3819" s="375"/>
      <c r="K3819" s="269"/>
      <c r="L3819" s="269" t="str">
        <f t="shared" si="1"/>
        <v/>
      </c>
    </row>
    <row r="3820" ht="15.75" customHeight="1">
      <c r="A3820" s="375"/>
      <c r="K3820" s="269"/>
      <c r="L3820" s="269" t="str">
        <f t="shared" si="1"/>
        <v/>
      </c>
    </row>
    <row r="3821" ht="15.75" customHeight="1">
      <c r="A3821" s="375"/>
      <c r="K3821" s="269"/>
      <c r="L3821" s="269" t="str">
        <f t="shared" si="1"/>
        <v/>
      </c>
    </row>
    <row r="3822" ht="15.75" customHeight="1">
      <c r="A3822" s="375"/>
      <c r="K3822" s="269"/>
      <c r="L3822" s="269" t="str">
        <f t="shared" si="1"/>
        <v/>
      </c>
    </row>
    <row r="3823" ht="15.75" customHeight="1">
      <c r="A3823" s="375"/>
      <c r="K3823" s="269"/>
      <c r="L3823" s="269" t="str">
        <f t="shared" si="1"/>
        <v/>
      </c>
    </row>
    <row r="3824" ht="15.75" customHeight="1">
      <c r="A3824" s="375"/>
      <c r="K3824" s="269"/>
      <c r="L3824" s="269" t="str">
        <f t="shared" si="1"/>
        <v/>
      </c>
    </row>
    <row r="3825" ht="15.75" customHeight="1">
      <c r="A3825" s="375"/>
      <c r="K3825" s="269"/>
      <c r="L3825" s="269" t="str">
        <f t="shared" si="1"/>
        <v/>
      </c>
    </row>
    <row r="3826" ht="15.75" customHeight="1">
      <c r="A3826" s="375"/>
      <c r="K3826" s="269"/>
      <c r="L3826" s="269" t="str">
        <f t="shared" si="1"/>
        <v/>
      </c>
    </row>
    <row r="3827" ht="15.75" customHeight="1">
      <c r="A3827" s="375"/>
      <c r="K3827" s="269"/>
      <c r="L3827" s="269" t="str">
        <f t="shared" si="1"/>
        <v/>
      </c>
    </row>
    <row r="3828" ht="15.75" customHeight="1">
      <c r="A3828" s="375"/>
      <c r="K3828" s="269"/>
      <c r="L3828" s="269" t="str">
        <f t="shared" si="1"/>
        <v/>
      </c>
    </row>
    <row r="3829" ht="15.75" customHeight="1">
      <c r="A3829" s="375"/>
      <c r="K3829" s="269"/>
      <c r="L3829" s="269" t="str">
        <f t="shared" si="1"/>
        <v/>
      </c>
    </row>
    <row r="3830" ht="15.75" customHeight="1">
      <c r="A3830" s="375"/>
      <c r="K3830" s="269"/>
      <c r="L3830" s="269" t="str">
        <f t="shared" si="1"/>
        <v/>
      </c>
    </row>
    <row r="3831" ht="15.75" customHeight="1">
      <c r="A3831" s="375"/>
      <c r="K3831" s="269"/>
      <c r="L3831" s="269" t="str">
        <f t="shared" si="1"/>
        <v/>
      </c>
    </row>
    <row r="3832" ht="15.75" customHeight="1">
      <c r="A3832" s="375"/>
      <c r="K3832" s="269"/>
      <c r="L3832" s="269" t="str">
        <f t="shared" si="1"/>
        <v/>
      </c>
    </row>
    <row r="3833" ht="15.75" customHeight="1">
      <c r="A3833" s="375"/>
      <c r="K3833" s="269"/>
      <c r="L3833" s="269" t="str">
        <f t="shared" si="1"/>
        <v/>
      </c>
    </row>
    <row r="3834" ht="15.75" customHeight="1">
      <c r="A3834" s="375"/>
      <c r="K3834" s="269"/>
      <c r="L3834" s="269" t="str">
        <f t="shared" si="1"/>
        <v/>
      </c>
    </row>
    <row r="3835" ht="15.75" customHeight="1">
      <c r="A3835" s="375"/>
      <c r="K3835" s="269"/>
      <c r="L3835" s="269" t="str">
        <f t="shared" si="1"/>
        <v/>
      </c>
    </row>
    <row r="3836" ht="15.75" customHeight="1">
      <c r="A3836" s="375"/>
      <c r="K3836" s="269"/>
      <c r="L3836" s="269" t="str">
        <f t="shared" si="1"/>
        <v/>
      </c>
    </row>
    <row r="3837" ht="15.75" customHeight="1">
      <c r="A3837" s="375"/>
      <c r="K3837" s="269"/>
      <c r="L3837" s="269" t="str">
        <f t="shared" si="1"/>
        <v/>
      </c>
    </row>
    <row r="3838" ht="15.75" customHeight="1">
      <c r="A3838" s="375"/>
      <c r="K3838" s="269"/>
      <c r="L3838" s="269" t="str">
        <f t="shared" si="1"/>
        <v/>
      </c>
    </row>
    <row r="3839" ht="15.75" customHeight="1">
      <c r="A3839" s="375"/>
      <c r="K3839" s="269"/>
      <c r="L3839" s="269" t="str">
        <f t="shared" si="1"/>
        <v/>
      </c>
    </row>
    <row r="3840" ht="15.75" customHeight="1">
      <c r="A3840" s="375"/>
      <c r="K3840" s="269"/>
      <c r="L3840" s="269" t="str">
        <f t="shared" si="1"/>
        <v/>
      </c>
    </row>
    <row r="3841" ht="15.75" customHeight="1">
      <c r="A3841" s="375"/>
      <c r="K3841" s="269"/>
      <c r="L3841" s="269" t="str">
        <f t="shared" si="1"/>
        <v/>
      </c>
    </row>
    <row r="3842" ht="15.75" customHeight="1">
      <c r="A3842" s="375"/>
      <c r="K3842" s="269"/>
      <c r="L3842" s="269" t="str">
        <f t="shared" si="1"/>
        <v/>
      </c>
    </row>
    <row r="3843" ht="15.75" customHeight="1">
      <c r="A3843" s="375"/>
      <c r="K3843" s="269"/>
      <c r="L3843" s="269" t="str">
        <f t="shared" si="1"/>
        <v/>
      </c>
    </row>
    <row r="3844" ht="15.75" customHeight="1">
      <c r="A3844" s="375"/>
      <c r="K3844" s="269"/>
      <c r="L3844" s="269" t="str">
        <f t="shared" si="1"/>
        <v/>
      </c>
    </row>
    <row r="3845" ht="15.75" customHeight="1">
      <c r="A3845" s="375"/>
      <c r="K3845" s="269"/>
      <c r="L3845" s="269" t="str">
        <f t="shared" si="1"/>
        <v/>
      </c>
    </row>
    <row r="3846" ht="15.75" customHeight="1">
      <c r="A3846" s="375"/>
      <c r="K3846" s="269"/>
      <c r="L3846" s="269" t="str">
        <f t="shared" si="1"/>
        <v/>
      </c>
    </row>
    <row r="3847" ht="15.75" customHeight="1">
      <c r="A3847" s="375"/>
      <c r="K3847" s="269"/>
      <c r="L3847" s="269" t="str">
        <f t="shared" si="1"/>
        <v/>
      </c>
    </row>
    <row r="3848" ht="15.75" customHeight="1">
      <c r="A3848" s="375"/>
      <c r="K3848" s="269"/>
      <c r="L3848" s="269" t="str">
        <f t="shared" si="1"/>
        <v/>
      </c>
    </row>
    <row r="3849" ht="15.75" customHeight="1">
      <c r="A3849" s="375"/>
      <c r="K3849" s="269"/>
      <c r="L3849" s="269" t="str">
        <f t="shared" si="1"/>
        <v/>
      </c>
    </row>
    <row r="3850" ht="15.75" customHeight="1">
      <c r="A3850" s="375"/>
      <c r="K3850" s="269"/>
      <c r="L3850" s="269" t="str">
        <f t="shared" si="1"/>
        <v/>
      </c>
    </row>
    <row r="3851" ht="15.75" customHeight="1">
      <c r="A3851" s="375"/>
      <c r="K3851" s="269"/>
      <c r="L3851" s="269" t="str">
        <f t="shared" si="1"/>
        <v/>
      </c>
    </row>
    <row r="3852" ht="15.75" customHeight="1">
      <c r="A3852" s="375"/>
      <c r="K3852" s="269"/>
      <c r="L3852" s="269" t="str">
        <f t="shared" si="1"/>
        <v/>
      </c>
    </row>
    <row r="3853" ht="15.75" customHeight="1">
      <c r="A3853" s="375"/>
      <c r="K3853" s="269"/>
      <c r="L3853" s="269" t="str">
        <f t="shared" si="1"/>
        <v/>
      </c>
    </row>
    <row r="3854" ht="15.75" customHeight="1">
      <c r="A3854" s="375"/>
      <c r="K3854" s="269"/>
      <c r="L3854" s="269" t="str">
        <f t="shared" si="1"/>
        <v/>
      </c>
    </row>
    <row r="3855" ht="15.75" customHeight="1">
      <c r="A3855" s="375"/>
      <c r="K3855" s="269"/>
      <c r="L3855" s="269" t="str">
        <f t="shared" si="1"/>
        <v/>
      </c>
    </row>
    <row r="3856" ht="15.75" customHeight="1">
      <c r="A3856" s="375"/>
      <c r="K3856" s="269"/>
      <c r="L3856" s="269" t="str">
        <f t="shared" si="1"/>
        <v/>
      </c>
    </row>
    <row r="3857" ht="15.75" customHeight="1">
      <c r="A3857" s="375"/>
      <c r="K3857" s="269"/>
      <c r="L3857" s="269" t="str">
        <f t="shared" si="1"/>
        <v/>
      </c>
    </row>
    <row r="3858" ht="15.75" customHeight="1">
      <c r="A3858" s="375"/>
      <c r="K3858" s="269"/>
      <c r="L3858" s="269" t="str">
        <f t="shared" si="1"/>
        <v/>
      </c>
    </row>
    <row r="3859" ht="15.75" customHeight="1">
      <c r="A3859" s="375"/>
      <c r="K3859" s="269"/>
      <c r="L3859" s="269" t="str">
        <f t="shared" si="1"/>
        <v/>
      </c>
    </row>
    <row r="3860" ht="15.75" customHeight="1">
      <c r="A3860" s="375"/>
      <c r="K3860" s="269"/>
      <c r="L3860" s="269" t="str">
        <f t="shared" si="1"/>
        <v/>
      </c>
    </row>
    <row r="3861" ht="15.75" customHeight="1">
      <c r="A3861" s="375"/>
      <c r="K3861" s="269"/>
      <c r="L3861" s="269" t="str">
        <f t="shared" si="1"/>
        <v/>
      </c>
    </row>
    <row r="3862" ht="15.75" customHeight="1">
      <c r="A3862" s="375"/>
      <c r="K3862" s="269"/>
      <c r="L3862" s="269" t="str">
        <f t="shared" si="1"/>
        <v/>
      </c>
    </row>
    <row r="3863" ht="15.75" customHeight="1">
      <c r="A3863" s="375"/>
      <c r="K3863" s="269"/>
      <c r="L3863" s="269" t="str">
        <f t="shared" si="1"/>
        <v/>
      </c>
    </row>
    <row r="3864" ht="15.75" customHeight="1">
      <c r="A3864" s="375"/>
      <c r="K3864" s="269"/>
      <c r="L3864" s="269" t="str">
        <f t="shared" si="1"/>
        <v/>
      </c>
    </row>
    <row r="3865" ht="15.75" customHeight="1">
      <c r="A3865" s="375"/>
      <c r="K3865" s="269"/>
      <c r="L3865" s="269" t="str">
        <f t="shared" si="1"/>
        <v/>
      </c>
    </row>
    <row r="3866" ht="15.75" customHeight="1">
      <c r="A3866" s="375"/>
      <c r="K3866" s="269"/>
      <c r="L3866" s="269" t="str">
        <f t="shared" si="1"/>
        <v/>
      </c>
    </row>
    <row r="3867" ht="15.75" customHeight="1">
      <c r="A3867" s="375"/>
      <c r="K3867" s="269"/>
      <c r="L3867" s="269" t="str">
        <f t="shared" si="1"/>
        <v/>
      </c>
    </row>
    <row r="3868" ht="15.75" customHeight="1">
      <c r="A3868" s="375"/>
      <c r="K3868" s="269"/>
      <c r="L3868" s="269" t="str">
        <f t="shared" si="1"/>
        <v/>
      </c>
    </row>
    <row r="3869" ht="15.75" customHeight="1">
      <c r="A3869" s="375"/>
      <c r="K3869" s="269"/>
      <c r="L3869" s="269" t="str">
        <f t="shared" si="1"/>
        <v/>
      </c>
    </row>
    <row r="3870" ht="15.75" customHeight="1">
      <c r="A3870" s="375"/>
      <c r="K3870" s="269"/>
      <c r="L3870" s="269" t="str">
        <f t="shared" si="1"/>
        <v/>
      </c>
    </row>
    <row r="3871" ht="15.75" customHeight="1">
      <c r="A3871" s="375"/>
      <c r="K3871" s="269"/>
      <c r="L3871" s="269" t="str">
        <f t="shared" si="1"/>
        <v/>
      </c>
    </row>
    <row r="3872" ht="15.75" customHeight="1">
      <c r="A3872" s="375"/>
      <c r="K3872" s="269"/>
      <c r="L3872" s="269" t="str">
        <f t="shared" si="1"/>
        <v/>
      </c>
    </row>
    <row r="3873" ht="15.75" customHeight="1">
      <c r="A3873" s="375"/>
      <c r="K3873" s="269"/>
      <c r="L3873" s="269" t="str">
        <f t="shared" si="1"/>
        <v/>
      </c>
    </row>
    <row r="3874" ht="15.75" customHeight="1">
      <c r="A3874" s="375"/>
      <c r="K3874" s="269"/>
      <c r="L3874" s="269" t="str">
        <f t="shared" si="1"/>
        <v/>
      </c>
    </row>
    <row r="3875" ht="15.75" customHeight="1">
      <c r="A3875" s="375"/>
      <c r="K3875" s="269"/>
      <c r="L3875" s="269" t="str">
        <f t="shared" si="1"/>
        <v/>
      </c>
    </row>
    <row r="3876" ht="15.75" customHeight="1">
      <c r="A3876" s="375"/>
      <c r="K3876" s="269"/>
      <c r="L3876" s="269" t="str">
        <f t="shared" si="1"/>
        <v/>
      </c>
    </row>
    <row r="3877" ht="15.75" customHeight="1">
      <c r="A3877" s="375"/>
      <c r="K3877" s="269"/>
      <c r="L3877" s="269" t="str">
        <f t="shared" si="1"/>
        <v/>
      </c>
    </row>
    <row r="3878" ht="15.75" customHeight="1">
      <c r="A3878" s="375"/>
      <c r="K3878" s="269"/>
      <c r="L3878" s="269" t="str">
        <f t="shared" si="1"/>
        <v/>
      </c>
    </row>
    <row r="3879" ht="15.75" customHeight="1">
      <c r="A3879" s="375"/>
      <c r="K3879" s="269"/>
      <c r="L3879" s="269" t="str">
        <f t="shared" si="1"/>
        <v/>
      </c>
    </row>
    <row r="3880" ht="15.75" customHeight="1">
      <c r="A3880" s="375"/>
      <c r="K3880" s="269"/>
      <c r="L3880" s="269" t="str">
        <f t="shared" si="1"/>
        <v/>
      </c>
    </row>
    <row r="3881" ht="15.75" customHeight="1">
      <c r="A3881" s="375"/>
      <c r="K3881" s="269"/>
      <c r="L3881" s="269" t="str">
        <f t="shared" si="1"/>
        <v/>
      </c>
    </row>
    <row r="3882" ht="15.75" customHeight="1">
      <c r="A3882" s="375"/>
      <c r="K3882" s="269"/>
      <c r="L3882" s="269" t="str">
        <f t="shared" si="1"/>
        <v/>
      </c>
    </row>
    <row r="3883" ht="15.75" customHeight="1">
      <c r="A3883" s="375"/>
      <c r="K3883" s="269"/>
      <c r="L3883" s="269" t="str">
        <f t="shared" si="1"/>
        <v/>
      </c>
    </row>
    <row r="3884" ht="15.75" customHeight="1">
      <c r="A3884" s="375"/>
      <c r="K3884" s="269"/>
      <c r="L3884" s="269" t="str">
        <f t="shared" si="1"/>
        <v/>
      </c>
    </row>
    <row r="3885" ht="15.75" customHeight="1">
      <c r="A3885" s="375"/>
      <c r="K3885" s="269"/>
      <c r="L3885" s="269" t="str">
        <f t="shared" si="1"/>
        <v/>
      </c>
    </row>
    <row r="3886" ht="15.75" customHeight="1">
      <c r="A3886" s="375"/>
      <c r="K3886" s="269"/>
      <c r="L3886" s="269" t="str">
        <f t="shared" si="1"/>
        <v/>
      </c>
    </row>
    <row r="3887" ht="15.75" customHeight="1">
      <c r="A3887" s="375"/>
      <c r="K3887" s="269"/>
      <c r="L3887" s="269" t="str">
        <f t="shared" si="1"/>
        <v/>
      </c>
    </row>
    <row r="3888" ht="15.75" customHeight="1">
      <c r="A3888" s="375"/>
      <c r="K3888" s="269"/>
      <c r="L3888" s="269" t="str">
        <f t="shared" si="1"/>
        <v/>
      </c>
    </row>
    <row r="3889" ht="15.75" customHeight="1">
      <c r="A3889" s="375"/>
      <c r="K3889" s="269"/>
      <c r="L3889" s="269" t="str">
        <f t="shared" si="1"/>
        <v/>
      </c>
    </row>
    <row r="3890" ht="15.75" customHeight="1">
      <c r="A3890" s="375"/>
      <c r="K3890" s="269"/>
      <c r="L3890" s="269" t="str">
        <f t="shared" si="1"/>
        <v/>
      </c>
    </row>
    <row r="3891" ht="15.75" customHeight="1">
      <c r="A3891" s="375"/>
      <c r="K3891" s="269"/>
      <c r="L3891" s="269" t="str">
        <f t="shared" si="1"/>
        <v/>
      </c>
    </row>
    <row r="3892" ht="15.75" customHeight="1">
      <c r="A3892" s="375"/>
      <c r="K3892" s="269"/>
      <c r="L3892" s="269" t="str">
        <f t="shared" si="1"/>
        <v/>
      </c>
    </row>
    <row r="3893" ht="15.75" customHeight="1">
      <c r="A3893" s="375"/>
      <c r="K3893" s="269"/>
      <c r="L3893" s="269" t="str">
        <f t="shared" si="1"/>
        <v/>
      </c>
    </row>
    <row r="3894" ht="15.75" customHeight="1">
      <c r="A3894" s="375"/>
      <c r="K3894" s="269"/>
      <c r="L3894" s="269" t="str">
        <f t="shared" si="1"/>
        <v/>
      </c>
    </row>
    <row r="3895" ht="15.75" customHeight="1">
      <c r="A3895" s="375"/>
      <c r="K3895" s="269"/>
      <c r="L3895" s="269" t="str">
        <f t="shared" si="1"/>
        <v/>
      </c>
    </row>
    <row r="3896" ht="15.75" customHeight="1">
      <c r="A3896" s="375"/>
      <c r="K3896" s="269"/>
      <c r="L3896" s="269" t="str">
        <f t="shared" si="1"/>
        <v/>
      </c>
    </row>
    <row r="3897" ht="15.75" customHeight="1">
      <c r="A3897" s="375"/>
      <c r="K3897" s="269"/>
      <c r="L3897" s="269" t="str">
        <f t="shared" si="1"/>
        <v/>
      </c>
    </row>
    <row r="3898" ht="15.75" customHeight="1">
      <c r="A3898" s="375"/>
      <c r="K3898" s="269"/>
      <c r="L3898" s="269" t="str">
        <f t="shared" si="1"/>
        <v/>
      </c>
    </row>
    <row r="3899" ht="15.75" customHeight="1">
      <c r="A3899" s="375"/>
      <c r="K3899" s="269"/>
      <c r="L3899" s="269" t="str">
        <f t="shared" si="1"/>
        <v/>
      </c>
    </row>
    <row r="3900" ht="15.75" customHeight="1">
      <c r="A3900" s="375"/>
      <c r="K3900" s="269"/>
      <c r="L3900" s="269" t="str">
        <f t="shared" si="1"/>
        <v/>
      </c>
    </row>
    <row r="3901" ht="15.75" customHeight="1">
      <c r="A3901" s="375"/>
      <c r="K3901" s="269"/>
      <c r="L3901" s="269" t="str">
        <f t="shared" si="1"/>
        <v/>
      </c>
    </row>
    <row r="3902" ht="15.75" customHeight="1">
      <c r="A3902" s="375"/>
      <c r="K3902" s="269"/>
      <c r="L3902" s="269" t="str">
        <f t="shared" si="1"/>
        <v/>
      </c>
    </row>
    <row r="3903" ht="15.75" customHeight="1">
      <c r="A3903" s="375"/>
      <c r="K3903" s="269"/>
      <c r="L3903" s="269" t="str">
        <f t="shared" si="1"/>
        <v/>
      </c>
    </row>
    <row r="3904" ht="15.75" customHeight="1">
      <c r="A3904" s="375"/>
      <c r="K3904" s="269"/>
      <c r="L3904" s="269" t="str">
        <f t="shared" si="1"/>
        <v/>
      </c>
    </row>
    <row r="3905" ht="15.75" customHeight="1">
      <c r="A3905" s="375"/>
      <c r="K3905" s="269"/>
      <c r="L3905" s="269" t="str">
        <f t="shared" si="1"/>
        <v/>
      </c>
    </row>
    <row r="3906" ht="15.75" customHeight="1">
      <c r="A3906" s="375"/>
      <c r="K3906" s="269"/>
      <c r="L3906" s="269" t="str">
        <f t="shared" si="1"/>
        <v/>
      </c>
    </row>
    <row r="3907" ht="15.75" customHeight="1">
      <c r="A3907" s="375"/>
      <c r="K3907" s="269"/>
      <c r="L3907" s="269" t="str">
        <f t="shared" si="1"/>
        <v/>
      </c>
    </row>
    <row r="3908" ht="15.75" customHeight="1">
      <c r="A3908" s="375"/>
      <c r="K3908" s="269"/>
      <c r="L3908" s="269" t="str">
        <f t="shared" si="1"/>
        <v/>
      </c>
    </row>
    <row r="3909" ht="15.75" customHeight="1">
      <c r="A3909" s="375"/>
      <c r="K3909" s="269"/>
      <c r="L3909" s="269" t="str">
        <f t="shared" si="1"/>
        <v/>
      </c>
    </row>
    <row r="3910" ht="15.75" customHeight="1">
      <c r="A3910" s="375"/>
      <c r="K3910" s="269"/>
      <c r="L3910" s="269" t="str">
        <f t="shared" si="1"/>
        <v/>
      </c>
    </row>
    <row r="3911" ht="15.75" customHeight="1">
      <c r="A3911" s="375"/>
      <c r="K3911" s="269"/>
      <c r="L3911" s="269" t="str">
        <f t="shared" si="1"/>
        <v/>
      </c>
    </row>
    <row r="3912" ht="15.75" customHeight="1">
      <c r="A3912" s="375"/>
      <c r="K3912" s="269"/>
      <c r="L3912" s="269" t="str">
        <f t="shared" si="1"/>
        <v/>
      </c>
    </row>
    <row r="3913" ht="15.75" customHeight="1">
      <c r="A3913" s="375"/>
      <c r="K3913" s="269"/>
      <c r="L3913" s="269" t="str">
        <f t="shared" si="1"/>
        <v/>
      </c>
    </row>
    <row r="3914" ht="15.75" customHeight="1">
      <c r="A3914" s="375"/>
      <c r="K3914" s="269"/>
      <c r="L3914" s="269" t="str">
        <f t="shared" si="1"/>
        <v/>
      </c>
    </row>
    <row r="3915" ht="15.75" customHeight="1">
      <c r="A3915" s="375"/>
      <c r="K3915" s="269"/>
      <c r="L3915" s="269" t="str">
        <f t="shared" si="1"/>
        <v/>
      </c>
    </row>
    <row r="3916" ht="15.75" customHeight="1">
      <c r="A3916" s="375"/>
      <c r="K3916" s="269"/>
      <c r="L3916" s="269" t="str">
        <f t="shared" si="1"/>
        <v/>
      </c>
    </row>
    <row r="3917" ht="15.75" customHeight="1">
      <c r="A3917" s="375"/>
      <c r="K3917" s="269"/>
      <c r="L3917" s="269" t="str">
        <f t="shared" si="1"/>
        <v/>
      </c>
    </row>
    <row r="3918" ht="15.75" customHeight="1">
      <c r="A3918" s="375"/>
      <c r="K3918" s="269"/>
      <c r="L3918" s="269" t="str">
        <f t="shared" si="1"/>
        <v/>
      </c>
    </row>
    <row r="3919" ht="15.75" customHeight="1">
      <c r="A3919" s="375"/>
      <c r="K3919" s="269"/>
      <c r="L3919" s="269" t="str">
        <f t="shared" si="1"/>
        <v/>
      </c>
    </row>
    <row r="3920" ht="15.75" customHeight="1">
      <c r="A3920" s="375"/>
      <c r="K3920" s="269"/>
      <c r="L3920" s="269" t="str">
        <f t="shared" si="1"/>
        <v/>
      </c>
    </row>
    <row r="3921" ht="15.75" customHeight="1">
      <c r="A3921" s="375"/>
      <c r="K3921" s="269"/>
      <c r="L3921" s="269" t="str">
        <f t="shared" si="1"/>
        <v/>
      </c>
    </row>
    <row r="3922" ht="15.75" customHeight="1">
      <c r="A3922" s="375"/>
      <c r="K3922" s="269"/>
      <c r="L3922" s="269" t="str">
        <f t="shared" si="1"/>
        <v/>
      </c>
    </row>
    <row r="3923" ht="15.75" customHeight="1">
      <c r="A3923" s="375"/>
      <c r="K3923" s="269"/>
      <c r="L3923" s="269" t="str">
        <f t="shared" si="1"/>
        <v/>
      </c>
    </row>
    <row r="3924" ht="15.75" customHeight="1">
      <c r="A3924" s="375"/>
      <c r="K3924" s="269"/>
      <c r="L3924" s="269" t="str">
        <f t="shared" si="1"/>
        <v/>
      </c>
    </row>
    <row r="3925" ht="15.75" customHeight="1">
      <c r="A3925" s="375"/>
      <c r="K3925" s="269"/>
      <c r="L3925" s="269" t="str">
        <f t="shared" si="1"/>
        <v/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4.63"/>
    <col customWidth="1" min="5" max="5" width="14.5"/>
    <col customWidth="1" min="6" max="6" width="17.0"/>
    <col customWidth="1" min="7" max="7" width="22.38"/>
    <col customWidth="1" min="8" max="8" width="17.38"/>
  </cols>
  <sheetData>
    <row r="1" ht="34.5" customHeight="1">
      <c r="A1" s="368" t="s">
        <v>1479</v>
      </c>
      <c r="B1" s="369" t="s">
        <v>1480</v>
      </c>
      <c r="C1" s="369" t="s">
        <v>1512</v>
      </c>
      <c r="D1" s="376" t="s">
        <v>1485</v>
      </c>
      <c r="E1" s="376" t="s">
        <v>260</v>
      </c>
      <c r="F1" s="377" t="s">
        <v>0</v>
      </c>
      <c r="G1" s="377" t="s">
        <v>1513</v>
      </c>
      <c r="H1" s="377" t="s">
        <v>1514</v>
      </c>
    </row>
    <row r="2" ht="15.75" customHeight="1">
      <c r="A2" s="375"/>
      <c r="F2" s="375"/>
    </row>
    <row r="3" ht="15.75" customHeight="1">
      <c r="A3" s="375"/>
      <c r="F3" s="375"/>
    </row>
    <row r="4" ht="15.75" customHeight="1">
      <c r="A4" s="375"/>
      <c r="F4" s="375"/>
    </row>
    <row r="5" ht="15.75" customHeight="1">
      <c r="A5" s="375"/>
      <c r="F5" s="375"/>
    </row>
    <row r="6" ht="15.75" customHeight="1">
      <c r="A6" s="375"/>
      <c r="F6" s="375"/>
    </row>
    <row r="7" ht="15.75" customHeight="1">
      <c r="A7" s="375"/>
      <c r="F7" s="375"/>
    </row>
    <row r="8" ht="15.75" customHeight="1">
      <c r="A8" s="375"/>
      <c r="F8" s="375"/>
    </row>
    <row r="9" ht="15.75" customHeight="1">
      <c r="A9" s="375"/>
      <c r="F9" s="375"/>
    </row>
    <row r="10" ht="15.75" customHeight="1">
      <c r="A10" s="375"/>
      <c r="F10" s="375"/>
    </row>
    <row r="11" ht="15.75" customHeight="1">
      <c r="A11" s="375"/>
      <c r="F11" s="375"/>
    </row>
    <row r="12" ht="15.75" customHeight="1">
      <c r="A12" s="375"/>
    </row>
    <row r="13" ht="15.75" customHeight="1">
      <c r="A13" s="375"/>
    </row>
    <row r="14" ht="15.75" customHeight="1">
      <c r="A14" s="375"/>
    </row>
    <row r="15" ht="15.75" customHeight="1">
      <c r="A15" s="375"/>
    </row>
    <row r="16" ht="15.75" customHeight="1">
      <c r="A16" s="375"/>
    </row>
    <row r="17" ht="15.75" customHeight="1">
      <c r="A17" s="375"/>
    </row>
    <row r="18" ht="15.75" customHeight="1">
      <c r="A18" s="375"/>
    </row>
    <row r="19" ht="15.75" customHeight="1">
      <c r="A19" s="375"/>
    </row>
    <row r="20" ht="15.75" customHeight="1">
      <c r="A20" s="375"/>
    </row>
    <row r="21" ht="15.75" customHeight="1">
      <c r="A21" s="375"/>
    </row>
    <row r="22" ht="15.75" customHeight="1">
      <c r="A22" s="375"/>
    </row>
    <row r="23" ht="15.75" customHeight="1">
      <c r="A23" s="375"/>
    </row>
    <row r="24" ht="15.75" customHeight="1">
      <c r="A24" s="375"/>
    </row>
    <row r="25" ht="15.75" customHeight="1">
      <c r="A25" s="375"/>
    </row>
    <row r="26" ht="15.75" customHeight="1">
      <c r="A26" s="375"/>
    </row>
    <row r="27" ht="15.75" customHeight="1">
      <c r="A27" s="375"/>
    </row>
    <row r="28" ht="15.75" customHeight="1">
      <c r="A28" s="375"/>
    </row>
    <row r="29" ht="15.75" customHeight="1">
      <c r="A29" s="375"/>
    </row>
    <row r="30" ht="15.75" customHeight="1">
      <c r="A30" s="375"/>
    </row>
    <row r="31" ht="15.75" customHeight="1">
      <c r="A31" s="375"/>
    </row>
    <row r="32" ht="15.75" customHeight="1">
      <c r="A32" s="375"/>
    </row>
    <row r="33" ht="15.75" customHeight="1">
      <c r="A33" s="375"/>
    </row>
    <row r="34" ht="15.75" customHeight="1">
      <c r="A34" s="375"/>
    </row>
    <row r="35" ht="15.75" customHeight="1">
      <c r="A35" s="375"/>
    </row>
    <row r="36" ht="15.75" customHeight="1">
      <c r="A36" s="375"/>
    </row>
    <row r="37" ht="15.75" customHeight="1">
      <c r="A37" s="375"/>
    </row>
    <row r="38" ht="15.75" customHeight="1">
      <c r="A38" s="375"/>
    </row>
    <row r="39" ht="15.75" customHeight="1">
      <c r="A39" s="375"/>
    </row>
    <row r="40" ht="15.75" customHeight="1">
      <c r="A40" s="375"/>
    </row>
    <row r="41" ht="15.75" customHeight="1">
      <c r="A41" s="375"/>
    </row>
    <row r="42" ht="15.75" customHeight="1">
      <c r="A42" s="375"/>
    </row>
    <row r="43" ht="15.75" customHeight="1">
      <c r="A43" s="375"/>
    </row>
    <row r="44" ht="15.75" customHeight="1">
      <c r="A44" s="375"/>
    </row>
    <row r="45" ht="15.75" customHeight="1">
      <c r="A45" s="375"/>
    </row>
    <row r="46" ht="15.75" customHeight="1">
      <c r="A46" s="375"/>
    </row>
    <row r="47" ht="15.75" customHeight="1">
      <c r="A47" s="375"/>
    </row>
    <row r="48" ht="15.75" customHeight="1">
      <c r="A48" s="375"/>
    </row>
    <row r="49" ht="15.75" customHeight="1">
      <c r="A49" s="375"/>
    </row>
    <row r="50" ht="15.75" customHeight="1">
      <c r="A50" s="375"/>
    </row>
    <row r="51" ht="15.75" customHeight="1">
      <c r="A51" s="375"/>
    </row>
    <row r="52" ht="15.75" customHeight="1">
      <c r="A52" s="375"/>
    </row>
    <row r="53" ht="15.75" customHeight="1">
      <c r="A53" s="375"/>
    </row>
    <row r="54" ht="15.75" customHeight="1">
      <c r="A54" s="375"/>
    </row>
    <row r="55" ht="15.75" customHeight="1">
      <c r="A55" s="375"/>
    </row>
    <row r="56" ht="15.75" customHeight="1">
      <c r="A56" s="375"/>
    </row>
    <row r="57" ht="15.75" customHeight="1">
      <c r="A57" s="375"/>
    </row>
    <row r="58" ht="15.75" customHeight="1">
      <c r="A58" s="375"/>
    </row>
    <row r="59" ht="15.75" customHeight="1">
      <c r="A59" s="375"/>
    </row>
    <row r="60" ht="15.75" customHeight="1">
      <c r="A60" s="375"/>
    </row>
    <row r="61" ht="15.75" customHeight="1">
      <c r="A61" s="375"/>
    </row>
    <row r="62" ht="15.75" customHeight="1">
      <c r="A62" s="375"/>
    </row>
    <row r="63" ht="15.75" customHeight="1">
      <c r="A63" s="375"/>
    </row>
    <row r="64" ht="15.75" customHeight="1">
      <c r="A64" s="375"/>
    </row>
    <row r="65" ht="15.75" customHeight="1">
      <c r="A65" s="375"/>
    </row>
    <row r="66" ht="15.75" customHeight="1">
      <c r="A66" s="375"/>
    </row>
    <row r="67" ht="15.75" customHeight="1">
      <c r="A67" s="375"/>
    </row>
    <row r="68" ht="15.75" customHeight="1">
      <c r="A68" s="375"/>
    </row>
    <row r="69" ht="15.75" customHeight="1">
      <c r="A69" s="375"/>
    </row>
    <row r="70" ht="15.75" customHeight="1">
      <c r="A70" s="375"/>
    </row>
    <row r="71" ht="15.75" customHeight="1">
      <c r="A71" s="375"/>
    </row>
    <row r="72" ht="15.75" customHeight="1">
      <c r="A72" s="375"/>
    </row>
    <row r="73" ht="15.75" customHeight="1">
      <c r="A73" s="375"/>
    </row>
    <row r="74" ht="15.75" customHeight="1">
      <c r="A74" s="375"/>
    </row>
    <row r="75" ht="15.75" customHeight="1">
      <c r="A75" s="375"/>
    </row>
    <row r="76" ht="15.75" customHeight="1">
      <c r="A76" s="375"/>
    </row>
    <row r="77" ht="15.75" customHeight="1">
      <c r="A77" s="375"/>
    </row>
    <row r="78" ht="15.75" customHeight="1">
      <c r="A78" s="375"/>
    </row>
    <row r="79" ht="15.75" customHeight="1">
      <c r="A79" s="375"/>
    </row>
    <row r="80" ht="15.75" customHeight="1">
      <c r="A80" s="375"/>
    </row>
    <row r="81" ht="15.75" customHeight="1">
      <c r="A81" s="375"/>
    </row>
    <row r="82" ht="15.75" customHeight="1">
      <c r="A82" s="375"/>
    </row>
    <row r="83" ht="15.75" customHeight="1">
      <c r="A83" s="375"/>
    </row>
    <row r="84" ht="15.75" customHeight="1">
      <c r="A84" s="375"/>
    </row>
    <row r="85" ht="15.75" customHeight="1">
      <c r="A85" s="375"/>
    </row>
    <row r="86" ht="15.75" customHeight="1">
      <c r="A86" s="375"/>
    </row>
    <row r="87" ht="15.75" customHeight="1">
      <c r="A87" s="375"/>
    </row>
    <row r="88" ht="15.75" customHeight="1">
      <c r="A88" s="375"/>
    </row>
    <row r="89" ht="15.75" customHeight="1">
      <c r="A89" s="375"/>
    </row>
    <row r="90" ht="15.75" customHeight="1">
      <c r="A90" s="375"/>
    </row>
    <row r="91" ht="15.75" customHeight="1">
      <c r="A91" s="375"/>
    </row>
    <row r="92" ht="15.75" customHeight="1">
      <c r="A92" s="375"/>
    </row>
    <row r="93" ht="15.75" customHeight="1">
      <c r="A93" s="375"/>
    </row>
    <row r="94" ht="15.75" customHeight="1">
      <c r="A94" s="375"/>
    </row>
    <row r="95" ht="15.75" customHeight="1">
      <c r="A95" s="375"/>
    </row>
    <row r="96" ht="15.75" customHeight="1">
      <c r="A96" s="375"/>
    </row>
    <row r="97" ht="15.75" customHeight="1">
      <c r="A97" s="375"/>
    </row>
    <row r="98" ht="15.75" customHeight="1">
      <c r="A98" s="375"/>
    </row>
    <row r="99" ht="15.75" customHeight="1">
      <c r="A99" s="375"/>
    </row>
    <row r="100" ht="15.75" customHeight="1">
      <c r="A100" s="375"/>
    </row>
    <row r="101" ht="15.75" customHeight="1">
      <c r="A101" s="375"/>
    </row>
    <row r="102" ht="15.75" customHeight="1">
      <c r="A102" s="375"/>
    </row>
    <row r="103" ht="15.75" customHeight="1">
      <c r="A103" s="375"/>
    </row>
    <row r="104" ht="15.75" customHeight="1">
      <c r="A104" s="375"/>
    </row>
    <row r="105" ht="15.75" customHeight="1">
      <c r="A105" s="375"/>
    </row>
    <row r="106" ht="15.75" customHeight="1">
      <c r="A106" s="375"/>
    </row>
    <row r="107" ht="15.75" customHeight="1">
      <c r="A107" s="375"/>
    </row>
    <row r="108" ht="15.75" customHeight="1">
      <c r="A108" s="375"/>
    </row>
    <row r="109" ht="15.75" customHeight="1">
      <c r="A109" s="375"/>
    </row>
    <row r="110" ht="15.75" customHeight="1">
      <c r="A110" s="375"/>
    </row>
    <row r="111" ht="15.75" customHeight="1">
      <c r="A111" s="375"/>
    </row>
    <row r="112" ht="15.75" customHeight="1">
      <c r="A112" s="375"/>
    </row>
    <row r="113" ht="15.75" customHeight="1">
      <c r="A113" s="375"/>
    </row>
    <row r="114" ht="15.75" customHeight="1">
      <c r="A114" s="375"/>
    </row>
    <row r="115" ht="15.75" customHeight="1">
      <c r="A115" s="375"/>
    </row>
    <row r="116" ht="15.75" customHeight="1">
      <c r="A116" s="375"/>
    </row>
    <row r="117" ht="15.75" customHeight="1">
      <c r="A117" s="375"/>
    </row>
    <row r="118" ht="15.75" customHeight="1">
      <c r="A118" s="375"/>
    </row>
    <row r="119" ht="15.75" customHeight="1">
      <c r="A119" s="375"/>
    </row>
    <row r="120" ht="15.75" customHeight="1">
      <c r="A120" s="375"/>
    </row>
    <row r="121" ht="15.75" customHeight="1">
      <c r="A121" s="375"/>
    </row>
    <row r="122" ht="15.75" customHeight="1">
      <c r="A122" s="375"/>
    </row>
    <row r="123" ht="15.75" customHeight="1">
      <c r="A123" s="375"/>
    </row>
    <row r="124" ht="15.75" customHeight="1">
      <c r="A124" s="375"/>
    </row>
    <row r="125" ht="15.75" customHeight="1">
      <c r="A125" s="375"/>
    </row>
    <row r="126" ht="15.75" customHeight="1">
      <c r="A126" s="375"/>
    </row>
    <row r="127" ht="15.75" customHeight="1">
      <c r="A127" s="375"/>
    </row>
    <row r="128" ht="15.75" customHeight="1">
      <c r="A128" s="375"/>
    </row>
    <row r="129" ht="15.75" customHeight="1">
      <c r="A129" s="375"/>
    </row>
    <row r="130" ht="15.75" customHeight="1">
      <c r="A130" s="375"/>
    </row>
    <row r="131" ht="15.75" customHeight="1">
      <c r="A131" s="375"/>
    </row>
    <row r="132" ht="15.75" customHeight="1">
      <c r="A132" s="375"/>
    </row>
    <row r="133" ht="15.75" customHeight="1">
      <c r="A133" s="375"/>
    </row>
    <row r="134" ht="15.75" customHeight="1">
      <c r="A134" s="375"/>
    </row>
    <row r="135" ht="15.75" customHeight="1">
      <c r="A135" s="375"/>
    </row>
    <row r="136" ht="15.75" customHeight="1">
      <c r="A136" s="375"/>
    </row>
    <row r="137" ht="15.75" customHeight="1">
      <c r="A137" s="375"/>
    </row>
    <row r="138" ht="15.75" customHeight="1">
      <c r="A138" s="375"/>
    </row>
    <row r="139" ht="15.75" customHeight="1">
      <c r="A139" s="375"/>
    </row>
    <row r="140" ht="15.75" customHeight="1">
      <c r="A140" s="375"/>
    </row>
    <row r="141" ht="15.75" customHeight="1">
      <c r="A141" s="375"/>
    </row>
    <row r="142" ht="15.75" customHeight="1">
      <c r="A142" s="375"/>
    </row>
    <row r="143" ht="15.75" customHeight="1">
      <c r="A143" s="375"/>
    </row>
    <row r="144" ht="15.75" customHeight="1">
      <c r="A144" s="375"/>
    </row>
    <row r="145" ht="15.75" customHeight="1">
      <c r="A145" s="375"/>
    </row>
    <row r="146" ht="15.75" customHeight="1">
      <c r="A146" s="375"/>
    </row>
    <row r="147" ht="15.75" customHeight="1">
      <c r="A147" s="375"/>
    </row>
    <row r="148" ht="15.75" customHeight="1">
      <c r="A148" s="375"/>
    </row>
    <row r="149" ht="15.75" customHeight="1">
      <c r="A149" s="375"/>
    </row>
    <row r="150" ht="15.75" customHeight="1">
      <c r="A150" s="375"/>
    </row>
    <row r="151" ht="15.75" customHeight="1">
      <c r="A151" s="375"/>
    </row>
    <row r="152" ht="15.75" customHeight="1">
      <c r="A152" s="375"/>
    </row>
    <row r="153" ht="15.75" customHeight="1">
      <c r="A153" s="375"/>
    </row>
    <row r="154" ht="15.75" customHeight="1">
      <c r="A154" s="375"/>
    </row>
    <row r="155" ht="15.75" customHeight="1">
      <c r="A155" s="375"/>
    </row>
    <row r="156" ht="15.75" customHeight="1">
      <c r="A156" s="375"/>
    </row>
    <row r="157" ht="15.75" customHeight="1">
      <c r="A157" s="375"/>
    </row>
    <row r="158" ht="15.75" customHeight="1">
      <c r="A158" s="375"/>
    </row>
    <row r="159" ht="15.75" customHeight="1">
      <c r="A159" s="375"/>
    </row>
    <row r="160" ht="15.75" customHeight="1">
      <c r="A160" s="375"/>
    </row>
    <row r="161" ht="15.75" customHeight="1">
      <c r="A161" s="375"/>
    </row>
    <row r="162" ht="15.75" customHeight="1">
      <c r="A162" s="375"/>
    </row>
    <row r="163" ht="15.75" customHeight="1">
      <c r="A163" s="375"/>
    </row>
    <row r="164" ht="15.75" customHeight="1">
      <c r="A164" s="375"/>
    </row>
    <row r="165" ht="15.75" customHeight="1">
      <c r="A165" s="375"/>
    </row>
    <row r="166" ht="15.75" customHeight="1">
      <c r="A166" s="375"/>
    </row>
    <row r="167" ht="15.75" customHeight="1">
      <c r="A167" s="375"/>
    </row>
    <row r="168" ht="15.75" customHeight="1">
      <c r="A168" s="375"/>
    </row>
    <row r="169" ht="15.75" customHeight="1">
      <c r="A169" s="375"/>
    </row>
    <row r="170" ht="15.75" customHeight="1">
      <c r="A170" s="375"/>
    </row>
    <row r="171" ht="15.75" customHeight="1">
      <c r="A171" s="375"/>
    </row>
    <row r="172" ht="15.75" customHeight="1">
      <c r="A172" s="375"/>
    </row>
    <row r="173" ht="15.75" customHeight="1">
      <c r="A173" s="375"/>
    </row>
    <row r="174" ht="15.75" customHeight="1">
      <c r="A174" s="375"/>
    </row>
    <row r="175" ht="15.75" customHeight="1">
      <c r="A175" s="375"/>
    </row>
    <row r="176" ht="15.75" customHeight="1">
      <c r="A176" s="375"/>
    </row>
    <row r="177" ht="15.75" customHeight="1">
      <c r="A177" s="375"/>
    </row>
    <row r="178" ht="15.75" customHeight="1">
      <c r="A178" s="375"/>
    </row>
    <row r="179" ht="15.75" customHeight="1">
      <c r="A179" s="37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9.38"/>
    <col customWidth="1" min="5" max="6" width="12.63"/>
  </cols>
  <sheetData>
    <row r="1" ht="34.5" customHeight="1">
      <c r="A1" s="368" t="s">
        <v>1479</v>
      </c>
      <c r="B1" s="369" t="s">
        <v>1515</v>
      </c>
      <c r="C1" s="369" t="s">
        <v>127</v>
      </c>
      <c r="D1" s="369" t="s">
        <v>1516</v>
      </c>
    </row>
    <row r="2" ht="15.75" customHeight="1">
      <c r="A2" s="375"/>
    </row>
    <row r="3" ht="15.75" customHeight="1">
      <c r="A3" s="375"/>
    </row>
    <row r="4" ht="15.75" customHeight="1">
      <c r="A4" s="375"/>
    </row>
    <row r="5" ht="15.75" customHeight="1">
      <c r="A5" s="375"/>
    </row>
    <row r="6" ht="15.75" customHeight="1">
      <c r="A6" s="375"/>
    </row>
    <row r="7" ht="15.75" customHeight="1">
      <c r="A7" s="375"/>
    </row>
    <row r="8" ht="15.75" customHeight="1">
      <c r="A8" s="375"/>
    </row>
    <row r="9" ht="15.75" customHeight="1">
      <c r="A9" s="375"/>
    </row>
    <row r="10" ht="15.75" customHeight="1">
      <c r="A10" s="375"/>
    </row>
    <row r="11" ht="15.75" customHeight="1">
      <c r="A11" s="375"/>
    </row>
    <row r="12" ht="15.75" customHeight="1">
      <c r="A12" s="375"/>
    </row>
    <row r="13" ht="15.75" customHeight="1">
      <c r="A13" s="375"/>
    </row>
    <row r="14" ht="15.75" customHeight="1">
      <c r="A14" s="375"/>
    </row>
    <row r="15" ht="15.75" customHeight="1">
      <c r="A15" s="375"/>
    </row>
    <row r="16" ht="15.75" customHeight="1">
      <c r="A16" s="375"/>
    </row>
    <row r="17" ht="15.75" customHeight="1">
      <c r="A17" s="375"/>
    </row>
    <row r="18" ht="15.75" customHeight="1">
      <c r="A18" s="375"/>
    </row>
    <row r="19" ht="15.75" customHeight="1">
      <c r="A19" s="375"/>
    </row>
    <row r="20" ht="15.75" customHeight="1">
      <c r="A20" s="375"/>
    </row>
    <row r="21" ht="15.75" customHeight="1">
      <c r="A21" s="375"/>
    </row>
    <row r="22" ht="15.75" customHeight="1">
      <c r="A22" s="375"/>
    </row>
    <row r="23" ht="15.75" customHeight="1">
      <c r="A23" s="375"/>
    </row>
    <row r="24" ht="15.75" customHeight="1">
      <c r="A24" s="375"/>
    </row>
    <row r="25" ht="15.75" customHeight="1">
      <c r="A25" s="375"/>
    </row>
    <row r="26" ht="15.75" customHeight="1">
      <c r="A26" s="375"/>
    </row>
    <row r="27" ht="15.75" customHeight="1">
      <c r="A27" s="375"/>
    </row>
    <row r="28" ht="15.75" customHeight="1">
      <c r="A28" s="375"/>
    </row>
    <row r="29" ht="15.75" customHeight="1">
      <c r="A29" s="375"/>
    </row>
    <row r="30" ht="15.75" customHeight="1">
      <c r="A30" s="375"/>
    </row>
    <row r="31" ht="15.75" customHeight="1">
      <c r="A31" s="375"/>
    </row>
    <row r="32" ht="15.75" customHeight="1">
      <c r="A32" s="375"/>
    </row>
    <row r="33" ht="15.75" customHeight="1">
      <c r="A33" s="375"/>
    </row>
    <row r="34" ht="15.75" customHeight="1">
      <c r="A34" s="375"/>
    </row>
    <row r="35" ht="15.75" customHeight="1">
      <c r="A35" s="375"/>
    </row>
    <row r="36" ht="15.75" customHeight="1">
      <c r="A36" s="375"/>
    </row>
    <row r="37" ht="15.75" customHeight="1">
      <c r="A37" s="375"/>
    </row>
    <row r="38" ht="15.75" customHeight="1">
      <c r="A38" s="375"/>
    </row>
    <row r="39" ht="15.75" customHeight="1">
      <c r="A39" s="375"/>
    </row>
    <row r="40" ht="15.75" customHeight="1">
      <c r="A40" s="375"/>
    </row>
    <row r="41" ht="15.75" customHeight="1">
      <c r="A41" s="375"/>
    </row>
    <row r="42" ht="15.75" customHeight="1">
      <c r="A42" s="375"/>
    </row>
    <row r="43" ht="15.75" customHeight="1">
      <c r="A43" s="375"/>
    </row>
    <row r="44" ht="15.75" customHeight="1">
      <c r="A44" s="375"/>
    </row>
    <row r="45" ht="15.75" customHeight="1">
      <c r="A45" s="375"/>
    </row>
    <row r="46" ht="15.75" customHeight="1">
      <c r="A46" s="375"/>
    </row>
    <row r="47" ht="15.75" customHeight="1">
      <c r="A47" s="375"/>
    </row>
    <row r="48" ht="15.75" customHeight="1">
      <c r="A48" s="375"/>
    </row>
    <row r="49" ht="15.75" customHeight="1">
      <c r="A49" s="375"/>
    </row>
    <row r="50" ht="15.75" customHeight="1">
      <c r="A50" s="375"/>
    </row>
    <row r="51" ht="15.75" customHeight="1">
      <c r="A51" s="375"/>
    </row>
    <row r="52" ht="15.75" customHeight="1">
      <c r="A52" s="375"/>
    </row>
    <row r="53" ht="15.75" customHeight="1">
      <c r="A53" s="375"/>
    </row>
    <row r="54" ht="15.75" customHeight="1">
      <c r="A54" s="375"/>
    </row>
    <row r="55" ht="15.75" customHeight="1">
      <c r="A55" s="375"/>
    </row>
    <row r="56" ht="15.75" customHeight="1">
      <c r="A56" s="375"/>
    </row>
    <row r="57" ht="15.75" customHeight="1">
      <c r="A57" s="375"/>
    </row>
    <row r="58" ht="15.75" customHeight="1">
      <c r="A58" s="375"/>
    </row>
    <row r="59" ht="15.75" customHeight="1">
      <c r="A59" s="375"/>
    </row>
    <row r="60" ht="15.75" customHeight="1">
      <c r="A60" s="375"/>
    </row>
    <row r="61" ht="15.75" customHeight="1">
      <c r="A61" s="375"/>
    </row>
    <row r="62" ht="15.75" customHeight="1">
      <c r="A62" s="375"/>
    </row>
    <row r="63" ht="15.75" customHeight="1">
      <c r="A63" s="375"/>
    </row>
    <row r="64" ht="15.75" customHeight="1">
      <c r="A64" s="375"/>
    </row>
    <row r="65" ht="15.75" customHeight="1">
      <c r="A65" s="375"/>
    </row>
    <row r="66" ht="15.75" customHeight="1">
      <c r="A66" s="375"/>
    </row>
    <row r="67" ht="15.75" customHeight="1">
      <c r="A67" s="375"/>
    </row>
    <row r="68" ht="15.75" customHeight="1">
      <c r="A68" s="375"/>
    </row>
    <row r="69" ht="15.75" customHeight="1">
      <c r="A69" s="375"/>
    </row>
    <row r="70" ht="15.75" customHeight="1">
      <c r="A70" s="375"/>
    </row>
    <row r="71" ht="15.75" customHeight="1">
      <c r="A71" s="375"/>
    </row>
    <row r="72" ht="15.75" customHeight="1">
      <c r="A72" s="375"/>
    </row>
    <row r="73" ht="15.75" customHeight="1">
      <c r="A73" s="375"/>
    </row>
    <row r="74" ht="15.75" customHeight="1">
      <c r="A74" s="375"/>
    </row>
    <row r="75" ht="15.75" customHeight="1">
      <c r="A75" s="375"/>
    </row>
    <row r="76" ht="15.75" customHeight="1">
      <c r="A76" s="375"/>
    </row>
    <row r="77" ht="15.75" customHeight="1">
      <c r="A77" s="375"/>
    </row>
    <row r="78" ht="15.75" customHeight="1">
      <c r="A78" s="375"/>
    </row>
    <row r="79" ht="15.75" customHeight="1">
      <c r="A79" s="375"/>
    </row>
    <row r="80" ht="15.75" customHeight="1">
      <c r="A80" s="375"/>
    </row>
    <row r="81" ht="15.75" customHeight="1">
      <c r="A81" s="375"/>
    </row>
    <row r="82" ht="15.75" customHeight="1">
      <c r="A82" s="375"/>
    </row>
    <row r="83" ht="15.75" customHeight="1">
      <c r="A83" s="375"/>
    </row>
    <row r="84" ht="15.75" customHeight="1">
      <c r="A84" s="375"/>
    </row>
    <row r="85" ht="15.75" customHeight="1">
      <c r="A85" s="375"/>
    </row>
    <row r="86" ht="15.75" customHeight="1">
      <c r="A86" s="375"/>
    </row>
    <row r="87" ht="15.75" customHeight="1">
      <c r="A87" s="375"/>
    </row>
    <row r="88" ht="15.75" customHeight="1">
      <c r="A88" s="375"/>
    </row>
    <row r="89" ht="15.75" customHeight="1">
      <c r="A89" s="375"/>
    </row>
    <row r="90" ht="15.75" customHeight="1">
      <c r="A90" s="375"/>
    </row>
    <row r="91" ht="15.75" customHeight="1">
      <c r="A91" s="375"/>
    </row>
    <row r="92" ht="15.75" customHeight="1">
      <c r="A92" s="375"/>
    </row>
    <row r="93" ht="15.75" customHeight="1">
      <c r="A93" s="375"/>
    </row>
    <row r="94" ht="15.75" customHeight="1">
      <c r="A94" s="375"/>
    </row>
    <row r="95" ht="15.75" customHeight="1">
      <c r="A95" s="375"/>
    </row>
    <row r="96" ht="15.75" customHeight="1">
      <c r="A96" s="375"/>
    </row>
    <row r="97" ht="15.75" customHeight="1">
      <c r="A97" s="375"/>
    </row>
    <row r="98" ht="15.75" customHeight="1">
      <c r="A98" s="375"/>
    </row>
    <row r="99" ht="15.75" customHeight="1">
      <c r="A99" s="375"/>
    </row>
    <row r="100" ht="15.75" customHeight="1">
      <c r="A100" s="375"/>
    </row>
    <row r="101" ht="15.75" customHeight="1">
      <c r="A101" s="375"/>
    </row>
    <row r="102" ht="15.75" customHeight="1">
      <c r="A102" s="375"/>
    </row>
    <row r="103" ht="15.75" customHeight="1">
      <c r="A103" s="375"/>
    </row>
    <row r="104" ht="15.75" customHeight="1">
      <c r="A104" s="375"/>
    </row>
    <row r="105" ht="15.75" customHeight="1">
      <c r="A105" s="375"/>
    </row>
    <row r="106" ht="15.75" customHeight="1">
      <c r="A106" s="375"/>
    </row>
    <row r="107" ht="15.75" customHeight="1">
      <c r="A107" s="375"/>
    </row>
    <row r="108" ht="15.75" customHeight="1">
      <c r="A108" s="375"/>
    </row>
    <row r="109" ht="15.75" customHeight="1">
      <c r="A109" s="375"/>
    </row>
    <row r="110" ht="15.75" customHeight="1">
      <c r="A110" s="375"/>
    </row>
    <row r="111" ht="15.75" customHeight="1">
      <c r="A111" s="375"/>
    </row>
    <row r="112" ht="15.75" customHeight="1">
      <c r="A112" s="375"/>
    </row>
    <row r="113" ht="15.75" customHeight="1">
      <c r="A113" s="375"/>
    </row>
    <row r="114" ht="15.75" customHeight="1">
      <c r="A114" s="375"/>
    </row>
    <row r="115" ht="15.75" customHeight="1">
      <c r="A115" s="375"/>
    </row>
    <row r="116" ht="15.75" customHeight="1">
      <c r="A116" s="375"/>
    </row>
    <row r="117" ht="15.75" customHeight="1">
      <c r="A117" s="375"/>
    </row>
    <row r="118" ht="15.75" customHeight="1">
      <c r="A118" s="375"/>
    </row>
    <row r="119" ht="15.75" customHeight="1">
      <c r="A119" s="375"/>
    </row>
    <row r="120" ht="15.75" customHeight="1">
      <c r="A120" s="375"/>
    </row>
    <row r="121" ht="15.75" customHeight="1">
      <c r="A121" s="375"/>
    </row>
    <row r="122" ht="15.75" customHeight="1">
      <c r="A122" s="375"/>
    </row>
    <row r="123" ht="15.75" customHeight="1">
      <c r="A123" s="375"/>
    </row>
    <row r="124" ht="15.75" customHeight="1">
      <c r="A124" s="375"/>
    </row>
    <row r="125" ht="15.75" customHeight="1">
      <c r="A125" s="375"/>
    </row>
    <row r="126" ht="15.75" customHeight="1">
      <c r="A126" s="375"/>
    </row>
    <row r="127" ht="15.75" customHeight="1">
      <c r="A127" s="375"/>
    </row>
    <row r="128" ht="15.75" customHeight="1">
      <c r="A128" s="375"/>
    </row>
    <row r="129" ht="15.75" customHeight="1">
      <c r="A129" s="375"/>
    </row>
    <row r="130" ht="15.75" customHeight="1">
      <c r="A130" s="375"/>
    </row>
    <row r="131" ht="15.75" customHeight="1">
      <c r="A131" s="375"/>
    </row>
    <row r="132" ht="15.75" customHeight="1">
      <c r="A132" s="375"/>
    </row>
    <row r="133" ht="15.75" customHeight="1">
      <c r="A133" s="375"/>
    </row>
    <row r="134" ht="15.75" customHeight="1">
      <c r="A134" s="375"/>
    </row>
    <row r="135" ht="15.75" customHeight="1">
      <c r="A135" s="375"/>
    </row>
    <row r="136" ht="15.75" customHeight="1">
      <c r="A136" s="375"/>
    </row>
    <row r="137" ht="15.75" customHeight="1">
      <c r="A137" s="375"/>
    </row>
    <row r="138" ht="15.75" customHeight="1">
      <c r="A138" s="375"/>
    </row>
    <row r="139" ht="15.75" customHeight="1">
      <c r="A139" s="375"/>
    </row>
    <row r="140" ht="15.75" customHeight="1">
      <c r="A140" s="375"/>
    </row>
    <row r="141" ht="15.75" customHeight="1">
      <c r="A141" s="375"/>
    </row>
    <row r="142" ht="15.75" customHeight="1">
      <c r="A142" s="375"/>
    </row>
    <row r="143" ht="15.75" customHeight="1">
      <c r="A143" s="375"/>
    </row>
    <row r="144" ht="15.75" customHeight="1">
      <c r="A144" s="375"/>
    </row>
    <row r="145" ht="15.75" customHeight="1">
      <c r="A145" s="375"/>
    </row>
    <row r="146" ht="15.75" customHeight="1">
      <c r="A146" s="375"/>
    </row>
    <row r="147" ht="15.75" customHeight="1">
      <c r="A147" s="375"/>
    </row>
    <row r="148" ht="15.75" customHeight="1">
      <c r="A148" s="375"/>
    </row>
    <row r="149" ht="15.75" customHeight="1">
      <c r="A149" s="375"/>
    </row>
    <row r="150" ht="15.75" customHeight="1">
      <c r="A150" s="375"/>
    </row>
    <row r="151" ht="15.75" customHeight="1">
      <c r="A151" s="375"/>
    </row>
    <row r="152" ht="15.75" customHeight="1">
      <c r="A152" s="375"/>
    </row>
    <row r="153" ht="15.75" customHeight="1">
      <c r="A153" s="375"/>
    </row>
    <row r="154" ht="15.75" customHeight="1">
      <c r="A154" s="375"/>
    </row>
    <row r="155" ht="15.75" customHeight="1">
      <c r="A155" s="375"/>
    </row>
    <row r="156" ht="15.75" customHeight="1">
      <c r="A156" s="375"/>
    </row>
    <row r="157" ht="15.75" customHeight="1">
      <c r="A157" s="375"/>
    </row>
    <row r="158" ht="15.75" customHeight="1">
      <c r="A158" s="375"/>
    </row>
    <row r="159" ht="15.75" customHeight="1">
      <c r="A159" s="375"/>
    </row>
    <row r="160" ht="15.75" customHeight="1">
      <c r="A160" s="375"/>
    </row>
    <row r="161" ht="15.75" customHeight="1">
      <c r="A161" s="375"/>
    </row>
    <row r="162" ht="15.75" customHeight="1">
      <c r="A162" s="375"/>
    </row>
    <row r="163" ht="15.75" customHeight="1">
      <c r="A163" s="375"/>
    </row>
    <row r="164" ht="15.75" customHeight="1">
      <c r="A164" s="375"/>
    </row>
    <row r="165" ht="15.75" customHeight="1">
      <c r="A165" s="375"/>
    </row>
    <row r="166" ht="15.75" customHeight="1">
      <c r="A166" s="375"/>
    </row>
    <row r="167" ht="15.75" customHeight="1">
      <c r="A167" s="375"/>
    </row>
    <row r="168" ht="15.75" customHeight="1">
      <c r="A168" s="375"/>
    </row>
    <row r="169" ht="15.75" customHeight="1">
      <c r="A169" s="375"/>
    </row>
    <row r="170" ht="15.75" customHeight="1">
      <c r="A170" s="375"/>
    </row>
    <row r="171" ht="15.75" customHeight="1">
      <c r="A171" s="375"/>
    </row>
    <row r="172" ht="15.75" customHeight="1">
      <c r="A172" s="375"/>
    </row>
    <row r="173" ht="15.75" customHeight="1">
      <c r="A173" s="375"/>
    </row>
    <row r="174" ht="15.75" customHeight="1">
      <c r="A174" s="375"/>
    </row>
    <row r="175" ht="15.75" customHeight="1">
      <c r="A175" s="375"/>
    </row>
    <row r="176" ht="15.75" customHeight="1">
      <c r="A176" s="375"/>
    </row>
    <row r="177" ht="15.75" customHeight="1">
      <c r="A177" s="375"/>
    </row>
    <row r="178" ht="15.75" customHeight="1">
      <c r="A178" s="375"/>
    </row>
    <row r="179" ht="15.75" customHeight="1">
      <c r="A179" s="37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3.5"/>
    <col customWidth="1" min="2" max="2" width="10.13"/>
    <col customWidth="1" min="3" max="6" width="12.63"/>
  </cols>
  <sheetData>
    <row r="1">
      <c r="A1" s="378" t="s">
        <v>1517</v>
      </c>
      <c r="B1" s="379"/>
      <c r="C1" s="379"/>
      <c r="D1" s="380"/>
    </row>
    <row r="2">
      <c r="A2" s="381" t="s">
        <v>1518</v>
      </c>
      <c r="B2" s="382"/>
      <c r="C2" s="382"/>
      <c r="D2" s="382"/>
    </row>
    <row r="3">
      <c r="A3" s="383" t="s">
        <v>79</v>
      </c>
      <c r="B3" s="384" t="s">
        <v>48</v>
      </c>
      <c r="C3" s="384" t="s">
        <v>49</v>
      </c>
      <c r="D3" s="384" t="s">
        <v>51</v>
      </c>
    </row>
    <row r="4">
      <c r="A4" s="269" t="s">
        <v>1519</v>
      </c>
      <c r="B4" s="385">
        <v>0.0</v>
      </c>
      <c r="C4" s="385">
        <v>0.0</v>
      </c>
      <c r="D4" s="385">
        <v>0.0</v>
      </c>
    </row>
    <row r="5">
      <c r="A5" s="269" t="s">
        <v>82</v>
      </c>
      <c r="B5" s="385">
        <v>0.04</v>
      </c>
      <c r="C5" s="385">
        <v>0.135</v>
      </c>
      <c r="D5" s="385">
        <v>0.24</v>
      </c>
    </row>
    <row r="6">
      <c r="A6" s="269" t="s">
        <v>85</v>
      </c>
      <c r="B6" s="385">
        <v>0.045</v>
      </c>
      <c r="C6" s="385">
        <v>0.123</v>
      </c>
      <c r="D6" s="385">
        <v>0.379</v>
      </c>
    </row>
    <row r="7">
      <c r="A7" s="269" t="s">
        <v>88</v>
      </c>
      <c r="B7" s="385">
        <v>0.03</v>
      </c>
      <c r="C7" s="385">
        <v>0.211</v>
      </c>
      <c r="D7" s="385">
        <v>0.614</v>
      </c>
    </row>
    <row r="8">
      <c r="A8" s="269" t="s">
        <v>91</v>
      </c>
      <c r="B8" s="385">
        <v>0.063</v>
      </c>
      <c r="C8" s="385">
        <v>0.121</v>
      </c>
      <c r="D8" s="385">
        <v>0.321</v>
      </c>
    </row>
    <row r="9">
      <c r="A9" s="269" t="s">
        <v>94</v>
      </c>
      <c r="B9" s="385">
        <v>0.038</v>
      </c>
      <c r="C9" s="385">
        <v>0.176</v>
      </c>
      <c r="D9" s="385">
        <v>0.373</v>
      </c>
    </row>
    <row r="10">
      <c r="A10" s="269" t="s">
        <v>97</v>
      </c>
      <c r="B10" s="385">
        <v>0.043</v>
      </c>
      <c r="C10" s="385">
        <v>0.102</v>
      </c>
      <c r="D10" s="385">
        <v>0.572</v>
      </c>
    </row>
    <row r="11">
      <c r="A11" s="269" t="s">
        <v>99</v>
      </c>
      <c r="B11" s="385">
        <v>0.046</v>
      </c>
      <c r="C11" s="385">
        <v>0.148</v>
      </c>
      <c r="D11" s="385">
        <v>0.239</v>
      </c>
    </row>
    <row r="12">
      <c r="A12" s="269" t="s">
        <v>100</v>
      </c>
      <c r="B12" s="385">
        <v>0.055</v>
      </c>
      <c r="C12" s="385">
        <v>0.116</v>
      </c>
      <c r="D12" s="385">
        <v>0.607</v>
      </c>
    </row>
    <row r="13">
      <c r="A13" s="269" t="s">
        <v>101</v>
      </c>
      <c r="B13" s="385">
        <v>0.029</v>
      </c>
      <c r="C13" s="385">
        <v>0.131</v>
      </c>
      <c r="D13" s="385">
        <v>0.383</v>
      </c>
    </row>
    <row r="14">
      <c r="A14" s="269" t="s">
        <v>102</v>
      </c>
      <c r="B14" s="385">
        <v>0.038</v>
      </c>
      <c r="C14" s="385">
        <v>0.108</v>
      </c>
      <c r="D14" s="385">
        <v>0.268</v>
      </c>
    </row>
    <row r="15">
      <c r="A15" s="269" t="s">
        <v>103</v>
      </c>
      <c r="B15" s="385">
        <v>0.047</v>
      </c>
      <c r="C15" s="385">
        <v>0.126</v>
      </c>
      <c r="D15" s="385">
        <v>0.244</v>
      </c>
    </row>
    <row r="16">
      <c r="A16" s="269" t="s">
        <v>104</v>
      </c>
      <c r="B16" s="385">
        <v>0.051</v>
      </c>
      <c r="C16" s="385">
        <v>0.224</v>
      </c>
      <c r="D16" s="385">
        <v>0.363</v>
      </c>
    </row>
    <row r="17">
      <c r="A17" s="269" t="s">
        <v>105</v>
      </c>
      <c r="B17" s="385">
        <v>0.041</v>
      </c>
      <c r="C17" s="385">
        <v>0.227</v>
      </c>
      <c r="D17" s="385">
        <v>0.358</v>
      </c>
    </row>
    <row r="18">
      <c r="A18" s="269" t="s">
        <v>106</v>
      </c>
      <c r="B18" s="385">
        <v>0.05</v>
      </c>
      <c r="C18" s="385">
        <v>0.162</v>
      </c>
      <c r="D18" s="385">
        <v>0.209</v>
      </c>
    </row>
    <row r="19">
      <c r="A19" s="269" t="s">
        <v>107</v>
      </c>
      <c r="B19" s="385">
        <v>0.057</v>
      </c>
      <c r="C19" s="385">
        <v>0.122</v>
      </c>
      <c r="D19" s="385">
        <v>0.148</v>
      </c>
    </row>
    <row r="20">
      <c r="A20" s="269" t="s">
        <v>46</v>
      </c>
      <c r="B20" s="385">
        <v>0.057</v>
      </c>
      <c r="C20" s="385">
        <v>0.436</v>
      </c>
      <c r="D20" s="385">
        <v>0.147</v>
      </c>
    </row>
    <row r="21" ht="15.75" customHeight="1">
      <c r="A21" s="269" t="s">
        <v>108</v>
      </c>
      <c r="B21" s="385">
        <v>0.051</v>
      </c>
      <c r="C21" s="385">
        <v>0.239</v>
      </c>
      <c r="D21" s="385">
        <v>0.252</v>
      </c>
    </row>
    <row r="22" ht="15.75" customHeight="1">
      <c r="A22" s="269" t="s">
        <v>109</v>
      </c>
      <c r="B22" s="385">
        <v>0.026</v>
      </c>
      <c r="C22" s="385">
        <v>0.217</v>
      </c>
      <c r="D22" s="385">
        <v>0.169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1520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386"/>
      <c r="C4" s="386"/>
      <c r="D4" s="387"/>
      <c r="E4" s="277">
        <v>1.0</v>
      </c>
      <c r="F4" s="277">
        <v>2.0</v>
      </c>
      <c r="G4" s="277">
        <v>3.0</v>
      </c>
      <c r="H4" s="278">
        <v>4.0</v>
      </c>
      <c r="K4" s="279"/>
    </row>
    <row r="5" ht="45.0" customHeight="1">
      <c r="B5" s="388"/>
      <c r="C5" s="388"/>
      <c r="D5" s="389"/>
      <c r="E5" s="390"/>
      <c r="F5" s="390"/>
      <c r="G5" s="390"/>
      <c r="H5" s="391"/>
      <c r="K5" s="282"/>
    </row>
    <row r="6" ht="15.75" customHeight="1">
      <c r="A6" s="269"/>
      <c r="B6" s="278">
        <v>5.0</v>
      </c>
      <c r="C6" s="278">
        <v>6.0</v>
      </c>
      <c r="D6" s="278">
        <v>7.0</v>
      </c>
      <c r="E6" s="278">
        <v>8.0</v>
      </c>
      <c r="F6" s="278">
        <v>9.0</v>
      </c>
      <c r="G6" s="278">
        <v>10.0</v>
      </c>
      <c r="H6" s="278">
        <v>11.0</v>
      </c>
    </row>
    <row r="7" ht="45.0" customHeight="1">
      <c r="B7" s="391"/>
      <c r="C7" s="391"/>
      <c r="D7" s="391"/>
      <c r="E7" s="391"/>
      <c r="F7" s="391"/>
      <c r="G7" s="391"/>
      <c r="H7" s="391"/>
    </row>
    <row r="8" ht="15.75" customHeight="1">
      <c r="A8" s="269"/>
      <c r="B8" s="392">
        <v>12.0</v>
      </c>
      <c r="C8" s="392">
        <v>13.0</v>
      </c>
      <c r="D8" s="278">
        <v>14.0</v>
      </c>
      <c r="E8" s="278">
        <v>15.0</v>
      </c>
      <c r="F8" s="278">
        <v>16.0</v>
      </c>
      <c r="G8" s="278">
        <v>17.0</v>
      </c>
      <c r="H8" s="278">
        <v>18.0</v>
      </c>
    </row>
    <row r="9" ht="45.0" customHeight="1">
      <c r="B9" s="391" t="s">
        <v>1521</v>
      </c>
      <c r="C9" s="391" t="s">
        <v>1521</v>
      </c>
      <c r="D9" s="391"/>
      <c r="E9" s="391"/>
      <c r="F9" s="391"/>
      <c r="G9" s="391"/>
      <c r="H9" s="391"/>
    </row>
    <row r="10" ht="15.75" customHeight="1">
      <c r="A10" s="269"/>
      <c r="B10" s="393">
        <v>19.0</v>
      </c>
      <c r="C10" s="278">
        <v>20.0</v>
      </c>
      <c r="D10" s="278">
        <v>21.0</v>
      </c>
      <c r="E10" s="278">
        <v>22.0</v>
      </c>
      <c r="F10" s="278">
        <v>23.0</v>
      </c>
      <c r="G10" s="278">
        <v>24.0</v>
      </c>
      <c r="H10" s="278">
        <v>25.0</v>
      </c>
    </row>
    <row r="11" ht="45.0" customHeight="1">
      <c r="B11" s="394" t="s">
        <v>1522</v>
      </c>
      <c r="C11" s="394"/>
      <c r="D11" s="394"/>
      <c r="E11" s="391"/>
      <c r="F11" s="391"/>
      <c r="G11" s="391"/>
      <c r="H11" s="391"/>
    </row>
    <row r="12" ht="15.75" customHeight="1">
      <c r="A12" s="269"/>
      <c r="B12" s="278">
        <v>26.0</v>
      </c>
      <c r="C12" s="278">
        <v>27.0</v>
      </c>
      <c r="D12" s="278">
        <v>28.0</v>
      </c>
      <c r="E12" s="278">
        <v>29.0</v>
      </c>
      <c r="F12" s="266"/>
      <c r="G12" s="266"/>
      <c r="H12" s="266"/>
    </row>
    <row r="13" ht="45.0" customHeight="1">
      <c r="B13" s="391"/>
      <c r="C13" s="391"/>
      <c r="D13" s="391"/>
      <c r="E13" s="395"/>
      <c r="F13" s="208"/>
      <c r="G13" s="208"/>
      <c r="H13" s="208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>
      <c r="B21" s="397" t="s">
        <v>251</v>
      </c>
    </row>
    <row r="22" ht="15.75" customHeight="1">
      <c r="B22" s="398" t="s">
        <v>252</v>
      </c>
    </row>
    <row r="23" ht="15.75" customHeight="1">
      <c r="B23" s="399" t="s">
        <v>253</v>
      </c>
    </row>
    <row r="24" ht="15.75" customHeight="1">
      <c r="B24" s="400" t="s">
        <v>254</v>
      </c>
    </row>
    <row r="25" ht="15.75" customHeight="1">
      <c r="B25" s="401" t="s">
        <v>255</v>
      </c>
    </row>
    <row r="26" ht="15.75" customHeight="1">
      <c r="B26" s="402" t="s">
        <v>1523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1524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386"/>
      <c r="C4" s="386"/>
      <c r="D4" s="387"/>
      <c r="E4" s="387"/>
      <c r="F4" s="277">
        <v>1.0</v>
      </c>
      <c r="G4" s="277">
        <v>2.0</v>
      </c>
      <c r="H4" s="278">
        <v>3.0</v>
      </c>
      <c r="J4" s="398" t="s">
        <v>252</v>
      </c>
      <c r="K4" s="279"/>
    </row>
    <row r="5" ht="45.0" customHeight="1">
      <c r="B5" s="388"/>
      <c r="C5" s="388"/>
      <c r="D5" s="389"/>
      <c r="E5" s="389"/>
      <c r="F5" s="390"/>
      <c r="G5" s="390"/>
      <c r="H5" s="391"/>
      <c r="J5" s="399" t="s">
        <v>253</v>
      </c>
      <c r="K5" s="282"/>
    </row>
    <row r="6" ht="15.75" customHeight="1">
      <c r="A6" s="269"/>
      <c r="B6" s="278">
        <v>4.0</v>
      </c>
      <c r="C6" s="278">
        <v>5.0</v>
      </c>
      <c r="D6" s="278">
        <v>6.0</v>
      </c>
      <c r="E6" s="278">
        <v>7.0</v>
      </c>
      <c r="F6" s="403">
        <v>8.0</v>
      </c>
      <c r="G6" s="278">
        <v>9.0</v>
      </c>
      <c r="H6" s="278">
        <v>10.0</v>
      </c>
      <c r="J6" s="400" t="s">
        <v>254</v>
      </c>
    </row>
    <row r="7" ht="45.0" customHeight="1">
      <c r="B7" s="391"/>
      <c r="C7" s="391"/>
      <c r="D7" s="391"/>
      <c r="E7" s="391"/>
      <c r="F7" s="391" t="s">
        <v>1525</v>
      </c>
      <c r="G7" s="391"/>
      <c r="H7" s="391"/>
      <c r="J7" s="404" t="s">
        <v>255</v>
      </c>
    </row>
    <row r="8" ht="15.75" customHeight="1">
      <c r="A8" s="269"/>
      <c r="B8" s="278">
        <v>11.0</v>
      </c>
      <c r="C8" s="278">
        <v>12.0</v>
      </c>
      <c r="D8" s="278">
        <v>13.0</v>
      </c>
      <c r="E8" s="278">
        <v>14.0</v>
      </c>
      <c r="F8" s="403">
        <v>15.0</v>
      </c>
      <c r="G8" s="278">
        <v>16.0</v>
      </c>
      <c r="H8" s="278">
        <v>17.0</v>
      </c>
      <c r="J8" s="402" t="s">
        <v>1523</v>
      </c>
    </row>
    <row r="9" ht="45.0" customHeight="1">
      <c r="B9" s="391"/>
      <c r="C9" s="391"/>
      <c r="D9" s="391"/>
      <c r="E9" s="391"/>
      <c r="F9" s="391" t="s">
        <v>1526</v>
      </c>
      <c r="G9" s="391"/>
      <c r="H9" s="391"/>
    </row>
    <row r="10" ht="15.75" customHeight="1">
      <c r="A10" s="269"/>
      <c r="B10" s="278">
        <v>18.0</v>
      </c>
      <c r="C10" s="278">
        <v>19.0</v>
      </c>
      <c r="D10" s="392">
        <v>20.0</v>
      </c>
      <c r="E10" s="278">
        <v>21.0</v>
      </c>
      <c r="F10" s="278">
        <v>22.0</v>
      </c>
      <c r="G10" s="278">
        <v>23.0</v>
      </c>
      <c r="H10" s="278">
        <v>24.0</v>
      </c>
    </row>
    <row r="11" ht="45.0" customHeight="1">
      <c r="B11" s="394"/>
      <c r="C11" s="394"/>
      <c r="D11" s="394" t="s">
        <v>1527</v>
      </c>
      <c r="E11" s="391"/>
      <c r="F11" s="391"/>
      <c r="G11" s="391"/>
      <c r="H11" s="391"/>
    </row>
    <row r="12" ht="15.75" customHeight="1">
      <c r="A12" s="269"/>
      <c r="B12" s="278">
        <v>25.0</v>
      </c>
      <c r="C12" s="278">
        <v>26.0</v>
      </c>
      <c r="D12" s="278">
        <v>27.0</v>
      </c>
      <c r="E12" s="278">
        <v>28.0</v>
      </c>
      <c r="F12" s="278">
        <v>29.0</v>
      </c>
      <c r="G12" s="278">
        <v>30.0</v>
      </c>
      <c r="H12" s="393">
        <v>31.0</v>
      </c>
    </row>
    <row r="13" ht="45.0" customHeight="1">
      <c r="B13" s="391"/>
      <c r="C13" s="391"/>
      <c r="D13" s="391"/>
      <c r="E13" s="395"/>
      <c r="F13" s="395"/>
      <c r="G13" s="395"/>
      <c r="H13" s="391" t="s">
        <v>1528</v>
      </c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1529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393">
        <v>1.0</v>
      </c>
      <c r="C4" s="277">
        <v>2.0</v>
      </c>
      <c r="D4" s="278">
        <v>3.0</v>
      </c>
      <c r="E4" s="278">
        <v>4.0</v>
      </c>
      <c r="F4" s="278">
        <v>5.0</v>
      </c>
      <c r="G4" s="278">
        <v>6.0</v>
      </c>
      <c r="H4" s="393">
        <v>7.0</v>
      </c>
      <c r="J4" s="398" t="s">
        <v>252</v>
      </c>
      <c r="K4" s="279"/>
    </row>
    <row r="5" ht="45.0" customHeight="1">
      <c r="B5" s="390" t="s">
        <v>1530</v>
      </c>
      <c r="C5" s="390"/>
      <c r="D5" s="390"/>
      <c r="E5" s="405"/>
      <c r="F5" s="390"/>
      <c r="G5" s="390"/>
      <c r="H5" s="391" t="s">
        <v>1531</v>
      </c>
      <c r="J5" s="399" t="s">
        <v>253</v>
      </c>
      <c r="K5" s="282"/>
    </row>
    <row r="6" ht="15.75" customHeight="1">
      <c r="A6" s="269"/>
      <c r="B6" s="278">
        <v>8.0</v>
      </c>
      <c r="C6" s="278">
        <v>9.0</v>
      </c>
      <c r="D6" s="278">
        <v>10.0</v>
      </c>
      <c r="E6" s="278">
        <v>11.0</v>
      </c>
      <c r="F6" s="278">
        <v>12.0</v>
      </c>
      <c r="G6" s="406">
        <v>13.0</v>
      </c>
      <c r="H6" s="393">
        <v>14.0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 t="s">
        <v>1532</v>
      </c>
      <c r="H7" s="391" t="s">
        <v>1533</v>
      </c>
      <c r="J7" s="404" t="s">
        <v>255</v>
      </c>
    </row>
    <row r="8" ht="15.75" customHeight="1">
      <c r="A8" s="269"/>
      <c r="B8" s="278">
        <v>15.0</v>
      </c>
      <c r="C8" s="278">
        <v>16.0</v>
      </c>
      <c r="D8" s="278">
        <v>17.0</v>
      </c>
      <c r="E8" s="278">
        <v>18.0</v>
      </c>
      <c r="F8" s="278">
        <v>19.0</v>
      </c>
      <c r="G8" s="278">
        <v>20.0</v>
      </c>
      <c r="H8" s="278">
        <v>21.0</v>
      </c>
      <c r="J8" s="402" t="s">
        <v>1523</v>
      </c>
    </row>
    <row r="9" ht="45.0" customHeight="1">
      <c r="B9" s="391"/>
      <c r="C9" s="391"/>
      <c r="D9" s="391"/>
      <c r="E9" s="391"/>
      <c r="F9" s="391"/>
      <c r="G9" s="391"/>
      <c r="H9" s="391"/>
    </row>
    <row r="10" ht="15.75" customHeight="1">
      <c r="A10" s="269"/>
      <c r="B10" s="393">
        <v>22.0</v>
      </c>
      <c r="C10" s="278">
        <v>23.0</v>
      </c>
      <c r="D10" s="278">
        <v>24.0</v>
      </c>
      <c r="E10" s="278">
        <v>25.0</v>
      </c>
      <c r="F10" s="278">
        <v>26.0</v>
      </c>
      <c r="G10" s="278">
        <v>27.0</v>
      </c>
      <c r="H10" s="278">
        <v>28.0</v>
      </c>
    </row>
    <row r="11" ht="45.0" customHeight="1">
      <c r="B11" s="394" t="s">
        <v>1534</v>
      </c>
      <c r="C11" s="394"/>
      <c r="D11" s="391"/>
      <c r="E11" s="391"/>
      <c r="F11" s="391"/>
      <c r="G11" s="391"/>
      <c r="H11" s="391"/>
    </row>
    <row r="12" ht="15.75" customHeight="1">
      <c r="A12" s="269"/>
      <c r="B12" s="278">
        <v>29.0</v>
      </c>
      <c r="C12" s="278">
        <v>30.0</v>
      </c>
      <c r="D12" s="266"/>
      <c r="E12" s="208"/>
      <c r="F12" s="208"/>
      <c r="G12" s="208"/>
      <c r="H12" s="208"/>
    </row>
    <row r="13" ht="45.0" customHeight="1">
      <c r="B13" s="391"/>
      <c r="C13" s="391"/>
      <c r="D13" s="266"/>
      <c r="E13" s="208"/>
      <c r="F13" s="208"/>
      <c r="G13" s="208"/>
      <c r="H13" s="208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1535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8"/>
      <c r="D4" s="409">
        <v>1.0</v>
      </c>
      <c r="E4" s="277">
        <v>2.0</v>
      </c>
      <c r="F4" s="278">
        <v>3.0</v>
      </c>
      <c r="G4" s="278">
        <v>4.0</v>
      </c>
      <c r="H4" s="278">
        <v>5.0</v>
      </c>
      <c r="J4" s="398" t="s">
        <v>252</v>
      </c>
      <c r="K4" s="279"/>
    </row>
    <row r="5" ht="45.0" customHeight="1">
      <c r="B5" s="388"/>
      <c r="C5" s="389"/>
      <c r="D5" s="390" t="s">
        <v>1536</v>
      </c>
      <c r="E5" s="405"/>
      <c r="F5" s="390"/>
      <c r="G5" s="390"/>
      <c r="H5" s="391"/>
      <c r="J5" s="399" t="s">
        <v>253</v>
      </c>
      <c r="K5" s="282"/>
    </row>
    <row r="6" ht="15.75" customHeight="1">
      <c r="A6" s="269"/>
      <c r="B6" s="277">
        <v>6.0</v>
      </c>
      <c r="C6" s="277">
        <v>7.0</v>
      </c>
      <c r="D6" s="278">
        <v>8.0</v>
      </c>
      <c r="E6" s="278">
        <v>9.0</v>
      </c>
      <c r="F6" s="278">
        <v>10.0</v>
      </c>
      <c r="G6" s="278">
        <v>11.0</v>
      </c>
      <c r="H6" s="403">
        <v>12.0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/>
      <c r="H7" s="391" t="s">
        <v>1537</v>
      </c>
      <c r="J7" s="404" t="s">
        <v>255</v>
      </c>
    </row>
    <row r="8" ht="15.75" customHeight="1">
      <c r="A8" s="269"/>
      <c r="B8" s="277">
        <v>13.0</v>
      </c>
      <c r="C8" s="277">
        <v>14.0</v>
      </c>
      <c r="D8" s="278">
        <v>15.0</v>
      </c>
      <c r="E8" s="278">
        <v>16.0</v>
      </c>
      <c r="F8" s="278">
        <v>17.0</v>
      </c>
      <c r="G8" s="278">
        <v>18.0</v>
      </c>
      <c r="H8" s="278">
        <v>19.0</v>
      </c>
      <c r="J8" s="402" t="s">
        <v>1523</v>
      </c>
    </row>
    <row r="9" ht="45.0" customHeight="1">
      <c r="B9" s="391"/>
      <c r="C9" s="391"/>
      <c r="D9" s="391"/>
      <c r="E9" s="391"/>
      <c r="F9" s="391"/>
      <c r="G9" s="391"/>
      <c r="H9" s="391"/>
    </row>
    <row r="10" ht="15.75" customHeight="1">
      <c r="A10" s="269"/>
      <c r="B10" s="277">
        <v>20.0</v>
      </c>
      <c r="C10" s="277">
        <v>21.0</v>
      </c>
      <c r="D10" s="393">
        <v>22.0</v>
      </c>
      <c r="E10" s="278">
        <v>23.0</v>
      </c>
      <c r="F10" s="278">
        <v>24.0</v>
      </c>
      <c r="G10" s="393">
        <v>25.0</v>
      </c>
      <c r="H10" s="278">
        <v>26.0</v>
      </c>
    </row>
    <row r="11" ht="45.0" customHeight="1">
      <c r="B11" s="394"/>
      <c r="C11" s="394"/>
      <c r="D11" s="391" t="s">
        <v>1538</v>
      </c>
      <c r="E11" s="391"/>
      <c r="F11" s="391"/>
      <c r="G11" s="391" t="s">
        <v>1539</v>
      </c>
      <c r="H11" s="391"/>
    </row>
    <row r="12" ht="15.75" customHeight="1">
      <c r="A12" s="269"/>
      <c r="B12" s="278">
        <v>27.0</v>
      </c>
      <c r="C12" s="278">
        <v>28.0</v>
      </c>
      <c r="D12" s="278">
        <v>29.0</v>
      </c>
      <c r="E12" s="278">
        <v>30.0</v>
      </c>
      <c r="F12" s="278">
        <v>31.0</v>
      </c>
      <c r="G12" s="208"/>
      <c r="H12" s="208"/>
    </row>
    <row r="13" ht="45.0" customHeight="1">
      <c r="B13" s="391"/>
      <c r="C13" s="391"/>
      <c r="D13" s="391"/>
      <c r="E13" s="391"/>
      <c r="F13" s="391"/>
      <c r="G13" s="208"/>
      <c r="H13" s="208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1540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8"/>
      <c r="D4" s="408"/>
      <c r="E4" s="408"/>
      <c r="F4" s="408"/>
      <c r="G4" s="277">
        <v>1.0</v>
      </c>
      <c r="H4" s="277">
        <v>2.0</v>
      </c>
      <c r="J4" s="398" t="s">
        <v>252</v>
      </c>
      <c r="K4" s="279"/>
    </row>
    <row r="5" ht="45.0" customHeight="1">
      <c r="B5" s="388"/>
      <c r="C5" s="389"/>
      <c r="D5" s="389"/>
      <c r="E5" s="389"/>
      <c r="F5" s="389"/>
      <c r="G5" s="390"/>
      <c r="H5" s="391"/>
      <c r="J5" s="399" t="s">
        <v>253</v>
      </c>
      <c r="K5" s="282"/>
    </row>
    <row r="6" ht="15.75" customHeight="1">
      <c r="A6" s="269"/>
      <c r="B6" s="277">
        <v>3.0</v>
      </c>
      <c r="C6" s="277">
        <v>4.0</v>
      </c>
      <c r="D6" s="277">
        <v>5.0</v>
      </c>
      <c r="E6" s="277">
        <v>6.0</v>
      </c>
      <c r="F6" s="277">
        <v>7.0</v>
      </c>
      <c r="G6" s="278">
        <v>8.0</v>
      </c>
      <c r="H6" s="278">
        <v>9.0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/>
      <c r="H7" s="391"/>
      <c r="J7" s="404" t="s">
        <v>255</v>
      </c>
    </row>
    <row r="8" ht="15.75" customHeight="1">
      <c r="A8" s="269"/>
      <c r="B8" s="277">
        <v>10.0</v>
      </c>
      <c r="C8" s="277">
        <v>11.0</v>
      </c>
      <c r="D8" s="403">
        <v>12.0</v>
      </c>
      <c r="E8" s="277">
        <v>13.0</v>
      </c>
      <c r="F8" s="277">
        <v>14.0</v>
      </c>
      <c r="G8" s="278">
        <v>15.0</v>
      </c>
      <c r="H8" s="278">
        <v>16.0</v>
      </c>
      <c r="J8" s="402" t="s">
        <v>1523</v>
      </c>
    </row>
    <row r="9" ht="45.0" customHeight="1">
      <c r="B9" s="391"/>
      <c r="C9" s="391"/>
      <c r="D9" s="391" t="s">
        <v>1541</v>
      </c>
      <c r="E9" s="391"/>
      <c r="F9" s="391"/>
      <c r="G9" s="391"/>
      <c r="H9" s="391"/>
    </row>
    <row r="10" ht="15.75" customHeight="1">
      <c r="A10" s="269"/>
      <c r="B10" s="277">
        <v>17.0</v>
      </c>
      <c r="C10" s="277">
        <v>18.0</v>
      </c>
      <c r="D10" s="277"/>
      <c r="E10" s="393">
        <v>20.0</v>
      </c>
      <c r="F10" s="277">
        <v>21.0</v>
      </c>
      <c r="G10" s="278">
        <v>22.0</v>
      </c>
      <c r="H10" s="278">
        <v>23.0</v>
      </c>
    </row>
    <row r="11" ht="45.0" customHeight="1">
      <c r="B11" s="394"/>
      <c r="C11" s="394"/>
      <c r="D11" s="391"/>
      <c r="E11" s="391" t="s">
        <v>1542</v>
      </c>
      <c r="F11" s="391"/>
      <c r="G11" s="391"/>
      <c r="H11" s="391"/>
    </row>
    <row r="12" ht="15.75" customHeight="1">
      <c r="A12" s="269"/>
      <c r="B12" s="277">
        <v>24.0</v>
      </c>
      <c r="C12" s="277">
        <v>25.0</v>
      </c>
      <c r="D12" s="277">
        <v>26.0</v>
      </c>
      <c r="E12" s="278">
        <v>27.0</v>
      </c>
      <c r="F12" s="393">
        <v>28.0</v>
      </c>
      <c r="G12" s="278">
        <v>29.0</v>
      </c>
      <c r="H12" s="278">
        <v>30.0</v>
      </c>
    </row>
    <row r="13" ht="45.0" customHeight="1">
      <c r="B13" s="391"/>
      <c r="C13" s="391"/>
      <c r="D13" s="391"/>
      <c r="E13" s="391"/>
      <c r="F13" s="391" t="s">
        <v>1543</v>
      </c>
      <c r="G13" s="391"/>
      <c r="H13" s="391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1544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277">
        <v>1.0</v>
      </c>
      <c r="C4" s="277">
        <v>2.0</v>
      </c>
      <c r="D4" s="277">
        <v>3.0</v>
      </c>
      <c r="E4" s="277">
        <v>4.0</v>
      </c>
      <c r="F4" s="277">
        <v>5.0</v>
      </c>
      <c r="G4" s="277">
        <v>6.0</v>
      </c>
      <c r="H4" s="393">
        <v>7.0</v>
      </c>
      <c r="J4" s="398" t="s">
        <v>252</v>
      </c>
      <c r="K4" s="279"/>
    </row>
    <row r="5" ht="45.0" customHeight="1">
      <c r="B5" s="390"/>
      <c r="C5" s="390"/>
      <c r="D5" s="390"/>
      <c r="E5" s="390"/>
      <c r="F5" s="390"/>
      <c r="G5" s="390"/>
      <c r="H5" s="391" t="s">
        <v>1545</v>
      </c>
      <c r="J5" s="399" t="s">
        <v>253</v>
      </c>
      <c r="K5" s="282"/>
    </row>
    <row r="6" ht="15.75" customHeight="1">
      <c r="A6" s="269"/>
      <c r="B6" s="278">
        <v>8.0</v>
      </c>
      <c r="C6" s="278">
        <v>9.0</v>
      </c>
      <c r="D6" s="277">
        <v>10.0</v>
      </c>
      <c r="E6" s="277">
        <v>11.0</v>
      </c>
      <c r="F6" s="277">
        <v>12.0</v>
      </c>
      <c r="G6" s="393">
        <v>13.0</v>
      </c>
      <c r="H6" s="277">
        <v>14.0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 t="s">
        <v>1546</v>
      </c>
      <c r="H7" s="391"/>
      <c r="J7" s="404" t="s">
        <v>255</v>
      </c>
    </row>
    <row r="8" ht="15.75" customHeight="1">
      <c r="A8" s="269"/>
      <c r="B8" s="393">
        <v>15.0</v>
      </c>
      <c r="C8" s="278">
        <v>16.0</v>
      </c>
      <c r="D8" s="277">
        <v>17.0</v>
      </c>
      <c r="E8" s="277">
        <v>18.0</v>
      </c>
      <c r="F8" s="277">
        <v>19.0</v>
      </c>
      <c r="G8" s="277">
        <v>20.0</v>
      </c>
      <c r="H8" s="277">
        <v>21.0</v>
      </c>
      <c r="J8" s="402" t="s">
        <v>1523</v>
      </c>
    </row>
    <row r="9" ht="45.0" customHeight="1">
      <c r="B9" s="391" t="s">
        <v>1547</v>
      </c>
      <c r="C9" s="391"/>
      <c r="D9" s="391"/>
      <c r="E9" s="391"/>
      <c r="F9" s="391"/>
      <c r="G9" s="391"/>
      <c r="H9" s="391"/>
    </row>
    <row r="10" ht="15.75" customHeight="1">
      <c r="A10" s="269"/>
      <c r="B10" s="278">
        <v>22.0</v>
      </c>
      <c r="C10" s="278">
        <v>23.0</v>
      </c>
      <c r="D10" s="277">
        <v>24.0</v>
      </c>
      <c r="E10" s="277">
        <v>25.0</v>
      </c>
      <c r="F10" s="393">
        <v>26.0</v>
      </c>
      <c r="G10" s="278">
        <v>27.0</v>
      </c>
      <c r="H10" s="278">
        <v>28.0</v>
      </c>
    </row>
    <row r="11" ht="45.0" customHeight="1">
      <c r="B11" s="394"/>
      <c r="C11" s="394"/>
      <c r="D11" s="391"/>
      <c r="E11" s="391"/>
      <c r="F11" s="391" t="s">
        <v>1548</v>
      </c>
      <c r="G11" s="391"/>
      <c r="H11" s="391"/>
    </row>
    <row r="12" ht="15.75" customHeight="1">
      <c r="A12" s="269"/>
      <c r="B12" s="278">
        <v>29.0</v>
      </c>
      <c r="C12" s="393">
        <v>30.0</v>
      </c>
      <c r="D12" s="278">
        <v>31.0</v>
      </c>
    </row>
    <row r="13" ht="45.0" customHeight="1">
      <c r="B13" s="391"/>
      <c r="C13" s="391" t="s">
        <v>1549</v>
      </c>
      <c r="D13" s="391"/>
      <c r="E13" s="383"/>
      <c r="F13" s="383"/>
      <c r="G13" s="383"/>
      <c r="H13" s="383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1550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7"/>
      <c r="D4" s="408"/>
      <c r="E4" s="277">
        <v>1.0</v>
      </c>
      <c r="F4" s="277">
        <v>2.0</v>
      </c>
      <c r="G4" s="277">
        <v>3.0</v>
      </c>
      <c r="H4" s="277">
        <v>4.0</v>
      </c>
      <c r="J4" s="398" t="s">
        <v>252</v>
      </c>
      <c r="K4" s="279"/>
    </row>
    <row r="5" ht="45.0" customHeight="1">
      <c r="B5" s="388"/>
      <c r="C5" s="388"/>
      <c r="D5" s="389"/>
      <c r="E5" s="390"/>
      <c r="F5" s="390"/>
      <c r="G5" s="390"/>
      <c r="H5" s="391"/>
      <c r="J5" s="399" t="s">
        <v>253</v>
      </c>
      <c r="K5" s="282"/>
    </row>
    <row r="6" ht="15.75" customHeight="1">
      <c r="A6" s="269"/>
      <c r="B6" s="278">
        <v>5.0</v>
      </c>
      <c r="C6" s="278">
        <v>6.0</v>
      </c>
      <c r="D6" s="278">
        <v>7.0</v>
      </c>
      <c r="E6" s="278">
        <v>8.0</v>
      </c>
      <c r="F6" s="278">
        <v>9.0</v>
      </c>
      <c r="G6" s="277">
        <v>10.0</v>
      </c>
      <c r="H6" s="393">
        <v>11.0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/>
      <c r="H7" s="391" t="s">
        <v>1551</v>
      </c>
      <c r="J7" s="404" t="s">
        <v>255</v>
      </c>
    </row>
    <row r="8" ht="15.75" customHeight="1">
      <c r="A8" s="269"/>
      <c r="B8" s="278">
        <v>12.0</v>
      </c>
      <c r="C8" s="278">
        <v>13.0</v>
      </c>
      <c r="D8" s="278">
        <v>14.0</v>
      </c>
      <c r="E8" s="393">
        <v>15.0</v>
      </c>
      <c r="F8" s="278">
        <v>16.0</v>
      </c>
      <c r="G8" s="277">
        <v>17.0</v>
      </c>
      <c r="H8" s="277">
        <v>18.0</v>
      </c>
      <c r="J8" s="402" t="s">
        <v>1523</v>
      </c>
    </row>
    <row r="9" ht="45.0" customHeight="1">
      <c r="B9" s="391"/>
      <c r="C9" s="391"/>
      <c r="D9" s="391"/>
      <c r="E9" s="391" t="s">
        <v>1547</v>
      </c>
      <c r="F9" s="391"/>
      <c r="G9" s="391"/>
      <c r="H9" s="391"/>
    </row>
    <row r="10" ht="15.75" customHeight="1">
      <c r="A10" s="269"/>
      <c r="B10" s="278">
        <v>19.0</v>
      </c>
      <c r="C10" s="278">
        <v>20.0</v>
      </c>
      <c r="D10" s="278">
        <v>21.0</v>
      </c>
      <c r="E10" s="278">
        <v>22.0</v>
      </c>
      <c r="F10" s="278">
        <v>23.0</v>
      </c>
      <c r="G10" s="277">
        <v>24.0</v>
      </c>
      <c r="H10" s="277">
        <v>25.0</v>
      </c>
    </row>
    <row r="11" ht="45.0" customHeight="1">
      <c r="B11" s="394"/>
      <c r="C11" s="394"/>
      <c r="D11" s="391"/>
      <c r="E11" s="391"/>
      <c r="F11" s="391"/>
      <c r="G11" s="391"/>
      <c r="H11" s="391"/>
    </row>
    <row r="12" ht="15.75" customHeight="1">
      <c r="A12" s="269"/>
      <c r="B12" s="278">
        <v>26.0</v>
      </c>
      <c r="C12" s="278">
        <v>27.0</v>
      </c>
      <c r="D12" s="278">
        <v>28.0</v>
      </c>
      <c r="E12" s="278">
        <v>29.0</v>
      </c>
      <c r="F12" s="278">
        <v>30.0</v>
      </c>
      <c r="G12" s="278">
        <v>31.0</v>
      </c>
    </row>
    <row r="13" ht="45.0" customHeight="1">
      <c r="B13" s="391"/>
      <c r="C13" s="391"/>
      <c r="D13" s="391"/>
      <c r="E13" s="391"/>
      <c r="F13" s="391"/>
      <c r="G13" s="391"/>
      <c r="H13" s="383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1552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7"/>
      <c r="D4" s="407"/>
      <c r="E4" s="407"/>
      <c r="F4" s="407"/>
      <c r="G4" s="407"/>
      <c r="H4" s="277">
        <v>1.0</v>
      </c>
      <c r="J4" s="398" t="s">
        <v>252</v>
      </c>
      <c r="K4" s="279"/>
    </row>
    <row r="5" ht="45.0" customHeight="1">
      <c r="B5" s="388"/>
      <c r="C5" s="388"/>
      <c r="D5" s="388"/>
      <c r="E5" s="388"/>
      <c r="F5" s="388"/>
      <c r="G5" s="388"/>
      <c r="H5" s="391"/>
      <c r="J5" s="399" t="s">
        <v>253</v>
      </c>
      <c r="K5" s="282"/>
    </row>
    <row r="6" ht="15.75" customHeight="1">
      <c r="A6" s="269"/>
      <c r="B6" s="277">
        <v>2.0</v>
      </c>
      <c r="C6" s="277">
        <v>3.0</v>
      </c>
      <c r="D6" s="277">
        <v>4.0</v>
      </c>
      <c r="E6" s="278">
        <v>5.0</v>
      </c>
      <c r="F6" s="278">
        <v>6.0</v>
      </c>
      <c r="G6" s="409">
        <v>7.0</v>
      </c>
      <c r="H6" s="278">
        <v>8.0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 t="s">
        <v>1553</v>
      </c>
      <c r="H7" s="391"/>
      <c r="J7" s="404" t="s">
        <v>255</v>
      </c>
    </row>
    <row r="8" ht="15.75" customHeight="1">
      <c r="A8" s="269"/>
      <c r="B8" s="277">
        <v>9.0</v>
      </c>
      <c r="C8" s="277">
        <v>10.0</v>
      </c>
      <c r="D8" s="277">
        <v>11.0</v>
      </c>
      <c r="E8" s="278">
        <v>12.0</v>
      </c>
      <c r="F8" s="278">
        <v>13.0</v>
      </c>
      <c r="G8" s="278">
        <v>14.0</v>
      </c>
      <c r="H8" s="403">
        <v>15.0</v>
      </c>
      <c r="J8" s="402" t="s">
        <v>1523</v>
      </c>
    </row>
    <row r="9" ht="45.0" customHeight="1">
      <c r="B9" s="391"/>
      <c r="C9" s="391"/>
      <c r="D9" s="391"/>
      <c r="E9" s="391"/>
      <c r="F9" s="391"/>
      <c r="G9" s="391"/>
      <c r="H9" s="391" t="s">
        <v>1554</v>
      </c>
    </row>
    <row r="10" ht="15.75" customHeight="1">
      <c r="A10" s="269"/>
      <c r="B10" s="277">
        <v>16.0</v>
      </c>
      <c r="C10" s="277">
        <v>17.0</v>
      </c>
      <c r="D10" s="277">
        <v>18.0</v>
      </c>
      <c r="E10" s="278">
        <v>19.0</v>
      </c>
      <c r="F10" s="278">
        <v>20.0</v>
      </c>
      <c r="G10" s="278">
        <v>21.0</v>
      </c>
      <c r="H10" s="393">
        <v>22.0</v>
      </c>
    </row>
    <row r="11" ht="45.0" customHeight="1">
      <c r="B11" s="394"/>
      <c r="C11" s="394"/>
      <c r="D11" s="391"/>
      <c r="E11" s="391"/>
      <c r="F11" s="391"/>
      <c r="G11" s="391"/>
      <c r="H11" s="391" t="s">
        <v>1555</v>
      </c>
    </row>
    <row r="12" ht="15.75" customHeight="1">
      <c r="A12" s="269"/>
      <c r="B12" s="277">
        <v>23.0</v>
      </c>
      <c r="C12" s="277">
        <v>24.0</v>
      </c>
      <c r="D12" s="277">
        <v>25.0</v>
      </c>
      <c r="E12" s="278">
        <v>26.0</v>
      </c>
      <c r="F12" s="278">
        <v>27.0</v>
      </c>
      <c r="G12" s="278">
        <v>28.0</v>
      </c>
      <c r="H12" s="278">
        <v>29.0</v>
      </c>
    </row>
    <row r="13" ht="45.0" customHeight="1">
      <c r="B13" s="391"/>
      <c r="C13" s="391"/>
      <c r="D13" s="391"/>
      <c r="E13" s="391"/>
      <c r="F13" s="391"/>
      <c r="G13" s="391"/>
      <c r="H13" s="391"/>
    </row>
    <row r="14" ht="15.75" customHeight="1">
      <c r="A14" s="269"/>
      <c r="B14" s="277">
        <v>30.0</v>
      </c>
      <c r="C14" s="266"/>
      <c r="D14" s="266"/>
      <c r="E14" s="266"/>
      <c r="F14" s="266"/>
      <c r="G14" s="266"/>
      <c r="H14" s="266"/>
    </row>
    <row r="15" ht="45.0" customHeight="1">
      <c r="B15" s="391"/>
      <c r="C15" s="383"/>
      <c r="D15" s="383"/>
      <c r="E15" s="383"/>
      <c r="F15" s="383"/>
      <c r="G15" s="383"/>
      <c r="H15" s="383"/>
    </row>
    <row r="16">
      <c r="A16" s="269"/>
      <c r="B16" s="261"/>
      <c r="C16" s="261"/>
      <c r="D16" s="261"/>
      <c r="E16" s="261"/>
    </row>
    <row r="17" ht="15.75" customHeight="1">
      <c r="A17" s="269"/>
      <c r="B17" s="396" t="s">
        <v>250</v>
      </c>
      <c r="C17" s="289"/>
      <c r="D17" s="289"/>
      <c r="E17" s="149"/>
    </row>
    <row r="18" ht="15.75" customHeight="1">
      <c r="A18" s="290"/>
      <c r="B18" s="291"/>
      <c r="C18" s="292"/>
      <c r="D18" s="292"/>
      <c r="E18" s="293"/>
    </row>
    <row r="19" ht="15.75" customHeight="1">
      <c r="A19" s="290"/>
      <c r="B19" s="294"/>
      <c r="E19" s="210"/>
    </row>
    <row r="20" ht="15.75" customHeight="1">
      <c r="A20" s="290"/>
      <c r="B20" s="294"/>
      <c r="E20" s="210"/>
    </row>
    <row r="21" ht="15.75" customHeight="1">
      <c r="A21" s="290"/>
      <c r="B21" s="295"/>
      <c r="C21" s="289"/>
      <c r="D21" s="289"/>
      <c r="E21" s="14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1556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277">
        <v>1.0</v>
      </c>
      <c r="D4" s="277">
        <v>2.0</v>
      </c>
      <c r="E4" s="277">
        <v>3.0</v>
      </c>
      <c r="F4" s="277">
        <v>4.0</v>
      </c>
      <c r="G4" s="278">
        <v>5.0</v>
      </c>
      <c r="H4" s="278">
        <v>6.0</v>
      </c>
      <c r="J4" s="398" t="s">
        <v>252</v>
      </c>
      <c r="K4" s="279"/>
    </row>
    <row r="5" ht="45.0" customHeight="1">
      <c r="B5" s="389"/>
      <c r="C5" s="391"/>
      <c r="D5" s="390"/>
      <c r="E5" s="390"/>
      <c r="F5" s="390"/>
      <c r="G5" s="390"/>
      <c r="H5" s="395"/>
      <c r="J5" s="399" t="s">
        <v>253</v>
      </c>
      <c r="K5" s="282"/>
    </row>
    <row r="6" ht="15.75" customHeight="1">
      <c r="A6" s="269"/>
      <c r="B6" s="278">
        <v>7.0</v>
      </c>
      <c r="C6" s="278">
        <v>8.0</v>
      </c>
      <c r="D6" s="277">
        <v>9.0</v>
      </c>
      <c r="E6" s="277">
        <v>10.0</v>
      </c>
      <c r="F6" s="277">
        <v>11.0</v>
      </c>
      <c r="G6" s="403">
        <v>12.0</v>
      </c>
      <c r="H6" s="278">
        <v>13.0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 t="s">
        <v>1557</v>
      </c>
      <c r="H7" s="391"/>
      <c r="J7" s="404" t="s">
        <v>255</v>
      </c>
    </row>
    <row r="8" ht="15.75" customHeight="1">
      <c r="A8" s="269"/>
      <c r="B8" s="278">
        <v>14.0</v>
      </c>
      <c r="C8" s="278">
        <v>15.0</v>
      </c>
      <c r="D8" s="277">
        <v>16.0</v>
      </c>
      <c r="E8" s="277">
        <v>17.0</v>
      </c>
      <c r="F8" s="277">
        <v>18.0</v>
      </c>
      <c r="G8" s="278">
        <v>19.0</v>
      </c>
      <c r="H8" s="278">
        <v>20.0</v>
      </c>
      <c r="J8" s="402" t="s">
        <v>1523</v>
      </c>
    </row>
    <row r="9" ht="45.0" customHeight="1">
      <c r="B9" s="391"/>
      <c r="C9" s="391"/>
      <c r="D9" s="391"/>
      <c r="E9" s="391"/>
      <c r="F9" s="391"/>
      <c r="G9" s="391"/>
      <c r="H9" s="391"/>
    </row>
    <row r="10" ht="15.75" customHeight="1">
      <c r="A10" s="269"/>
      <c r="B10" s="278">
        <v>21.0</v>
      </c>
      <c r="C10" s="278">
        <v>22.0</v>
      </c>
      <c r="D10" s="277">
        <v>23.0</v>
      </c>
      <c r="E10" s="277">
        <v>24.0</v>
      </c>
      <c r="F10" s="277">
        <v>25.0</v>
      </c>
      <c r="G10" s="278">
        <v>26.0</v>
      </c>
      <c r="H10" s="278">
        <v>27.0</v>
      </c>
    </row>
    <row r="11" ht="45.0" customHeight="1">
      <c r="B11" s="394"/>
      <c r="C11" s="394"/>
      <c r="D11" s="391"/>
      <c r="E11" s="391"/>
      <c r="F11" s="391"/>
      <c r="G11" s="391"/>
      <c r="H11" s="391"/>
    </row>
    <row r="12" ht="15.75" customHeight="1">
      <c r="A12" s="269"/>
      <c r="B12" s="278">
        <v>28.0</v>
      </c>
      <c r="C12" s="278">
        <v>29.0</v>
      </c>
      <c r="D12" s="277">
        <v>30.0</v>
      </c>
      <c r="E12" s="393">
        <v>31.0</v>
      </c>
    </row>
    <row r="13" ht="45.0" customHeight="1">
      <c r="B13" s="391"/>
      <c r="C13" s="391"/>
      <c r="D13" s="391"/>
      <c r="E13" s="391" t="s">
        <v>1558</v>
      </c>
      <c r="F13" s="383"/>
      <c r="G13" s="383"/>
      <c r="H13" s="383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1559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7"/>
      <c r="D4" s="407"/>
      <c r="E4" s="408"/>
      <c r="F4" s="277">
        <v>1.0</v>
      </c>
      <c r="G4" s="277">
        <v>2.0</v>
      </c>
      <c r="H4" s="277">
        <v>3.0</v>
      </c>
      <c r="J4" s="398" t="s">
        <v>252</v>
      </c>
      <c r="K4" s="279"/>
    </row>
    <row r="5" ht="45.0" customHeight="1">
      <c r="B5" s="410"/>
      <c r="C5" s="411"/>
      <c r="D5" s="410"/>
      <c r="E5" s="412"/>
      <c r="F5" s="413"/>
      <c r="G5" s="413"/>
      <c r="H5" s="414"/>
      <c r="J5" s="399" t="s">
        <v>253</v>
      </c>
      <c r="K5" s="282"/>
    </row>
    <row r="6" ht="15.75" customHeight="1">
      <c r="A6" s="269"/>
      <c r="B6" s="278">
        <v>4.0</v>
      </c>
      <c r="C6" s="278">
        <v>5.0</v>
      </c>
      <c r="D6" s="278">
        <v>6.0</v>
      </c>
      <c r="E6" s="278">
        <v>7.0</v>
      </c>
      <c r="F6" s="278">
        <v>8.0</v>
      </c>
      <c r="G6" s="277">
        <v>9.0</v>
      </c>
      <c r="H6" s="277">
        <v>10.0</v>
      </c>
      <c r="J6" s="400" t="s">
        <v>254</v>
      </c>
    </row>
    <row r="7" ht="45.0" customHeight="1">
      <c r="B7" s="415"/>
      <c r="C7" s="415"/>
      <c r="D7" s="415"/>
      <c r="E7" s="415"/>
      <c r="F7" s="415"/>
      <c r="G7" s="415"/>
      <c r="H7" s="415"/>
      <c r="J7" s="404" t="s">
        <v>255</v>
      </c>
    </row>
    <row r="8" ht="15.75" customHeight="1">
      <c r="A8" s="269"/>
      <c r="B8" s="278">
        <v>11.0</v>
      </c>
      <c r="C8" s="278">
        <v>12.0</v>
      </c>
      <c r="D8" s="278">
        <v>13.0</v>
      </c>
      <c r="E8" s="278">
        <v>14.0</v>
      </c>
      <c r="F8" s="278">
        <v>15.0</v>
      </c>
      <c r="G8" s="277">
        <v>16.0</v>
      </c>
      <c r="H8" s="277">
        <v>17.0</v>
      </c>
      <c r="J8" s="402" t="s">
        <v>1523</v>
      </c>
    </row>
    <row r="9" ht="45.0" customHeight="1">
      <c r="B9" s="415"/>
      <c r="C9" s="415"/>
      <c r="D9" s="415"/>
      <c r="E9" s="415"/>
      <c r="F9" s="415"/>
      <c r="G9" s="415"/>
      <c r="H9" s="415"/>
    </row>
    <row r="10" ht="15.75" customHeight="1">
      <c r="A10" s="269"/>
      <c r="B10" s="278">
        <v>18.0</v>
      </c>
      <c r="C10" s="278">
        <v>19.0</v>
      </c>
      <c r="D10" s="278">
        <v>20.0</v>
      </c>
      <c r="E10" s="278">
        <v>21.0</v>
      </c>
      <c r="F10" s="403">
        <v>22.0</v>
      </c>
      <c r="G10" s="277">
        <v>23.0</v>
      </c>
      <c r="H10" s="277">
        <v>24.0</v>
      </c>
    </row>
    <row r="11" ht="45.0" customHeight="1">
      <c r="B11" s="416"/>
      <c r="C11" s="416"/>
      <c r="D11" s="415"/>
      <c r="E11" s="415"/>
      <c r="F11" s="415" t="s">
        <v>1560</v>
      </c>
      <c r="G11" s="415"/>
      <c r="H11" s="415"/>
    </row>
    <row r="12" ht="15.75" customHeight="1">
      <c r="A12" s="269"/>
      <c r="B12" s="403">
        <v>25.0</v>
      </c>
      <c r="C12" s="278">
        <v>26.0</v>
      </c>
      <c r="D12" s="278">
        <v>27.0</v>
      </c>
      <c r="E12" s="278">
        <v>28.0</v>
      </c>
      <c r="F12" s="278">
        <v>29.0</v>
      </c>
      <c r="G12" s="277">
        <v>30.0</v>
      </c>
    </row>
    <row r="13" ht="45.0" customHeight="1">
      <c r="B13" s="415" t="s">
        <v>1561</v>
      </c>
      <c r="C13" s="415"/>
      <c r="D13" s="415"/>
      <c r="E13" s="415"/>
      <c r="F13" s="415"/>
      <c r="G13" s="415"/>
      <c r="H13" s="383"/>
    </row>
    <row r="14">
      <c r="A14" s="269"/>
      <c r="B14" s="261"/>
      <c r="C14" s="261"/>
      <c r="D14" s="261"/>
      <c r="E14" s="261"/>
    </row>
    <row r="15" ht="15.75" customHeight="1">
      <c r="A15" s="269"/>
      <c r="B15" s="396" t="s">
        <v>250</v>
      </c>
      <c r="C15" s="289"/>
      <c r="D15" s="289"/>
      <c r="E15" s="149"/>
    </row>
    <row r="16" ht="15.75" customHeight="1">
      <c r="A16" s="290"/>
      <c r="B16" s="291"/>
      <c r="C16" s="292"/>
      <c r="D16" s="292"/>
      <c r="E16" s="293"/>
    </row>
    <row r="17" ht="15.75" customHeight="1">
      <c r="A17" s="290"/>
      <c r="B17" s="294"/>
      <c r="E17" s="210"/>
    </row>
    <row r="18" ht="15.75" customHeight="1">
      <c r="A18" s="290"/>
      <c r="B18" s="294"/>
      <c r="E18" s="210"/>
    </row>
    <row r="19" ht="15.75" customHeight="1">
      <c r="A19" s="290"/>
      <c r="B19" s="295"/>
      <c r="C19" s="289"/>
      <c r="D19" s="289"/>
      <c r="E19" s="1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259"/>
      <c r="B1" s="274" t="s">
        <v>1562</v>
      </c>
      <c r="E1" s="274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</row>
    <row r="2" ht="15.75" customHeight="1"/>
    <row r="3" ht="24.0" customHeight="1">
      <c r="A3" s="275"/>
      <c r="B3" s="276" t="s">
        <v>243</v>
      </c>
      <c r="C3" s="276" t="s">
        <v>244</v>
      </c>
      <c r="D3" s="276" t="s">
        <v>245</v>
      </c>
      <c r="E3" s="276" t="s">
        <v>246</v>
      </c>
      <c r="F3" s="276" t="s">
        <v>247</v>
      </c>
      <c r="G3" s="276" t="s">
        <v>248</v>
      </c>
      <c r="H3" s="276" t="s">
        <v>249</v>
      </c>
      <c r="J3" s="397" t="s">
        <v>251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 ht="15.75" customHeight="1">
      <c r="B4" s="407"/>
      <c r="C4" s="407"/>
      <c r="D4" s="407"/>
      <c r="E4" s="407"/>
      <c r="F4" s="407"/>
      <c r="G4" s="407"/>
      <c r="H4" s="277">
        <v>1.0</v>
      </c>
      <c r="J4" s="398" t="s">
        <v>252</v>
      </c>
      <c r="K4" s="279"/>
    </row>
    <row r="5" ht="45.0" customHeight="1">
      <c r="B5" s="388"/>
      <c r="C5" s="417"/>
      <c r="D5" s="388"/>
      <c r="E5" s="388"/>
      <c r="F5" s="388"/>
      <c r="G5" s="388"/>
      <c r="H5" s="395"/>
      <c r="J5" s="399" t="s">
        <v>253</v>
      </c>
      <c r="K5" s="282"/>
    </row>
    <row r="6" ht="15.75" customHeight="1">
      <c r="A6" s="269"/>
      <c r="B6" s="278">
        <v>2.0</v>
      </c>
      <c r="C6" s="278">
        <v>3.0</v>
      </c>
      <c r="D6" s="278">
        <v>4.0</v>
      </c>
      <c r="E6" s="278">
        <v>5.0</v>
      </c>
      <c r="F6" s="278">
        <v>6.0</v>
      </c>
      <c r="G6" s="278">
        <v>7.0</v>
      </c>
      <c r="H6" s="278">
        <v>8.0</v>
      </c>
      <c r="J6" s="400" t="s">
        <v>254</v>
      </c>
    </row>
    <row r="7" ht="45.0" customHeight="1">
      <c r="B7" s="391"/>
      <c r="C7" s="391"/>
      <c r="D7" s="391"/>
      <c r="E7" s="391"/>
      <c r="F7" s="391"/>
      <c r="G7" s="391"/>
      <c r="H7" s="391"/>
      <c r="J7" s="404" t="s">
        <v>255</v>
      </c>
    </row>
    <row r="8" ht="15.75" customHeight="1">
      <c r="A8" s="269"/>
      <c r="B8" s="278">
        <v>9.0</v>
      </c>
      <c r="C8" s="278">
        <v>10.0</v>
      </c>
      <c r="D8" s="278">
        <v>11.0</v>
      </c>
      <c r="E8" s="278">
        <v>12.0</v>
      </c>
      <c r="F8" s="278">
        <v>13.0</v>
      </c>
      <c r="G8" s="278">
        <v>14.0</v>
      </c>
      <c r="H8" s="278">
        <v>15.0</v>
      </c>
      <c r="J8" s="402" t="s">
        <v>1523</v>
      </c>
    </row>
    <row r="9" ht="45.0" customHeight="1">
      <c r="B9" s="391"/>
      <c r="C9" s="391"/>
      <c r="D9" s="391"/>
      <c r="E9" s="391"/>
      <c r="F9" s="391"/>
      <c r="G9" s="391"/>
      <c r="H9" s="391"/>
    </row>
    <row r="10" ht="15.75" customHeight="1">
      <c r="A10" s="269"/>
      <c r="B10" s="278">
        <v>16.0</v>
      </c>
      <c r="C10" s="278">
        <v>17.0</v>
      </c>
      <c r="D10" s="278">
        <v>18.0</v>
      </c>
      <c r="E10" s="278">
        <v>19.0</v>
      </c>
      <c r="F10" s="278">
        <v>20.0</v>
      </c>
      <c r="G10" s="278">
        <v>21.0</v>
      </c>
      <c r="H10" s="278">
        <v>22.0</v>
      </c>
    </row>
    <row r="11" ht="45.0" customHeight="1">
      <c r="B11" s="394"/>
      <c r="C11" s="394"/>
      <c r="D11" s="391"/>
      <c r="E11" s="391"/>
      <c r="F11" s="391"/>
      <c r="G11" s="391"/>
      <c r="H11" s="391"/>
    </row>
    <row r="12" ht="15.75" customHeight="1">
      <c r="A12" s="269"/>
      <c r="B12" s="278">
        <v>23.0</v>
      </c>
      <c r="C12" s="278">
        <v>24.0</v>
      </c>
      <c r="D12" s="403">
        <v>25.0</v>
      </c>
      <c r="E12" s="278">
        <v>26.0</v>
      </c>
      <c r="F12" s="278">
        <v>27.0</v>
      </c>
      <c r="G12" s="278">
        <v>28.0</v>
      </c>
      <c r="H12" s="278">
        <v>29.0</v>
      </c>
    </row>
    <row r="13" ht="45.0" customHeight="1">
      <c r="B13" s="391"/>
      <c r="C13" s="391"/>
      <c r="D13" s="391" t="s">
        <v>1563</v>
      </c>
      <c r="E13" s="391"/>
      <c r="F13" s="391"/>
      <c r="G13" s="391"/>
      <c r="H13" s="391"/>
    </row>
    <row r="14" ht="15.75" customHeight="1">
      <c r="A14" s="269"/>
      <c r="B14" s="278">
        <v>30.0</v>
      </c>
      <c r="C14" s="409">
        <v>31.0</v>
      </c>
      <c r="D14" s="266"/>
      <c r="E14" s="266"/>
      <c r="F14" s="266"/>
      <c r="G14" s="266"/>
      <c r="H14" s="266"/>
    </row>
    <row r="15" ht="45.0" customHeight="1">
      <c r="B15" s="391"/>
      <c r="C15" s="391" t="s">
        <v>1564</v>
      </c>
      <c r="D15" s="266"/>
      <c r="E15" s="266"/>
      <c r="F15" s="266"/>
      <c r="G15" s="266"/>
      <c r="H15" s="266"/>
    </row>
    <row r="16">
      <c r="A16" s="269"/>
      <c r="B16" s="261"/>
      <c r="C16" s="261"/>
      <c r="D16" s="261"/>
      <c r="E16" s="261"/>
    </row>
    <row r="17" ht="15.75" customHeight="1">
      <c r="A17" s="269"/>
      <c r="B17" s="396" t="s">
        <v>250</v>
      </c>
      <c r="C17" s="289"/>
      <c r="D17" s="289"/>
      <c r="E17" s="149"/>
    </row>
    <row r="18" ht="15.75" customHeight="1">
      <c r="A18" s="290"/>
      <c r="B18" s="291"/>
      <c r="C18" s="292"/>
      <c r="D18" s="292"/>
      <c r="E18" s="293"/>
    </row>
    <row r="19" ht="15.75" customHeight="1">
      <c r="A19" s="290"/>
      <c r="B19" s="294"/>
      <c r="E19" s="210"/>
    </row>
    <row r="20" ht="15.75" customHeight="1">
      <c r="A20" s="290"/>
      <c r="B20" s="294"/>
      <c r="E20" s="210"/>
    </row>
    <row r="21" ht="15.75" customHeight="1">
      <c r="A21" s="290"/>
      <c r="B21" s="295"/>
      <c r="C21" s="289"/>
      <c r="D21" s="289"/>
      <c r="E21" s="14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