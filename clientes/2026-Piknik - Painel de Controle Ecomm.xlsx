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Geral" sheetId="1" r:id="rId5"/>
    <sheet state="visible" name="Dados Históricos" sheetId="2" r:id="rId6"/>
    <sheet state="visible" name="Planejador" sheetId="3" r:id="rId7"/>
    <sheet state="visible" name="Projeção Rápida" sheetId="4" r:id="rId8"/>
    <sheet state="visible" name="DRE Performance" sheetId="5" r:id="rId9"/>
    <sheet state="visible" name="Calendário 2025" sheetId="6" r:id="rId10"/>
    <sheet state="hidden" name="Calendário Fevereiro" sheetId="7" r:id="rId11"/>
    <sheet state="hidden" name="Calendário Março" sheetId="8" r:id="rId12"/>
    <sheet state="hidden" name="Calendário Abril" sheetId="9" r:id="rId13"/>
    <sheet state="hidden" name="Calendário Maio" sheetId="10" r:id="rId14"/>
    <sheet state="hidden" name="Calendário Junho" sheetId="11" r:id="rId15"/>
    <sheet state="hidden" name="Calendário Julho" sheetId="12" r:id="rId16"/>
    <sheet state="visible" name="Ação por Métricas" sheetId="13" r:id="rId17"/>
    <sheet state="visible" name="ADV - FB" sheetId="14" r:id="rId18"/>
    <sheet state="visible" name="ADV - GG" sheetId="15" r:id="rId19"/>
    <sheet state="visible" name="ADV - GA4" sheetId="16" r:id="rId20"/>
    <sheet state="hidden" name="Calendário Agosto" sheetId="17" r:id="rId21"/>
    <sheet state="hidden" name="Calendário Setembro" sheetId="18" r:id="rId22"/>
    <sheet state="hidden" name="Calendário Outubro" sheetId="19" r:id="rId23"/>
    <sheet state="hidden" name="Calendário Novembro" sheetId="20" r:id="rId24"/>
    <sheet state="hidden" name="Calendário Dezembro" sheetId="21" r:id="rId25"/>
  </sheets>
  <definedNames>
    <definedName name="zsupermetrics_refreshAllSilent">#REF!</definedName>
    <definedName name="zsupermetrics_refreshAll">#REF!</definedName>
    <definedName name="zsupermetrics_forceRefresh">#REF!</definedName>
  </definedNames>
  <calcPr/>
</workbook>
</file>

<file path=xl/sharedStrings.xml><?xml version="1.0" encoding="utf-8"?>
<sst xmlns="http://schemas.openxmlformats.org/spreadsheetml/2006/main" count="2743" uniqueCount="388">
  <si>
    <t>DATA</t>
  </si>
  <si>
    <t>DIA</t>
  </si>
  <si>
    <t>AÇÃO DO DIA</t>
  </si>
  <si>
    <t>VALOR INVESTIDO</t>
  </si>
  <si>
    <t>FATURAMENTO</t>
  </si>
  <si>
    <t>ROAS</t>
  </si>
  <si>
    <t>CPS</t>
  </si>
  <si>
    <t>TAXA DE CONVERSÃO</t>
  </si>
  <si>
    <t>CPA</t>
  </si>
  <si>
    <t>PEDIDOS</t>
  </si>
  <si>
    <t>SESSÕES</t>
  </si>
  <si>
    <t>TICKET MÉDIO</t>
  </si>
  <si>
    <t>META INVESTIMENTO</t>
  </si>
  <si>
    <t>META FATURAMENTO</t>
  </si>
  <si>
    <t xml:space="preserve">META ROAS </t>
  </si>
  <si>
    <t>CPS META</t>
  </si>
  <si>
    <t>META TAXA DE CONVERSÃO</t>
  </si>
  <si>
    <t>CPA META</t>
  </si>
  <si>
    <t>META SESSÕES</t>
  </si>
  <si>
    <t>META TICKET MÉDIO</t>
  </si>
  <si>
    <t>JANEIRO</t>
  </si>
  <si>
    <t>FEVEREIRO</t>
  </si>
  <si>
    <t>29/02/2026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</si>
  <si>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</si>
  <si>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</si>
  <si>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</si>
  <si>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</si>
  <si>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</si>
  <si>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</si>
  <si>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</si>
  <si>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</si>
  <si>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</si>
  <si>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</si>
  <si>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</si>
  <si>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CRESCIMENTO MoM</t>
  </si>
  <si>
    <t xml:space="preserve">MÉTRICAS MÉDIAS </t>
  </si>
  <si>
    <t>MÉTRICAS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</si>
  <si>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</si>
  <si>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</si>
  <si>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</si>
  <si>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</si>
  <si>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</si>
  <si>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</si>
  <si>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</si>
  <si>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</si>
  <si>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</si>
  <si>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</si>
  <si>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</si>
  <si>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</si>
  <si>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Médio</t>
  </si>
  <si>
    <t>Receita Captada</t>
  </si>
  <si>
    <t>Receita Faturada</t>
  </si>
  <si>
    <t>% de Aprovação</t>
  </si>
  <si>
    <t>% Aprovação</t>
  </si>
  <si>
    <t>Receita Captada Midia Paga</t>
  </si>
  <si>
    <t>Receita Mídia</t>
  </si>
  <si>
    <t>% Mídia Paga</t>
  </si>
  <si>
    <t>Receita Captada Outros Canais</t>
  </si>
  <si>
    <t>Receita Canais</t>
  </si>
  <si>
    <t>% Outros Canais</t>
  </si>
  <si>
    <t>Investimento Ads</t>
  </si>
  <si>
    <t>Investimento</t>
  </si>
  <si>
    <t>% Aumento / Redução ADS</t>
  </si>
  <si>
    <t>Sessões Totais</t>
  </si>
  <si>
    <t>Sessões Geral</t>
  </si>
  <si>
    <t>Sessões Midia</t>
  </si>
  <si>
    <t>Sessões Mídia</t>
  </si>
  <si>
    <t>CPS Geral</t>
  </si>
  <si>
    <t>CPS Midia</t>
  </si>
  <si>
    <t>CPS Mídia</t>
  </si>
  <si>
    <t>Transações Captadas</t>
  </si>
  <si>
    <t>Pedidos</t>
  </si>
  <si>
    <t>Ticket Médio</t>
  </si>
  <si>
    <t>Taxa de Conversão</t>
  </si>
  <si>
    <t>ROAS Captado</t>
  </si>
  <si>
    <t>% + - ROAS Geral</t>
  </si>
  <si>
    <t>ROAS Faturado</t>
  </si>
  <si>
    <t>ROAS Midia Paga</t>
  </si>
  <si>
    <t>ROAS Mídia</t>
  </si>
  <si>
    <t>% + - ROAS Midia</t>
  </si>
  <si>
    <t>CANAIS</t>
  </si>
  <si>
    <t>(Other)</t>
  </si>
  <si>
    <t>Direto / none</t>
  </si>
  <si>
    <t>Facebook cpc</t>
  </si>
  <si>
    <t>Google cpc</t>
  </si>
  <si>
    <t>Orgânico</t>
  </si>
  <si>
    <t>Instagram Perfil</t>
  </si>
  <si>
    <t>E-mail</t>
  </si>
  <si>
    <t>IG Shopping</t>
  </si>
  <si>
    <t>Instagram / FB Referral</t>
  </si>
  <si>
    <t>Blog</t>
  </si>
  <si>
    <t>Pinterest / Referral</t>
  </si>
  <si>
    <t>TikTok</t>
  </si>
  <si>
    <t>WhatsApp</t>
  </si>
  <si>
    <t>Youtube referral</t>
  </si>
  <si>
    <t>Total de receita</t>
  </si>
  <si>
    <t>Share dos meses</t>
  </si>
  <si>
    <t>CENÁRIO ATUAL (ÚLTIMO MÊS)</t>
  </si>
  <si>
    <t>CENÁRIO DESEJADO</t>
  </si>
  <si>
    <t>CENÁRIO IDEAL</t>
  </si>
  <si>
    <t>MÉDIA / ANUAL</t>
  </si>
  <si>
    <t>% ATUAL</t>
  </si>
  <si>
    <t>% MÁX</t>
  </si>
  <si>
    <t>Valor Investimento</t>
  </si>
  <si>
    <t>Faturamento Desejado</t>
  </si>
  <si>
    <t>Verba Mensal</t>
  </si>
  <si>
    <t>CPS Atual</t>
  </si>
  <si>
    <t>CPS Ideal</t>
  </si>
  <si>
    <t>Ticket Médio Ideal</t>
  </si>
  <si>
    <t>TX Conversão</t>
  </si>
  <si>
    <t>Taxa de Conversão Atual</t>
  </si>
  <si>
    <t>Taxa Conversão Ideal</t>
  </si>
  <si>
    <t>% De Aprovação</t>
  </si>
  <si>
    <t>% De Pagamento Atual</t>
  </si>
  <si>
    <t>Aprovação Pagamento</t>
  </si>
  <si>
    <t>Sessões</t>
  </si>
  <si>
    <t>Visitas Ideais</t>
  </si>
  <si>
    <t>CANAL DE VENDA</t>
  </si>
  <si>
    <t>%</t>
  </si>
  <si>
    <t>PEDIDOS POR CANAL</t>
  </si>
  <si>
    <t>80/20 PRODUTOS</t>
  </si>
  <si>
    <t>PRODUTO</t>
  </si>
  <si>
    <t>PEDIDOS POR PRODUTO</t>
  </si>
  <si>
    <t>FATURAMENTO ESPERADO</t>
  </si>
  <si>
    <t>CPA Ideal</t>
  </si>
  <si>
    <t>Meta Ads</t>
  </si>
  <si>
    <t>80% DAS VENDAS</t>
  </si>
  <si>
    <t>Produto 1</t>
  </si>
  <si>
    <t>Pedidos Mês Ideal</t>
  </si>
  <si>
    <t>Google Ads</t>
  </si>
  <si>
    <t>Produto 2</t>
  </si>
  <si>
    <t>Faturamento Captado</t>
  </si>
  <si>
    <t>Faturamento Bruto</t>
  </si>
  <si>
    <t>Social</t>
  </si>
  <si>
    <t>Produto 3</t>
  </si>
  <si>
    <t>ROAS Bruto</t>
  </si>
  <si>
    <t>Organico</t>
  </si>
  <si>
    <t>Produto 4</t>
  </si>
  <si>
    <t>Faturamento Real</t>
  </si>
  <si>
    <t>Investimento Necessário</t>
  </si>
  <si>
    <t>20% DAS VENDAS</t>
  </si>
  <si>
    <t>Produto 5</t>
  </si>
  <si>
    <t>ROAS Real</t>
  </si>
  <si>
    <t>ROAS Desejado</t>
  </si>
  <si>
    <t>Produto 6</t>
  </si>
  <si>
    <t>Produto 7</t>
  </si>
  <si>
    <t>CENÁRIO DIÁRIO ATUAL</t>
  </si>
  <si>
    <t>CENÁRIO DIÁRIO DESEJADO</t>
  </si>
  <si>
    <t>CENÁRIO DIÁRIO IDEAL</t>
  </si>
  <si>
    <t>Canal</t>
  </si>
  <si>
    <t>Facebook</t>
  </si>
  <si>
    <t>Google</t>
  </si>
  <si>
    <t>Outros</t>
  </si>
  <si>
    <t>Total</t>
  </si>
  <si>
    <t>Produto 8</t>
  </si>
  <si>
    <t>Investimento Diário</t>
  </si>
  <si>
    <t>Sessões Diárias</t>
  </si>
  <si>
    <t>Verba Mês</t>
  </si>
  <si>
    <t>Pedidos Diários</t>
  </si>
  <si>
    <t>Verba Dia</t>
  </si>
  <si>
    <t>Faturamento Diário</t>
  </si>
  <si>
    <t>PROJEÇÃO RÁPIDA</t>
  </si>
  <si>
    <t>MER</t>
  </si>
  <si>
    <t>VISITAS</t>
  </si>
  <si>
    <t>N. PEDIDOS / MÊS</t>
  </si>
  <si>
    <t>ANTES DE ENTRAR NO SITE</t>
  </si>
  <si>
    <t>DEPOIS DE ENTRAR NO SITE</t>
  </si>
  <si>
    <t>MELHORIAS PARA CPC</t>
  </si>
  <si>
    <t>MELHORIAS PARA TX</t>
  </si>
  <si>
    <t>CRIATIVO</t>
  </si>
  <si>
    <t>NAVEGABILIDADE</t>
  </si>
  <si>
    <t>COPY</t>
  </si>
  <si>
    <t>CONTEÚDO</t>
  </si>
  <si>
    <t>PÚBLICO</t>
  </si>
  <si>
    <t xml:space="preserve">OFERTA </t>
  </si>
  <si>
    <t>OFERTA</t>
  </si>
  <si>
    <t>FRETE</t>
  </si>
  <si>
    <t>CAMPANHAS DE CPC BAIXO</t>
  </si>
  <si>
    <t>CHECKOUT</t>
  </si>
  <si>
    <t>CREDIBILIDADE E PROVA SOCIAL</t>
  </si>
  <si>
    <t>QUALIDADE DA PÁGINA</t>
  </si>
  <si>
    <t>BENCHMARK MERCADO</t>
  </si>
  <si>
    <t>Preencer dados (Atual)</t>
  </si>
  <si>
    <t>Não Preencer dados</t>
  </si>
  <si>
    <t>Preencher</t>
  </si>
  <si>
    <t>DRE</t>
  </si>
  <si>
    <t>ROAS/Budget</t>
  </si>
  <si>
    <t>Receita Mensal (R$)</t>
  </si>
  <si>
    <t>Número de pedidos</t>
  </si>
  <si>
    <t>(-) Gateway de pagamento</t>
  </si>
  <si>
    <t>Número de devoluções</t>
  </si>
  <si>
    <t>(-) Devoluções</t>
  </si>
  <si>
    <t>Taxa Gateway &amp; Checkout (%)</t>
  </si>
  <si>
    <t>(-) Impostos sob receita</t>
  </si>
  <si>
    <t>Impostos sob receita (%)</t>
  </si>
  <si>
    <t>(-) CMV</t>
  </si>
  <si>
    <t>Valor gasto Frete mensal (R$)</t>
  </si>
  <si>
    <t>(-) Frete</t>
  </si>
  <si>
    <t>Markup</t>
  </si>
  <si>
    <t>(=) Margem bruta</t>
  </si>
  <si>
    <t>Budget Anúncios (R$)</t>
  </si>
  <si>
    <t>(-) CPA</t>
  </si>
  <si>
    <t>(=) Margem de Contribuição</t>
  </si>
  <si>
    <t>Preencer dados (Planejamento)</t>
  </si>
  <si>
    <t>(=) Margem Contribuição</t>
  </si>
  <si>
    <t>(=) ROAs Realizado</t>
  </si>
  <si>
    <t>(=) Lucro Bruto</t>
  </si>
  <si>
    <t>Breakeven Roas</t>
  </si>
  <si>
    <t>Margem Contrib.</t>
  </si>
  <si>
    <t>Recorrêcia Atual</t>
  </si>
  <si>
    <t>Recompra 90D</t>
  </si>
  <si>
    <t>Receita</t>
  </si>
  <si>
    <t>Lucro 1° Mês</t>
  </si>
  <si>
    <t>Rec. Novos</t>
  </si>
  <si>
    <t>N° N.Clien.</t>
  </si>
  <si>
    <t>Lucro LTV 90D</t>
  </si>
  <si>
    <t>Total 90D</t>
  </si>
  <si>
    <t>CALENDÁRIO 2026</t>
  </si>
  <si>
    <t xml:space="preserve">OUTUBRO </t>
  </si>
  <si>
    <t xml:space="preserve">DEZEMBRO </t>
  </si>
  <si>
    <t>DATAS COMEMORATIVAS</t>
  </si>
  <si>
    <t>Seg</t>
  </si>
  <si>
    <t>Ter</t>
  </si>
  <si>
    <t>Qua</t>
  </si>
  <si>
    <t>Qui</t>
  </si>
  <si>
    <t>Sex</t>
  </si>
  <si>
    <t xml:space="preserve">Sáb </t>
  </si>
  <si>
    <t>Dom</t>
  </si>
  <si>
    <t>Dia da proclamação da Republica</t>
  </si>
  <si>
    <t>Black Friday</t>
  </si>
  <si>
    <t>Cyber Monday</t>
  </si>
  <si>
    <t>Natal</t>
  </si>
  <si>
    <t>Ano novo</t>
  </si>
  <si>
    <t>FEVEREIRO 2026</t>
  </si>
  <si>
    <t xml:space="preserve">SEGUNDA-FEIRA </t>
  </si>
  <si>
    <t xml:space="preserve">TERÇA-FEIRA </t>
  </si>
  <si>
    <t>QUARTA-FEIRA</t>
  </si>
  <si>
    <t>QUINTA-FEIRA</t>
  </si>
  <si>
    <t>SEXTA-FEIRA</t>
  </si>
  <si>
    <t>SÁBADO</t>
  </si>
  <si>
    <t xml:space="preserve">DOMINGO </t>
  </si>
  <si>
    <t>LEGENDA:</t>
  </si>
  <si>
    <t>Feriados</t>
  </si>
  <si>
    <t>Datas de nicho</t>
  </si>
  <si>
    <t>Datas Importantes</t>
  </si>
  <si>
    <t>Essenciais no E-commerce</t>
  </si>
  <si>
    <t>Aquecimento</t>
  </si>
  <si>
    <t xml:space="preserve">Carnaval 
</t>
  </si>
  <si>
    <t xml:space="preserve">Dia do Esportista 
</t>
  </si>
  <si>
    <t>OBSERVAÇÕES:</t>
  </si>
  <si>
    <t>MARÇO 2026</t>
  </si>
  <si>
    <t xml:space="preserve">Dia da Mulher
</t>
  </si>
  <si>
    <t xml:space="preserve">Dia do Consumidor 
</t>
  </si>
  <si>
    <t xml:space="preserve"> Início do Outono 
</t>
  </si>
  <si>
    <t xml:space="preserve">Páscoa 
</t>
  </si>
  <si>
    <t>ABRIL 2026</t>
  </si>
  <si>
    <t xml:space="preserve">Dia da Mentira 
</t>
  </si>
  <si>
    <t xml:space="preserve">Dia Mundial da Saúde
</t>
  </si>
  <si>
    <t xml:space="preserve">Dia do Beijo
</t>
  </si>
  <si>
    <t xml:space="preserve">Dia do Café 
</t>
  </si>
  <si>
    <t xml:space="preserve">Dia Mundial da Terra 
</t>
  </si>
  <si>
    <t>MAIO 2026</t>
  </si>
  <si>
    <t xml:space="preserve">Dia do Trabalho 
</t>
  </si>
  <si>
    <t xml:space="preserve">Dia das Mães 
</t>
  </si>
  <si>
    <t xml:space="preserve">Dia do Abraço
</t>
  </si>
  <si>
    <t xml:space="preserve">Dia do Orgulho Nerd 
</t>
  </si>
  <si>
    <t>JUNHO 2026</t>
  </si>
  <si>
    <t xml:space="preserve">Dia dos Namorados 
</t>
  </si>
  <si>
    <t xml:space="preserve">Início do Inverno 
</t>
  </si>
  <si>
    <t xml:space="preserve">Dia do Orgulho
 LGBTQIA+
</t>
  </si>
  <si>
    <t>JULHO 2026</t>
  </si>
  <si>
    <t xml:space="preserve">Dia do Chocolate 
</t>
  </si>
  <si>
    <t xml:space="preserve">Dia do Rock 
</t>
  </si>
  <si>
    <t xml:space="preserve">Dia do Homem 
</t>
  </si>
  <si>
    <t xml:space="preserve">Dia dos Avós 
</t>
  </si>
  <si>
    <t xml:space="preserve">Dia da Amizade 
</t>
  </si>
  <si>
    <t>CTR</t>
  </si>
  <si>
    <t>Analisar melhores Períodos de CTR</t>
  </si>
  <si>
    <t>Analisar melhores Períodos de CPS</t>
  </si>
  <si>
    <t>Analisar melhores Períodos de Sessões</t>
  </si>
  <si>
    <t>Analisar melhores Períodos de Taxa de Conversão</t>
  </si>
  <si>
    <t>Analisar melhores Períodos de Ticket Médio</t>
  </si>
  <si>
    <t>Analisar melhores Períodos de Faturamento</t>
  </si>
  <si>
    <t>Teste A/B de Criativos</t>
  </si>
  <si>
    <t>Analisar melhores Períodos de CPM</t>
  </si>
  <si>
    <t>Iniciar em Canais com mais Chance de Crescimento</t>
  </si>
  <si>
    <t>Velocidade do Site</t>
  </si>
  <si>
    <t>Frete Fixo acima de TM 10%+</t>
  </si>
  <si>
    <t>Campanha de Frete Grátis</t>
  </si>
  <si>
    <t>Teste A/B de Copy</t>
  </si>
  <si>
    <t>Ampliar Aquisição em  Canais com menor Representatividade</t>
  </si>
  <si>
    <t>Mapear Objeções</t>
  </si>
  <si>
    <t>Kit e Combo</t>
  </si>
  <si>
    <t>Ação com Desconto Especial</t>
  </si>
  <si>
    <t>Teste A/B de Públicos</t>
  </si>
  <si>
    <t xml:space="preserve">Revisar LP ( Contexto e Estrutura ) </t>
  </si>
  <si>
    <t xml:space="preserve">Velocidade </t>
  </si>
  <si>
    <t>Mapear Motivações</t>
  </si>
  <si>
    <t>Brindes</t>
  </si>
  <si>
    <t>LiveShop</t>
  </si>
  <si>
    <t>Otimizar Chamada 3 Primeiros Segundos</t>
  </si>
  <si>
    <t>Entender a Relação de Maior CTR x Menor CPS</t>
  </si>
  <si>
    <t>SEO</t>
  </si>
  <si>
    <t>Analisar Gatilhos e Incentivos</t>
  </si>
  <si>
    <t>Order Bump</t>
  </si>
  <si>
    <t>Recuperação de Pagamento</t>
  </si>
  <si>
    <t>Usar Vídeos DSB</t>
  </si>
  <si>
    <t>Decentralizar Mídia</t>
  </si>
  <si>
    <t>Régua de Relacionamento</t>
  </si>
  <si>
    <t>Revisar Oferta</t>
  </si>
  <si>
    <t>Cupom Progressivo</t>
  </si>
  <si>
    <t>Forma de Pagamento</t>
  </si>
  <si>
    <t>Segmentar Audiências</t>
  </si>
  <si>
    <t>Comentários no Anúncio</t>
  </si>
  <si>
    <t>Influencer</t>
  </si>
  <si>
    <t>Direcionar para Canais com mais Taxa de Conversão</t>
  </si>
  <si>
    <t>Frete Grátis acima de TM 15%</t>
  </si>
  <si>
    <t>Cupom de Madrugada</t>
  </si>
  <si>
    <t>Trocar CTA</t>
  </si>
  <si>
    <t>Oferta Agressiva no Criativo</t>
  </si>
  <si>
    <t>Aumento de Verba</t>
  </si>
  <si>
    <t>Ajustar Canais com Menor Taxa de Conversão</t>
  </si>
  <si>
    <t>Compre Junto</t>
  </si>
  <si>
    <t>Focar em Recompra</t>
  </si>
  <si>
    <t>Produtos Curva A</t>
  </si>
  <si>
    <t>Públicos Amplos</t>
  </si>
  <si>
    <t>Cross Public</t>
  </si>
  <si>
    <t>Intensificar entrega de Produtos com maior Taxa de Conversão</t>
  </si>
  <si>
    <t>Produtos Relacionados</t>
  </si>
  <si>
    <t>E-Mail Marketing</t>
  </si>
  <si>
    <t>Posicionamento de ADS</t>
  </si>
  <si>
    <t>Criativo x Persona</t>
  </si>
  <si>
    <t>Criativo Virais</t>
  </si>
  <si>
    <t>Otimizar Frete</t>
  </si>
  <si>
    <t>Upsell</t>
  </si>
  <si>
    <t>Indique e Ganhe</t>
  </si>
  <si>
    <t>Data</t>
  </si>
  <si>
    <t>Campanha</t>
  </si>
  <si>
    <t>Conjunto de Anuncio</t>
  </si>
  <si>
    <t>Anuncio</t>
  </si>
  <si>
    <t>Valor investido</t>
  </si>
  <si>
    <t>Visualização de Página</t>
  </si>
  <si>
    <t>Impressões</t>
  </si>
  <si>
    <t>Cliques (All)</t>
  </si>
  <si>
    <t>Compras</t>
  </si>
  <si>
    <t>Valor de Compras</t>
  </si>
  <si>
    <t>Ad Prefix</t>
  </si>
  <si>
    <t>Tp-vendas-abo-05.02</t>
  </si>
  <si>
    <t>UGC-04-Interesses-12.03</t>
  </si>
  <si>
    <t>UGC-hook2</t>
  </si>
  <si>
    <t>UGC-02-Interesses-09.02</t>
  </si>
  <si>
    <t>UGC-Hook3</t>
  </si>
  <si>
    <t>UGC-03-Interesses-14.03</t>
  </si>
  <si>
    <t>UGC-Gabriela-interesses-25-45</t>
  </si>
  <si>
    <t>Roteiro 3 hook 3</t>
  </si>
  <si>
    <t>Roteiro 3 hook 1</t>
  </si>
  <si>
    <t>Roteiro 3 hook 2</t>
  </si>
  <si>
    <t>TP-Traffic-10.01</t>
  </si>
  <si>
    <t>Visitas ao perfil</t>
  </si>
  <si>
    <t>UGC-Trabalho</t>
  </si>
  <si>
    <t>Tp-leads-SP-regioes-26.12</t>
  </si>
  <si>
    <t>wpp-reg-limit-16.01</t>
  </si>
  <si>
    <t>wpp-reg-limit-26.12</t>
  </si>
  <si>
    <t>UGC-2</t>
  </si>
  <si>
    <t>UGC-3</t>
  </si>
  <si>
    <t>UGC-4</t>
  </si>
  <si>
    <t>UGC-1</t>
  </si>
  <si>
    <t>Valor Investido</t>
  </si>
  <si>
    <t>Cliques</t>
  </si>
  <si>
    <t>CAMPANHA</t>
  </si>
  <si>
    <t>CONVERSÕES</t>
  </si>
  <si>
    <t>ALL. CONV VALUE</t>
  </si>
  <si>
    <t>Usuarios</t>
  </si>
  <si>
    <t>AGOSTO 2026</t>
  </si>
  <si>
    <t xml:space="preserve">Dia dos Pais 
</t>
  </si>
  <si>
    <t>SETEMBRO 2026</t>
  </si>
  <si>
    <t xml:space="preserve">Independência do
Brasil 
</t>
  </si>
  <si>
    <t xml:space="preserve">Dia do Cliente
</t>
  </si>
  <si>
    <t xml:space="preserve">Dia Mundial Sem Carro 
</t>
  </si>
  <si>
    <t>OUTUBRO 2026</t>
  </si>
  <si>
    <t xml:space="preserve">Dia das Crianças 
</t>
  </si>
  <si>
    <t xml:space="preserve">Dia das Bruxas 
</t>
  </si>
  <si>
    <t>NOVEMBRO 2026</t>
  </si>
  <si>
    <t xml:space="preserve">Black Friday 
</t>
  </si>
  <si>
    <t xml:space="preserve">Cyber Monday 
</t>
  </si>
  <si>
    <t>DEZEMBRO 2026</t>
  </si>
  <si>
    <t xml:space="preserve">Natal 
</t>
  </si>
  <si>
    <t xml:space="preserve">Ano Novo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</si>
</sst>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R$ -416]#,##0"/>
    <numFmt numFmtId="165" formatCode="[$R$ -416]#,##0.00"/>
    <numFmt numFmtId="166" formatCode="dd/mm/yyyy"/>
    <numFmt numFmtId="167" formatCode="0.0%"/>
    <numFmt numFmtId="168" formatCode="&quot;R$&quot;\ #,##0.00;[Red]\-&quot;R$&quot;\ #,##0.00"/>
    <numFmt numFmtId="169" formatCode="&quot;R$&quot;\ #,##0.0;[Red]\-&quot;R$&quot;\ #,##0.0"/>
    <numFmt numFmtId="170" formatCode="&quot;R$&quot;#,##0.00"/>
    <numFmt numFmtId="171" formatCode="[$R$]#,##0.00"/>
    <numFmt numFmtId="172" formatCode="[$R$]#,##0"/>
    <numFmt numFmtId="173" formatCode="#,##0.0"/>
    <numFmt numFmtId="174" formatCode="0.0000000000"/>
    <numFmt numFmtId="175" formatCode="d.m"/>
    <numFmt numFmtId="176" formatCode="dd.mm"/>
    <numFmt numFmtId="177" formatCode="yyyy/MM/dd"/>
    <numFmt numFmtId="178" formatCode="yyyy-mm-dd"/>
  </numFmts>
  <fonts count="56">
    <font>
      <sz val="10.0"/>
      <color rgb="FF000000"/>
      <name val="Arial"/>
      <scheme val="minor"/>
    </font>
    <font>
      <b/>
      <sz val="8.0"/>
      <color rgb="FFFFFFFF"/>
      <name val="Inter"/>
    </font>
    <font>
      <sz val="8.0"/>
      <color theme="1"/>
      <name val="Inter"/>
    </font>
    <font>
      <sz val="8.0"/>
      <color rgb="FFFFFFFF"/>
      <name val="Inter"/>
    </font>
    <font>
      <sz val="8.0"/>
      <color rgb="FF34A853"/>
      <name val="Inter"/>
    </font>
    <font>
      <b/>
      <sz val="8.0"/>
      <color theme="1"/>
      <name val="Inter"/>
    </font>
    <font/>
    <font>
      <b/>
      <sz val="12.0"/>
      <color rgb="FFFFFFFF"/>
      <name val="Calibri"/>
    </font>
    <font>
      <sz val="18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3.0"/>
      <color theme="1"/>
      <name val="Calibri"/>
    </font>
    <font>
      <b/>
      <sz val="12.0"/>
      <color theme="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i/>
      <sz val="10.0"/>
      <color theme="1"/>
      <name val="Calibri"/>
    </font>
    <font>
      <sz val="12.0"/>
      <color theme="4"/>
      <name val="Calibri"/>
    </font>
    <font>
      <sz val="10.0"/>
      <color rgb="FF333333"/>
      <name val="Calibri"/>
    </font>
    <font>
      <b/>
      <color theme="1"/>
      <name val="Calibri"/>
    </font>
    <font>
      <b/>
      <color rgb="FF000000"/>
      <name val="Calibri"/>
    </font>
    <font>
      <color theme="1"/>
      <name val="Arial"/>
    </font>
    <font>
      <b/>
      <color rgb="FFFFFFFF"/>
      <name val="Calibri"/>
    </font>
    <font>
      <sz val="16.0"/>
      <color rgb="FFFFFFFF"/>
      <name val="Calibri"/>
    </font>
    <font>
      <sz val="16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color rgb="FF000000"/>
      <name val="Calibri"/>
    </font>
    <font>
      <b/>
      <sz val="36.0"/>
      <color rgb="FFFFFFFF"/>
      <name val="Lexend"/>
    </font>
    <font>
      <b/>
      <sz val="9.0"/>
      <color rgb="FFFFFFFF"/>
      <name val="Inter"/>
    </font>
    <font>
      <sz val="9.0"/>
      <color rgb="FF4F1199"/>
      <name val="Inter"/>
    </font>
    <font>
      <sz val="9.0"/>
      <color theme="1"/>
      <name val="Inter"/>
    </font>
    <font>
      <color theme="1"/>
      <name val="Arial"/>
      <scheme val="minor"/>
    </font>
    <font>
      <b/>
      <sz val="36.0"/>
      <color rgb="FFFFFFFF"/>
      <name val="Lora"/>
    </font>
    <font>
      <b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b/>
      <sz val="11.0"/>
      <color rgb="FF000000"/>
      <name val="Arial"/>
    </font>
    <font>
      <color rgb="FF202124"/>
      <name val="Roboto"/>
    </font>
    <font>
      <b/>
      <sz val="8.0"/>
      <color theme="1"/>
      <name val="Arial"/>
    </font>
    <font>
      <color rgb="FF202124"/>
      <name val="Poppins"/>
    </font>
    <font>
      <sz val="8.0"/>
      <color theme="1"/>
      <name val="Arial"/>
    </font>
    <font>
      <color theme="1"/>
      <name val="Inter"/>
    </font>
    <font>
      <b/>
      <sz val="9.0"/>
      <color rgb="FFEEF1F1"/>
      <name val="Inter"/>
    </font>
    <font>
      <sz val="11.0"/>
      <color rgb="FF000000"/>
      <name val="Inconsolata"/>
    </font>
  </fonts>
  <fills count="3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30B77"/>
        <bgColor rgb="FF230B7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1F1C3C"/>
        <bgColor rgb="FF1F1C3C"/>
      </patternFill>
    </fill>
    <fill>
      <patternFill patternType="solid">
        <fgColor rgb="FF4100C8"/>
        <bgColor rgb="FF4100C8"/>
      </patternFill>
    </fill>
    <fill>
      <patternFill patternType="solid">
        <fgColor rgb="FF5B4EED"/>
        <bgColor rgb="FF5B4EED"/>
      </patternFill>
    </fill>
    <fill>
      <patternFill patternType="solid">
        <fgColor rgb="FF7A02CA"/>
        <bgColor rgb="FF7A02CA"/>
      </patternFill>
    </fill>
    <fill>
      <patternFill patternType="solid">
        <fgColor rgb="FFC051F3"/>
        <bgColor rgb="FFC051F3"/>
      </patternFill>
    </fill>
    <fill>
      <patternFill patternType="solid">
        <fgColor rgb="FF2EE69F"/>
        <bgColor rgb="FF2EE69F"/>
      </patternFill>
    </fill>
    <fill>
      <patternFill patternType="solid">
        <fgColor rgb="FFDF614C"/>
        <bgColor rgb="FFDF614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4F1199"/>
        <bgColor rgb="FF4F1199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000D58"/>
        <bgColor rgb="FF000D58"/>
      </patternFill>
    </fill>
    <fill>
      <patternFill patternType="solid">
        <fgColor rgb="FF0724CD"/>
        <bgColor rgb="FF0724CD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thin">
        <color rgb="FF000000"/>
      </top>
    </border>
    <border>
      <left/>
      <top/>
      <bottom/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3" xfId="0" applyAlignment="1" applyBorder="1" applyFill="1" applyFont="1" applyNumberForma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2" fillId="4" fontId="3" numFmtId="164" xfId="0" applyAlignment="1" applyBorder="1" applyFont="1" applyNumberFormat="1">
      <alignment horizontal="center" shrinkToFit="0" vertical="center" wrapText="0"/>
    </xf>
    <xf borderId="2" fillId="4" fontId="3" numFmtId="4" xfId="0" applyAlignment="1" applyBorder="1" applyFont="1" applyNumberFormat="1">
      <alignment horizontal="center" shrinkToFit="0" vertical="center" wrapText="0"/>
    </xf>
    <xf borderId="2" fillId="4" fontId="3" numFmtId="165" xfId="0" applyAlignment="1" applyBorder="1" applyFont="1" applyNumberFormat="1">
      <alignment horizontal="center" shrinkToFit="0" vertical="center" wrapText="0"/>
    </xf>
    <xf borderId="2" fillId="4" fontId="3" numFmtId="10" xfId="0" applyAlignment="1" applyBorder="1" applyFont="1" applyNumberFormat="1">
      <alignment horizontal="center" shrinkToFit="0" vertical="center" wrapText="0"/>
    </xf>
    <xf borderId="2" fillId="4" fontId="3" numFmtId="3" xfId="0" applyAlignment="1" applyBorder="1" applyFont="1" applyNumberFormat="1">
      <alignment horizontal="center" shrinkToFit="0" vertical="center" wrapText="0"/>
    </xf>
    <xf borderId="2" fillId="5" fontId="3" numFmtId="166" xfId="0" applyAlignment="1" applyBorder="1" applyFill="1" applyFont="1" applyNumberFormat="1">
      <alignment horizontal="center" readingOrder="0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0" fontId="2" numFmtId="165" xfId="0" applyAlignment="1" applyBorder="1" applyFont="1" applyNumberFormat="1">
      <alignment horizontal="center" shrinkToFit="0" vertical="center" wrapText="0"/>
    </xf>
    <xf borderId="2" fillId="0" fontId="2" numFmtId="2" xfId="0" applyAlignment="1" applyBorder="1" applyFont="1" applyNumberFormat="1">
      <alignment horizontal="center" shrinkToFit="0" vertical="center" wrapText="0"/>
    </xf>
    <xf borderId="2" fillId="0" fontId="2" numFmtId="10" xfId="0" applyAlignment="1" applyBorder="1" applyFont="1" applyNumberFormat="1">
      <alignment horizontal="center" shrinkToFit="0" vertical="center" wrapText="0"/>
    </xf>
    <xf borderId="2" fillId="0" fontId="2" numFmtId="1" xfId="0" applyAlignment="1" applyBorder="1" applyFont="1" applyNumberFormat="1">
      <alignment horizontal="center"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horizontal="center" shrinkToFit="0" vertical="center" wrapText="0"/>
    </xf>
    <xf borderId="3" fillId="0" fontId="2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0" fontId="4" numFmtId="3" xfId="0" applyAlignment="1" applyBorder="1" applyFont="1" applyNumberFormat="1">
      <alignment horizontal="center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3" fillId="4" fontId="3" numFmtId="164" xfId="0" applyAlignment="1" applyBorder="1" applyFont="1" applyNumberFormat="1">
      <alignment horizontal="center" shrinkToFit="0" vertical="center" wrapText="0"/>
    </xf>
    <xf borderId="3" fillId="4" fontId="2" numFmtId="4" xfId="0" applyAlignment="1" applyBorder="1" applyFont="1" applyNumberFormat="1">
      <alignment horizontal="center" shrinkToFit="0" vertical="center" wrapText="0"/>
    </xf>
    <xf borderId="3" fillId="4" fontId="2" numFmtId="165" xfId="0" applyAlignment="1" applyBorder="1" applyFont="1" applyNumberFormat="1">
      <alignment horizontal="center" shrinkToFit="0" vertical="center" wrapText="0"/>
    </xf>
    <xf borderId="3" fillId="4" fontId="2" numFmtId="10" xfId="0" applyAlignment="1" applyBorder="1" applyFont="1" applyNumberFormat="1">
      <alignment horizontal="center" shrinkToFit="0" vertical="center" wrapText="0"/>
    </xf>
    <xf borderId="3" fillId="4" fontId="3" numFmtId="3" xfId="0" applyAlignment="1" applyBorder="1" applyFont="1" applyNumberFormat="1">
      <alignment horizontal="center" shrinkToFit="0" vertical="center" wrapText="0"/>
    </xf>
    <xf borderId="3" fillId="4" fontId="3" numFmtId="4" xfId="0" applyAlignment="1" applyBorder="1" applyFont="1" applyNumberFormat="1">
      <alignment horizontal="center" shrinkToFit="0" vertical="center" wrapText="0"/>
    </xf>
    <xf borderId="3" fillId="4" fontId="3" numFmtId="165" xfId="0" applyAlignment="1" applyBorder="1" applyFont="1" applyNumberFormat="1">
      <alignment horizontal="center" shrinkToFit="0" vertical="center" wrapText="0"/>
    </xf>
    <xf borderId="3" fillId="4" fontId="3" numFmtId="10" xfId="0" applyAlignment="1" applyBorder="1" applyFont="1" applyNumberFormat="1">
      <alignment horizontal="center" shrinkToFit="0" vertical="center" wrapText="0"/>
    </xf>
    <xf borderId="3" fillId="4" fontId="3" numFmtId="164" xfId="0" applyAlignment="1" applyBorder="1" applyFont="1" applyNumberFormat="1">
      <alignment horizontal="center" readingOrder="0" shrinkToFit="0" vertical="center" wrapText="0"/>
    </xf>
    <xf borderId="2" fillId="0" fontId="4" numFmtId="3" xfId="0" applyAlignment="1" applyBorder="1" applyFont="1" applyNumberFormat="1">
      <alignment horizontal="center" readingOrder="0" shrinkToFit="0" vertical="center" wrapText="0"/>
    </xf>
    <xf borderId="2" fillId="0" fontId="2" numFmtId="1" xfId="0" applyAlignment="1" applyBorder="1" applyFont="1" applyNumberFormat="1">
      <alignment horizontal="center" readingOrder="0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2" fillId="5" fontId="2" numFmtId="0" xfId="0" applyAlignment="1" applyBorder="1" applyFont="1">
      <alignment horizontal="center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2" fillId="5" fontId="2" numFmtId="2" xfId="0" applyAlignment="1" applyBorder="1" applyFont="1" applyNumberFormat="1">
      <alignment horizontal="center" shrinkToFit="0" vertical="center" wrapText="0"/>
    </xf>
    <xf borderId="2" fillId="5" fontId="1" numFmtId="3" xfId="0" applyAlignment="1" applyBorder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2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2" fillId="7" fontId="9" numFmtId="167" xfId="0" applyAlignment="1" applyBorder="1" applyFill="1" applyFont="1" applyNumberFormat="1">
      <alignment horizontal="center" vertical="center"/>
    </xf>
    <xf borderId="0" fillId="0" fontId="10" numFmtId="0" xfId="0" applyFont="1"/>
    <xf borderId="5" fillId="3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8" fontId="12" numFmtId="10" xfId="0" applyAlignment="1" applyBorder="1" applyFill="1" applyFont="1" applyNumberFormat="1">
      <alignment horizontal="center" vertical="center"/>
    </xf>
    <xf borderId="2" fillId="9" fontId="13" numFmtId="0" xfId="0" applyAlignment="1" applyBorder="1" applyFill="1" applyFont="1">
      <alignment horizontal="left" vertical="center"/>
    </xf>
    <xf borderId="2" fillId="0" fontId="14" numFmtId="168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shrinkToFit="0" vertical="center" wrapText="1"/>
    </xf>
    <xf borderId="2" fillId="0" fontId="14" numFmtId="168" xfId="0" applyAlignment="1" applyBorder="1" applyFont="1" applyNumberFormat="1">
      <alignment horizontal="center"/>
    </xf>
    <xf borderId="2" fillId="8" fontId="15" numFmtId="0" xfId="0" applyAlignment="1" applyBorder="1" applyFont="1">
      <alignment horizontal="left" vertical="center"/>
    </xf>
    <xf borderId="2" fillId="8" fontId="14" numFmtId="10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2" fillId="8" fontId="14" numFmtId="10" xfId="0" applyAlignment="1" applyBorder="1" applyFont="1" applyNumberFormat="1">
      <alignment horizontal="center" shrinkToFit="0" vertical="center" wrapText="1"/>
    </xf>
    <xf borderId="2" fillId="8" fontId="14" numFmtId="167" xfId="0" applyAlignment="1" applyBorder="1" applyFont="1" applyNumberFormat="1">
      <alignment horizontal="center" vertical="center"/>
    </xf>
    <xf borderId="2" fillId="8" fontId="14" numFmtId="167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vertical="center"/>
    </xf>
    <xf borderId="2" fillId="8" fontId="14" numFmtId="169" xfId="0" applyAlignment="1" applyBorder="1" applyFont="1" applyNumberFormat="1">
      <alignment horizontal="center" vertical="center"/>
    </xf>
    <xf borderId="2" fillId="0" fontId="14" numFmtId="168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shrinkToFit="0" vertical="center" wrapText="1"/>
    </xf>
    <xf borderId="2" fillId="8" fontId="14" numFmtId="2" xfId="0" applyAlignment="1" applyBorder="1" applyFont="1" applyNumberFormat="1">
      <alignment horizontal="center" vertical="center"/>
    </xf>
    <xf borderId="2" fillId="8" fontId="14" numFmtId="4" xfId="0" applyAlignment="1" applyBorder="1" applyFont="1" applyNumberFormat="1">
      <alignment horizontal="center" shrinkToFit="0" vertical="center" wrapText="1"/>
    </xf>
    <xf borderId="0" fillId="10" fontId="8" numFmtId="0" xfId="0" applyAlignment="1" applyFill="1" applyFont="1">
      <alignment horizontal="center"/>
    </xf>
    <xf borderId="0" fillId="0" fontId="8" numFmtId="0" xfId="0" applyFont="1"/>
    <xf borderId="0" fillId="0" fontId="8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2" fillId="9" fontId="13" numFmtId="0" xfId="0" applyAlignment="1" applyBorder="1" applyFont="1">
      <alignment vertical="center"/>
    </xf>
    <xf borderId="2" fillId="9" fontId="14" numFmtId="170" xfId="0" applyAlignment="1" applyBorder="1" applyFont="1" applyNumberFormat="1">
      <alignment horizontal="center" vertical="center"/>
    </xf>
    <xf borderId="2" fillId="8" fontId="18" numFmtId="170" xfId="0" applyAlignment="1" applyBorder="1" applyFont="1" applyNumberFormat="1">
      <alignment horizontal="center" vertical="center"/>
    </xf>
    <xf borderId="2" fillId="0" fontId="10" numFmtId="10" xfId="0" applyAlignment="1" applyBorder="1" applyFont="1" applyNumberFormat="1">
      <alignment horizontal="center"/>
    </xf>
    <xf borderId="2" fillId="8" fontId="15" numFmtId="0" xfId="0" applyAlignment="1" applyBorder="1" applyFont="1">
      <alignment vertical="center"/>
    </xf>
    <xf borderId="2" fillId="8" fontId="19" numFmtId="165" xfId="0" applyAlignment="1" applyBorder="1" applyFont="1" applyNumberFormat="1">
      <alignment horizontal="center" vertical="center"/>
    </xf>
    <xf borderId="2" fillId="2" fontId="20" numFmtId="165" xfId="0" applyAlignment="1" applyBorder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11" fontId="8" numFmtId="0" xfId="0" applyFill="1" applyFont="1"/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left" vertical="center"/>
    </xf>
    <xf borderId="0" fillId="4" fontId="21" numFmtId="0" xfId="0" applyAlignment="1" applyFont="1">
      <alignment horizontal="center" vertical="center"/>
    </xf>
    <xf borderId="0" fillId="4" fontId="22" numFmtId="0" xfId="0" applyAlignment="1" applyFont="1">
      <alignment horizontal="center" vertical="center"/>
    </xf>
    <xf borderId="0" fillId="4" fontId="9" numFmtId="0" xfId="0" applyAlignment="1" applyFont="1">
      <alignment horizontal="center" vertical="center"/>
    </xf>
    <xf borderId="0" fillId="4" fontId="23" numFmtId="0" xfId="0" applyFont="1"/>
    <xf borderId="0" fillId="4" fontId="10" numFmtId="0" xfId="0" applyFont="1"/>
    <xf borderId="0" fillId="9" fontId="11" numFmtId="0" xfId="0" applyAlignment="1" applyFont="1">
      <alignment horizontal="center" vertical="center"/>
    </xf>
    <xf borderId="0" fillId="9" fontId="21" numFmtId="0" xfId="0" applyAlignment="1" applyFont="1">
      <alignment horizontal="center" vertical="center"/>
    </xf>
    <xf borderId="0" fillId="9" fontId="22" numFmtId="0" xfId="0" applyAlignment="1" applyFont="1">
      <alignment horizontal="center" vertical="center"/>
    </xf>
    <xf borderId="0" fillId="9" fontId="23" numFmtId="0" xfId="0" applyFont="1"/>
    <xf borderId="0" fillId="9" fontId="10" numFmtId="0" xfId="0" applyFont="1"/>
    <xf borderId="0" fillId="0" fontId="11" numFmtId="0" xfId="0" applyAlignment="1" applyFont="1">
      <alignment horizontal="center" vertical="center"/>
    </xf>
    <xf borderId="7" fillId="2" fontId="11" numFmtId="0" xfId="0" applyAlignment="1" applyBorder="1" applyFont="1">
      <alignment horizontal="center" vertical="center"/>
    </xf>
    <xf borderId="8" fillId="0" fontId="6" numFmtId="0" xfId="0" applyBorder="1" applyFont="1"/>
    <xf borderId="0" fillId="0" fontId="21" numFmtId="0" xfId="0" applyAlignment="1" applyFont="1">
      <alignment horizontal="center" vertical="center"/>
    </xf>
    <xf borderId="9" fillId="2" fontId="11" numFmtId="0" xfId="0" applyAlignment="1" applyBorder="1" applyFont="1">
      <alignment horizontal="center" vertical="center"/>
    </xf>
    <xf borderId="10" fillId="0" fontId="6" numFmtId="0" xfId="0" applyBorder="1" applyFont="1"/>
    <xf borderId="0" fillId="0" fontId="22" numFmtId="0" xfId="0" applyAlignment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0" fillId="0" fontId="23" numFmtId="0" xfId="0" applyFont="1"/>
    <xf borderId="0" fillId="0" fontId="13" numFmtId="0" xfId="0" applyAlignment="1" applyFont="1">
      <alignment horizontal="center" vertical="center"/>
    </xf>
    <xf borderId="2" fillId="12" fontId="15" numFmtId="0" xfId="0" applyAlignment="1" applyBorder="1" applyFill="1" applyFont="1">
      <alignment horizontal="center" vertical="center"/>
    </xf>
    <xf borderId="12" fillId="13" fontId="18" numFmtId="168" xfId="0" applyAlignment="1" applyBorder="1" applyFill="1" applyFont="1" applyNumberFormat="1">
      <alignment horizontal="center" vertical="center"/>
    </xf>
    <xf borderId="12" fillId="0" fontId="19" numFmtId="165" xfId="0" applyAlignment="1" applyBorder="1" applyFont="1" applyNumberFormat="1">
      <alignment horizontal="center" vertical="center"/>
    </xf>
    <xf borderId="13" fillId="0" fontId="19" numFmtId="165" xfId="0" applyAlignment="1" applyBorder="1" applyFont="1" applyNumberFormat="1">
      <alignment horizontal="center" vertical="center"/>
    </xf>
    <xf borderId="14" fillId="0" fontId="19" numFmtId="165" xfId="0" applyAlignment="1" applyBorder="1" applyFont="1" applyNumberFormat="1">
      <alignment horizontal="center" vertical="center"/>
    </xf>
    <xf borderId="11" fillId="6" fontId="14" numFmtId="10" xfId="0" applyAlignment="1" applyBorder="1" applyFont="1" applyNumberFormat="1">
      <alignment horizontal="center" vertical="center"/>
    </xf>
    <xf borderId="2" fillId="6" fontId="24" numFmtId="9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2" fillId="12" fontId="13" numFmtId="0" xfId="0" applyAlignment="1" applyBorder="1" applyFont="1">
      <alignment horizontal="center" vertical="center"/>
    </xf>
    <xf borderId="11" fillId="8" fontId="18" numFmtId="165" xfId="0" applyAlignment="1" applyBorder="1" applyFont="1" applyNumberFormat="1">
      <alignment horizontal="center" vertical="center"/>
    </xf>
    <xf borderId="13" fillId="0" fontId="18" numFmtId="165" xfId="0" applyAlignment="1" applyBorder="1" applyFont="1" applyNumberFormat="1">
      <alignment horizontal="center" vertical="center"/>
    </xf>
    <xf borderId="14" fillId="0" fontId="18" numFmtId="165" xfId="0" applyAlignment="1" applyBorder="1" applyFont="1" applyNumberFormat="1">
      <alignment horizontal="center" vertical="center"/>
    </xf>
    <xf borderId="2" fillId="6" fontId="14" numFmtId="10" xfId="0" applyAlignment="1" applyBorder="1" applyFont="1" applyNumberFormat="1">
      <alignment horizontal="center" vertical="center"/>
    </xf>
    <xf borderId="2" fillId="8" fontId="18" numFmtId="165" xfId="0" applyAlignment="1" applyBorder="1" applyFont="1" applyNumberFormat="1">
      <alignment horizontal="center" vertical="center"/>
    </xf>
    <xf borderId="12" fillId="13" fontId="18" numFmtId="10" xfId="0" applyAlignment="1" applyBorder="1" applyFont="1" applyNumberFormat="1">
      <alignment horizontal="center" vertical="center"/>
    </xf>
    <xf borderId="2" fillId="8" fontId="18" numFmtId="10" xfId="0" applyAlignment="1" applyBorder="1" applyFont="1" applyNumberFormat="1">
      <alignment horizontal="center" vertical="center"/>
    </xf>
    <xf borderId="13" fillId="0" fontId="18" numFmtId="10" xfId="0" applyAlignment="1" applyBorder="1" applyFont="1" applyNumberFormat="1">
      <alignment horizontal="center" vertical="center"/>
    </xf>
    <xf borderId="14" fillId="0" fontId="18" numFmtId="10" xfId="0" applyAlignment="1" applyBorder="1" applyFont="1" applyNumberFormat="1">
      <alignment horizontal="center" vertical="center"/>
    </xf>
    <xf borderId="2" fillId="8" fontId="18" numFmtId="9" xfId="0" applyAlignment="1" applyBorder="1" applyFont="1" applyNumberFormat="1">
      <alignment horizontal="center" vertical="center"/>
    </xf>
    <xf borderId="13" fillId="0" fontId="18" numFmtId="9" xfId="0" applyAlignment="1" applyBorder="1" applyFont="1" applyNumberFormat="1">
      <alignment horizontal="center" vertical="center"/>
    </xf>
    <xf borderId="14" fillId="0" fontId="18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2" fillId="8" fontId="26" numFmtId="3" xfId="0" applyAlignment="1" applyBorder="1" applyFont="1" applyNumberFormat="1">
      <alignment horizontal="center" vertical="center"/>
    </xf>
    <xf borderId="2" fillId="8" fontId="18" numFmtId="3" xfId="0" applyAlignment="1" applyBorder="1" applyFont="1" applyNumberFormat="1">
      <alignment horizontal="center" vertical="center"/>
    </xf>
    <xf borderId="5" fillId="12" fontId="13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15" fillId="0" fontId="18" numFmtId="9" xfId="0" applyAlignment="1" applyBorder="1" applyFont="1" applyNumberFormat="1">
      <alignment horizontal="center" vertical="center"/>
    </xf>
    <xf borderId="2" fillId="8" fontId="14" numFmtId="1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2" fillId="0" fontId="18" numFmtId="9" xfId="0" applyAlignment="1" applyBorder="1" applyFont="1" applyNumberFormat="1">
      <alignment horizontal="center" vertical="center"/>
    </xf>
    <xf borderId="2" fillId="0" fontId="14" numFmtId="165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vertical="center"/>
    </xf>
    <xf borderId="2" fillId="8" fontId="18" numFmtId="1" xfId="0" applyAlignment="1" applyBorder="1" applyFont="1" applyNumberFormat="1">
      <alignment horizontal="center" vertical="center"/>
    </xf>
    <xf borderId="16" fillId="0" fontId="6" numFmtId="0" xfId="0" applyBorder="1" applyFont="1"/>
    <xf borderId="2" fillId="8" fontId="18" numFmtId="2" xfId="0" applyAlignment="1" applyBorder="1" applyFont="1" applyNumberFormat="1">
      <alignment horizontal="center" vertical="center"/>
    </xf>
    <xf borderId="11" fillId="0" fontId="6" numFmtId="0" xfId="0" applyBorder="1" applyFont="1"/>
    <xf borderId="2" fillId="12" fontId="19" numFmtId="165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17" fillId="0" fontId="18" numFmtId="9" xfId="0" applyAlignment="1" applyBorder="1" applyFont="1" applyNumberFormat="1">
      <alignment horizontal="center" vertical="center"/>
    </xf>
    <xf borderId="2" fillId="14" fontId="18" numFmtId="2" xfId="0" applyAlignment="1" applyBorder="1" applyFill="1" applyFont="1" applyNumberFormat="1">
      <alignment horizontal="center" vertical="center"/>
    </xf>
    <xf borderId="2" fillId="0" fontId="19" numFmtId="9" xfId="0" applyAlignment="1" applyBorder="1" applyFont="1" applyNumberFormat="1">
      <alignment horizontal="center" vertical="center"/>
    </xf>
    <xf borderId="2" fillId="8" fontId="12" numFmtId="1" xfId="0" applyAlignment="1" applyBorder="1" applyFont="1" applyNumberFormat="1">
      <alignment horizontal="center" vertical="center"/>
    </xf>
    <xf borderId="5" fillId="3" fontId="11" numFmtId="0" xfId="0" applyAlignment="1" applyBorder="1" applyFont="1">
      <alignment horizontal="center" vertical="center"/>
    </xf>
    <xf borderId="18" fillId="9" fontId="10" numFmtId="9" xfId="0" applyAlignment="1" applyBorder="1" applyFont="1" applyNumberFormat="1">
      <alignment horizontal="center" vertical="center"/>
    </xf>
    <xf borderId="19" fillId="9" fontId="10" numFmtId="9" xfId="0" applyAlignment="1" applyBorder="1" applyFont="1" applyNumberFormat="1">
      <alignment horizontal="center" vertical="center"/>
    </xf>
    <xf borderId="20" fillId="9" fontId="10" numFmtId="9" xfId="0" applyAlignment="1" applyBorder="1" applyFont="1" applyNumberFormat="1">
      <alignment horizontal="center" vertical="center"/>
    </xf>
    <xf borderId="2" fillId="8" fontId="27" numFmtId="9" xfId="0" applyAlignment="1" applyBorder="1" applyFont="1" applyNumberFormat="1">
      <alignment horizontal="center" vertical="center"/>
    </xf>
    <xf borderId="2" fillId="8" fontId="12" numFmtId="3" xfId="0" applyAlignment="1" applyBorder="1" applyFont="1" applyNumberFormat="1">
      <alignment horizontal="center" vertical="center"/>
    </xf>
    <xf borderId="2" fillId="8" fontId="12" numFmtId="165" xfId="0" applyAlignment="1" applyBorder="1" applyFont="1" applyNumberFormat="1">
      <alignment horizontal="center" vertical="center"/>
    </xf>
    <xf borderId="2" fillId="12" fontId="28" numFmtId="0" xfId="0" applyAlignment="1" applyBorder="1" applyFont="1">
      <alignment horizontal="center" vertical="center"/>
    </xf>
    <xf borderId="11" fillId="8" fontId="10" numFmtId="164" xfId="0" applyAlignment="1" applyBorder="1" applyFont="1" applyNumberFormat="1">
      <alignment horizontal="center" vertical="center"/>
    </xf>
    <xf borderId="2" fillId="8" fontId="27" numFmtId="164" xfId="0" applyAlignment="1" applyBorder="1" applyFont="1" applyNumberFormat="1">
      <alignment horizontal="center" vertical="center"/>
    </xf>
    <xf borderId="2" fillId="8" fontId="10" numFmtId="164" xfId="0" applyAlignment="1" applyBorder="1" applyFont="1" applyNumberFormat="1">
      <alignment horizontal="center" vertical="center"/>
    </xf>
    <xf borderId="0" fillId="15" fontId="7" numFmtId="0" xfId="0" applyAlignment="1" applyFill="1" applyFont="1">
      <alignment horizontal="center" vertical="center"/>
    </xf>
    <xf borderId="0" fillId="15" fontId="7" numFmtId="0" xfId="0" applyAlignment="1" applyFont="1">
      <alignment horizontal="left" vertical="center"/>
    </xf>
    <xf borderId="0" fillId="15" fontId="21" numFmtId="0" xfId="0" applyAlignment="1" applyFont="1">
      <alignment horizontal="center" vertical="center"/>
    </xf>
    <xf borderId="0" fillId="15" fontId="22" numFmtId="0" xfId="0" applyAlignment="1" applyFont="1">
      <alignment horizontal="center" vertical="center"/>
    </xf>
    <xf borderId="0" fillId="15" fontId="9" numFmtId="0" xfId="0" applyAlignment="1" applyFont="1">
      <alignment horizontal="center" vertical="center"/>
    </xf>
    <xf borderId="0" fillId="15" fontId="23" numFmtId="0" xfId="0" applyFont="1"/>
    <xf borderId="0" fillId="15" fontId="10" numFmtId="0" xfId="0" applyFont="1"/>
    <xf borderId="0" fillId="15" fontId="29" numFmtId="0" xfId="0" applyFont="1"/>
    <xf borderId="0" fillId="9" fontId="29" numFmtId="0" xfId="0" applyFont="1"/>
    <xf borderId="21" fillId="2" fontId="11" numFmtId="0" xfId="0" applyAlignment="1" applyBorder="1" applyFont="1">
      <alignment horizontal="center" vertical="center"/>
    </xf>
    <xf borderId="4" fillId="0" fontId="6" numFmtId="0" xfId="0" applyBorder="1" applyFont="1"/>
    <xf borderId="5" fillId="2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2" fillId="8" fontId="27" numFmtId="0" xfId="0" applyAlignment="1" applyBorder="1" applyFont="1">
      <alignment horizontal="center" vertical="center"/>
    </xf>
    <xf borderId="0" fillId="10" fontId="10" numFmtId="0" xfId="0" applyAlignment="1" applyFont="1">
      <alignment vertical="bottom"/>
    </xf>
    <xf borderId="0" fillId="10" fontId="10" numFmtId="0" xfId="0" applyFont="1"/>
    <xf borderId="0" fillId="10" fontId="30" numFmtId="0" xfId="0" applyAlignment="1" applyFont="1">
      <alignment vertical="center"/>
    </xf>
    <xf borderId="22" fillId="1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22" fillId="0" fontId="10" numFmtId="0" xfId="0" applyAlignment="1" applyBorder="1" applyFont="1">
      <alignment vertical="bottom"/>
    </xf>
    <xf borderId="2" fillId="3" fontId="31" numFmtId="0" xfId="0" applyAlignment="1" applyBorder="1" applyFont="1">
      <alignment horizontal="center" vertical="bottom"/>
    </xf>
    <xf borderId="8" fillId="0" fontId="10" numFmtId="0" xfId="0" applyAlignment="1" applyBorder="1" applyFont="1">
      <alignment vertical="bottom"/>
    </xf>
    <xf borderId="2" fillId="3" fontId="30" numFmtId="0" xfId="0" applyAlignment="1" applyBorder="1" applyFont="1">
      <alignment horizontal="center" vertical="center"/>
    </xf>
    <xf borderId="2" fillId="9" fontId="32" numFmtId="164" xfId="0" applyAlignment="1" applyBorder="1" applyFont="1" applyNumberFormat="1">
      <alignment horizontal="center"/>
    </xf>
    <xf borderId="2" fillId="9" fontId="32" numFmtId="165" xfId="0" applyAlignment="1" applyBorder="1" applyFont="1" applyNumberFormat="1">
      <alignment horizontal="center"/>
    </xf>
    <xf borderId="2" fillId="9" fontId="10" numFmtId="9" xfId="0" applyAlignment="1" applyBorder="1" applyFont="1" applyNumberFormat="1">
      <alignment horizontal="center" vertical="center"/>
    </xf>
    <xf borderId="2" fillId="2" fontId="30" numFmtId="0" xfId="0" applyAlignment="1" applyBorder="1" applyFont="1">
      <alignment horizontal="center" vertical="center"/>
    </xf>
    <xf borderId="2" fillId="16" fontId="10" numFmtId="0" xfId="0" applyAlignment="1" applyBorder="1" applyFill="1" applyFont="1">
      <alignment vertical="bottom"/>
    </xf>
    <xf borderId="2" fillId="9" fontId="32" numFmtId="171" xfId="0" applyAlignment="1" applyBorder="1" applyFont="1" applyNumberFormat="1">
      <alignment horizontal="center"/>
    </xf>
    <xf borderId="2" fillId="9" fontId="32" numFmtId="10" xfId="0" applyAlignment="1" applyBorder="1" applyFont="1" applyNumberFormat="1">
      <alignment horizontal="center"/>
    </xf>
    <xf borderId="0" fillId="2" fontId="10" numFmtId="0" xfId="0" applyFont="1"/>
    <xf borderId="2" fillId="17" fontId="10" numFmtId="0" xfId="0" applyAlignment="1" applyBorder="1" applyFill="1" applyFont="1">
      <alignment vertical="bottom"/>
    </xf>
    <xf borderId="0" fillId="2" fontId="33" numFmtId="0" xfId="0" applyAlignment="1" applyFont="1">
      <alignment horizontal="center" vertical="center"/>
    </xf>
    <xf borderId="2" fillId="18" fontId="10" numFmtId="0" xfId="0" applyAlignment="1" applyBorder="1" applyFill="1" applyFont="1">
      <alignment vertical="bottom"/>
    </xf>
    <xf borderId="2" fillId="8" fontId="34" numFmtId="2" xfId="0" applyAlignment="1" applyBorder="1" applyFont="1" applyNumberFormat="1">
      <alignment horizontal="center"/>
    </xf>
    <xf borderId="2" fillId="8" fontId="34" numFmtId="3" xfId="0" applyAlignment="1" applyBorder="1" applyFont="1" applyNumberFormat="1">
      <alignment horizontal="center"/>
    </xf>
    <xf borderId="2" fillId="19" fontId="33" numFmtId="0" xfId="0" applyAlignment="1" applyBorder="1" applyFill="1" applyFont="1">
      <alignment horizontal="center" vertical="bottom"/>
    </xf>
    <xf borderId="2" fillId="20" fontId="10" numFmtId="0" xfId="0" applyAlignment="1" applyBorder="1" applyFill="1" applyFont="1">
      <alignment vertical="bottom"/>
    </xf>
    <xf borderId="2" fillId="21" fontId="10" numFmtId="0" xfId="0" applyBorder="1" applyFill="1" applyFont="1"/>
    <xf borderId="2" fillId="8" fontId="34" numFmtId="165" xfId="0" applyAlignment="1" applyBorder="1" applyFont="1" applyNumberFormat="1">
      <alignment horizontal="center"/>
    </xf>
    <xf borderId="2" fillId="22" fontId="10" numFmtId="0" xfId="0" applyAlignment="1" applyBorder="1" applyFill="1" applyFont="1">
      <alignment vertical="bottom"/>
    </xf>
    <xf borderId="5" fillId="2" fontId="33" numFmtId="0" xfId="0" applyAlignment="1" applyBorder="1" applyFont="1">
      <alignment horizontal="center" vertical="bottom"/>
    </xf>
    <xf borderId="23" fillId="0" fontId="6" numFmtId="0" xfId="0" applyBorder="1" applyFont="1"/>
    <xf borderId="5" fillId="8" fontId="34" numFmtId="165" xfId="0" applyAlignment="1" applyBorder="1" applyFont="1" applyNumberFormat="1">
      <alignment horizontal="center"/>
    </xf>
    <xf borderId="10" fillId="10" fontId="7" numFmtId="0" xfId="0" applyAlignment="1" applyBorder="1" applyFont="1">
      <alignment horizontal="center"/>
    </xf>
    <xf borderId="10" fillId="3" fontId="11" numFmtId="0" xfId="0" applyAlignment="1" applyBorder="1" applyFont="1">
      <alignment horizontal="center"/>
    </xf>
    <xf borderId="10" fillId="0" fontId="10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 shrinkToFit="0" wrapText="1"/>
    </xf>
    <xf borderId="2" fillId="10" fontId="7" numFmtId="0" xfId="0" applyAlignment="1" applyBorder="1" applyFont="1">
      <alignment horizontal="center"/>
    </xf>
    <xf borderId="2" fillId="3" fontId="11" numFmtId="0" xfId="0" applyAlignment="1" applyBorder="1" applyFont="1">
      <alignment horizontal="center"/>
    </xf>
    <xf borderId="2" fillId="23" fontId="35" numFmtId="165" xfId="0" applyAlignment="1" applyBorder="1" applyFill="1" applyFont="1" applyNumberFormat="1">
      <alignment horizontal="center" vertical="bottom"/>
    </xf>
    <xf borderId="2" fillId="24" fontId="35" numFmtId="10" xfId="0" applyAlignment="1" applyBorder="1" applyFill="1" applyFont="1" applyNumberFormat="1">
      <alignment horizontal="center" vertical="bottom"/>
    </xf>
    <xf borderId="2" fillId="7" fontId="35" numFmtId="165" xfId="0" applyAlignment="1" applyBorder="1" applyFont="1" applyNumberFormat="1">
      <alignment horizontal="center" vertical="bottom"/>
    </xf>
    <xf borderId="2" fillId="7" fontId="35" numFmtId="167" xfId="0" applyAlignment="1" applyBorder="1" applyFont="1" applyNumberFormat="1">
      <alignment horizontal="center" vertical="bottom"/>
    </xf>
    <xf borderId="2" fillId="24" fontId="35" numFmtId="165" xfId="0" applyAlignment="1" applyBorder="1" applyFont="1" applyNumberFormat="1">
      <alignment horizontal="center"/>
    </xf>
    <xf borderId="2" fillId="23" fontId="35" numFmtId="10" xfId="0" applyAlignment="1" applyBorder="1" applyFont="1" applyNumberFormat="1">
      <alignment horizontal="center"/>
    </xf>
    <xf borderId="0" fillId="0" fontId="10" numFmtId="167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5" fillId="25" fontId="10" numFmtId="0" xfId="0" applyAlignment="1" applyBorder="1" applyFill="1" applyFont="1">
      <alignment horizontal="center" vertical="center"/>
    </xf>
    <xf borderId="5" fillId="24" fontId="10" numFmtId="0" xfId="0" applyAlignment="1" applyBorder="1" applyFont="1">
      <alignment horizontal="center" vertical="center"/>
    </xf>
    <xf borderId="0" fillId="0" fontId="10" numFmtId="167" xfId="0" applyFont="1" applyNumberFormat="1"/>
    <xf borderId="5" fillId="2" fontId="30" numFmtId="0" xfId="0" applyAlignment="1" applyBorder="1" applyFont="1">
      <alignment horizontal="center" vertical="center"/>
    </xf>
    <xf borderId="5" fillId="3" fontId="30" numFmtId="0" xfId="0" applyAlignment="1" applyBorder="1" applyFont="1">
      <alignment horizontal="center" vertical="center"/>
    </xf>
    <xf borderId="24" fillId="0" fontId="10" numFmtId="9" xfId="0" applyAlignment="1" applyBorder="1" applyFont="1" applyNumberFormat="1">
      <alignment horizontal="center"/>
    </xf>
    <xf borderId="3" fillId="3" fontId="30" numFmtId="0" xfId="0" applyAlignment="1" applyBorder="1" applyFont="1">
      <alignment horizontal="center" vertical="center"/>
    </xf>
    <xf borderId="2" fillId="3" fontId="30" numFmtId="172" xfId="0" applyAlignment="1" applyBorder="1" applyFont="1" applyNumberFormat="1">
      <alignment horizontal="center" vertical="center"/>
    </xf>
    <xf borderId="5" fillId="14" fontId="10" numFmtId="0" xfId="0" applyAlignment="1" applyBorder="1" applyFont="1">
      <alignment vertical="center"/>
    </xf>
    <xf borderId="24" fillId="9" fontId="10" numFmtId="171" xfId="0" applyAlignment="1" applyBorder="1" applyFont="1" applyNumberFormat="1">
      <alignment horizontal="center"/>
    </xf>
    <xf borderId="2" fillId="26" fontId="10" numFmtId="0" xfId="0" applyBorder="1" applyFill="1" applyFont="1"/>
    <xf borderId="2" fillId="14" fontId="14" numFmtId="171" xfId="0" applyAlignment="1" applyBorder="1" applyFont="1" applyNumberFormat="1">
      <alignment horizontal="center"/>
    </xf>
    <xf borderId="2" fillId="26" fontId="10" numFmtId="0" xfId="0" applyAlignment="1" applyBorder="1" applyFont="1">
      <alignment horizontal="center"/>
    </xf>
    <xf borderId="2" fillId="0" fontId="10" numFmtId="171" xfId="0" applyAlignment="1" applyBorder="1" applyFont="1" applyNumberFormat="1">
      <alignment horizontal="center"/>
    </xf>
    <xf borderId="2" fillId="0" fontId="10" numFmtId="172" xfId="0" applyAlignment="1" applyBorder="1" applyFont="1" applyNumberFormat="1">
      <alignment horizontal="center"/>
    </xf>
    <xf borderId="24" fillId="0" fontId="10" numFmtId="3" xfId="0" applyAlignment="1" applyBorder="1" applyFont="1" applyNumberFormat="1">
      <alignment horizontal="center"/>
    </xf>
    <xf borderId="2" fillId="14" fontId="36" numFmtId="167" xfId="0" applyAlignment="1" applyBorder="1" applyFont="1" applyNumberFormat="1">
      <alignment horizontal="center"/>
    </xf>
    <xf borderId="24" fillId="0" fontId="10" numFmtId="10" xfId="0" applyAlignment="1" applyBorder="1" applyFont="1" applyNumberFormat="1">
      <alignment horizontal="center"/>
    </xf>
    <xf borderId="24" fillId="0" fontId="10" numFmtId="171" xfId="0" applyAlignment="1" applyBorder="1" applyFont="1" applyNumberFormat="1">
      <alignment horizontal="center"/>
    </xf>
    <xf borderId="24" fillId="0" fontId="10" numFmtId="4" xfId="0" applyAlignment="1" applyBorder="1" applyFont="1" applyNumberFormat="1">
      <alignment horizontal="center"/>
    </xf>
    <xf borderId="2" fillId="26" fontId="27" numFmtId="0" xfId="0" applyBorder="1" applyFont="1"/>
    <xf borderId="2" fillId="14" fontId="12" numFmtId="171" xfId="0" applyAlignment="1" applyBorder="1" applyFont="1" applyNumberFormat="1">
      <alignment horizontal="center"/>
    </xf>
    <xf borderId="2" fillId="14" fontId="37" numFmtId="167" xfId="0" applyAlignment="1" applyBorder="1" applyFont="1" applyNumberFormat="1">
      <alignment horizontal="center"/>
    </xf>
    <xf borderId="5" fillId="14" fontId="10" numFmtId="0" xfId="0" applyBorder="1" applyFont="1"/>
    <xf borderId="24" fillId="0" fontId="10" numFmtId="172" xfId="0" applyAlignment="1" applyBorder="1" applyFont="1" applyNumberFormat="1">
      <alignment horizontal="center"/>
    </xf>
    <xf borderId="0" fillId="9" fontId="10" numFmtId="172" xfId="0" applyAlignment="1" applyFont="1" applyNumberFormat="1">
      <alignment horizontal="center"/>
    </xf>
    <xf borderId="0" fillId="9" fontId="10" numFmtId="171" xfId="0" applyAlignment="1" applyFont="1" applyNumberFormat="1">
      <alignment horizontal="center"/>
    </xf>
    <xf borderId="0" fillId="9" fontId="37" numFmtId="167" xfId="0" applyAlignment="1" applyFont="1" applyNumberFormat="1">
      <alignment horizontal="center"/>
    </xf>
    <xf borderId="2" fillId="14" fontId="27" numFmtId="10" xfId="0" applyAlignment="1" applyBorder="1" applyFont="1" applyNumberFormat="1">
      <alignment horizontal="center"/>
    </xf>
    <xf borderId="2" fillId="14" fontId="27" numFmtId="173" xfId="0" applyAlignment="1" applyBorder="1" applyFont="1" applyNumberFormat="1">
      <alignment horizontal="center"/>
    </xf>
    <xf borderId="19" fillId="9" fontId="10" numFmtId="171" xfId="0" applyAlignment="1" applyBorder="1" applyFont="1" applyNumberFormat="1">
      <alignment horizontal="center"/>
    </xf>
    <xf borderId="2" fillId="14" fontId="27" numFmtId="171" xfId="0" applyAlignment="1" applyBorder="1" applyFont="1" applyNumberFormat="1">
      <alignment horizontal="center"/>
    </xf>
    <xf borderId="2" fillId="14" fontId="27" numFmtId="2" xfId="0" applyAlignment="1" applyBorder="1" applyFont="1" applyNumberFormat="1">
      <alignment horizontal="center"/>
    </xf>
    <xf borderId="2" fillId="0" fontId="35" numFmtId="171" xfId="0" applyAlignment="1" applyBorder="1" applyFont="1" applyNumberFormat="1">
      <alignment horizontal="center"/>
    </xf>
    <xf borderId="2" fillId="26" fontId="10" numFmtId="4" xfId="0" applyAlignment="1" applyBorder="1" applyFont="1" applyNumberFormat="1">
      <alignment horizontal="center"/>
    </xf>
    <xf borderId="0" fillId="0" fontId="38" numFmtId="0" xfId="0" applyFont="1"/>
    <xf borderId="12" fillId="9" fontId="38" numFmtId="9" xfId="0" applyAlignment="1" applyBorder="1" applyFont="1" applyNumberFormat="1">
      <alignment horizontal="center" vertical="center"/>
    </xf>
    <xf borderId="25" fillId="9" fontId="38" numFmtId="9" xfId="0" applyAlignment="1" applyBorder="1" applyFont="1" applyNumberFormat="1">
      <alignment horizontal="center" vertical="center"/>
    </xf>
    <xf borderId="0" fillId="9" fontId="10" numFmtId="9" xfId="0" applyFont="1" applyNumberFormat="1"/>
    <xf borderId="2" fillId="14" fontId="27" numFmtId="172" xfId="0" applyAlignment="1" applyBorder="1" applyFont="1" applyNumberFormat="1">
      <alignment horizontal="center"/>
    </xf>
    <xf borderId="2" fillId="14" fontId="27" numFmtId="3" xfId="0" applyAlignment="1" applyBorder="1" applyFont="1" applyNumberFormat="1">
      <alignment horizontal="center"/>
    </xf>
    <xf borderId="2" fillId="14" fontId="27" numFmtId="0" xfId="0" applyAlignment="1" applyBorder="1" applyFont="1">
      <alignment horizontal="center"/>
    </xf>
    <xf borderId="2" fillId="14" fontId="28" numFmtId="172" xfId="0" applyAlignment="1" applyBorder="1" applyFont="1" applyNumberFormat="1">
      <alignment horizontal="center"/>
    </xf>
    <xf borderId="2" fillId="14" fontId="10" numFmtId="9" xfId="0" applyBorder="1" applyFont="1" applyNumberFormat="1"/>
    <xf borderId="18" fillId="9" fontId="10" numFmtId="172" xfId="0" applyAlignment="1" applyBorder="1" applyFont="1" applyNumberFormat="1">
      <alignment horizontal="center"/>
    </xf>
    <xf borderId="19" fillId="9" fontId="10" numFmtId="172" xfId="0" applyAlignment="1" applyBorder="1" applyFont="1" applyNumberFormat="1">
      <alignment horizontal="center"/>
    </xf>
    <xf borderId="20" fillId="9" fontId="10" numFmtId="0" xfId="0" applyAlignment="1" applyBorder="1" applyFont="1">
      <alignment horizontal="center"/>
    </xf>
    <xf borderId="2" fillId="14" fontId="10" numFmtId="3" xfId="0" applyAlignment="1" applyBorder="1" applyFont="1" applyNumberFormat="1">
      <alignment horizontal="center"/>
    </xf>
    <xf borderId="2" fillId="14" fontId="10" numFmtId="0" xfId="0" applyAlignment="1" applyBorder="1" applyFont="1">
      <alignment horizontal="center"/>
    </xf>
    <xf borderId="2" fillId="14" fontId="28" numFmtId="167" xfId="0" applyAlignment="1" applyBorder="1" applyFont="1" applyNumberFormat="1">
      <alignment horizontal="center"/>
    </xf>
    <xf borderId="12" fillId="9" fontId="10" numFmtId="172" xfId="0" applyAlignment="1" applyBorder="1" applyFont="1" applyNumberFormat="1">
      <alignment horizontal="center"/>
    </xf>
    <xf borderId="24" fillId="9" fontId="10" numFmtId="172" xfId="0" applyAlignment="1" applyBorder="1" applyFont="1" applyNumberFormat="1">
      <alignment horizontal="center"/>
    </xf>
    <xf borderId="14" fillId="9" fontId="10" numFmtId="0" xfId="0" applyAlignment="1" applyBorder="1" applyFont="1">
      <alignment horizontal="center"/>
    </xf>
    <xf borderId="0" fillId="0" fontId="10" numFmtId="3" xfId="0" applyFont="1" applyNumberFormat="1"/>
    <xf borderId="14" fillId="9" fontId="10" numFmtId="172" xfId="0" applyAlignment="1" applyBorder="1" applyFont="1" applyNumberFormat="1">
      <alignment horizontal="center"/>
    </xf>
    <xf borderId="0" fillId="0" fontId="10" numFmtId="174" xfId="0" applyFont="1" applyNumberFormat="1"/>
    <xf borderId="0" fillId="0" fontId="10" numFmtId="10" xfId="0" applyFont="1" applyNumberFormat="1"/>
    <xf borderId="0" fillId="0" fontId="10" numFmtId="173" xfId="0" applyFont="1" applyNumberFormat="1"/>
    <xf borderId="0" fillId="27" fontId="29" numFmtId="0" xfId="0" applyAlignment="1" applyFill="1" applyFont="1">
      <alignment vertical="center"/>
    </xf>
    <xf borderId="0" fillId="27" fontId="39" numFmtId="49" xfId="0" applyAlignment="1" applyFont="1" applyNumberFormat="1">
      <alignment readingOrder="0" shrinkToFit="0" vertical="center" wrapText="1"/>
    </xf>
    <xf borderId="0" fillId="0" fontId="29" numFmtId="0" xfId="0" applyAlignment="1" applyFont="1">
      <alignment vertical="center"/>
    </xf>
    <xf borderId="0" fillId="9" fontId="29" numFmtId="0" xfId="0" applyAlignment="1" applyFont="1">
      <alignment vertical="center"/>
    </xf>
    <xf borderId="0" fillId="27" fontId="40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0" fillId="9" fontId="41" numFmtId="0" xfId="0" applyAlignment="1" applyFont="1">
      <alignment horizontal="center" vertical="center"/>
    </xf>
    <xf borderId="0" fillId="9" fontId="29" numFmtId="0" xfId="0" applyAlignment="1" applyFont="1">
      <alignment vertical="center"/>
    </xf>
    <xf borderId="2" fillId="0" fontId="42" numFmtId="175" xfId="0" applyAlignment="1" applyBorder="1" applyFont="1" applyNumberFormat="1">
      <alignment horizontal="center" vertical="center"/>
    </xf>
    <xf borderId="2" fillId="0" fontId="42" numFmtId="0" xfId="0" applyAlignment="1" applyBorder="1" applyFont="1">
      <alignment vertical="center"/>
    </xf>
    <xf borderId="0" fillId="6" fontId="29" numFmtId="0" xfId="0" applyAlignment="1" applyFont="1">
      <alignment vertical="center"/>
    </xf>
    <xf borderId="26" fillId="0" fontId="42" numFmtId="0" xfId="0" applyAlignment="1" applyBorder="1" applyFont="1">
      <alignment horizontal="center" vertical="center"/>
    </xf>
    <xf borderId="0" fillId="0" fontId="29" numFmtId="176" xfId="0" applyAlignment="1" applyFont="1" applyNumberFormat="1">
      <alignment vertical="center"/>
    </xf>
    <xf borderId="0" fillId="0" fontId="29" numFmtId="175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27" fontId="29" numFmtId="0" xfId="0" applyFont="1"/>
    <xf borderId="0" fillId="27" fontId="44" numFmtId="49" xfId="0" applyAlignment="1" applyFont="1" applyNumberFormat="1">
      <alignment readingOrder="0"/>
    </xf>
    <xf borderId="0" fillId="27" fontId="44" numFmtId="49" xfId="0" applyFont="1" applyNumberFormat="1"/>
    <xf borderId="0" fillId="0" fontId="29" numFmtId="0" xfId="0" applyAlignment="1" applyFont="1">
      <alignment horizontal="center"/>
    </xf>
    <xf borderId="2" fillId="27" fontId="45" numFmtId="0" xfId="0" applyAlignment="1" applyBorder="1" applyFont="1">
      <alignment horizontal="center" vertical="center"/>
    </xf>
    <xf borderId="2" fillId="11" fontId="46" numFmtId="0" xfId="0" applyAlignment="1" applyBorder="1" applyFont="1">
      <alignment horizontal="center" vertical="center"/>
    </xf>
    <xf borderId="19" fillId="6" fontId="47" numFmtId="0" xfId="0" applyBorder="1" applyFont="1"/>
    <xf borderId="20" fillId="6" fontId="47" numFmtId="0" xfId="0" applyBorder="1" applyFont="1"/>
    <xf borderId="2" fillId="6" fontId="47" numFmtId="0" xfId="0" applyBorder="1" applyFont="1"/>
    <xf borderId="2" fillId="14" fontId="47" numFmtId="0" xfId="0" applyBorder="1" applyFont="1"/>
    <xf borderId="2" fillId="28" fontId="48" numFmtId="0" xfId="0" applyAlignment="1" applyBorder="1" applyFill="1" applyFont="1">
      <alignment horizontal="center" vertical="center"/>
    </xf>
    <xf borderId="0" fillId="9" fontId="49" numFmtId="0" xfId="0" applyAlignment="1" applyFont="1">
      <alignment horizontal="right" shrinkToFit="0" vertical="bottom" wrapText="0"/>
    </xf>
    <xf borderId="27" fillId="9" fontId="50" numFmtId="0" xfId="0" applyAlignment="1" applyBorder="1" applyFont="1">
      <alignment vertical="top"/>
    </xf>
    <xf borderId="28" fillId="9" fontId="50" numFmtId="0" xfId="0" applyAlignment="1" applyBorder="1" applyFont="1">
      <alignment vertical="top"/>
    </xf>
    <xf borderId="2" fillId="9" fontId="50" numFmtId="0" xfId="0" applyAlignment="1" applyBorder="1" applyFont="1">
      <alignment vertical="top"/>
    </xf>
    <xf borderId="2" fillId="0" fontId="50" numFmtId="0" xfId="0" applyAlignment="1" applyBorder="1" applyFont="1">
      <alignment vertical="top"/>
    </xf>
    <xf borderId="2" fillId="29" fontId="48" numFmtId="0" xfId="0" applyAlignment="1" applyBorder="1" applyFill="1" applyFont="1">
      <alignment horizontal="center" vertical="center"/>
    </xf>
    <xf borderId="0" fillId="9" fontId="51" numFmtId="0" xfId="0" applyAlignment="1" applyFont="1">
      <alignment shrinkToFit="0" vertical="top" wrapText="0"/>
    </xf>
    <xf borderId="0" fillId="0" fontId="29" numFmtId="0" xfId="0" applyFont="1"/>
    <xf borderId="2" fillId="30" fontId="48" numFmtId="0" xfId="0" applyAlignment="1" applyBorder="1" applyFill="1" applyFont="1">
      <alignment horizontal="center" vertical="center"/>
    </xf>
    <xf borderId="2" fillId="31" fontId="48" numFmtId="0" xfId="0" applyAlignment="1" applyBorder="1" applyFill="1" applyFont="1">
      <alignment horizontal="center" vertical="center"/>
    </xf>
    <xf borderId="2" fillId="30" fontId="47" numFmtId="0" xfId="0" applyBorder="1" applyFont="1"/>
    <xf borderId="2" fillId="32" fontId="48" numFmtId="0" xfId="0" applyAlignment="1" applyBorder="1" applyFill="1" applyFont="1">
      <alignment horizontal="center"/>
    </xf>
    <xf borderId="2" fillId="33" fontId="47" numFmtId="0" xfId="0" applyBorder="1" applyFill="1" applyFont="1"/>
    <xf borderId="1" fillId="0" fontId="50" numFmtId="0" xfId="0" applyAlignment="1" applyBorder="1" applyFont="1">
      <alignment vertical="top"/>
    </xf>
    <xf borderId="0" fillId="9" fontId="47" numFmtId="0" xfId="0" applyFont="1"/>
    <xf borderId="2" fillId="0" fontId="52" numFmtId="0" xfId="0" applyAlignment="1" applyBorder="1" applyFont="1">
      <alignment vertical="top"/>
    </xf>
    <xf borderId="0" fillId="9" fontId="45" numFmtId="0" xfId="0" applyFont="1"/>
    <xf borderId="9" fillId="11" fontId="45" numFmtId="0" xfId="0" applyBorder="1" applyFont="1"/>
    <xf borderId="22" fillId="0" fontId="6" numFmtId="0" xfId="0" applyBorder="1" applyFont="1"/>
    <xf borderId="0" fillId="9" fontId="51" numFmtId="0" xfId="0" applyAlignment="1" applyFont="1">
      <alignment horizontal="left" shrinkToFit="0" vertical="center" wrapText="1"/>
    </xf>
    <xf borderId="21" fillId="9" fontId="51" numFmtId="0" xfId="0" applyAlignment="1" applyBorder="1" applyFont="1">
      <alignment horizontal="left" shrinkToFit="0" vertical="center" wrapText="1"/>
    </xf>
    <xf borderId="29" fillId="0" fontId="6" numFmtId="0" xfId="0" applyBorder="1" applyFont="1"/>
    <xf borderId="7" fillId="0" fontId="6" numFmtId="0" xfId="0" applyBorder="1" applyFont="1"/>
    <xf borderId="9" fillId="0" fontId="6" numFmtId="0" xfId="0" applyBorder="1" applyFont="1"/>
    <xf borderId="2" fillId="31" fontId="47" numFmtId="0" xfId="0" applyBorder="1" applyFont="1"/>
    <xf borderId="17" fillId="9" fontId="50" numFmtId="0" xfId="0" applyAlignment="1" applyBorder="1" applyFont="1">
      <alignment vertical="top"/>
    </xf>
    <xf borderId="2" fillId="29" fontId="47" numFmtId="0" xfId="0" applyBorder="1" applyFont="1"/>
    <xf borderId="19" fillId="0" fontId="29" numFmtId="0" xfId="0" applyBorder="1" applyFont="1"/>
    <xf borderId="20" fillId="0" fontId="29" numFmtId="0" xfId="0" applyBorder="1" applyFont="1"/>
    <xf borderId="2" fillId="28" fontId="47" numFmtId="0" xfId="0" applyBorder="1" applyFont="1"/>
    <xf borderId="0" fillId="0" fontId="47" numFmtId="0" xfId="0" applyFont="1"/>
    <xf borderId="30" fillId="9" fontId="53" numFmtId="0" xfId="0" applyAlignment="1" applyBorder="1" applyFont="1">
      <alignment horizontal="center" vertical="center"/>
    </xf>
    <xf borderId="2" fillId="3" fontId="54" numFmtId="0" xfId="0" applyAlignment="1" applyBorder="1" applyFont="1">
      <alignment horizontal="center" vertical="center"/>
    </xf>
    <xf borderId="0" fillId="0" fontId="53" numFmtId="0" xfId="0" applyAlignment="1" applyFont="1">
      <alignment horizontal="center" vertical="center"/>
    </xf>
    <xf borderId="2" fillId="9" fontId="42" numFmtId="170" xfId="0" applyAlignment="1" applyBorder="1" applyFont="1" applyNumberFormat="1">
      <alignment horizontal="center" shrinkToFit="0" vertical="center" wrapText="1"/>
    </xf>
    <xf borderId="0" fillId="0" fontId="53" numFmtId="170" xfId="0" applyAlignment="1" applyFont="1" applyNumberFormat="1">
      <alignment horizontal="center" vertical="center"/>
    </xf>
    <xf borderId="2" fillId="0" fontId="42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vertical="center"/>
    </xf>
    <xf borderId="0" fillId="34" fontId="45" numFmtId="177" xfId="0" applyAlignment="1" applyFill="1" applyFont="1" applyNumberFormat="1">
      <alignment horizontal="center" vertical="center"/>
    </xf>
    <xf borderId="2" fillId="34" fontId="45" numFmtId="0" xfId="0" applyAlignment="1" applyBorder="1" applyFont="1">
      <alignment horizontal="center" vertical="center"/>
    </xf>
    <xf borderId="0" fillId="0" fontId="29" numFmtId="178" xfId="0" applyAlignment="1" applyFont="1" applyNumberFormat="1">
      <alignment readingOrder="0"/>
    </xf>
    <xf borderId="0" fillId="0" fontId="43" numFmtId="0" xfId="0" applyAlignment="1" applyFont="1">
      <alignment readingOrder="0"/>
    </xf>
    <xf borderId="0" fillId="9" fontId="55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29" numFmtId="178" xfId="0" applyFont="1" applyNumberFormat="1"/>
    <xf borderId="2" fillId="34" fontId="45" numFmtId="171" xfId="0" applyAlignment="1" applyBorder="1" applyFont="1" applyNumberFormat="1">
      <alignment horizontal="center" vertical="center"/>
    </xf>
    <xf borderId="2" fillId="35" fontId="45" numFmtId="171" xfId="0" applyAlignment="1" applyBorder="1" applyFill="1" applyFont="1" applyNumberFormat="1">
      <alignment horizontal="center" vertical="center"/>
    </xf>
    <xf borderId="2" fillId="35" fontId="45" numFmtId="172" xfId="0" applyAlignment="1" applyBorder="1" applyFont="1" applyNumberFormat="1">
      <alignment horizontal="center" vertical="center"/>
    </xf>
    <xf borderId="8" fillId="34" fontId="45" numFmtId="177" xfId="0" applyAlignment="1" applyBorder="1" applyFont="1" applyNumberFormat="1">
      <alignment horizontal="center" vertical="center"/>
    </xf>
    <xf borderId="3" fillId="34" fontId="45" numFmtId="0" xfId="0" applyAlignment="1" applyBorder="1" applyFont="1">
      <alignment horizontal="center" vertical="center"/>
    </xf>
    <xf borderId="27" fillId="9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horizontal="left" vertical="top"/>
    </xf>
    <xf borderId="28" fillId="9" fontId="50" numFmtId="0" xfId="0" applyAlignment="1" applyBorder="1" applyFont="1">
      <alignment horizontal="left" vertical="top"/>
    </xf>
    <xf borderId="2" fillId="9" fontId="50" numFmtId="0" xfId="0" applyAlignment="1" applyBorder="1" applyFont="1">
      <alignment horizontal="left" vertical="top"/>
    </xf>
    <xf borderId="2" fillId="0" fontId="52" numFmtId="0" xfId="0" applyAlignment="1" applyBorder="1" applyFont="1">
      <alignment horizontal="left" vertical="top"/>
    </xf>
    <xf borderId="2" fillId="0" fontId="50" numFmtId="0" xfId="0" applyAlignment="1" applyBorder="1" applyFont="1">
      <alignment horizontal="left" vertical="top"/>
    </xf>
    <xf borderId="1" fillId="0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vertical="top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099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28575</xdr:rowOff>
    </xdr:from>
    <xdr:ext cx="243840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7A02CA"/>
      </a:accent2>
      <a:accent3>
        <a:srgbClr val="2EE69F"/>
      </a:accent3>
      <a:accent4>
        <a:srgbClr val="34A853"/>
      </a:accent4>
      <a:accent5>
        <a:srgbClr val="DF614C"/>
      </a:accent5>
      <a:accent6>
        <a:srgbClr val="F1C23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E69F"/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2.63"/>
    <col customWidth="1" min="2" max="2" width="14.5"/>
    <col customWidth="1" min="3" max="3" width="16.63"/>
    <col customWidth="1" min="4" max="7" width="16.38"/>
    <col customWidth="1" min="8" max="8" width="17.25"/>
    <col customWidth="1" min="10" max="17" width="16.38"/>
    <col customWidth="1" min="19" max="20" width="16.38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</row>
    <row r="2" ht="18.75" customHeight="1" collapsed="1">
      <c r="A2" s="5" t="s">
        <v>20</v>
      </c>
      <c r="B2" s="5">
        <v>31.0</v>
      </c>
      <c r="C2" s="6"/>
      <c r="D2" s="7">
        <f>IFERROR(SUM(D3:D33),"")</f>
        <v>1695.67</v>
      </c>
      <c r="E2" s="7">
        <f>iferror(SUM(E3:E33),"")</f>
        <v>0</v>
      </c>
      <c r="F2" s="8">
        <f>iferror(E2/D2,"")</f>
        <v>0</v>
      </c>
      <c r="G2" s="9">
        <f>iferror(D2/K2,"")</f>
        <v>10.46709877</v>
      </c>
      <c r="H2" s="10">
        <f t="shared" ref="H2:H158" si="1">iferror(J2/K2,"")</f>
        <v>0.01234567901</v>
      </c>
      <c r="I2" s="9">
        <f t="shared" ref="I2:I158" si="2">iferror(D2/J2,"")</f>
        <v>847.835</v>
      </c>
      <c r="J2" s="11">
        <f>iferror(SUM(J3:J33),"")</f>
        <v>2</v>
      </c>
      <c r="K2" s="11">
        <f>IFERROR(SUM(K3:K33),"")</f>
        <v>162</v>
      </c>
      <c r="L2" s="9">
        <f>iferror(E2/J2,"")</f>
        <v>0</v>
      </c>
      <c r="M2" s="7" t="str">
        <f>iferror(Planejador!$I$4,"")</f>
        <v/>
      </c>
      <c r="N2" s="7" t="str">
        <f>iferror(Planejador!$I$13,"")</f>
        <v/>
      </c>
      <c r="O2" s="8" t="str">
        <f>iferror(Planejador!$I$14,"")</f>
        <v/>
      </c>
      <c r="P2" s="9" t="str">
        <f>iferror(Planejador!$I$5,"")</f>
        <v/>
      </c>
      <c r="Q2" s="10" t="str">
        <f>Iferror(Planejador!$I$7,"")</f>
        <v/>
      </c>
      <c r="R2" s="9" t="str">
        <f>iferror(Planejador!$I$11,"")</f>
        <v/>
      </c>
      <c r="S2" s="11" t="str">
        <f>iferror(Planejador!$I$10,"")</f>
        <v/>
      </c>
      <c r="T2" s="9" t="str">
        <f>iferror(Planejador!$I$6,"")</f>
        <v/>
      </c>
      <c r="U2" s="4"/>
      <c r="V2" s="4"/>
      <c r="W2" s="4"/>
      <c r="X2" s="4"/>
      <c r="Y2" s="4"/>
      <c r="Z2" s="4"/>
      <c r="AA2" s="4"/>
      <c r="AB2" s="4"/>
    </row>
    <row r="3" ht="18.75" hidden="1" customHeight="1" outlineLevel="1">
      <c r="A3" s="12">
        <v>46023.0</v>
      </c>
      <c r="B3" s="13" t="str">
        <f t="shared" ref="B3:B33" si="3">TEXT(A3,"dddd")</f>
        <v>quinta-feira</v>
      </c>
      <c r="C3" s="13"/>
      <c r="D3" s="14">
        <f>SUMIF('ADV - GG'!A:A,A3,'ADV - GG'!C:C)+SUMIF('ADV - FB'!A:A,$A3,'ADV - FB'!E:E)</f>
        <v>13.26</v>
      </c>
      <c r="E3" s="14"/>
      <c r="F3" s="15">
        <f t="shared" ref="F3:F33" si="4">IFERROR(E3/D3,"")</f>
        <v>0</v>
      </c>
      <c r="G3" s="14" t="str">
        <f t="shared" ref="G3:G33" si="5">IFERROR(D3/K3,"")</f>
        <v/>
      </c>
      <c r="H3" s="16" t="str">
        <f t="shared" si="1"/>
        <v/>
      </c>
      <c r="I3" s="14" t="str">
        <f t="shared" si="2"/>
        <v/>
      </c>
      <c r="J3" s="17">
        <f>SUMIF('ADV - GG'!A:A,A3,'ADV - GG'!H:H)+SUMIF('ADV - FB'!A:A,$A3,'ADV - FB'!I:I)</f>
        <v>0</v>
      </c>
      <c r="K3" s="18">
        <f>SUMIF('ADV - GA4'!A:A,A3,'ADV - GA4'!C:C)</f>
        <v>0</v>
      </c>
      <c r="L3" s="19" t="str">
        <f t="shared" ref="L3:L33" si="6">IFERROR(E3/J3,"")</f>
        <v/>
      </c>
      <c r="M3" s="20">
        <f t="shared" ref="M3:M33" si="7">$M$2/$B$2</f>
        <v>0</v>
      </c>
      <c r="N3" s="14">
        <f t="shared" ref="N3:N33" si="8">$N$2/$B$2</f>
        <v>0</v>
      </c>
      <c r="O3" s="15" t="str">
        <f>iferror(Planejador!$I$14,"")</f>
        <v/>
      </c>
      <c r="P3" s="14" t="str">
        <f>Planejador!$I$5</f>
        <v/>
      </c>
      <c r="Q3" s="16" t="str">
        <f>Planejador!$I$7</f>
        <v/>
      </c>
      <c r="R3" s="14" t="str">
        <f>Planejador!$I$11</f>
        <v>#DIV/0!</v>
      </c>
      <c r="S3" s="18">
        <f t="shared" ref="S3:S33" si="9">$S$2/$B$2</f>
        <v>0</v>
      </c>
      <c r="T3" s="14" t="str">
        <f>Planejador!$I$6</f>
        <v/>
      </c>
      <c r="U3" s="4"/>
      <c r="V3" s="21"/>
      <c r="W3" s="4"/>
      <c r="X3" s="4"/>
      <c r="Y3" s="4"/>
      <c r="Z3" s="4"/>
      <c r="AA3" s="4"/>
      <c r="AB3" s="4"/>
    </row>
    <row r="4" ht="18.75" hidden="1" customHeight="1" outlineLevel="1">
      <c r="A4" s="12">
        <v>46024.0</v>
      </c>
      <c r="B4" s="13" t="str">
        <f t="shared" si="3"/>
        <v>sexta-feira</v>
      </c>
      <c r="C4" s="13"/>
      <c r="D4" s="14">
        <f>SUMIF('ADV - GG'!A:A,A4,'ADV - GG'!C:C)+SUMIF('ADV - FB'!A:A,$A4,'ADV - FB'!E:E)</f>
        <v>35.08</v>
      </c>
      <c r="E4" s="14"/>
      <c r="F4" s="15">
        <f t="shared" si="4"/>
        <v>0</v>
      </c>
      <c r="G4" s="14">
        <f t="shared" si="5"/>
        <v>35.08</v>
      </c>
      <c r="H4" s="16">
        <f t="shared" si="1"/>
        <v>0</v>
      </c>
      <c r="I4" s="14" t="str">
        <f t="shared" si="2"/>
        <v/>
      </c>
      <c r="J4" s="17">
        <f>SUMIF('ADV - GG'!A:A,A4,'ADV - GG'!H:H)+SUMIF('ADV - FB'!A:A,$A4,'ADV - FB'!I:I)</f>
        <v>0</v>
      </c>
      <c r="K4" s="18">
        <f>SUMIF('ADV - GA4'!A:A,A4,'ADV - GA4'!C:C)</f>
        <v>1</v>
      </c>
      <c r="L4" s="19" t="str">
        <f t="shared" si="6"/>
        <v/>
      </c>
      <c r="M4" s="20">
        <f t="shared" si="7"/>
        <v>0</v>
      </c>
      <c r="N4" s="14">
        <f t="shared" si="8"/>
        <v>0</v>
      </c>
      <c r="O4" s="15" t="str">
        <f>iferror(Planejador!$I$14,"")</f>
        <v/>
      </c>
      <c r="P4" s="14" t="str">
        <f>Planejador!$I$5</f>
        <v/>
      </c>
      <c r="Q4" s="16" t="str">
        <f>Planejador!$I$7</f>
        <v/>
      </c>
      <c r="R4" s="14" t="str">
        <f>Planejador!$I$11</f>
        <v>#DIV/0!</v>
      </c>
      <c r="S4" s="18">
        <f t="shared" si="9"/>
        <v>0</v>
      </c>
      <c r="T4" s="14" t="str">
        <f>Planejador!$I$6</f>
        <v/>
      </c>
      <c r="U4" s="4"/>
      <c r="V4" s="4"/>
      <c r="W4" s="4"/>
      <c r="X4" s="4"/>
      <c r="Y4" s="4"/>
      <c r="Z4" s="4"/>
      <c r="AA4" s="4"/>
      <c r="AB4" s="4"/>
    </row>
    <row r="5" ht="18.75" hidden="1" customHeight="1" outlineLevel="1">
      <c r="A5" s="12">
        <v>46025.0</v>
      </c>
      <c r="B5" s="13" t="str">
        <f t="shared" si="3"/>
        <v>sábado</v>
      </c>
      <c r="C5" s="13"/>
      <c r="D5" s="14">
        <f>SUMIF('ADV - GG'!A:A,A5,'ADV - GG'!C:C)+SUMIF('ADV - FB'!A:A,$A5,'ADV - FB'!E:E)</f>
        <v>26.1</v>
      </c>
      <c r="E5" s="14"/>
      <c r="F5" s="15">
        <f t="shared" si="4"/>
        <v>0</v>
      </c>
      <c r="G5" s="14">
        <f t="shared" si="5"/>
        <v>13.05</v>
      </c>
      <c r="H5" s="16">
        <f t="shared" si="1"/>
        <v>0</v>
      </c>
      <c r="I5" s="14" t="str">
        <f t="shared" si="2"/>
        <v/>
      </c>
      <c r="J5" s="17">
        <f>SUMIF('ADV - GG'!A:A,A5,'ADV - GG'!H:H)+SUMIF('ADV - FB'!A:A,$A5,'ADV - FB'!I:I)</f>
        <v>0</v>
      </c>
      <c r="K5" s="18">
        <f>SUMIF('ADV - GA4'!A:A,A5,'ADV - GA4'!C:C)</f>
        <v>2</v>
      </c>
      <c r="L5" s="19" t="str">
        <f t="shared" si="6"/>
        <v/>
      </c>
      <c r="M5" s="20">
        <f t="shared" si="7"/>
        <v>0</v>
      </c>
      <c r="N5" s="14">
        <f t="shared" si="8"/>
        <v>0</v>
      </c>
      <c r="O5" s="15" t="str">
        <f>iferror(Planejador!$I$14,"")</f>
        <v/>
      </c>
      <c r="P5" s="14" t="str">
        <f>Planejador!$I$5</f>
        <v/>
      </c>
      <c r="Q5" s="16" t="str">
        <f>Planejador!$I$7</f>
        <v/>
      </c>
      <c r="R5" s="14" t="str">
        <f>Planejador!$I$11</f>
        <v>#DIV/0!</v>
      </c>
      <c r="S5" s="18">
        <f t="shared" si="9"/>
        <v>0</v>
      </c>
      <c r="T5" s="14" t="str">
        <f>Planejador!$I$6</f>
        <v/>
      </c>
      <c r="U5" s="4"/>
      <c r="V5" s="4"/>
      <c r="W5" s="21"/>
      <c r="X5" s="4"/>
      <c r="Y5" s="4"/>
      <c r="Z5" s="4"/>
      <c r="AA5" s="4"/>
      <c r="AB5" s="4"/>
    </row>
    <row r="6" ht="18.75" hidden="1" customHeight="1" outlineLevel="1">
      <c r="A6" s="12">
        <v>46026.0</v>
      </c>
      <c r="B6" s="13" t="str">
        <f t="shared" si="3"/>
        <v>domingo</v>
      </c>
      <c r="C6" s="13"/>
      <c r="D6" s="14">
        <f>SUMIF('ADV - GG'!A:A,A6,'ADV - GG'!C:C)+SUMIF('ADV - FB'!A:A,$A6,'ADV - FB'!E:E)</f>
        <v>43.39</v>
      </c>
      <c r="E6" s="14"/>
      <c r="F6" s="15">
        <f t="shared" si="4"/>
        <v>0</v>
      </c>
      <c r="G6" s="14">
        <f t="shared" si="5"/>
        <v>14.46333333</v>
      </c>
      <c r="H6" s="16">
        <f t="shared" si="1"/>
        <v>0</v>
      </c>
      <c r="I6" s="14" t="str">
        <f t="shared" si="2"/>
        <v/>
      </c>
      <c r="J6" s="17">
        <f>SUMIF('ADV - GG'!A:A,A6,'ADV - GG'!H:H)+SUMIF('ADV - FB'!A:A,$A6,'ADV - FB'!I:I)</f>
        <v>0</v>
      </c>
      <c r="K6" s="18">
        <f>SUMIF('ADV - GA4'!A:A,A6,'ADV - GA4'!C:C)</f>
        <v>3</v>
      </c>
      <c r="L6" s="19" t="str">
        <f t="shared" si="6"/>
        <v/>
      </c>
      <c r="M6" s="20">
        <f t="shared" si="7"/>
        <v>0</v>
      </c>
      <c r="N6" s="14">
        <f t="shared" si="8"/>
        <v>0</v>
      </c>
      <c r="O6" s="15" t="str">
        <f>iferror(Planejador!$I$14,"")</f>
        <v/>
      </c>
      <c r="P6" s="14" t="str">
        <f>Planejador!$I$5</f>
        <v/>
      </c>
      <c r="Q6" s="16" t="str">
        <f>Planejador!$I$7</f>
        <v/>
      </c>
      <c r="R6" s="14" t="str">
        <f>Planejador!$I$11</f>
        <v>#DIV/0!</v>
      </c>
      <c r="S6" s="18">
        <f t="shared" si="9"/>
        <v>0</v>
      </c>
      <c r="T6" s="14" t="str">
        <f>Planejador!$I$6</f>
        <v/>
      </c>
      <c r="U6" s="4"/>
      <c r="V6" s="4"/>
      <c r="W6" s="4"/>
      <c r="X6" s="4"/>
      <c r="Y6" s="4"/>
      <c r="Z6" s="4"/>
      <c r="AA6" s="4"/>
      <c r="AB6" s="4"/>
    </row>
    <row r="7" ht="18.75" hidden="1" customHeight="1" outlineLevel="1">
      <c r="A7" s="12">
        <v>46027.0</v>
      </c>
      <c r="B7" s="13" t="str">
        <f t="shared" si="3"/>
        <v>segunda-feira</v>
      </c>
      <c r="C7" s="13"/>
      <c r="D7" s="14">
        <f>SUMIF('ADV - GG'!A:A,A7,'ADV - GG'!C:C)+SUMIF('ADV - FB'!A:A,$A7,'ADV - FB'!E:E)</f>
        <v>27.17</v>
      </c>
      <c r="E7" s="14"/>
      <c r="F7" s="15">
        <f t="shared" si="4"/>
        <v>0</v>
      </c>
      <c r="G7" s="14">
        <f t="shared" si="5"/>
        <v>3.39625</v>
      </c>
      <c r="H7" s="16">
        <f t="shared" si="1"/>
        <v>0.25</v>
      </c>
      <c r="I7" s="14">
        <f t="shared" si="2"/>
        <v>13.585</v>
      </c>
      <c r="J7" s="17">
        <f>SUMIF('ADV - GG'!A:A,A7,'ADV - GG'!H:H)+SUMIF('ADV - FB'!A:A,$A7,'ADV - FB'!I:I)</f>
        <v>2</v>
      </c>
      <c r="K7" s="18">
        <f>SUMIF('ADV - GA4'!A:A,A7,'ADV - GA4'!C:C)</f>
        <v>8</v>
      </c>
      <c r="L7" s="19">
        <f t="shared" si="6"/>
        <v>0</v>
      </c>
      <c r="M7" s="20">
        <f t="shared" si="7"/>
        <v>0</v>
      </c>
      <c r="N7" s="14">
        <f t="shared" si="8"/>
        <v>0</v>
      </c>
      <c r="O7" s="15" t="str">
        <f>iferror(Planejador!$I$14,"")</f>
        <v/>
      </c>
      <c r="P7" s="14" t="str">
        <f>Planejador!$I$5</f>
        <v/>
      </c>
      <c r="Q7" s="16" t="str">
        <f>Planejador!$I$7</f>
        <v/>
      </c>
      <c r="R7" s="14" t="str">
        <f>Planejador!$I$11</f>
        <v>#DIV/0!</v>
      </c>
      <c r="S7" s="18">
        <f t="shared" si="9"/>
        <v>0</v>
      </c>
      <c r="T7" s="14" t="str">
        <f>Planejador!$I$6</f>
        <v/>
      </c>
      <c r="U7" s="4"/>
      <c r="V7" s="4"/>
      <c r="W7" s="4"/>
      <c r="X7" s="4"/>
      <c r="Y7" s="4"/>
      <c r="Z7" s="4"/>
      <c r="AA7" s="4"/>
      <c r="AB7" s="4"/>
    </row>
    <row r="8" ht="18.75" hidden="1" customHeight="1" outlineLevel="1">
      <c r="A8" s="12">
        <v>46028.0</v>
      </c>
      <c r="B8" s="13" t="str">
        <f t="shared" si="3"/>
        <v>terça-feira</v>
      </c>
      <c r="C8" s="13"/>
      <c r="D8" s="14">
        <f>SUMIF('ADV - GG'!A:A,A8,'ADV - GG'!C:C)+SUMIF('ADV - FB'!A:A,$A8,'ADV - FB'!E:E)</f>
        <v>18.77</v>
      </c>
      <c r="E8" s="14"/>
      <c r="F8" s="15">
        <f t="shared" si="4"/>
        <v>0</v>
      </c>
      <c r="G8" s="14">
        <f t="shared" si="5"/>
        <v>3.754</v>
      </c>
      <c r="H8" s="16">
        <f t="shared" si="1"/>
        <v>0</v>
      </c>
      <c r="I8" s="14" t="str">
        <f t="shared" si="2"/>
        <v/>
      </c>
      <c r="J8" s="17">
        <f>SUMIF('ADV - GG'!A:A,A8,'ADV - GG'!H:H)+SUMIF('ADV - FB'!A:A,$A8,'ADV - FB'!I:I)</f>
        <v>0</v>
      </c>
      <c r="K8" s="18">
        <f>SUMIF('ADV - GA4'!A:A,A8,'ADV - GA4'!C:C)</f>
        <v>5</v>
      </c>
      <c r="L8" s="19" t="str">
        <f t="shared" si="6"/>
        <v/>
      </c>
      <c r="M8" s="20">
        <f t="shared" si="7"/>
        <v>0</v>
      </c>
      <c r="N8" s="14">
        <f t="shared" si="8"/>
        <v>0</v>
      </c>
      <c r="O8" s="15" t="str">
        <f>iferror(Planejador!$I$14,"")</f>
        <v/>
      </c>
      <c r="P8" s="14" t="str">
        <f>Planejador!$I$5</f>
        <v/>
      </c>
      <c r="Q8" s="16" t="str">
        <f>Planejador!$I$7</f>
        <v/>
      </c>
      <c r="R8" s="14" t="str">
        <f>Planejador!$I$11</f>
        <v>#DIV/0!</v>
      </c>
      <c r="S8" s="18">
        <f t="shared" si="9"/>
        <v>0</v>
      </c>
      <c r="T8" s="14" t="str">
        <f>Planejador!$I$6</f>
        <v/>
      </c>
      <c r="U8" s="4"/>
      <c r="V8" s="4"/>
      <c r="W8" s="4"/>
      <c r="X8" s="4"/>
      <c r="Y8" s="4"/>
      <c r="Z8" s="4"/>
      <c r="AA8" s="4"/>
      <c r="AB8" s="4"/>
    </row>
    <row r="9" ht="18.75" hidden="1" customHeight="1" outlineLevel="1">
      <c r="A9" s="12">
        <v>46029.0</v>
      </c>
      <c r="B9" s="13" t="str">
        <f t="shared" si="3"/>
        <v>quarta-feira</v>
      </c>
      <c r="C9" s="13"/>
      <c r="D9" s="14">
        <f>SUMIF('ADV - GG'!A:A,A9,'ADV - GG'!C:C)+SUMIF('ADV - FB'!A:A,$A9,'ADV - FB'!E:E)</f>
        <v>16.91</v>
      </c>
      <c r="E9" s="14"/>
      <c r="F9" s="15">
        <f t="shared" si="4"/>
        <v>0</v>
      </c>
      <c r="G9" s="14">
        <f t="shared" si="5"/>
        <v>3.382</v>
      </c>
      <c r="H9" s="16">
        <f t="shared" si="1"/>
        <v>0</v>
      </c>
      <c r="I9" s="14" t="str">
        <f t="shared" si="2"/>
        <v/>
      </c>
      <c r="J9" s="17">
        <f>SUMIF('ADV - GG'!A:A,A9,'ADV - GG'!H:H)+SUMIF('ADV - FB'!A:A,$A9,'ADV - FB'!I:I)</f>
        <v>0</v>
      </c>
      <c r="K9" s="18">
        <f>SUMIF('ADV - GA4'!A:A,A9,'ADV - GA4'!C:C)</f>
        <v>5</v>
      </c>
      <c r="L9" s="19" t="str">
        <f t="shared" si="6"/>
        <v/>
      </c>
      <c r="M9" s="20">
        <f t="shared" si="7"/>
        <v>0</v>
      </c>
      <c r="N9" s="14">
        <f t="shared" si="8"/>
        <v>0</v>
      </c>
      <c r="O9" s="15" t="str">
        <f>iferror(Planejador!$I$14,"")</f>
        <v/>
      </c>
      <c r="P9" s="14" t="str">
        <f>Planejador!$I$5</f>
        <v/>
      </c>
      <c r="Q9" s="16" t="str">
        <f>Planejador!$I$7</f>
        <v/>
      </c>
      <c r="R9" s="14" t="str">
        <f>Planejador!$I$11</f>
        <v>#DIV/0!</v>
      </c>
      <c r="S9" s="18">
        <f t="shared" si="9"/>
        <v>0</v>
      </c>
      <c r="T9" s="14" t="str">
        <f>Planejador!$I$6</f>
        <v/>
      </c>
      <c r="U9" s="4"/>
      <c r="V9" s="4"/>
      <c r="W9" s="4"/>
      <c r="X9" s="4"/>
      <c r="Y9" s="4"/>
      <c r="Z9" s="4"/>
      <c r="AA9" s="4"/>
      <c r="AB9" s="4"/>
    </row>
    <row r="10" ht="18.75" hidden="1" customHeight="1" outlineLevel="1">
      <c r="A10" s="12">
        <v>46030.0</v>
      </c>
      <c r="B10" s="13" t="str">
        <f t="shared" si="3"/>
        <v>quinta-feira</v>
      </c>
      <c r="C10" s="13"/>
      <c r="D10" s="14">
        <f>SUMIF('ADV - GG'!A:A,A10,'ADV - GG'!C:C)+SUMIF('ADV - FB'!A:A,$A10,'ADV - FB'!E:E)</f>
        <v>24.63</v>
      </c>
      <c r="E10" s="14"/>
      <c r="F10" s="15">
        <f t="shared" si="4"/>
        <v>0</v>
      </c>
      <c r="G10" s="14">
        <f t="shared" si="5"/>
        <v>24.63</v>
      </c>
      <c r="H10" s="16">
        <f t="shared" si="1"/>
        <v>0</v>
      </c>
      <c r="I10" s="14" t="str">
        <f t="shared" si="2"/>
        <v/>
      </c>
      <c r="J10" s="17">
        <f>SUMIF('ADV - GG'!A:A,A10,'ADV - GG'!H:H)+SUMIF('ADV - FB'!A:A,$A10,'ADV - FB'!I:I)</f>
        <v>0</v>
      </c>
      <c r="K10" s="18">
        <f>SUMIF('ADV - GA4'!A:A,A10,'ADV - GA4'!C:C)</f>
        <v>1</v>
      </c>
      <c r="L10" s="19" t="str">
        <f t="shared" si="6"/>
        <v/>
      </c>
      <c r="M10" s="20">
        <f t="shared" si="7"/>
        <v>0</v>
      </c>
      <c r="N10" s="14">
        <f t="shared" si="8"/>
        <v>0</v>
      </c>
      <c r="O10" s="15" t="str">
        <f>iferror(Planejador!$I$14,"")</f>
        <v/>
      </c>
      <c r="P10" s="14" t="str">
        <f>Planejador!$I$5</f>
        <v/>
      </c>
      <c r="Q10" s="16" t="str">
        <f>Planejador!$I$7</f>
        <v/>
      </c>
      <c r="R10" s="14" t="str">
        <f>Planejador!$I$11</f>
        <v>#DIV/0!</v>
      </c>
      <c r="S10" s="18">
        <f t="shared" si="9"/>
        <v>0</v>
      </c>
      <c r="T10" s="14" t="str">
        <f>Planejador!$I$6</f>
        <v/>
      </c>
      <c r="U10" s="4"/>
      <c r="V10" s="4"/>
      <c r="W10" s="4"/>
      <c r="X10" s="4"/>
      <c r="Y10" s="4"/>
      <c r="Z10" s="4"/>
      <c r="AA10" s="4"/>
      <c r="AB10" s="4"/>
    </row>
    <row r="11" ht="18.75" hidden="1" customHeight="1" outlineLevel="1">
      <c r="A11" s="12">
        <v>46031.0</v>
      </c>
      <c r="B11" s="13" t="str">
        <f t="shared" si="3"/>
        <v>sexta-feira</v>
      </c>
      <c r="C11" s="13"/>
      <c r="D11" s="14">
        <f>SUMIF('ADV - GG'!A:A,A11,'ADV - GG'!C:C)+SUMIF('ADV - FB'!A:A,$A11,'ADV - FB'!E:E)</f>
        <v>20.05</v>
      </c>
      <c r="E11" s="14"/>
      <c r="F11" s="15">
        <f t="shared" si="4"/>
        <v>0</v>
      </c>
      <c r="G11" s="14">
        <f t="shared" si="5"/>
        <v>2.864285714</v>
      </c>
      <c r="H11" s="16">
        <f t="shared" si="1"/>
        <v>0</v>
      </c>
      <c r="I11" s="14" t="str">
        <f t="shared" si="2"/>
        <v/>
      </c>
      <c r="J11" s="17">
        <f>SUMIF('ADV - GG'!A:A,A11,'ADV - GG'!H:H)+SUMIF('ADV - FB'!A:A,$A11,'ADV - FB'!I:I)</f>
        <v>0</v>
      </c>
      <c r="K11" s="18">
        <f>SUMIF('ADV - GA4'!A:A,A11,'ADV - GA4'!C:C)</f>
        <v>7</v>
      </c>
      <c r="L11" s="19" t="str">
        <f t="shared" si="6"/>
        <v/>
      </c>
      <c r="M11" s="20">
        <f t="shared" si="7"/>
        <v>0</v>
      </c>
      <c r="N11" s="14">
        <f t="shared" si="8"/>
        <v>0</v>
      </c>
      <c r="O11" s="15" t="str">
        <f>iferror(Planejador!$I$14,"")</f>
        <v/>
      </c>
      <c r="P11" s="14" t="str">
        <f>Planejador!$I$5</f>
        <v/>
      </c>
      <c r="Q11" s="16" t="str">
        <f>Planejador!$I$7</f>
        <v/>
      </c>
      <c r="R11" s="14" t="str">
        <f>Planejador!$I$11</f>
        <v>#DIV/0!</v>
      </c>
      <c r="S11" s="18">
        <f t="shared" si="9"/>
        <v>0</v>
      </c>
      <c r="T11" s="14" t="str">
        <f>Planejador!$I$6</f>
        <v/>
      </c>
      <c r="U11" s="4"/>
      <c r="V11" s="4"/>
      <c r="W11" s="4"/>
      <c r="X11" s="4"/>
      <c r="Y11" s="4"/>
      <c r="Z11" s="4"/>
      <c r="AA11" s="4"/>
      <c r="AB11" s="4"/>
    </row>
    <row r="12" ht="18.75" hidden="1" customHeight="1" outlineLevel="1">
      <c r="A12" s="12">
        <v>46032.0</v>
      </c>
      <c r="B12" s="13" t="str">
        <f t="shared" si="3"/>
        <v>sábado</v>
      </c>
      <c r="C12" s="13"/>
      <c r="D12" s="14">
        <f>SUMIF('ADV - GG'!A:A,A12,'ADV - GG'!C:C)+SUMIF('ADV - FB'!A:A,$A12,'ADV - FB'!E:E)</f>
        <v>29.7</v>
      </c>
      <c r="E12" s="14"/>
      <c r="F12" s="15">
        <f t="shared" si="4"/>
        <v>0</v>
      </c>
      <c r="G12" s="14">
        <f t="shared" si="5"/>
        <v>29.7</v>
      </c>
      <c r="H12" s="16">
        <f t="shared" si="1"/>
        <v>0</v>
      </c>
      <c r="I12" s="14" t="str">
        <f t="shared" si="2"/>
        <v/>
      </c>
      <c r="J12" s="17">
        <f>SUMIF('ADV - GG'!A:A,A12,'ADV - GG'!H:H)+SUMIF('ADV - FB'!A:A,$A12,'ADV - FB'!I:I)</f>
        <v>0</v>
      </c>
      <c r="K12" s="18">
        <f>SUMIF('ADV - GA4'!A:A,A12,'ADV - GA4'!C:C)</f>
        <v>1</v>
      </c>
      <c r="L12" s="19" t="str">
        <f t="shared" si="6"/>
        <v/>
      </c>
      <c r="M12" s="20">
        <f t="shared" si="7"/>
        <v>0</v>
      </c>
      <c r="N12" s="14">
        <f t="shared" si="8"/>
        <v>0</v>
      </c>
      <c r="O12" s="15" t="str">
        <f>iferror(Planejador!$I$14,"")</f>
        <v/>
      </c>
      <c r="P12" s="14" t="str">
        <f>Planejador!$I$5</f>
        <v/>
      </c>
      <c r="Q12" s="16" t="str">
        <f>Planejador!$I$7</f>
        <v/>
      </c>
      <c r="R12" s="14" t="str">
        <f>Planejador!$I$11</f>
        <v>#DIV/0!</v>
      </c>
      <c r="S12" s="18">
        <f t="shared" si="9"/>
        <v>0</v>
      </c>
      <c r="T12" s="14" t="str">
        <f>Planejador!$I$6</f>
        <v/>
      </c>
      <c r="U12" s="4"/>
      <c r="V12" s="4"/>
      <c r="W12" s="4"/>
      <c r="X12" s="4"/>
      <c r="Y12" s="4"/>
      <c r="Z12" s="4"/>
      <c r="AA12" s="4"/>
      <c r="AB12" s="4"/>
    </row>
    <row r="13" ht="18.75" hidden="1" customHeight="1" outlineLevel="1">
      <c r="A13" s="12">
        <v>46033.0</v>
      </c>
      <c r="B13" s="13" t="str">
        <f t="shared" si="3"/>
        <v>domingo</v>
      </c>
      <c r="C13" s="13"/>
      <c r="D13" s="14">
        <f>SUMIF('ADV - GG'!A:A,A13,'ADV - GG'!C:C)+SUMIF('ADV - FB'!A:A,$A13,'ADV - FB'!E:E)</f>
        <v>39.73</v>
      </c>
      <c r="E13" s="14"/>
      <c r="F13" s="15">
        <f t="shared" si="4"/>
        <v>0</v>
      </c>
      <c r="G13" s="14">
        <f t="shared" si="5"/>
        <v>5.675714286</v>
      </c>
      <c r="H13" s="16">
        <f t="shared" si="1"/>
        <v>0</v>
      </c>
      <c r="I13" s="14" t="str">
        <f t="shared" si="2"/>
        <v/>
      </c>
      <c r="J13" s="17">
        <f>SUMIF('ADV - GG'!A:A,A13,'ADV - GG'!H:H)+SUMIF('ADV - FB'!A:A,$A13,'ADV - FB'!I:I)</f>
        <v>0</v>
      </c>
      <c r="K13" s="18">
        <f>SUMIF('ADV - GA4'!A:A,A13,'ADV - GA4'!C:C)</f>
        <v>7</v>
      </c>
      <c r="L13" s="19" t="str">
        <f t="shared" si="6"/>
        <v/>
      </c>
      <c r="M13" s="20">
        <f t="shared" si="7"/>
        <v>0</v>
      </c>
      <c r="N13" s="14">
        <f t="shared" si="8"/>
        <v>0</v>
      </c>
      <c r="O13" s="15" t="str">
        <f>iferror(Planejador!$I$14,"")</f>
        <v/>
      </c>
      <c r="P13" s="14" t="str">
        <f>Planejador!$I$5</f>
        <v/>
      </c>
      <c r="Q13" s="16" t="str">
        <f>Planejador!$I$7</f>
        <v/>
      </c>
      <c r="R13" s="14" t="str">
        <f>Planejador!$I$11</f>
        <v>#DIV/0!</v>
      </c>
      <c r="S13" s="18">
        <f t="shared" si="9"/>
        <v>0</v>
      </c>
      <c r="T13" s="14" t="str">
        <f>Planejador!$I$6</f>
        <v/>
      </c>
      <c r="U13" s="4"/>
      <c r="V13" s="4"/>
      <c r="W13" s="4"/>
      <c r="X13" s="4"/>
      <c r="Y13" s="4"/>
      <c r="Z13" s="4"/>
      <c r="AA13" s="4"/>
      <c r="AB13" s="4"/>
    </row>
    <row r="14" ht="18.75" hidden="1" customHeight="1" outlineLevel="1">
      <c r="A14" s="12">
        <v>46034.0</v>
      </c>
      <c r="B14" s="13" t="str">
        <f t="shared" si="3"/>
        <v>segunda-feira</v>
      </c>
      <c r="C14" s="13"/>
      <c r="D14" s="14">
        <f>SUMIF('ADV - GG'!A:A,A14,'ADV - GG'!C:C)+SUMIF('ADV - FB'!A:A,$A14,'ADV - FB'!E:E)</f>
        <v>53.64</v>
      </c>
      <c r="E14" s="14"/>
      <c r="F14" s="15">
        <f t="shared" si="4"/>
        <v>0</v>
      </c>
      <c r="G14" s="14">
        <f t="shared" si="5"/>
        <v>4.876363636</v>
      </c>
      <c r="H14" s="16">
        <f t="shared" si="1"/>
        <v>0</v>
      </c>
      <c r="I14" s="14" t="str">
        <f t="shared" si="2"/>
        <v/>
      </c>
      <c r="J14" s="17">
        <f>SUMIF('ADV - GG'!A:A,A14,'ADV - GG'!H:H)+SUMIF('ADV - FB'!A:A,$A14,'ADV - FB'!I:I)</f>
        <v>0</v>
      </c>
      <c r="K14" s="18">
        <f>SUMIF('ADV - GA4'!A:A,A14,'ADV - GA4'!C:C)</f>
        <v>11</v>
      </c>
      <c r="L14" s="19" t="str">
        <f t="shared" si="6"/>
        <v/>
      </c>
      <c r="M14" s="20">
        <f t="shared" si="7"/>
        <v>0</v>
      </c>
      <c r="N14" s="14">
        <f t="shared" si="8"/>
        <v>0</v>
      </c>
      <c r="O14" s="15" t="str">
        <f>iferror(Planejador!$I$14,"")</f>
        <v/>
      </c>
      <c r="P14" s="14" t="str">
        <f>Planejador!$I$5</f>
        <v/>
      </c>
      <c r="Q14" s="16" t="str">
        <f>Planejador!$I$7</f>
        <v/>
      </c>
      <c r="R14" s="14" t="str">
        <f>Planejador!$I$11</f>
        <v>#DIV/0!</v>
      </c>
      <c r="S14" s="18">
        <f t="shared" si="9"/>
        <v>0</v>
      </c>
      <c r="T14" s="14" t="str">
        <f>Planejador!$I$6</f>
        <v/>
      </c>
      <c r="U14" s="4"/>
      <c r="V14" s="4"/>
      <c r="W14" s="4"/>
      <c r="X14" s="4"/>
      <c r="Y14" s="4"/>
      <c r="Z14" s="4"/>
      <c r="AA14" s="4"/>
      <c r="AB14" s="4"/>
    </row>
    <row r="15" ht="18.75" hidden="1" customHeight="1" outlineLevel="1">
      <c r="A15" s="12">
        <v>46035.0</v>
      </c>
      <c r="B15" s="13" t="str">
        <f t="shared" si="3"/>
        <v>terça-feira</v>
      </c>
      <c r="C15" s="13"/>
      <c r="D15" s="14">
        <f>SUMIF('ADV - GG'!A:A,A15,'ADV - GG'!C:C)+SUMIF('ADV - FB'!A:A,$A15,'ADV - FB'!E:E)</f>
        <v>57.72</v>
      </c>
      <c r="E15" s="14"/>
      <c r="F15" s="15">
        <f t="shared" si="4"/>
        <v>0</v>
      </c>
      <c r="G15" s="14">
        <f t="shared" si="5"/>
        <v>4.44</v>
      </c>
      <c r="H15" s="16">
        <f t="shared" si="1"/>
        <v>0</v>
      </c>
      <c r="I15" s="14" t="str">
        <f t="shared" si="2"/>
        <v/>
      </c>
      <c r="J15" s="17">
        <f>SUMIF('ADV - GG'!A:A,A15,'ADV - GG'!H:H)+SUMIF('ADV - FB'!A:A,$A15,'ADV - FB'!I:I)</f>
        <v>0</v>
      </c>
      <c r="K15" s="18">
        <f>SUMIF('ADV - GA4'!A:A,A15,'ADV - GA4'!C:C)</f>
        <v>13</v>
      </c>
      <c r="L15" s="19" t="str">
        <f t="shared" si="6"/>
        <v/>
      </c>
      <c r="M15" s="20">
        <f t="shared" si="7"/>
        <v>0</v>
      </c>
      <c r="N15" s="14">
        <f t="shared" si="8"/>
        <v>0</v>
      </c>
      <c r="O15" s="15" t="str">
        <f>iferror(Planejador!$I$14,"")</f>
        <v/>
      </c>
      <c r="P15" s="14" t="str">
        <f>Planejador!$I$5</f>
        <v/>
      </c>
      <c r="Q15" s="16" t="str">
        <f>Planejador!$I$7</f>
        <v/>
      </c>
      <c r="R15" s="14" t="str">
        <f>Planejador!$I$11</f>
        <v>#DIV/0!</v>
      </c>
      <c r="S15" s="18">
        <f t="shared" si="9"/>
        <v>0</v>
      </c>
      <c r="T15" s="14" t="str">
        <f>Planejador!$I$6</f>
        <v/>
      </c>
      <c r="U15" s="4"/>
      <c r="V15" s="4"/>
      <c r="W15" s="4"/>
      <c r="X15" s="4"/>
      <c r="Y15" s="4"/>
      <c r="Z15" s="4"/>
      <c r="AA15" s="4"/>
      <c r="AB15" s="4"/>
    </row>
    <row r="16" ht="18.75" hidden="1" customHeight="1" outlineLevel="1">
      <c r="A16" s="12">
        <v>46036.0</v>
      </c>
      <c r="B16" s="13" t="str">
        <f t="shared" si="3"/>
        <v>quarta-feira</v>
      </c>
      <c r="C16" s="13"/>
      <c r="D16" s="14">
        <f>SUMIF('ADV - GG'!A:A,A16,'ADV - GG'!C:C)+SUMIF('ADV - FB'!A:A,$A16,'ADV - FB'!E:E)</f>
        <v>49.94</v>
      </c>
      <c r="E16" s="14"/>
      <c r="F16" s="15">
        <f t="shared" si="4"/>
        <v>0</v>
      </c>
      <c r="G16" s="14">
        <f t="shared" si="5"/>
        <v>16.64666667</v>
      </c>
      <c r="H16" s="16">
        <f t="shared" si="1"/>
        <v>0</v>
      </c>
      <c r="I16" s="14" t="str">
        <f t="shared" si="2"/>
        <v/>
      </c>
      <c r="J16" s="17">
        <f>SUMIF('ADV - GG'!A:A,A16,'ADV - GG'!H:H)+SUMIF('ADV - FB'!A:A,$A16,'ADV - FB'!I:I)</f>
        <v>0</v>
      </c>
      <c r="K16" s="18">
        <f>SUMIF('ADV - GA4'!A:A,A16,'ADV - GA4'!C:C)</f>
        <v>3</v>
      </c>
      <c r="L16" s="19" t="str">
        <f t="shared" si="6"/>
        <v/>
      </c>
      <c r="M16" s="20">
        <f t="shared" si="7"/>
        <v>0</v>
      </c>
      <c r="N16" s="14">
        <f t="shared" si="8"/>
        <v>0</v>
      </c>
      <c r="O16" s="15" t="str">
        <f>iferror(Planejador!$I$14,"")</f>
        <v/>
      </c>
      <c r="P16" s="14" t="str">
        <f>Planejador!$I$5</f>
        <v/>
      </c>
      <c r="Q16" s="16" t="str">
        <f>Planejador!$I$7</f>
        <v/>
      </c>
      <c r="R16" s="14" t="str">
        <f>Planejador!$I$11</f>
        <v>#DIV/0!</v>
      </c>
      <c r="S16" s="18">
        <f t="shared" si="9"/>
        <v>0</v>
      </c>
      <c r="T16" s="14" t="str">
        <f>Planejador!$I$6</f>
        <v/>
      </c>
      <c r="U16" s="4"/>
      <c r="V16" s="4"/>
      <c r="W16" s="4"/>
      <c r="X16" s="4"/>
      <c r="Y16" s="4"/>
      <c r="Z16" s="4"/>
      <c r="AA16" s="4"/>
      <c r="AB16" s="4"/>
    </row>
    <row r="17" ht="18.75" hidden="1" customHeight="1" outlineLevel="1">
      <c r="A17" s="12">
        <v>46037.0</v>
      </c>
      <c r="B17" s="13" t="str">
        <f t="shared" si="3"/>
        <v>quinta-feira</v>
      </c>
      <c r="C17" s="13"/>
      <c r="D17" s="14">
        <f>SUMIF('ADV - GG'!A:A,A17,'ADV - GG'!C:C)+SUMIF('ADV - FB'!A:A,$A17,'ADV - FB'!E:E)</f>
        <v>57.85</v>
      </c>
      <c r="E17" s="14"/>
      <c r="F17" s="15">
        <f t="shared" si="4"/>
        <v>0</v>
      </c>
      <c r="G17" s="14">
        <f t="shared" si="5"/>
        <v>14.4625</v>
      </c>
      <c r="H17" s="16">
        <f t="shared" si="1"/>
        <v>0</v>
      </c>
      <c r="I17" s="14" t="str">
        <f t="shared" si="2"/>
        <v/>
      </c>
      <c r="J17" s="17">
        <f>SUMIF('ADV - GG'!A:A,A17,'ADV - GG'!H:H)+SUMIF('ADV - FB'!A:A,$A17,'ADV - FB'!I:I)</f>
        <v>0</v>
      </c>
      <c r="K17" s="18">
        <f>SUMIF('ADV - GA4'!A:A,A17,'ADV - GA4'!C:C)</f>
        <v>4</v>
      </c>
      <c r="L17" s="19" t="str">
        <f t="shared" si="6"/>
        <v/>
      </c>
      <c r="M17" s="20">
        <f t="shared" si="7"/>
        <v>0</v>
      </c>
      <c r="N17" s="14">
        <f t="shared" si="8"/>
        <v>0</v>
      </c>
      <c r="O17" s="15" t="str">
        <f>iferror(Planejador!$I$14,"")</f>
        <v/>
      </c>
      <c r="P17" s="14" t="str">
        <f>Planejador!$I$5</f>
        <v/>
      </c>
      <c r="Q17" s="16" t="str">
        <f>Planejador!$I$7</f>
        <v/>
      </c>
      <c r="R17" s="14" t="str">
        <f>Planejador!$I$11</f>
        <v>#DIV/0!</v>
      </c>
      <c r="S17" s="18">
        <f t="shared" si="9"/>
        <v>0</v>
      </c>
      <c r="T17" s="14" t="str">
        <f>Planejador!$I$6</f>
        <v/>
      </c>
      <c r="U17" s="4"/>
      <c r="V17" s="4"/>
      <c r="W17" s="4"/>
      <c r="X17" s="4"/>
      <c r="Y17" s="4"/>
      <c r="Z17" s="4"/>
      <c r="AA17" s="4"/>
      <c r="AB17" s="4"/>
    </row>
    <row r="18" ht="18.75" hidden="1" customHeight="1" outlineLevel="1">
      <c r="A18" s="12">
        <v>46038.0</v>
      </c>
      <c r="B18" s="13" t="str">
        <f t="shared" si="3"/>
        <v>sexta-feira</v>
      </c>
      <c r="C18" s="13"/>
      <c r="D18" s="14">
        <f>SUMIF('ADV - GG'!A:A,A18,'ADV - GG'!C:C)+SUMIF('ADV - FB'!A:A,$A18,'ADV - FB'!E:E)</f>
        <v>52.02</v>
      </c>
      <c r="E18" s="14"/>
      <c r="F18" s="15">
        <f t="shared" si="4"/>
        <v>0</v>
      </c>
      <c r="G18" s="14">
        <f t="shared" si="5"/>
        <v>10.404</v>
      </c>
      <c r="H18" s="16">
        <f t="shared" si="1"/>
        <v>0</v>
      </c>
      <c r="I18" s="14" t="str">
        <f t="shared" si="2"/>
        <v/>
      </c>
      <c r="J18" s="17">
        <f>SUMIF('ADV - GG'!A:A,A18,'ADV - GG'!H:H)+SUMIF('ADV - FB'!A:A,$A18,'ADV - FB'!I:I)</f>
        <v>0</v>
      </c>
      <c r="K18" s="18">
        <f>SUMIF('ADV - GA4'!A:A,A18,'ADV - GA4'!C:C)</f>
        <v>5</v>
      </c>
      <c r="L18" s="19" t="str">
        <f t="shared" si="6"/>
        <v/>
      </c>
      <c r="M18" s="20">
        <f t="shared" si="7"/>
        <v>0</v>
      </c>
      <c r="N18" s="14">
        <f t="shared" si="8"/>
        <v>0</v>
      </c>
      <c r="O18" s="15" t="str">
        <f>iferror(Planejador!$I$14,"")</f>
        <v/>
      </c>
      <c r="P18" s="14" t="str">
        <f>Planejador!$I$5</f>
        <v/>
      </c>
      <c r="Q18" s="16" t="str">
        <f>Planejador!$I$7</f>
        <v/>
      </c>
      <c r="R18" s="14" t="str">
        <f>Planejador!$I$11</f>
        <v>#DIV/0!</v>
      </c>
      <c r="S18" s="18">
        <f t="shared" si="9"/>
        <v>0</v>
      </c>
      <c r="T18" s="14" t="str">
        <f>Planejador!$I$6</f>
        <v/>
      </c>
      <c r="U18" s="4"/>
      <c r="V18" s="4"/>
      <c r="W18" s="4"/>
      <c r="X18" s="4"/>
      <c r="Y18" s="4"/>
      <c r="Z18" s="4"/>
      <c r="AA18" s="4"/>
      <c r="AB18" s="4"/>
    </row>
    <row r="19" ht="18.75" hidden="1" customHeight="1" outlineLevel="1">
      <c r="A19" s="12">
        <v>46039.0</v>
      </c>
      <c r="B19" s="13" t="str">
        <f t="shared" si="3"/>
        <v>sábado</v>
      </c>
      <c r="C19" s="13"/>
      <c r="D19" s="14">
        <f>SUMIF('ADV - GG'!A:A,A19,'ADV - GG'!C:C)+SUMIF('ADV - FB'!A:A,$A19,'ADV - FB'!E:E)</f>
        <v>57.89</v>
      </c>
      <c r="E19" s="14"/>
      <c r="F19" s="15">
        <f t="shared" si="4"/>
        <v>0</v>
      </c>
      <c r="G19" s="14" t="str">
        <f t="shared" si="5"/>
        <v/>
      </c>
      <c r="H19" s="16" t="str">
        <f t="shared" si="1"/>
        <v/>
      </c>
      <c r="I19" s="14" t="str">
        <f t="shared" si="2"/>
        <v/>
      </c>
      <c r="J19" s="17">
        <f>SUMIF('ADV - GG'!A:A,A19,'ADV - GG'!H:H)+SUMIF('ADV - FB'!A:A,$A19,'ADV - FB'!I:I)</f>
        <v>0</v>
      </c>
      <c r="K19" s="18">
        <f>SUMIF('ADV - GA4'!A:A,A19,'ADV - GA4'!C:C)</f>
        <v>0</v>
      </c>
      <c r="L19" s="19" t="str">
        <f t="shared" si="6"/>
        <v/>
      </c>
      <c r="M19" s="20">
        <f t="shared" si="7"/>
        <v>0</v>
      </c>
      <c r="N19" s="14">
        <f t="shared" si="8"/>
        <v>0</v>
      </c>
      <c r="O19" s="15" t="str">
        <f>iferror(Planejador!$I$14,"")</f>
        <v/>
      </c>
      <c r="P19" s="14" t="str">
        <f>Planejador!$I$5</f>
        <v/>
      </c>
      <c r="Q19" s="16" t="str">
        <f>Planejador!$I$7</f>
        <v/>
      </c>
      <c r="R19" s="14" t="str">
        <f>Planejador!$I$11</f>
        <v>#DIV/0!</v>
      </c>
      <c r="S19" s="18">
        <f t="shared" si="9"/>
        <v>0</v>
      </c>
      <c r="T19" s="14" t="str">
        <f>Planejador!$I$6</f>
        <v/>
      </c>
      <c r="U19" s="4"/>
      <c r="V19" s="4"/>
      <c r="W19" s="4"/>
      <c r="X19" s="4"/>
      <c r="Y19" s="4"/>
      <c r="Z19" s="4"/>
      <c r="AA19" s="4"/>
      <c r="AB19" s="4"/>
    </row>
    <row r="20" ht="18.75" hidden="1" customHeight="1" outlineLevel="1">
      <c r="A20" s="12">
        <v>46040.0</v>
      </c>
      <c r="B20" s="13" t="str">
        <f t="shared" si="3"/>
        <v>domingo</v>
      </c>
      <c r="C20" s="13"/>
      <c r="D20" s="14">
        <f>SUMIF('ADV - GG'!A:A,A20,'ADV - GG'!C:C)+SUMIF('ADV - FB'!A:A,$A20,'ADV - FB'!E:E)</f>
        <v>64.7</v>
      </c>
      <c r="E20" s="14"/>
      <c r="F20" s="15">
        <f t="shared" si="4"/>
        <v>0</v>
      </c>
      <c r="G20" s="14">
        <f t="shared" si="5"/>
        <v>16.175</v>
      </c>
      <c r="H20" s="16">
        <f t="shared" si="1"/>
        <v>0</v>
      </c>
      <c r="I20" s="14" t="str">
        <f t="shared" si="2"/>
        <v/>
      </c>
      <c r="J20" s="17">
        <f>SUMIF('ADV - GG'!A:A,A20,'ADV - GG'!H:H)+SUMIF('ADV - FB'!A:A,$A20,'ADV - FB'!I:I)</f>
        <v>0</v>
      </c>
      <c r="K20" s="18">
        <f>SUMIF('ADV - GA4'!A:A,A20,'ADV - GA4'!C:C)</f>
        <v>4</v>
      </c>
      <c r="L20" s="19" t="str">
        <f t="shared" si="6"/>
        <v/>
      </c>
      <c r="M20" s="20">
        <f t="shared" si="7"/>
        <v>0</v>
      </c>
      <c r="N20" s="14">
        <f t="shared" si="8"/>
        <v>0</v>
      </c>
      <c r="O20" s="15" t="str">
        <f>iferror(Planejador!$I$14,"")</f>
        <v/>
      </c>
      <c r="P20" s="14" t="str">
        <f>Planejador!$I$5</f>
        <v/>
      </c>
      <c r="Q20" s="16" t="str">
        <f>Planejador!$I$7</f>
        <v/>
      </c>
      <c r="R20" s="14" t="str">
        <f>Planejador!$I$11</f>
        <v>#DIV/0!</v>
      </c>
      <c r="S20" s="18">
        <f t="shared" si="9"/>
        <v>0</v>
      </c>
      <c r="T20" s="14" t="str">
        <f>Planejador!$I$6</f>
        <v/>
      </c>
      <c r="U20" s="4"/>
      <c r="V20" s="4"/>
      <c r="W20" s="4"/>
      <c r="X20" s="4"/>
      <c r="Y20" s="4"/>
      <c r="Z20" s="4"/>
      <c r="AA20" s="4"/>
      <c r="AB20" s="4"/>
    </row>
    <row r="21" ht="18.75" hidden="1" customHeight="1" outlineLevel="1">
      <c r="A21" s="12">
        <v>46041.0</v>
      </c>
      <c r="B21" s="13" t="str">
        <f t="shared" si="3"/>
        <v>segunda-feira</v>
      </c>
      <c r="C21" s="13"/>
      <c r="D21" s="14">
        <f>SUMIF('ADV - GG'!A:A,A21,'ADV - GG'!C:C)+SUMIF('ADV - FB'!A:A,$A21,'ADV - FB'!E:E)</f>
        <v>116.93</v>
      </c>
      <c r="E21" s="14"/>
      <c r="F21" s="15">
        <f t="shared" si="4"/>
        <v>0</v>
      </c>
      <c r="G21" s="14">
        <f t="shared" si="5"/>
        <v>16.70428571</v>
      </c>
      <c r="H21" s="16">
        <f t="shared" si="1"/>
        <v>0</v>
      </c>
      <c r="I21" s="14" t="str">
        <f t="shared" si="2"/>
        <v/>
      </c>
      <c r="J21" s="17">
        <f>SUMIF('ADV - GG'!A:A,A21,'ADV - GG'!H:H)+SUMIF('ADV - FB'!A:A,$A21,'ADV - FB'!I:I)</f>
        <v>0</v>
      </c>
      <c r="K21" s="18">
        <f>SUMIF('ADV - GA4'!A:A,A21,'ADV - GA4'!C:C)</f>
        <v>7</v>
      </c>
      <c r="L21" s="19" t="str">
        <f t="shared" si="6"/>
        <v/>
      </c>
      <c r="M21" s="20">
        <f t="shared" si="7"/>
        <v>0</v>
      </c>
      <c r="N21" s="14">
        <f t="shared" si="8"/>
        <v>0</v>
      </c>
      <c r="O21" s="15" t="str">
        <f>iferror(Planejador!$I$14,"")</f>
        <v/>
      </c>
      <c r="P21" s="14" t="str">
        <f>Planejador!$I$5</f>
        <v/>
      </c>
      <c r="Q21" s="16" t="str">
        <f>Planejador!$I$7</f>
        <v/>
      </c>
      <c r="R21" s="14" t="str">
        <f>Planejador!$I$11</f>
        <v>#DIV/0!</v>
      </c>
      <c r="S21" s="18">
        <f t="shared" si="9"/>
        <v>0</v>
      </c>
      <c r="T21" s="14" t="str">
        <f>Planejador!$I$6</f>
        <v/>
      </c>
      <c r="U21" s="4"/>
      <c r="V21" s="4"/>
      <c r="W21" s="4"/>
      <c r="X21" s="4"/>
      <c r="Y21" s="4"/>
      <c r="Z21" s="4"/>
      <c r="AA21" s="4"/>
      <c r="AB21" s="4"/>
    </row>
    <row r="22" ht="18.75" hidden="1" customHeight="1" outlineLevel="1">
      <c r="A22" s="12">
        <v>46042.0</v>
      </c>
      <c r="B22" s="13" t="str">
        <f t="shared" si="3"/>
        <v>terça-feira</v>
      </c>
      <c r="C22" s="13"/>
      <c r="D22" s="14">
        <f>SUMIF('ADV - GG'!A:A,A22,'ADV - GG'!C:C)+SUMIF('ADV - FB'!A:A,$A22,'ADV - FB'!E:E)</f>
        <v>78.27</v>
      </c>
      <c r="E22" s="14"/>
      <c r="F22" s="15">
        <f t="shared" si="4"/>
        <v>0</v>
      </c>
      <c r="G22" s="14">
        <f t="shared" si="5"/>
        <v>8.696666667</v>
      </c>
      <c r="H22" s="16">
        <f t="shared" si="1"/>
        <v>0</v>
      </c>
      <c r="I22" s="14" t="str">
        <f t="shared" si="2"/>
        <v/>
      </c>
      <c r="J22" s="17">
        <f>SUMIF('ADV - GG'!A:A,A22,'ADV - GG'!H:H)+SUMIF('ADV - FB'!A:A,$A22,'ADV - FB'!I:I)</f>
        <v>0</v>
      </c>
      <c r="K22" s="18">
        <f>SUMIF('ADV - GA4'!A:A,A22,'ADV - GA4'!C:C)</f>
        <v>9</v>
      </c>
      <c r="L22" s="19" t="str">
        <f t="shared" si="6"/>
        <v/>
      </c>
      <c r="M22" s="20">
        <f t="shared" si="7"/>
        <v>0</v>
      </c>
      <c r="N22" s="14">
        <f t="shared" si="8"/>
        <v>0</v>
      </c>
      <c r="O22" s="15" t="str">
        <f>iferror(Planejador!$I$14,"")</f>
        <v/>
      </c>
      <c r="P22" s="14" t="str">
        <f>Planejador!$I$5</f>
        <v/>
      </c>
      <c r="Q22" s="16" t="str">
        <f>Planejador!$I$7</f>
        <v/>
      </c>
      <c r="R22" s="14" t="str">
        <f>Planejador!$I$11</f>
        <v>#DIV/0!</v>
      </c>
      <c r="S22" s="18">
        <f t="shared" si="9"/>
        <v>0</v>
      </c>
      <c r="T22" s="14" t="str">
        <f>Planejador!$I$6</f>
        <v/>
      </c>
      <c r="U22" s="4"/>
      <c r="V22" s="4"/>
      <c r="W22" s="4"/>
      <c r="X22" s="4"/>
      <c r="Y22" s="4"/>
      <c r="Z22" s="4"/>
      <c r="AA22" s="4"/>
      <c r="AB22" s="4"/>
    </row>
    <row r="23" ht="18.75" hidden="1" customHeight="1" outlineLevel="1">
      <c r="A23" s="12">
        <v>46043.0</v>
      </c>
      <c r="B23" s="13" t="str">
        <f t="shared" si="3"/>
        <v>quarta-feira</v>
      </c>
      <c r="C23" s="13"/>
      <c r="D23" s="14">
        <f>SUMIF('ADV - GG'!A:A,A23,'ADV - GG'!C:C)+SUMIF('ADV - FB'!A:A,$A23,'ADV - FB'!E:E)</f>
        <v>56.06</v>
      </c>
      <c r="E23" s="14"/>
      <c r="F23" s="15">
        <f t="shared" si="4"/>
        <v>0</v>
      </c>
      <c r="G23" s="14">
        <f t="shared" si="5"/>
        <v>11.212</v>
      </c>
      <c r="H23" s="16">
        <f t="shared" si="1"/>
        <v>0</v>
      </c>
      <c r="I23" s="14" t="str">
        <f t="shared" si="2"/>
        <v/>
      </c>
      <c r="J23" s="17">
        <f>SUMIF('ADV - GG'!A:A,A23,'ADV - GG'!H:H)+SUMIF('ADV - FB'!A:A,$A23,'ADV - FB'!I:I)</f>
        <v>0</v>
      </c>
      <c r="K23" s="18">
        <f>SUMIF('ADV - GA4'!A:A,A23,'ADV - GA4'!C:C)</f>
        <v>5</v>
      </c>
      <c r="L23" s="19" t="str">
        <f t="shared" si="6"/>
        <v/>
      </c>
      <c r="M23" s="20">
        <f t="shared" si="7"/>
        <v>0</v>
      </c>
      <c r="N23" s="14">
        <f t="shared" si="8"/>
        <v>0</v>
      </c>
      <c r="O23" s="15" t="str">
        <f>iferror(Planejador!$I$14,"")</f>
        <v/>
      </c>
      <c r="P23" s="14" t="str">
        <f>Planejador!$I$5</f>
        <v/>
      </c>
      <c r="Q23" s="16" t="str">
        <f>Planejador!$I$7</f>
        <v/>
      </c>
      <c r="R23" s="14" t="str">
        <f>Planejador!$I$11</f>
        <v>#DIV/0!</v>
      </c>
      <c r="S23" s="18">
        <f t="shared" si="9"/>
        <v>0</v>
      </c>
      <c r="T23" s="14" t="str">
        <f>Planejador!$I$6</f>
        <v/>
      </c>
      <c r="U23" s="4"/>
      <c r="V23" s="4"/>
      <c r="W23" s="4"/>
      <c r="X23" s="4"/>
      <c r="Y23" s="4"/>
      <c r="Z23" s="4"/>
      <c r="AA23" s="4"/>
      <c r="AB23" s="4"/>
    </row>
    <row r="24" ht="18.75" hidden="1" customHeight="1" outlineLevel="1">
      <c r="A24" s="12">
        <v>46044.0</v>
      </c>
      <c r="B24" s="13" t="str">
        <f t="shared" si="3"/>
        <v>quinta-feira</v>
      </c>
      <c r="C24" s="13"/>
      <c r="D24" s="14">
        <f>SUMIF('ADV - GG'!A:A,A24,'ADV - GG'!C:C)+SUMIF('ADV - FB'!A:A,$A24,'ADV - FB'!E:E)</f>
        <v>75.49</v>
      </c>
      <c r="E24" s="14"/>
      <c r="F24" s="15">
        <f t="shared" si="4"/>
        <v>0</v>
      </c>
      <c r="G24" s="14">
        <f t="shared" si="5"/>
        <v>37.745</v>
      </c>
      <c r="H24" s="16">
        <f t="shared" si="1"/>
        <v>0</v>
      </c>
      <c r="I24" s="14" t="str">
        <f t="shared" si="2"/>
        <v/>
      </c>
      <c r="J24" s="17">
        <f>SUMIF('ADV - GG'!A:A,A24,'ADV - GG'!H:H)+SUMIF('ADV - FB'!A:A,$A24,'ADV - FB'!I:I)</f>
        <v>0</v>
      </c>
      <c r="K24" s="18">
        <f>SUMIF('ADV - GA4'!A:A,A24,'ADV - GA4'!C:C)</f>
        <v>2</v>
      </c>
      <c r="L24" s="19" t="str">
        <f t="shared" si="6"/>
        <v/>
      </c>
      <c r="M24" s="20">
        <f t="shared" si="7"/>
        <v>0</v>
      </c>
      <c r="N24" s="14">
        <f t="shared" si="8"/>
        <v>0</v>
      </c>
      <c r="O24" s="15" t="str">
        <f>iferror(Planejador!$I$14,"")</f>
        <v/>
      </c>
      <c r="P24" s="14" t="str">
        <f>Planejador!$I$5</f>
        <v/>
      </c>
      <c r="Q24" s="16" t="str">
        <f>Planejador!$I$7</f>
        <v/>
      </c>
      <c r="R24" s="14" t="str">
        <f>Planejador!$I$11</f>
        <v>#DIV/0!</v>
      </c>
      <c r="S24" s="18">
        <f t="shared" si="9"/>
        <v>0</v>
      </c>
      <c r="T24" s="14" t="str">
        <f>Planejador!$I$6</f>
        <v/>
      </c>
      <c r="U24" s="4"/>
      <c r="V24" s="4"/>
      <c r="W24" s="4"/>
      <c r="X24" s="4"/>
      <c r="Y24" s="4"/>
      <c r="Z24" s="4"/>
      <c r="AA24" s="4"/>
      <c r="AB24" s="4"/>
    </row>
    <row r="25" ht="18.75" hidden="1" customHeight="1" outlineLevel="1">
      <c r="A25" s="12">
        <v>46045.0</v>
      </c>
      <c r="B25" s="13" t="str">
        <f t="shared" si="3"/>
        <v>sexta-feira</v>
      </c>
      <c r="C25" s="13"/>
      <c r="D25" s="14">
        <f>SUMIF('ADV - GG'!A:A,A25,'ADV - GG'!C:C)+SUMIF('ADV - FB'!A:A,$A25,'ADV - FB'!E:E)</f>
        <v>76.04</v>
      </c>
      <c r="E25" s="14"/>
      <c r="F25" s="15">
        <f t="shared" si="4"/>
        <v>0</v>
      </c>
      <c r="G25" s="14">
        <f t="shared" si="5"/>
        <v>12.67333333</v>
      </c>
      <c r="H25" s="16">
        <f t="shared" si="1"/>
        <v>0</v>
      </c>
      <c r="I25" s="14" t="str">
        <f t="shared" si="2"/>
        <v/>
      </c>
      <c r="J25" s="17">
        <f>SUMIF('ADV - GG'!A:A,A25,'ADV - GG'!H:H)+SUMIF('ADV - FB'!A:A,$A25,'ADV - FB'!I:I)</f>
        <v>0</v>
      </c>
      <c r="K25" s="18">
        <f>SUMIF('ADV - GA4'!A:A,A25,'ADV - GA4'!C:C)</f>
        <v>6</v>
      </c>
      <c r="L25" s="19" t="str">
        <f t="shared" si="6"/>
        <v/>
      </c>
      <c r="M25" s="20">
        <f t="shared" si="7"/>
        <v>0</v>
      </c>
      <c r="N25" s="14">
        <f t="shared" si="8"/>
        <v>0</v>
      </c>
      <c r="O25" s="15" t="str">
        <f>iferror(Planejador!$I$14,"")</f>
        <v/>
      </c>
      <c r="P25" s="14" t="str">
        <f>Planejador!$I$5</f>
        <v/>
      </c>
      <c r="Q25" s="16" t="str">
        <f>Planejador!$I$7</f>
        <v/>
      </c>
      <c r="R25" s="14" t="str">
        <f>Planejador!$I$11</f>
        <v>#DIV/0!</v>
      </c>
      <c r="S25" s="18">
        <f t="shared" si="9"/>
        <v>0</v>
      </c>
      <c r="T25" s="14" t="str">
        <f>Planejador!$I$6</f>
        <v/>
      </c>
      <c r="U25" s="4"/>
      <c r="V25" s="4"/>
      <c r="W25" s="4"/>
      <c r="X25" s="4"/>
      <c r="Y25" s="4"/>
      <c r="Z25" s="4"/>
      <c r="AA25" s="4"/>
      <c r="AB25" s="4"/>
    </row>
    <row r="26" ht="18.75" hidden="1" customHeight="1" outlineLevel="1">
      <c r="A26" s="12">
        <v>46046.0</v>
      </c>
      <c r="B26" s="13" t="str">
        <f t="shared" si="3"/>
        <v>sábado</v>
      </c>
      <c r="C26" s="13"/>
      <c r="D26" s="14">
        <f>SUMIF('ADV - GG'!A:A,A26,'ADV - GG'!C:C)+SUMIF('ADV - FB'!A:A,$A26,'ADV - FB'!E:E)</f>
        <v>69.32</v>
      </c>
      <c r="E26" s="14"/>
      <c r="F26" s="15">
        <f t="shared" si="4"/>
        <v>0</v>
      </c>
      <c r="G26" s="14" t="str">
        <f t="shared" si="5"/>
        <v/>
      </c>
      <c r="H26" s="16" t="str">
        <f t="shared" si="1"/>
        <v/>
      </c>
      <c r="I26" s="14" t="str">
        <f t="shared" si="2"/>
        <v/>
      </c>
      <c r="J26" s="17">
        <f>SUMIF('ADV - GG'!A:A,A26,'ADV - GG'!H:H)+SUMIF('ADV - FB'!A:A,$A26,'ADV - FB'!I:I)</f>
        <v>0</v>
      </c>
      <c r="K26" s="18">
        <f>SUMIF('ADV - GA4'!A:A,A26,'ADV - GA4'!C:C)</f>
        <v>0</v>
      </c>
      <c r="L26" s="19" t="str">
        <f t="shared" si="6"/>
        <v/>
      </c>
      <c r="M26" s="20">
        <f t="shared" si="7"/>
        <v>0</v>
      </c>
      <c r="N26" s="14">
        <f t="shared" si="8"/>
        <v>0</v>
      </c>
      <c r="O26" s="15" t="str">
        <f>iferror(Planejador!$I$14,"")</f>
        <v/>
      </c>
      <c r="P26" s="14" t="str">
        <f>Planejador!$I$5</f>
        <v/>
      </c>
      <c r="Q26" s="16" t="str">
        <f>Planejador!$I$7</f>
        <v/>
      </c>
      <c r="R26" s="14" t="str">
        <f>Planejador!$I$11</f>
        <v>#DIV/0!</v>
      </c>
      <c r="S26" s="18">
        <f t="shared" si="9"/>
        <v>0</v>
      </c>
      <c r="T26" s="14" t="str">
        <f>Planejador!$I$6</f>
        <v/>
      </c>
      <c r="U26" s="4"/>
      <c r="V26" s="4"/>
      <c r="W26" s="4"/>
      <c r="X26" s="4"/>
      <c r="Y26" s="4"/>
      <c r="Z26" s="4"/>
      <c r="AA26" s="4"/>
      <c r="AB26" s="4"/>
    </row>
    <row r="27" ht="18.75" hidden="1" customHeight="1" outlineLevel="1">
      <c r="A27" s="12">
        <v>46047.0</v>
      </c>
      <c r="B27" s="13" t="str">
        <f t="shared" si="3"/>
        <v>domingo</v>
      </c>
      <c r="C27" s="13"/>
      <c r="D27" s="14">
        <f>SUMIF('ADV - GG'!A:A,A27,'ADV - GG'!C:C)+SUMIF('ADV - FB'!A:A,$A27,'ADV - FB'!E:E)</f>
        <v>86.66</v>
      </c>
      <c r="E27" s="14"/>
      <c r="F27" s="15">
        <f t="shared" si="4"/>
        <v>0</v>
      </c>
      <c r="G27" s="14">
        <f t="shared" si="5"/>
        <v>28.88666667</v>
      </c>
      <c r="H27" s="16">
        <f t="shared" si="1"/>
        <v>0</v>
      </c>
      <c r="I27" s="14" t="str">
        <f t="shared" si="2"/>
        <v/>
      </c>
      <c r="J27" s="17">
        <f>SUMIF('ADV - GG'!A:A,A27,'ADV - GG'!H:H)+SUMIF('ADV - FB'!A:A,$A27,'ADV - FB'!I:I)</f>
        <v>0</v>
      </c>
      <c r="K27" s="18">
        <f>SUMIF('ADV - GA4'!A:A,A27,'ADV - GA4'!C:C)</f>
        <v>3</v>
      </c>
      <c r="L27" s="19" t="str">
        <f t="shared" si="6"/>
        <v/>
      </c>
      <c r="M27" s="20">
        <f t="shared" si="7"/>
        <v>0</v>
      </c>
      <c r="N27" s="14">
        <f t="shared" si="8"/>
        <v>0</v>
      </c>
      <c r="O27" s="15" t="str">
        <f>iferror(Planejador!$I$14,"")</f>
        <v/>
      </c>
      <c r="P27" s="14" t="str">
        <f>Planejador!$I$5</f>
        <v/>
      </c>
      <c r="Q27" s="16" t="str">
        <f>Planejador!$I$7</f>
        <v/>
      </c>
      <c r="R27" s="14" t="str">
        <f>Planejador!$I$11</f>
        <v>#DIV/0!</v>
      </c>
      <c r="S27" s="18">
        <f t="shared" si="9"/>
        <v>0</v>
      </c>
      <c r="T27" s="14" t="str">
        <f>Planejador!$I$6</f>
        <v/>
      </c>
      <c r="U27" s="4"/>
      <c r="V27" s="4"/>
      <c r="W27" s="4"/>
      <c r="X27" s="4"/>
      <c r="Y27" s="4"/>
      <c r="Z27" s="4"/>
      <c r="AA27" s="4"/>
      <c r="AB27" s="4"/>
    </row>
    <row r="28" ht="18.75" hidden="1" customHeight="1" outlineLevel="1">
      <c r="A28" s="12">
        <v>46048.0</v>
      </c>
      <c r="B28" s="13" t="str">
        <f t="shared" si="3"/>
        <v>segunda-feira</v>
      </c>
      <c r="C28" s="13"/>
      <c r="D28" s="14">
        <f>SUMIF('ADV - GG'!A:A,A28,'ADV - GG'!C:C)+SUMIF('ADV - FB'!A:A,$A28,'ADV - FB'!E:E)</f>
        <v>95.84</v>
      </c>
      <c r="E28" s="14"/>
      <c r="F28" s="15">
        <f t="shared" si="4"/>
        <v>0</v>
      </c>
      <c r="G28" s="14">
        <f t="shared" si="5"/>
        <v>15.97333333</v>
      </c>
      <c r="H28" s="16">
        <f t="shared" si="1"/>
        <v>0</v>
      </c>
      <c r="I28" s="14" t="str">
        <f t="shared" si="2"/>
        <v/>
      </c>
      <c r="J28" s="17">
        <f>SUMIF('ADV - GG'!A:A,A28,'ADV - GG'!H:H)+SUMIF('ADV - FB'!A:A,$A28,'ADV - FB'!I:I)</f>
        <v>0</v>
      </c>
      <c r="K28" s="18">
        <f>SUMIF('ADV - GA4'!A:A,A28,'ADV - GA4'!C:C)</f>
        <v>6</v>
      </c>
      <c r="L28" s="19" t="str">
        <f t="shared" si="6"/>
        <v/>
      </c>
      <c r="M28" s="20">
        <f t="shared" si="7"/>
        <v>0</v>
      </c>
      <c r="N28" s="14">
        <f t="shared" si="8"/>
        <v>0</v>
      </c>
      <c r="O28" s="15" t="str">
        <f>iferror(Planejador!$I$14,"")</f>
        <v/>
      </c>
      <c r="P28" s="14" t="str">
        <f>Planejador!$I$5</f>
        <v/>
      </c>
      <c r="Q28" s="16" t="str">
        <f>Planejador!$I$7</f>
        <v/>
      </c>
      <c r="R28" s="14" t="str">
        <f>Planejador!$I$11</f>
        <v>#DIV/0!</v>
      </c>
      <c r="S28" s="18">
        <f t="shared" si="9"/>
        <v>0</v>
      </c>
      <c r="T28" s="14" t="str">
        <f>Planejador!$I$6</f>
        <v/>
      </c>
      <c r="U28" s="4"/>
      <c r="V28" s="4"/>
      <c r="W28" s="4"/>
      <c r="X28" s="4"/>
      <c r="Y28" s="4"/>
      <c r="Z28" s="4"/>
      <c r="AA28" s="4"/>
      <c r="AB28" s="4"/>
    </row>
    <row r="29" ht="18.75" hidden="1" customHeight="1" outlineLevel="1">
      <c r="A29" s="12">
        <v>46049.0</v>
      </c>
      <c r="B29" s="13" t="str">
        <f t="shared" si="3"/>
        <v>terça-feira</v>
      </c>
      <c r="C29" s="13"/>
      <c r="D29" s="14">
        <f>SUMIF('ADV - GG'!A:A,A29,'ADV - GG'!C:C)+SUMIF('ADV - FB'!A:A,$A29,'ADV - FB'!E:E)</f>
        <v>74.79</v>
      </c>
      <c r="E29" s="14"/>
      <c r="F29" s="15">
        <f t="shared" si="4"/>
        <v>0</v>
      </c>
      <c r="G29" s="14">
        <f t="shared" si="5"/>
        <v>10.68428571</v>
      </c>
      <c r="H29" s="16">
        <f t="shared" si="1"/>
        <v>0</v>
      </c>
      <c r="I29" s="14" t="str">
        <f t="shared" si="2"/>
        <v/>
      </c>
      <c r="J29" s="17">
        <f>SUMIF('ADV - GG'!A:A,A29,'ADV - GG'!H:H)+SUMIF('ADV - FB'!A:A,$A29,'ADV - FB'!I:I)</f>
        <v>0</v>
      </c>
      <c r="K29" s="18">
        <f>SUMIF('ADV - GA4'!A:A,A29,'ADV - GA4'!C:C)</f>
        <v>7</v>
      </c>
      <c r="L29" s="19" t="str">
        <f t="shared" si="6"/>
        <v/>
      </c>
      <c r="M29" s="20">
        <f t="shared" si="7"/>
        <v>0</v>
      </c>
      <c r="N29" s="14">
        <f t="shared" si="8"/>
        <v>0</v>
      </c>
      <c r="O29" s="15" t="str">
        <f>iferror(Planejador!$I$14,"")</f>
        <v/>
      </c>
      <c r="P29" s="14" t="str">
        <f>Planejador!$I$5</f>
        <v/>
      </c>
      <c r="Q29" s="16" t="str">
        <f>Planejador!$I$7</f>
        <v/>
      </c>
      <c r="R29" s="14" t="str">
        <f>Planejador!$I$11</f>
        <v>#DIV/0!</v>
      </c>
      <c r="S29" s="18">
        <f t="shared" si="9"/>
        <v>0</v>
      </c>
      <c r="T29" s="14" t="str">
        <f>Planejador!$I$6</f>
        <v/>
      </c>
      <c r="U29" s="4"/>
      <c r="V29" s="4"/>
      <c r="W29" s="4"/>
      <c r="X29" s="4"/>
      <c r="Y29" s="4"/>
      <c r="Z29" s="4"/>
      <c r="AA29" s="4"/>
      <c r="AB29" s="4"/>
    </row>
    <row r="30" ht="18.75" hidden="1" customHeight="1" outlineLevel="1">
      <c r="A30" s="12">
        <v>46050.0</v>
      </c>
      <c r="B30" s="13" t="str">
        <f t="shared" si="3"/>
        <v>quarta-feira</v>
      </c>
      <c r="C30" s="13"/>
      <c r="D30" s="14">
        <f>SUMIF('ADV - GG'!A:A,A30,'ADV - GG'!C:C)+SUMIF('ADV - FB'!A:A,$A30,'ADV - FB'!E:E)</f>
        <v>65.39</v>
      </c>
      <c r="E30" s="14"/>
      <c r="F30" s="15">
        <f t="shared" si="4"/>
        <v>0</v>
      </c>
      <c r="G30" s="14">
        <f t="shared" si="5"/>
        <v>3.441578947</v>
      </c>
      <c r="H30" s="16">
        <f t="shared" si="1"/>
        <v>0</v>
      </c>
      <c r="I30" s="14" t="str">
        <f t="shared" si="2"/>
        <v/>
      </c>
      <c r="J30" s="17">
        <f>SUMIF('ADV - GG'!A:A,A30,'ADV - GG'!H:H)+SUMIF('ADV - FB'!A:A,$A30,'ADV - FB'!I:I)</f>
        <v>0</v>
      </c>
      <c r="K30" s="18">
        <f>SUMIF('ADV - GA4'!A:A,A30,'ADV - GA4'!C:C)</f>
        <v>19</v>
      </c>
      <c r="L30" s="19" t="str">
        <f t="shared" si="6"/>
        <v/>
      </c>
      <c r="M30" s="20">
        <f t="shared" si="7"/>
        <v>0</v>
      </c>
      <c r="N30" s="14">
        <f t="shared" si="8"/>
        <v>0</v>
      </c>
      <c r="O30" s="15" t="str">
        <f>iferror(Planejador!$I$14,"")</f>
        <v/>
      </c>
      <c r="P30" s="14" t="str">
        <f>Planejador!$I$5</f>
        <v/>
      </c>
      <c r="Q30" s="16" t="str">
        <f>Planejador!$I$7</f>
        <v/>
      </c>
      <c r="R30" s="14" t="str">
        <f>Planejador!$I$11</f>
        <v>#DIV/0!</v>
      </c>
      <c r="S30" s="18">
        <f t="shared" si="9"/>
        <v>0</v>
      </c>
      <c r="T30" s="14" t="str">
        <f>Planejador!$I$6</f>
        <v/>
      </c>
      <c r="U30" s="4"/>
      <c r="V30" s="4"/>
      <c r="W30" s="4"/>
      <c r="X30" s="4"/>
      <c r="Y30" s="4"/>
      <c r="Z30" s="4"/>
      <c r="AA30" s="4"/>
      <c r="AB30" s="4"/>
    </row>
    <row r="31" ht="18.75" hidden="1" customHeight="1" outlineLevel="1">
      <c r="A31" s="12">
        <v>46051.0</v>
      </c>
      <c r="B31" s="13" t="str">
        <f t="shared" si="3"/>
        <v>quinta-feira</v>
      </c>
      <c r="C31" s="13"/>
      <c r="D31" s="14">
        <f>SUMIF('ADV - GG'!A:A,A31,'ADV - GG'!C:C)+SUMIF('ADV - FB'!A:A,$A31,'ADV - FB'!E:E)</f>
        <v>71.18</v>
      </c>
      <c r="E31" s="14"/>
      <c r="F31" s="15">
        <f t="shared" si="4"/>
        <v>0</v>
      </c>
      <c r="G31" s="14">
        <f t="shared" si="5"/>
        <v>8.8975</v>
      </c>
      <c r="H31" s="16">
        <f t="shared" si="1"/>
        <v>0</v>
      </c>
      <c r="I31" s="14" t="str">
        <f t="shared" si="2"/>
        <v/>
      </c>
      <c r="J31" s="17">
        <f>SUMIF('ADV - GG'!A:A,A31,'ADV - GG'!H:H)+SUMIF('ADV - FB'!A:A,$A31,'ADV - FB'!I:I)</f>
        <v>0</v>
      </c>
      <c r="K31" s="18">
        <f>SUMIF('ADV - GA4'!A:A,A31,'ADV - GA4'!C:C)</f>
        <v>8</v>
      </c>
      <c r="L31" s="19" t="str">
        <f t="shared" si="6"/>
        <v/>
      </c>
      <c r="M31" s="20">
        <f t="shared" si="7"/>
        <v>0</v>
      </c>
      <c r="N31" s="14">
        <f t="shared" si="8"/>
        <v>0</v>
      </c>
      <c r="O31" s="15" t="str">
        <f>iferror(Planejador!$I$14,"")</f>
        <v/>
      </c>
      <c r="P31" s="14" t="str">
        <f>Planejador!$I$5</f>
        <v/>
      </c>
      <c r="Q31" s="16" t="str">
        <f>Planejador!$I$7</f>
        <v/>
      </c>
      <c r="R31" s="14" t="str">
        <f>Planejador!$I$11</f>
        <v>#DIV/0!</v>
      </c>
      <c r="S31" s="18">
        <f t="shared" si="9"/>
        <v>0</v>
      </c>
      <c r="T31" s="14" t="str">
        <f>Planejador!$I$6</f>
        <v/>
      </c>
      <c r="U31" s="4"/>
      <c r="V31" s="4"/>
      <c r="W31" s="4"/>
      <c r="X31" s="4"/>
      <c r="Y31" s="4"/>
      <c r="Z31" s="4"/>
      <c r="AA31" s="4"/>
      <c r="AB31" s="4"/>
    </row>
    <row r="32" ht="18.75" hidden="1" customHeight="1" outlineLevel="1">
      <c r="A32" s="12">
        <v>46052.0</v>
      </c>
      <c r="B32" s="13" t="str">
        <f t="shared" si="3"/>
        <v>sexta-feira</v>
      </c>
      <c r="C32" s="13"/>
      <c r="D32" s="14">
        <f>SUMIF('ADV - GG'!A:A,A32,'ADV - GG'!C:C)+SUMIF('ADV - FB'!A:A,$A32,'ADV - FB'!E:E)</f>
        <v>69.86</v>
      </c>
      <c r="E32" s="14"/>
      <c r="F32" s="15">
        <f t="shared" si="4"/>
        <v>0</v>
      </c>
      <c r="G32" s="14">
        <f t="shared" si="5"/>
        <v>7.762222222</v>
      </c>
      <c r="H32" s="16">
        <f t="shared" si="1"/>
        <v>0</v>
      </c>
      <c r="I32" s="14" t="str">
        <f t="shared" si="2"/>
        <v/>
      </c>
      <c r="J32" s="17">
        <f>SUMIF('ADV - GG'!A:A,A32,'ADV - GG'!H:H)+SUMIF('ADV - FB'!A:A,$A32,'ADV - FB'!I:I)</f>
        <v>0</v>
      </c>
      <c r="K32" s="18">
        <f>SUMIF('ADV - GA4'!A:A,A32,'ADV - GA4'!C:C)</f>
        <v>9</v>
      </c>
      <c r="L32" s="19" t="str">
        <f t="shared" si="6"/>
        <v/>
      </c>
      <c r="M32" s="20">
        <f t="shared" si="7"/>
        <v>0</v>
      </c>
      <c r="N32" s="14">
        <f t="shared" si="8"/>
        <v>0</v>
      </c>
      <c r="O32" s="15" t="str">
        <f>iferror(Planejador!$I$14,"")</f>
        <v/>
      </c>
      <c r="P32" s="14" t="str">
        <f>Planejador!$I$5</f>
        <v/>
      </c>
      <c r="Q32" s="16" t="str">
        <f>Planejador!$I$7</f>
        <v/>
      </c>
      <c r="R32" s="14" t="str">
        <f>Planejador!$I$11</f>
        <v>#DIV/0!</v>
      </c>
      <c r="S32" s="18">
        <f t="shared" si="9"/>
        <v>0</v>
      </c>
      <c r="T32" s="14" t="str">
        <f>Planejador!$I$6</f>
        <v/>
      </c>
      <c r="U32" s="4"/>
      <c r="V32" s="4"/>
      <c r="W32" s="4"/>
      <c r="X32" s="4"/>
      <c r="Y32" s="4"/>
      <c r="Z32" s="4"/>
      <c r="AA32" s="4"/>
      <c r="AB32" s="4"/>
    </row>
    <row r="33" ht="18.75" hidden="1" customHeight="1" outlineLevel="1">
      <c r="A33" s="12">
        <v>46053.0</v>
      </c>
      <c r="B33" s="13" t="str">
        <f t="shared" si="3"/>
        <v>sábado</v>
      </c>
      <c r="C33" s="13"/>
      <c r="D33" s="14">
        <f>SUMIF('ADV - GG'!A:A,A33,'ADV - GG'!C:C)+SUMIF('ADV - FB'!A:A,$A33,'ADV - FB'!E:E)</f>
        <v>71.29</v>
      </c>
      <c r="E33" s="14"/>
      <c r="F33" s="15">
        <f t="shared" si="4"/>
        <v>0</v>
      </c>
      <c r="G33" s="14">
        <f t="shared" si="5"/>
        <v>71.29</v>
      </c>
      <c r="H33" s="16">
        <f t="shared" si="1"/>
        <v>0</v>
      </c>
      <c r="I33" s="14" t="str">
        <f t="shared" si="2"/>
        <v/>
      </c>
      <c r="J33" s="17">
        <f>SUMIF('ADV - GG'!A:A,A33,'ADV - GG'!H:H)+SUMIF('ADV - FB'!A:A,$A33,'ADV - FB'!I:I)</f>
        <v>0</v>
      </c>
      <c r="K33" s="18">
        <f>SUMIF('ADV - GA4'!A:A,A33,'ADV - GA4'!C:C)</f>
        <v>1</v>
      </c>
      <c r="L33" s="19" t="str">
        <f t="shared" si="6"/>
        <v/>
      </c>
      <c r="M33" s="20">
        <f t="shared" si="7"/>
        <v>0</v>
      </c>
      <c r="N33" s="14">
        <f t="shared" si="8"/>
        <v>0</v>
      </c>
      <c r="O33" s="15" t="str">
        <f>iferror(Planejador!$I$14,"")</f>
        <v/>
      </c>
      <c r="P33" s="14" t="str">
        <f>Planejador!$I$5</f>
        <v/>
      </c>
      <c r="Q33" s="16" t="str">
        <f>Planejador!$I$7</f>
        <v/>
      </c>
      <c r="R33" s="14" t="str">
        <f>Planejador!$I$11</f>
        <v>#DIV/0!</v>
      </c>
      <c r="S33" s="18">
        <f t="shared" si="9"/>
        <v>0</v>
      </c>
      <c r="T33" s="14" t="str">
        <f>Planejador!$I$6</f>
        <v/>
      </c>
      <c r="U33" s="4"/>
      <c r="V33" s="4"/>
      <c r="W33" s="4"/>
      <c r="X33" s="4"/>
      <c r="Y33" s="4"/>
      <c r="Z33" s="4"/>
      <c r="AA33" s="4"/>
      <c r="AB33" s="4"/>
    </row>
    <row r="34" ht="18.75" customHeight="1" collapsed="1">
      <c r="A34" s="5" t="s">
        <v>21</v>
      </c>
      <c r="B34" s="5">
        <f>COUNTA(A35:A63)</f>
        <v>29</v>
      </c>
      <c r="C34" s="6"/>
      <c r="D34" s="7">
        <f>IFERROR(SUM(D35:D63),"")</f>
        <v>1640.2</v>
      </c>
      <c r="E34" s="7">
        <f>iferror(SUM(E35:E63),"")</f>
        <v>0</v>
      </c>
      <c r="F34" s="8">
        <f>iferror(E34/D34,"")</f>
        <v>0</v>
      </c>
      <c r="G34" s="9">
        <f>iferror(D34/K34,"")</f>
        <v>5.174132492</v>
      </c>
      <c r="H34" s="10">
        <f t="shared" si="1"/>
        <v>0.1451104101</v>
      </c>
      <c r="I34" s="9">
        <f t="shared" si="2"/>
        <v>35.65652174</v>
      </c>
      <c r="J34" s="11">
        <f>iferror(SUM(J35:J63),"")</f>
        <v>46</v>
      </c>
      <c r="K34" s="11">
        <f>IFERROR(SUM(K35:K63),"")</f>
        <v>317</v>
      </c>
      <c r="L34" s="9">
        <f>iferror(E34/J34,"")</f>
        <v>0</v>
      </c>
      <c r="M34" s="7" t="str">
        <f>Planejador!$I$27</f>
        <v/>
      </c>
      <c r="N34" s="7" t="str">
        <f>IFERROR(Planejador!$I$36,"")</f>
        <v/>
      </c>
      <c r="O34" s="8" t="str">
        <f>IFERROR(Planejador!$I$37,"")</f>
        <v/>
      </c>
      <c r="P34" s="9" t="str">
        <f>Planejador!$I$28</f>
        <v/>
      </c>
      <c r="Q34" s="10" t="str">
        <f>Planejador!$I$30</f>
        <v/>
      </c>
      <c r="R34" s="9" t="str">
        <f>iferror(Planejador!$I$34,"")</f>
        <v/>
      </c>
      <c r="S34" s="11" t="str">
        <f>iferror(Planejador!$I$33,"")</f>
        <v/>
      </c>
      <c r="T34" s="9" t="str">
        <f>iferror(Planejador!$I$29,"")</f>
        <v/>
      </c>
      <c r="U34" s="4"/>
      <c r="V34" s="4"/>
      <c r="W34" s="4"/>
      <c r="X34" s="4"/>
      <c r="Y34" s="4"/>
      <c r="Z34" s="4"/>
      <c r="AA34" s="4"/>
      <c r="AB34" s="4"/>
    </row>
    <row r="35" ht="18.75" hidden="1" customHeight="1" outlineLevel="1">
      <c r="A35" s="12">
        <v>46054.0</v>
      </c>
      <c r="B35" s="13" t="str">
        <f t="shared" ref="B35:B63" si="10">TEXT(A35,"dddd")</f>
        <v>domingo</v>
      </c>
      <c r="C35" s="13"/>
      <c r="D35" s="14">
        <f>SUMIF('ADV - GG'!A:A,A35,'ADV - GG'!C:C)+SUMIF('ADV - FB'!A:A,$A35,'ADV - FB'!E:E)</f>
        <v>89.37</v>
      </c>
      <c r="E35" s="19"/>
      <c r="F35" s="15">
        <f t="shared" ref="F35:F63" si="11">IFERROR(E35/D35,"")</f>
        <v>0</v>
      </c>
      <c r="G35" s="14">
        <f t="shared" ref="G35:G63" si="12">IFERROR(D35/K33,"")</f>
        <v>89.37</v>
      </c>
      <c r="H35" s="16">
        <f t="shared" si="1"/>
        <v>0</v>
      </c>
      <c r="I35" s="14" t="str">
        <f t="shared" si="2"/>
        <v/>
      </c>
      <c r="J35" s="17">
        <f>SUMIF('ADV - GG'!A:A,A35,'ADV - GG'!H:H)+SUMIF('ADV - FB'!A:A,$A35,'ADV - FB'!I:I)</f>
        <v>0</v>
      </c>
      <c r="K35" s="22">
        <f>SUMIF('ADV - GA4'!A:A,A35,'ADV - GA4'!C:C)</f>
        <v>129</v>
      </c>
      <c r="L35" s="19" t="str">
        <f t="shared" ref="L35:L63" si="13">IFERROR(E35/J35,"")</f>
        <v/>
      </c>
      <c r="M35" s="20">
        <f t="shared" ref="M35:M63" si="14">$M$34/$B$34</f>
        <v>0</v>
      </c>
      <c r="N35" s="14">
        <f t="shared" ref="N35:N63" si="15">$N$34/$B$34</f>
        <v>0</v>
      </c>
      <c r="O35" s="15" t="str">
        <f>IFERROR(Planejador!$I$37,"")</f>
        <v/>
      </c>
      <c r="P35" s="14" t="str">
        <f>Planejador!$I$28</f>
        <v/>
      </c>
      <c r="Q35" s="16" t="str">
        <f>Planejador!$I$30</f>
        <v/>
      </c>
      <c r="R35" s="14" t="str">
        <f>iferror(Planejador!$I$34,"")</f>
        <v/>
      </c>
      <c r="S35" s="18">
        <f t="shared" ref="S35:S63" si="16">$S$34/$B$34</f>
        <v>0</v>
      </c>
      <c r="T35" s="14" t="str">
        <f>iferror(Planejador!$I$29,"")</f>
        <v/>
      </c>
      <c r="U35" s="4"/>
      <c r="V35" s="4"/>
      <c r="W35" s="4"/>
      <c r="X35" s="4"/>
      <c r="Y35" s="4"/>
      <c r="Z35" s="4"/>
      <c r="AA35" s="4"/>
      <c r="AB35" s="4"/>
    </row>
    <row r="36" ht="18.75" hidden="1" customHeight="1" outlineLevel="1">
      <c r="A36" s="12">
        <v>46055.0</v>
      </c>
      <c r="B36" s="13" t="str">
        <f t="shared" si="10"/>
        <v>segunda-feira</v>
      </c>
      <c r="C36" s="13"/>
      <c r="D36" s="14">
        <f>SUMIF('ADV - GG'!A:A,A36,'ADV - GG'!C:C)+SUMIF('ADV - FB'!A:A,$A36,'ADV - FB'!E:E)</f>
        <v>39.12</v>
      </c>
      <c r="E36" s="19"/>
      <c r="F36" s="15">
        <f t="shared" si="11"/>
        <v>0</v>
      </c>
      <c r="G36" s="14">
        <f t="shared" si="12"/>
        <v>0.1234069401</v>
      </c>
      <c r="H36" s="16">
        <f t="shared" si="1"/>
        <v>0</v>
      </c>
      <c r="I36" s="14" t="str">
        <f t="shared" si="2"/>
        <v/>
      </c>
      <c r="J36" s="17">
        <f>SUMIF('ADV - GG'!A:A,A36,'ADV - GG'!H:H)+SUMIF('ADV - FB'!A:A,$A36,'ADV - FB'!I:I)</f>
        <v>0</v>
      </c>
      <c r="K36" s="22">
        <f>SUMIF('ADV - GA4'!A:A,A36,'ADV - GA4'!C:C)</f>
        <v>47</v>
      </c>
      <c r="L36" s="19" t="str">
        <f t="shared" si="13"/>
        <v/>
      </c>
      <c r="M36" s="20">
        <f t="shared" si="14"/>
        <v>0</v>
      </c>
      <c r="N36" s="14">
        <f t="shared" si="15"/>
        <v>0</v>
      </c>
      <c r="O36" s="15" t="str">
        <f>IFERROR(Planejador!$I$37,"")</f>
        <v/>
      </c>
      <c r="P36" s="14" t="str">
        <f>Planejador!$I$28</f>
        <v/>
      </c>
      <c r="Q36" s="16" t="str">
        <f>Planejador!$I$30</f>
        <v/>
      </c>
      <c r="R36" s="14" t="str">
        <f>iferror(Planejador!$I$34,"")</f>
        <v/>
      </c>
      <c r="S36" s="18">
        <f t="shared" si="16"/>
        <v>0</v>
      </c>
      <c r="T36" s="14" t="str">
        <f>iferror(Planejador!$I$29,"")</f>
        <v/>
      </c>
      <c r="U36" s="4"/>
      <c r="V36" s="4"/>
      <c r="W36" s="4"/>
      <c r="X36" s="4"/>
      <c r="Y36" s="4"/>
      <c r="Z36" s="4"/>
      <c r="AA36" s="4"/>
      <c r="AB36" s="4"/>
    </row>
    <row r="37" ht="18.75" hidden="1" customHeight="1" outlineLevel="1">
      <c r="A37" s="12">
        <v>46056.0</v>
      </c>
      <c r="B37" s="13" t="str">
        <f t="shared" si="10"/>
        <v>terça-feira</v>
      </c>
      <c r="C37" s="13"/>
      <c r="D37" s="14">
        <f>SUMIF('ADV - GG'!A:A,A37,'ADV - GG'!C:C)+SUMIF('ADV - FB'!A:A,$A37,'ADV - FB'!E:E)</f>
        <v>122.42</v>
      </c>
      <c r="E37" s="19"/>
      <c r="F37" s="15">
        <f t="shared" si="11"/>
        <v>0</v>
      </c>
      <c r="G37" s="14">
        <f t="shared" si="12"/>
        <v>0.9489922481</v>
      </c>
      <c r="H37" s="16">
        <f t="shared" si="1"/>
        <v>0</v>
      </c>
      <c r="I37" s="14" t="str">
        <f t="shared" si="2"/>
        <v/>
      </c>
      <c r="J37" s="17">
        <f>SUMIF('ADV - GG'!A:A,A37,'ADV - GG'!H:H)+SUMIF('ADV - FB'!A:A,$A37,'ADV - FB'!I:I)</f>
        <v>0</v>
      </c>
      <c r="K37" s="22">
        <f>SUMIF('ADV - GA4'!A:A,A37,'ADV - GA4'!C:C)</f>
        <v>19</v>
      </c>
      <c r="L37" s="19" t="str">
        <f t="shared" si="13"/>
        <v/>
      </c>
      <c r="M37" s="20">
        <f t="shared" si="14"/>
        <v>0</v>
      </c>
      <c r="N37" s="14">
        <f t="shared" si="15"/>
        <v>0</v>
      </c>
      <c r="O37" s="15" t="str">
        <f>IFERROR(Planejador!$I$37,"")</f>
        <v/>
      </c>
      <c r="P37" s="14" t="str">
        <f>Planejador!$I$28</f>
        <v/>
      </c>
      <c r="Q37" s="16" t="str">
        <f>Planejador!$I$30</f>
        <v/>
      </c>
      <c r="R37" s="14" t="str">
        <f>iferror(Planejador!$I$34,"")</f>
        <v/>
      </c>
      <c r="S37" s="18">
        <f t="shared" si="16"/>
        <v>0</v>
      </c>
      <c r="T37" s="14" t="str">
        <f>iferror(Planejador!$I$29,"")</f>
        <v/>
      </c>
      <c r="U37" s="4"/>
      <c r="V37" s="4"/>
      <c r="W37" s="4"/>
      <c r="X37" s="4"/>
      <c r="Y37" s="4"/>
      <c r="Z37" s="4"/>
      <c r="AA37" s="4"/>
      <c r="AB37" s="4"/>
    </row>
    <row r="38" ht="18.75" hidden="1" customHeight="1" outlineLevel="1">
      <c r="A38" s="12">
        <v>46057.0</v>
      </c>
      <c r="B38" s="13" t="str">
        <f t="shared" si="10"/>
        <v>quarta-feira</v>
      </c>
      <c r="C38" s="13"/>
      <c r="D38" s="14">
        <f>SUMIF('ADV - GG'!A:A,A38,'ADV - GG'!C:C)+SUMIF('ADV - FB'!A:A,$A38,'ADV - FB'!E:E)</f>
        <v>80.8</v>
      </c>
      <c r="E38" s="19"/>
      <c r="F38" s="15">
        <f t="shared" si="11"/>
        <v>0</v>
      </c>
      <c r="G38" s="14">
        <f t="shared" si="12"/>
        <v>1.719148936</v>
      </c>
      <c r="H38" s="16">
        <f t="shared" si="1"/>
        <v>0</v>
      </c>
      <c r="I38" s="14" t="str">
        <f t="shared" si="2"/>
        <v/>
      </c>
      <c r="J38" s="17">
        <f>SUMIF('ADV - GG'!A:A,A38,'ADV - GG'!H:H)+SUMIF('ADV - FB'!A:A,$A38,'ADV - FB'!I:I)</f>
        <v>0</v>
      </c>
      <c r="K38" s="22">
        <f>SUMIF('ADV - GA4'!A:A,A38,'ADV - GA4'!C:C)</f>
        <v>25</v>
      </c>
      <c r="L38" s="19" t="str">
        <f t="shared" si="13"/>
        <v/>
      </c>
      <c r="M38" s="20">
        <f t="shared" si="14"/>
        <v>0</v>
      </c>
      <c r="N38" s="14">
        <f t="shared" si="15"/>
        <v>0</v>
      </c>
      <c r="O38" s="15" t="str">
        <f>IFERROR(Planejador!$I$37,"")</f>
        <v/>
      </c>
      <c r="P38" s="14" t="str">
        <f>Planejador!$I$28</f>
        <v/>
      </c>
      <c r="Q38" s="16" t="str">
        <f>Planejador!$I$30</f>
        <v/>
      </c>
      <c r="R38" s="14" t="str">
        <f>iferror(Planejador!$I$34,"")</f>
        <v/>
      </c>
      <c r="S38" s="18">
        <f t="shared" si="16"/>
        <v>0</v>
      </c>
      <c r="T38" s="14" t="str">
        <f>iferror(Planejador!$I$29,"")</f>
        <v/>
      </c>
      <c r="U38" s="4"/>
      <c r="V38" s="4"/>
      <c r="W38" s="4"/>
      <c r="X38" s="4"/>
      <c r="Y38" s="4"/>
      <c r="Z38" s="4"/>
      <c r="AA38" s="4"/>
      <c r="AB38" s="4"/>
    </row>
    <row r="39" ht="18.75" hidden="1" customHeight="1" outlineLevel="1">
      <c r="A39" s="12">
        <v>46058.0</v>
      </c>
      <c r="B39" s="13" t="str">
        <f t="shared" si="10"/>
        <v>quinta-feira</v>
      </c>
      <c r="C39" s="13"/>
      <c r="D39" s="14">
        <f>SUMIF('ADV - GG'!A:A,A39,'ADV - GG'!C:C)+SUMIF('ADV - FB'!A:A,$A39,'ADV - FB'!E:E)</f>
        <v>78.11</v>
      </c>
      <c r="E39" s="19"/>
      <c r="F39" s="15">
        <f t="shared" si="11"/>
        <v>0</v>
      </c>
      <c r="G39" s="14">
        <f t="shared" si="12"/>
        <v>4.111052632</v>
      </c>
      <c r="H39" s="16">
        <f t="shared" si="1"/>
        <v>0.08</v>
      </c>
      <c r="I39" s="14">
        <f t="shared" si="2"/>
        <v>39.055</v>
      </c>
      <c r="J39" s="17">
        <f>SUMIF('ADV - GG'!A:A,A39,'ADV - GG'!H:H)+SUMIF('ADV - FB'!A:A,$A39,'ADV - FB'!I:I)</f>
        <v>2</v>
      </c>
      <c r="K39" s="22">
        <f>SUMIF('ADV - GA4'!A:A,A39,'ADV - GA4'!C:C)</f>
        <v>25</v>
      </c>
      <c r="L39" s="19">
        <f t="shared" si="13"/>
        <v>0</v>
      </c>
      <c r="M39" s="20">
        <f t="shared" si="14"/>
        <v>0</v>
      </c>
      <c r="N39" s="14">
        <f t="shared" si="15"/>
        <v>0</v>
      </c>
      <c r="O39" s="15" t="str">
        <f>IFERROR(Planejador!$I$37,"")</f>
        <v/>
      </c>
      <c r="P39" s="14" t="str">
        <f>Planejador!$I$28</f>
        <v/>
      </c>
      <c r="Q39" s="16" t="str">
        <f>Planejador!$I$30</f>
        <v/>
      </c>
      <c r="R39" s="14" t="str">
        <f>iferror(Planejador!$I$34,"")</f>
        <v/>
      </c>
      <c r="S39" s="18">
        <f t="shared" si="16"/>
        <v>0</v>
      </c>
      <c r="T39" s="14" t="str">
        <f>iferror(Planejador!$I$29,"")</f>
        <v/>
      </c>
      <c r="U39" s="4"/>
      <c r="V39" s="4"/>
      <c r="W39" s="4"/>
      <c r="X39" s="4"/>
      <c r="Y39" s="4"/>
      <c r="Z39" s="4"/>
      <c r="AA39" s="4"/>
      <c r="AB39" s="4"/>
    </row>
    <row r="40" ht="18.75" hidden="1" customHeight="1" outlineLevel="1">
      <c r="A40" s="12">
        <v>46059.0</v>
      </c>
      <c r="B40" s="13" t="str">
        <f t="shared" si="10"/>
        <v>sexta-feira</v>
      </c>
      <c r="C40" s="13"/>
      <c r="D40" s="14">
        <f>SUMIF('ADV - GG'!A:A,A40,'ADV - GG'!C:C)+SUMIF('ADV - FB'!A:A,$A40,'ADV - FB'!E:E)</f>
        <v>101.89</v>
      </c>
      <c r="E40" s="19"/>
      <c r="F40" s="15">
        <f t="shared" si="11"/>
        <v>0</v>
      </c>
      <c r="G40" s="14">
        <f t="shared" si="12"/>
        <v>4.0756</v>
      </c>
      <c r="H40" s="16">
        <f t="shared" si="1"/>
        <v>0.5</v>
      </c>
      <c r="I40" s="14">
        <f t="shared" si="2"/>
        <v>101.89</v>
      </c>
      <c r="J40" s="17">
        <f>SUMIF('ADV - GG'!A:A,A40,'ADV - GG'!H:H)+SUMIF('ADV - FB'!A:A,$A40,'ADV - FB'!I:I)</f>
        <v>1</v>
      </c>
      <c r="K40" s="22">
        <f>SUMIF('ADV - GA4'!A:A,A40,'ADV - GA4'!C:C)</f>
        <v>2</v>
      </c>
      <c r="L40" s="19">
        <f t="shared" si="13"/>
        <v>0</v>
      </c>
      <c r="M40" s="20">
        <f t="shared" si="14"/>
        <v>0</v>
      </c>
      <c r="N40" s="14">
        <f t="shared" si="15"/>
        <v>0</v>
      </c>
      <c r="O40" s="15" t="str">
        <f>IFERROR(Planejador!$I$37,"")</f>
        <v/>
      </c>
      <c r="P40" s="14" t="str">
        <f>Planejador!$I$28</f>
        <v/>
      </c>
      <c r="Q40" s="16" t="str">
        <f>Planejador!$I$30</f>
        <v/>
      </c>
      <c r="R40" s="14" t="str">
        <f>iferror(Planejador!$I$34,"")</f>
        <v/>
      </c>
      <c r="S40" s="18">
        <f t="shared" si="16"/>
        <v>0</v>
      </c>
      <c r="T40" s="14" t="str">
        <f>iferror(Planejador!$I$29,"")</f>
        <v/>
      </c>
      <c r="U40" s="4"/>
      <c r="V40" s="4"/>
      <c r="W40" s="4"/>
      <c r="X40" s="4"/>
      <c r="Y40" s="4"/>
      <c r="Z40" s="4"/>
      <c r="AA40" s="4"/>
      <c r="AB40" s="4"/>
    </row>
    <row r="41" ht="18.75" hidden="1" customHeight="1" outlineLevel="1">
      <c r="A41" s="12">
        <v>46060.0</v>
      </c>
      <c r="B41" s="13" t="str">
        <f t="shared" si="10"/>
        <v>sábado</v>
      </c>
      <c r="C41" s="13"/>
      <c r="D41" s="14">
        <f>SUMIF('ADV - GG'!A:A,A41,'ADV - GG'!C:C)+SUMIF('ADV - FB'!A:A,$A41,'ADV - FB'!E:E)</f>
        <v>12.11</v>
      </c>
      <c r="E41" s="19"/>
      <c r="F41" s="15">
        <f t="shared" si="11"/>
        <v>0</v>
      </c>
      <c r="G41" s="14">
        <f t="shared" si="12"/>
        <v>0.4844</v>
      </c>
      <c r="H41" s="16">
        <f t="shared" si="1"/>
        <v>0</v>
      </c>
      <c r="I41" s="14" t="str">
        <f t="shared" si="2"/>
        <v/>
      </c>
      <c r="J41" s="17">
        <f>SUMIF('ADV - GG'!A:A,A41,'ADV - GG'!H:H)+SUMIF('ADV - FB'!A:A,$A41,'ADV - FB'!I:I)</f>
        <v>0</v>
      </c>
      <c r="K41" s="22">
        <f>SUMIF('ADV - GA4'!A:A,A41,'ADV - GA4'!C:C)</f>
        <v>8</v>
      </c>
      <c r="L41" s="19" t="str">
        <f t="shared" si="13"/>
        <v/>
      </c>
      <c r="M41" s="20">
        <f t="shared" si="14"/>
        <v>0</v>
      </c>
      <c r="N41" s="14">
        <f t="shared" si="15"/>
        <v>0</v>
      </c>
      <c r="O41" s="15" t="str">
        <f>IFERROR(Planejador!$I$37,"")</f>
        <v/>
      </c>
      <c r="P41" s="14" t="str">
        <f>Planejador!$I$28</f>
        <v/>
      </c>
      <c r="Q41" s="16" t="str">
        <f>Planejador!$I$30</f>
        <v/>
      </c>
      <c r="R41" s="14" t="str">
        <f>iferror(Planejador!$I$34,"")</f>
        <v/>
      </c>
      <c r="S41" s="18">
        <f t="shared" si="16"/>
        <v>0</v>
      </c>
      <c r="T41" s="14" t="str">
        <f>iferror(Planejador!$I$29,"")</f>
        <v/>
      </c>
      <c r="U41" s="4"/>
      <c r="V41" s="4"/>
      <c r="W41" s="4"/>
      <c r="X41" s="4"/>
      <c r="Y41" s="4"/>
      <c r="Z41" s="4"/>
      <c r="AA41" s="4"/>
      <c r="AB41" s="4"/>
    </row>
    <row r="42" ht="18.75" hidden="1" customHeight="1" outlineLevel="1">
      <c r="A42" s="12">
        <v>46061.0</v>
      </c>
      <c r="B42" s="13" t="str">
        <f t="shared" si="10"/>
        <v>domingo</v>
      </c>
      <c r="C42" s="13"/>
      <c r="D42" s="14">
        <f>SUMIF('ADV - GG'!A:A,A42,'ADV - GG'!C:C)+SUMIF('ADV - FB'!A:A,$A42,'ADV - FB'!E:E)</f>
        <v>0</v>
      </c>
      <c r="E42" s="19"/>
      <c r="F42" s="15" t="str">
        <f t="shared" si="11"/>
        <v/>
      </c>
      <c r="G42" s="14">
        <f t="shared" si="12"/>
        <v>0</v>
      </c>
      <c r="H42" s="16">
        <f t="shared" si="1"/>
        <v>0</v>
      </c>
      <c r="I42" s="14" t="str">
        <f t="shared" si="2"/>
        <v/>
      </c>
      <c r="J42" s="17">
        <f>SUMIF('ADV - GG'!A:A,A42,'ADV - GG'!H:H)+SUMIF('ADV - FB'!A:A,$A42,'ADV - FB'!I:I)</f>
        <v>0</v>
      </c>
      <c r="K42" s="22">
        <f>SUMIF('ADV - GA4'!A:A,A42,'ADV - GA4'!C:C)</f>
        <v>4</v>
      </c>
      <c r="L42" s="19" t="str">
        <f t="shared" si="13"/>
        <v/>
      </c>
      <c r="M42" s="20">
        <f t="shared" si="14"/>
        <v>0</v>
      </c>
      <c r="N42" s="14">
        <f t="shared" si="15"/>
        <v>0</v>
      </c>
      <c r="O42" s="15" t="str">
        <f>IFERROR(Planejador!$I$37,"")</f>
        <v/>
      </c>
      <c r="P42" s="14" t="str">
        <f>Planejador!$I$28</f>
        <v/>
      </c>
      <c r="Q42" s="16" t="str">
        <f>Planejador!$I$30</f>
        <v/>
      </c>
      <c r="R42" s="14" t="str">
        <f>iferror(Planejador!$I$34,"")</f>
        <v/>
      </c>
      <c r="S42" s="18">
        <f t="shared" si="16"/>
        <v>0</v>
      </c>
      <c r="T42" s="14" t="str">
        <f>iferror(Planejador!$I$29,"")</f>
        <v/>
      </c>
      <c r="U42" s="4"/>
      <c r="V42" s="4"/>
      <c r="W42" s="4"/>
      <c r="X42" s="4"/>
      <c r="Y42" s="4"/>
      <c r="Z42" s="4"/>
      <c r="AA42" s="4"/>
      <c r="AB42" s="4"/>
    </row>
    <row r="43" ht="18.75" hidden="1" customHeight="1" outlineLevel="1">
      <c r="A43" s="12">
        <v>46062.0</v>
      </c>
      <c r="B43" s="13" t="str">
        <f t="shared" si="10"/>
        <v>segunda-feira</v>
      </c>
      <c r="C43" s="13"/>
      <c r="D43" s="14">
        <f>SUMIF('ADV - GG'!A:A,A43,'ADV - GG'!C:C)+SUMIF('ADV - FB'!A:A,$A43,'ADV - FB'!E:E)</f>
        <v>125.59</v>
      </c>
      <c r="E43" s="19"/>
      <c r="F43" s="15">
        <f t="shared" si="11"/>
        <v>0</v>
      </c>
      <c r="G43" s="14">
        <f t="shared" si="12"/>
        <v>15.69875</v>
      </c>
      <c r="H43" s="16">
        <f t="shared" si="1"/>
        <v>2</v>
      </c>
      <c r="I43" s="14">
        <f t="shared" si="2"/>
        <v>31.3975</v>
      </c>
      <c r="J43" s="17">
        <f>SUMIF('ADV - GG'!A:A,A43,'ADV - GG'!H:H)+SUMIF('ADV - FB'!A:A,$A43,'ADV - FB'!I:I)</f>
        <v>4</v>
      </c>
      <c r="K43" s="22">
        <f>SUMIF('ADV - GA4'!A:A,A43,'ADV - GA4'!C:C)</f>
        <v>2</v>
      </c>
      <c r="L43" s="19">
        <f t="shared" si="13"/>
        <v>0</v>
      </c>
      <c r="M43" s="20">
        <f t="shared" si="14"/>
        <v>0</v>
      </c>
      <c r="N43" s="14">
        <f t="shared" si="15"/>
        <v>0</v>
      </c>
      <c r="O43" s="15" t="str">
        <f>IFERROR(Planejador!$I$37,"")</f>
        <v/>
      </c>
      <c r="P43" s="14" t="str">
        <f>Planejador!$I$28</f>
        <v/>
      </c>
      <c r="Q43" s="16" t="str">
        <f>Planejador!$I$30</f>
        <v/>
      </c>
      <c r="R43" s="14" t="str">
        <f>iferror(Planejador!$I$34,"")</f>
        <v/>
      </c>
      <c r="S43" s="18">
        <f t="shared" si="16"/>
        <v>0</v>
      </c>
      <c r="T43" s="14" t="str">
        <f>iferror(Planejador!$I$29,"")</f>
        <v/>
      </c>
      <c r="U43" s="4"/>
      <c r="V43" s="4"/>
      <c r="W43" s="4"/>
      <c r="X43" s="4"/>
      <c r="Y43" s="4"/>
      <c r="Z43" s="4"/>
      <c r="AA43" s="4"/>
      <c r="AB43" s="4"/>
    </row>
    <row r="44" ht="18.75" hidden="1" customHeight="1" outlineLevel="1">
      <c r="A44" s="12">
        <v>46063.0</v>
      </c>
      <c r="B44" s="13" t="str">
        <f t="shared" si="10"/>
        <v>terça-feira</v>
      </c>
      <c r="C44" s="13"/>
      <c r="D44" s="14">
        <f>SUMIF('ADV - GG'!A:A,A44,'ADV - GG'!C:C)+SUMIF('ADV - FB'!A:A,$A44,'ADV - FB'!E:E)</f>
        <v>108.07</v>
      </c>
      <c r="E44" s="19"/>
      <c r="F44" s="15">
        <f t="shared" si="11"/>
        <v>0</v>
      </c>
      <c r="G44" s="14">
        <f t="shared" si="12"/>
        <v>27.0175</v>
      </c>
      <c r="H44" s="16">
        <f t="shared" si="1"/>
        <v>0.5</v>
      </c>
      <c r="I44" s="14">
        <f t="shared" si="2"/>
        <v>54.035</v>
      </c>
      <c r="J44" s="17">
        <f>SUMIF('ADV - GG'!A:A,A44,'ADV - GG'!H:H)+SUMIF('ADV - FB'!A:A,$A44,'ADV - FB'!I:I)</f>
        <v>2</v>
      </c>
      <c r="K44" s="22">
        <f>SUMIF('ADV - GA4'!A:A,A44,'ADV - GA4'!C:C)</f>
        <v>4</v>
      </c>
      <c r="L44" s="19">
        <f t="shared" si="13"/>
        <v>0</v>
      </c>
      <c r="M44" s="20">
        <f t="shared" si="14"/>
        <v>0</v>
      </c>
      <c r="N44" s="14">
        <f t="shared" si="15"/>
        <v>0</v>
      </c>
      <c r="O44" s="15" t="str">
        <f>IFERROR(Planejador!$I$37,"")</f>
        <v/>
      </c>
      <c r="P44" s="14" t="str">
        <f>Planejador!$I$28</f>
        <v/>
      </c>
      <c r="Q44" s="16" t="str">
        <f>Planejador!$I$30</f>
        <v/>
      </c>
      <c r="R44" s="14" t="str">
        <f>iferror(Planejador!$I$34,"")</f>
        <v/>
      </c>
      <c r="S44" s="18">
        <f t="shared" si="16"/>
        <v>0</v>
      </c>
      <c r="T44" s="14" t="str">
        <f>iferror(Planejador!$I$29,"")</f>
        <v/>
      </c>
      <c r="U44" s="4"/>
      <c r="V44" s="4"/>
      <c r="W44" s="4"/>
      <c r="X44" s="4"/>
      <c r="Y44" s="4"/>
      <c r="Z44" s="4"/>
      <c r="AA44" s="4"/>
      <c r="AB44" s="4"/>
    </row>
    <row r="45" ht="18.75" hidden="1" customHeight="1" outlineLevel="1">
      <c r="A45" s="12">
        <v>46064.0</v>
      </c>
      <c r="B45" s="13" t="str">
        <f t="shared" si="10"/>
        <v>quarta-feira</v>
      </c>
      <c r="C45" s="13"/>
      <c r="D45" s="14">
        <f>SUMIF('ADV - GG'!A:A,A45,'ADV - GG'!C:C)+SUMIF('ADV - FB'!A:A,$A45,'ADV - FB'!E:E)</f>
        <v>105.34</v>
      </c>
      <c r="E45" s="19"/>
      <c r="F45" s="15">
        <f t="shared" si="11"/>
        <v>0</v>
      </c>
      <c r="G45" s="14">
        <f t="shared" si="12"/>
        <v>52.67</v>
      </c>
      <c r="H45" s="16">
        <f t="shared" si="1"/>
        <v>1.4</v>
      </c>
      <c r="I45" s="14">
        <f t="shared" si="2"/>
        <v>15.04857143</v>
      </c>
      <c r="J45" s="17">
        <f>SUMIF('ADV - GG'!A:A,A45,'ADV - GG'!H:H)+SUMIF('ADV - FB'!A:A,$A45,'ADV - FB'!I:I)</f>
        <v>7</v>
      </c>
      <c r="K45" s="22">
        <f>SUMIF('ADV - GA4'!A:A,A45,'ADV - GA4'!C:C)</f>
        <v>5</v>
      </c>
      <c r="L45" s="19">
        <f t="shared" si="13"/>
        <v>0</v>
      </c>
      <c r="M45" s="20">
        <f t="shared" si="14"/>
        <v>0</v>
      </c>
      <c r="N45" s="14">
        <f t="shared" si="15"/>
        <v>0</v>
      </c>
      <c r="O45" s="15" t="str">
        <f>IFERROR(Planejador!$I$37,"")</f>
        <v/>
      </c>
      <c r="P45" s="14" t="str">
        <f>Planejador!$I$28</f>
        <v/>
      </c>
      <c r="Q45" s="16" t="str">
        <f>Planejador!$I$30</f>
        <v/>
      </c>
      <c r="R45" s="14" t="str">
        <f>iferror(Planejador!$I$34,"")</f>
        <v/>
      </c>
      <c r="S45" s="18">
        <f t="shared" si="16"/>
        <v>0</v>
      </c>
      <c r="T45" s="14" t="str">
        <f>iferror(Planejador!$I$29,"")</f>
        <v/>
      </c>
      <c r="U45" s="4"/>
      <c r="V45" s="4"/>
      <c r="W45" s="4"/>
      <c r="X45" s="4"/>
      <c r="Y45" s="4"/>
      <c r="Z45" s="4"/>
      <c r="AA45" s="4"/>
      <c r="AB45" s="4"/>
    </row>
    <row r="46" ht="18.75" hidden="1" customHeight="1" outlineLevel="1">
      <c r="A46" s="12">
        <v>46065.0</v>
      </c>
      <c r="B46" s="13" t="str">
        <f t="shared" si="10"/>
        <v>quinta-feira</v>
      </c>
      <c r="C46" s="13"/>
      <c r="D46" s="14">
        <f>SUMIF('ADV - GG'!A:A,A46,'ADV - GG'!C:C)+SUMIF('ADV - FB'!A:A,$A46,'ADV - FB'!E:E)</f>
        <v>56.33</v>
      </c>
      <c r="E46" s="19"/>
      <c r="F46" s="15">
        <f t="shared" si="11"/>
        <v>0</v>
      </c>
      <c r="G46" s="14">
        <f t="shared" si="12"/>
        <v>14.0825</v>
      </c>
      <c r="H46" s="16">
        <f t="shared" si="1"/>
        <v>0.5</v>
      </c>
      <c r="I46" s="14">
        <f t="shared" si="2"/>
        <v>56.33</v>
      </c>
      <c r="J46" s="17">
        <f>SUMIF('ADV - GG'!A:A,A46,'ADV - GG'!H:H)+SUMIF('ADV - FB'!A:A,$A46,'ADV - FB'!I:I)</f>
        <v>1</v>
      </c>
      <c r="K46" s="22">
        <f>SUMIF('ADV - GA4'!A:A,A46,'ADV - GA4'!C:C)</f>
        <v>2</v>
      </c>
      <c r="L46" s="19">
        <f t="shared" si="13"/>
        <v>0</v>
      </c>
      <c r="M46" s="20">
        <f t="shared" si="14"/>
        <v>0</v>
      </c>
      <c r="N46" s="14">
        <f t="shared" si="15"/>
        <v>0</v>
      </c>
      <c r="O46" s="15" t="str">
        <f>IFERROR(Planejador!$I$37,"")</f>
        <v/>
      </c>
      <c r="P46" s="14" t="str">
        <f>Planejador!$I$28</f>
        <v/>
      </c>
      <c r="Q46" s="16" t="str">
        <f>Planejador!$I$30</f>
        <v/>
      </c>
      <c r="R46" s="14" t="str">
        <f>iferror(Planejador!$I$34,"")</f>
        <v/>
      </c>
      <c r="S46" s="18">
        <f t="shared" si="16"/>
        <v>0</v>
      </c>
      <c r="T46" s="14" t="str">
        <f>iferror(Planejador!$I$29,"")</f>
        <v/>
      </c>
      <c r="U46" s="4"/>
      <c r="V46" s="4"/>
      <c r="W46" s="4"/>
      <c r="X46" s="4"/>
      <c r="Y46" s="4"/>
      <c r="Z46" s="4"/>
      <c r="AA46" s="4"/>
      <c r="AB46" s="4"/>
    </row>
    <row r="47" ht="18.75" hidden="1" customHeight="1" outlineLevel="1">
      <c r="A47" s="12">
        <v>46066.0</v>
      </c>
      <c r="B47" s="13" t="str">
        <f t="shared" si="10"/>
        <v>sexta-feira</v>
      </c>
      <c r="C47" s="13"/>
      <c r="D47" s="14">
        <f>SUMIF('ADV - GG'!A:A,A47,'ADV - GG'!C:C)+SUMIF('ADV - FB'!A:A,$A47,'ADV - FB'!E:E)</f>
        <v>52.98</v>
      </c>
      <c r="E47" s="19"/>
      <c r="F47" s="15">
        <f t="shared" si="11"/>
        <v>0</v>
      </c>
      <c r="G47" s="14">
        <f t="shared" si="12"/>
        <v>10.596</v>
      </c>
      <c r="H47" s="16">
        <f t="shared" si="1"/>
        <v>0.5</v>
      </c>
      <c r="I47" s="14">
        <f t="shared" si="2"/>
        <v>52.98</v>
      </c>
      <c r="J47" s="17">
        <f>SUMIF('ADV - GG'!A:A,A47,'ADV - GG'!H:H)+SUMIF('ADV - FB'!A:A,$A47,'ADV - FB'!I:I)</f>
        <v>1</v>
      </c>
      <c r="K47" s="22">
        <f>SUMIF('ADV - GA4'!A:A,A47,'ADV - GA4'!C:C)</f>
        <v>2</v>
      </c>
      <c r="L47" s="19">
        <f t="shared" si="13"/>
        <v>0</v>
      </c>
      <c r="M47" s="20">
        <f t="shared" si="14"/>
        <v>0</v>
      </c>
      <c r="N47" s="14">
        <f t="shared" si="15"/>
        <v>0</v>
      </c>
      <c r="O47" s="15" t="str">
        <f>IFERROR(Planejador!$I$37,"")</f>
        <v/>
      </c>
      <c r="P47" s="14" t="str">
        <f>Planejador!$I$28</f>
        <v/>
      </c>
      <c r="Q47" s="16" t="str">
        <f>Planejador!$I$30</f>
        <v/>
      </c>
      <c r="R47" s="14" t="str">
        <f>iferror(Planejador!$I$34,"")</f>
        <v/>
      </c>
      <c r="S47" s="18">
        <f t="shared" si="16"/>
        <v>0</v>
      </c>
      <c r="T47" s="14" t="str">
        <f>iferror(Planejador!$I$29,"")</f>
        <v/>
      </c>
      <c r="U47" s="4"/>
      <c r="V47" s="4"/>
      <c r="W47" s="4"/>
      <c r="X47" s="4"/>
      <c r="Y47" s="4"/>
      <c r="Z47" s="4"/>
      <c r="AA47" s="4"/>
      <c r="AB47" s="4"/>
    </row>
    <row r="48" ht="18.75" hidden="1" customHeight="1" outlineLevel="1">
      <c r="A48" s="12">
        <v>46067.0</v>
      </c>
      <c r="B48" s="13" t="str">
        <f t="shared" si="10"/>
        <v>sábado</v>
      </c>
      <c r="C48" s="13"/>
      <c r="D48" s="14">
        <f>SUMIF('ADV - GG'!A:A,A48,'ADV - GG'!C:C)+SUMIF('ADV - FB'!A:A,$A48,'ADV - FB'!E:E)</f>
        <v>78.31</v>
      </c>
      <c r="E48" s="19"/>
      <c r="F48" s="15">
        <f t="shared" si="11"/>
        <v>0</v>
      </c>
      <c r="G48" s="14">
        <f t="shared" si="12"/>
        <v>39.155</v>
      </c>
      <c r="H48" s="16">
        <f t="shared" si="1"/>
        <v>0.3333333333</v>
      </c>
      <c r="I48" s="14">
        <f t="shared" si="2"/>
        <v>78.31</v>
      </c>
      <c r="J48" s="17">
        <f>SUMIF('ADV - GG'!A:A,A48,'ADV - GG'!H:H)+SUMIF('ADV - FB'!A:A,$A48,'ADV - FB'!I:I)</f>
        <v>1</v>
      </c>
      <c r="K48" s="22">
        <f>SUMIF('ADV - GA4'!A:A,A48,'ADV - GA4'!C:C)</f>
        <v>3</v>
      </c>
      <c r="L48" s="19">
        <f t="shared" si="13"/>
        <v>0</v>
      </c>
      <c r="M48" s="20">
        <f t="shared" si="14"/>
        <v>0</v>
      </c>
      <c r="N48" s="14">
        <f t="shared" si="15"/>
        <v>0</v>
      </c>
      <c r="O48" s="15" t="str">
        <f>IFERROR(Planejador!$I$37,"")</f>
        <v/>
      </c>
      <c r="P48" s="14" t="str">
        <f>Planejador!$I$28</f>
        <v/>
      </c>
      <c r="Q48" s="16" t="str">
        <f>Planejador!$I$30</f>
        <v/>
      </c>
      <c r="R48" s="14" t="str">
        <f>iferror(Planejador!$I$34,"")</f>
        <v/>
      </c>
      <c r="S48" s="18">
        <f t="shared" si="16"/>
        <v>0</v>
      </c>
      <c r="T48" s="14" t="str">
        <f>iferror(Planejador!$I$29,"")</f>
        <v/>
      </c>
      <c r="U48" s="4"/>
      <c r="V48" s="4"/>
      <c r="W48" s="4"/>
      <c r="X48" s="4"/>
      <c r="Y48" s="4"/>
      <c r="Z48" s="4"/>
      <c r="AA48" s="4"/>
      <c r="AB48" s="4"/>
    </row>
    <row r="49" ht="18.75" hidden="1" customHeight="1" outlineLevel="1">
      <c r="A49" s="12">
        <v>46068.0</v>
      </c>
      <c r="B49" s="13" t="str">
        <f t="shared" si="10"/>
        <v>domingo</v>
      </c>
      <c r="C49" s="13"/>
      <c r="D49" s="14">
        <f>SUMIF('ADV - GG'!A:A,A49,'ADV - GG'!C:C)+SUMIF('ADV - FB'!A:A,$A49,'ADV - FB'!E:E)</f>
        <v>72.74</v>
      </c>
      <c r="E49" s="19"/>
      <c r="F49" s="15">
        <f t="shared" si="11"/>
        <v>0</v>
      </c>
      <c r="G49" s="14">
        <f t="shared" si="12"/>
        <v>36.37</v>
      </c>
      <c r="H49" s="16">
        <f t="shared" si="1"/>
        <v>1</v>
      </c>
      <c r="I49" s="14">
        <f t="shared" si="2"/>
        <v>72.74</v>
      </c>
      <c r="J49" s="17">
        <f>SUMIF('ADV - GG'!A:A,A49,'ADV - GG'!H:H)+SUMIF('ADV - FB'!A:A,$A49,'ADV - FB'!I:I)</f>
        <v>1</v>
      </c>
      <c r="K49" s="22">
        <f>SUMIF('ADV - GA4'!A:A,A49,'ADV - GA4'!C:C)</f>
        <v>1</v>
      </c>
      <c r="L49" s="19">
        <f t="shared" si="13"/>
        <v>0</v>
      </c>
      <c r="M49" s="20">
        <f t="shared" si="14"/>
        <v>0</v>
      </c>
      <c r="N49" s="14">
        <f t="shared" si="15"/>
        <v>0</v>
      </c>
      <c r="O49" s="15" t="str">
        <f>IFERROR(Planejador!$I$37,"")</f>
        <v/>
      </c>
      <c r="P49" s="14" t="str">
        <f>Planejador!$I$28</f>
        <v/>
      </c>
      <c r="Q49" s="16" t="str">
        <f>Planejador!$I$30</f>
        <v/>
      </c>
      <c r="R49" s="14" t="str">
        <f>iferror(Planejador!$I$34,"")</f>
        <v/>
      </c>
      <c r="S49" s="18">
        <f t="shared" si="16"/>
        <v>0</v>
      </c>
      <c r="T49" s="14" t="str">
        <f>iferror(Planejador!$I$29,"")</f>
        <v/>
      </c>
      <c r="U49" s="4"/>
      <c r="V49" s="4"/>
      <c r="W49" s="4"/>
      <c r="X49" s="4"/>
      <c r="Y49" s="4"/>
      <c r="Z49" s="4"/>
      <c r="AA49" s="4"/>
      <c r="AB49" s="4"/>
    </row>
    <row r="50" ht="18.75" hidden="1" customHeight="1" outlineLevel="1">
      <c r="A50" s="12">
        <v>46069.0</v>
      </c>
      <c r="B50" s="13" t="str">
        <f t="shared" si="10"/>
        <v>segunda-feira</v>
      </c>
      <c r="C50" s="13"/>
      <c r="D50" s="14">
        <f>SUMIF('ADV - GG'!A:A,A50,'ADV - GG'!C:C)+SUMIF('ADV - FB'!A:A,$A50,'ADV - FB'!E:E)</f>
        <v>52.84</v>
      </c>
      <c r="E50" s="19"/>
      <c r="F50" s="15">
        <f t="shared" si="11"/>
        <v>0</v>
      </c>
      <c r="G50" s="14">
        <f t="shared" si="12"/>
        <v>17.61333333</v>
      </c>
      <c r="H50" s="16">
        <f t="shared" si="1"/>
        <v>2</v>
      </c>
      <c r="I50" s="14">
        <f t="shared" si="2"/>
        <v>13.21</v>
      </c>
      <c r="J50" s="17">
        <f>SUMIF('ADV - GG'!A:A,A50,'ADV - GG'!H:H)+SUMIF('ADV - FB'!A:A,$A50,'ADV - FB'!I:I)</f>
        <v>4</v>
      </c>
      <c r="K50" s="22">
        <f>SUMIF('ADV - GA4'!A:A,A50,'ADV - GA4'!C:C)</f>
        <v>2</v>
      </c>
      <c r="L50" s="19">
        <f t="shared" si="13"/>
        <v>0</v>
      </c>
      <c r="M50" s="20">
        <f t="shared" si="14"/>
        <v>0</v>
      </c>
      <c r="N50" s="14">
        <f t="shared" si="15"/>
        <v>0</v>
      </c>
      <c r="O50" s="15" t="str">
        <f>IFERROR(Planejador!$I$37,"")</f>
        <v/>
      </c>
      <c r="P50" s="14" t="str">
        <f>Planejador!$I$28</f>
        <v/>
      </c>
      <c r="Q50" s="16" t="str">
        <f>Planejador!$I$30</f>
        <v/>
      </c>
      <c r="R50" s="14" t="str">
        <f>iferror(Planejador!$I$34,"")</f>
        <v/>
      </c>
      <c r="S50" s="18">
        <f t="shared" si="16"/>
        <v>0</v>
      </c>
      <c r="T50" s="14" t="str">
        <f>iferror(Planejador!$I$29,"")</f>
        <v/>
      </c>
      <c r="U50" s="4"/>
      <c r="V50" s="4"/>
      <c r="W50" s="4"/>
      <c r="X50" s="4"/>
      <c r="Y50" s="4"/>
      <c r="Z50" s="4"/>
      <c r="AA50" s="4"/>
      <c r="AB50" s="4"/>
    </row>
    <row r="51" ht="18.75" hidden="1" customHeight="1" outlineLevel="1">
      <c r="A51" s="12">
        <v>46070.0</v>
      </c>
      <c r="B51" s="13" t="str">
        <f t="shared" si="10"/>
        <v>terça-feira</v>
      </c>
      <c r="C51" s="13"/>
      <c r="D51" s="14">
        <f>SUMIF('ADV - GG'!A:A,A51,'ADV - GG'!C:C)+SUMIF('ADV - FB'!A:A,$A51,'ADV - FB'!E:E)</f>
        <v>42.7</v>
      </c>
      <c r="E51" s="19"/>
      <c r="F51" s="15">
        <f t="shared" si="11"/>
        <v>0</v>
      </c>
      <c r="G51" s="14">
        <f t="shared" si="12"/>
        <v>42.7</v>
      </c>
      <c r="H51" s="16">
        <f t="shared" si="1"/>
        <v>0.75</v>
      </c>
      <c r="I51" s="14">
        <f t="shared" si="2"/>
        <v>14.23333333</v>
      </c>
      <c r="J51" s="17">
        <f>SUMIF('ADV - GG'!A:A,A51,'ADV - GG'!H:H)+SUMIF('ADV - FB'!A:A,$A51,'ADV - FB'!I:I)</f>
        <v>3</v>
      </c>
      <c r="K51" s="22">
        <f>SUMIF('ADV - GA4'!A:A,A51,'ADV - GA4'!C:C)</f>
        <v>4</v>
      </c>
      <c r="L51" s="19">
        <f t="shared" si="13"/>
        <v>0</v>
      </c>
      <c r="M51" s="20">
        <f t="shared" si="14"/>
        <v>0</v>
      </c>
      <c r="N51" s="14">
        <f t="shared" si="15"/>
        <v>0</v>
      </c>
      <c r="O51" s="15" t="str">
        <f>IFERROR(Planejador!$I$37,"")</f>
        <v/>
      </c>
      <c r="P51" s="14" t="str">
        <f>Planejador!$I$28</f>
        <v/>
      </c>
      <c r="Q51" s="16" t="str">
        <f>Planejador!$I$30</f>
        <v/>
      </c>
      <c r="R51" s="14" t="str">
        <f>iferror(Planejador!$I$34,"")</f>
        <v/>
      </c>
      <c r="S51" s="18">
        <f t="shared" si="16"/>
        <v>0</v>
      </c>
      <c r="T51" s="14" t="str">
        <f>iferror(Planejador!$I$29,"")</f>
        <v/>
      </c>
      <c r="U51" s="4"/>
      <c r="V51" s="4"/>
      <c r="W51" s="4"/>
      <c r="X51" s="4"/>
      <c r="Y51" s="4"/>
      <c r="Z51" s="4"/>
      <c r="AA51" s="4"/>
      <c r="AB51" s="4"/>
    </row>
    <row r="52" ht="18.75" hidden="1" customHeight="1" outlineLevel="1">
      <c r="A52" s="12">
        <v>46071.0</v>
      </c>
      <c r="B52" s="13" t="str">
        <f t="shared" si="10"/>
        <v>quarta-feira</v>
      </c>
      <c r="C52" s="13"/>
      <c r="D52" s="14">
        <f>SUMIF('ADV - GG'!A:A,A52,'ADV - GG'!C:C)+SUMIF('ADV - FB'!A:A,$A52,'ADV - FB'!E:E)</f>
        <v>39.22</v>
      </c>
      <c r="E52" s="19"/>
      <c r="F52" s="15">
        <f t="shared" si="11"/>
        <v>0</v>
      </c>
      <c r="G52" s="14">
        <f t="shared" si="12"/>
        <v>19.61</v>
      </c>
      <c r="H52" s="16">
        <f t="shared" si="1"/>
        <v>1.5</v>
      </c>
      <c r="I52" s="14">
        <f t="shared" si="2"/>
        <v>13.07333333</v>
      </c>
      <c r="J52" s="17">
        <f>SUMIF('ADV - GG'!A:A,A52,'ADV - GG'!H:H)+SUMIF('ADV - FB'!A:A,$A52,'ADV - FB'!I:I)</f>
        <v>3</v>
      </c>
      <c r="K52" s="22">
        <f>SUMIF('ADV - GA4'!A:A,A52,'ADV - GA4'!C:C)</f>
        <v>2</v>
      </c>
      <c r="L52" s="19">
        <f t="shared" si="13"/>
        <v>0</v>
      </c>
      <c r="M52" s="20">
        <f t="shared" si="14"/>
        <v>0</v>
      </c>
      <c r="N52" s="14">
        <f t="shared" si="15"/>
        <v>0</v>
      </c>
      <c r="O52" s="15" t="str">
        <f>IFERROR(Planejador!$I$37,"")</f>
        <v/>
      </c>
      <c r="P52" s="14" t="str">
        <f>Planejador!$I$28</f>
        <v/>
      </c>
      <c r="Q52" s="16" t="str">
        <f>Planejador!$I$30</f>
        <v/>
      </c>
      <c r="R52" s="14" t="str">
        <f>iferror(Planejador!$I$34,"")</f>
        <v/>
      </c>
      <c r="S52" s="18">
        <f t="shared" si="16"/>
        <v>0</v>
      </c>
      <c r="T52" s="14" t="str">
        <f>iferror(Planejador!$I$29,"")</f>
        <v/>
      </c>
      <c r="U52" s="4"/>
      <c r="V52" s="4"/>
      <c r="W52" s="4"/>
      <c r="X52" s="4"/>
      <c r="Y52" s="4"/>
      <c r="Z52" s="4"/>
      <c r="AA52" s="4"/>
      <c r="AB52" s="4"/>
    </row>
    <row r="53" ht="18.75" hidden="1" customHeight="1" outlineLevel="1">
      <c r="A53" s="12">
        <v>46072.0</v>
      </c>
      <c r="B53" s="13" t="str">
        <f t="shared" si="10"/>
        <v>quinta-feira</v>
      </c>
      <c r="C53" s="13"/>
      <c r="D53" s="14">
        <f>SUMIF('ADV - GG'!A:A,A53,'ADV - GG'!C:C)+SUMIF('ADV - FB'!A:A,$A53,'ADV - FB'!E:E)</f>
        <v>34.91</v>
      </c>
      <c r="E53" s="19"/>
      <c r="F53" s="15">
        <f t="shared" si="11"/>
        <v>0</v>
      </c>
      <c r="G53" s="14">
        <f t="shared" si="12"/>
        <v>8.7275</v>
      </c>
      <c r="H53" s="16">
        <f t="shared" si="1"/>
        <v>0</v>
      </c>
      <c r="I53" s="14" t="str">
        <f t="shared" si="2"/>
        <v/>
      </c>
      <c r="J53" s="17">
        <f>SUMIF('ADV - GG'!A:A,A53,'ADV - GG'!H:H)+SUMIF('ADV - FB'!A:A,$A53,'ADV - FB'!I:I)</f>
        <v>0</v>
      </c>
      <c r="K53" s="22">
        <f>SUMIF('ADV - GA4'!A:A,A53,'ADV - GA4'!C:C)</f>
        <v>1</v>
      </c>
      <c r="L53" s="19" t="str">
        <f t="shared" si="13"/>
        <v/>
      </c>
      <c r="M53" s="20">
        <f t="shared" si="14"/>
        <v>0</v>
      </c>
      <c r="N53" s="14">
        <f t="shared" si="15"/>
        <v>0</v>
      </c>
      <c r="O53" s="15" t="str">
        <f>IFERROR(Planejador!$I$37,"")</f>
        <v/>
      </c>
      <c r="P53" s="14" t="str">
        <f>Planejador!$I$28</f>
        <v/>
      </c>
      <c r="Q53" s="16" t="str">
        <f>Planejador!$I$30</f>
        <v/>
      </c>
      <c r="R53" s="14" t="str">
        <f>iferror(Planejador!$I$34,"")</f>
        <v/>
      </c>
      <c r="S53" s="18">
        <f t="shared" si="16"/>
        <v>0</v>
      </c>
      <c r="T53" s="14" t="str">
        <f>iferror(Planejador!$I$29,"")</f>
        <v/>
      </c>
      <c r="U53" s="4"/>
      <c r="V53" s="4"/>
      <c r="W53" s="4"/>
      <c r="X53" s="4"/>
      <c r="Y53" s="4"/>
      <c r="Z53" s="4"/>
      <c r="AA53" s="4"/>
      <c r="AB53" s="4"/>
    </row>
    <row r="54" ht="18.75" hidden="1" customHeight="1" outlineLevel="1">
      <c r="A54" s="12">
        <v>46073.0</v>
      </c>
      <c r="B54" s="13" t="str">
        <f t="shared" si="10"/>
        <v>sexta-feira</v>
      </c>
      <c r="C54" s="13"/>
      <c r="D54" s="14">
        <f>SUMIF('ADV - GG'!A:A,A54,'ADV - GG'!C:C)+SUMIF('ADV - FB'!A:A,$A54,'ADV - FB'!E:E)</f>
        <v>32.96</v>
      </c>
      <c r="E54" s="19"/>
      <c r="F54" s="15">
        <f t="shared" si="11"/>
        <v>0</v>
      </c>
      <c r="G54" s="14">
        <f t="shared" si="12"/>
        <v>16.48</v>
      </c>
      <c r="H54" s="16">
        <f t="shared" si="1"/>
        <v>0</v>
      </c>
      <c r="I54" s="14" t="str">
        <f t="shared" si="2"/>
        <v/>
      </c>
      <c r="J54" s="17">
        <f>SUMIF('ADV - GG'!A:A,A54,'ADV - GG'!H:H)+SUMIF('ADV - FB'!A:A,$A54,'ADV - FB'!I:I)</f>
        <v>0</v>
      </c>
      <c r="K54" s="22">
        <f>SUMIF('ADV - GA4'!A:A,A54,'ADV - GA4'!C:C)</f>
        <v>3</v>
      </c>
      <c r="L54" s="19" t="str">
        <f t="shared" si="13"/>
        <v/>
      </c>
      <c r="M54" s="20">
        <f t="shared" si="14"/>
        <v>0</v>
      </c>
      <c r="N54" s="14">
        <f t="shared" si="15"/>
        <v>0</v>
      </c>
      <c r="O54" s="15" t="str">
        <f>IFERROR(Planejador!$I$37,"")</f>
        <v/>
      </c>
      <c r="P54" s="14" t="str">
        <f>Planejador!$I$28</f>
        <v/>
      </c>
      <c r="Q54" s="16" t="str">
        <f>Planejador!$I$30</f>
        <v/>
      </c>
      <c r="R54" s="14" t="str">
        <f>iferror(Planejador!$I$34,"")</f>
        <v/>
      </c>
      <c r="S54" s="18">
        <f t="shared" si="16"/>
        <v>0</v>
      </c>
      <c r="T54" s="14" t="str">
        <f>iferror(Planejador!$I$29,"")</f>
        <v/>
      </c>
      <c r="U54" s="4"/>
      <c r="V54" s="4"/>
      <c r="W54" s="4"/>
      <c r="X54" s="4"/>
      <c r="Y54" s="4"/>
      <c r="Z54" s="4"/>
      <c r="AA54" s="4"/>
      <c r="AB54" s="4"/>
    </row>
    <row r="55" ht="18.75" hidden="1" customHeight="1" outlineLevel="1">
      <c r="A55" s="12">
        <v>46074.0</v>
      </c>
      <c r="B55" s="13" t="str">
        <f t="shared" si="10"/>
        <v>sábado</v>
      </c>
      <c r="C55" s="13"/>
      <c r="D55" s="14">
        <f>SUMIF('ADV - GG'!A:A,A55,'ADV - GG'!C:C)+SUMIF('ADV - FB'!A:A,$A55,'ADV - FB'!E:E)</f>
        <v>35.83</v>
      </c>
      <c r="E55" s="19"/>
      <c r="F55" s="15">
        <f t="shared" si="11"/>
        <v>0</v>
      </c>
      <c r="G55" s="14">
        <f t="shared" si="12"/>
        <v>35.83</v>
      </c>
      <c r="H55" s="16">
        <f t="shared" si="1"/>
        <v>4</v>
      </c>
      <c r="I55" s="14">
        <f t="shared" si="2"/>
        <v>8.9575</v>
      </c>
      <c r="J55" s="17">
        <f>SUMIF('ADV - GG'!A:A,A55,'ADV - GG'!H:H)+SUMIF('ADV - FB'!A:A,$A55,'ADV - FB'!I:I)</f>
        <v>4</v>
      </c>
      <c r="K55" s="22">
        <f>SUMIF('ADV - GA4'!A:A,A55,'ADV - GA4'!C:C)</f>
        <v>1</v>
      </c>
      <c r="L55" s="19">
        <f t="shared" si="13"/>
        <v>0</v>
      </c>
      <c r="M55" s="20">
        <f t="shared" si="14"/>
        <v>0</v>
      </c>
      <c r="N55" s="14">
        <f t="shared" si="15"/>
        <v>0</v>
      </c>
      <c r="O55" s="15" t="str">
        <f>IFERROR(Planejador!$I$37,"")</f>
        <v/>
      </c>
      <c r="P55" s="14" t="str">
        <f>Planejador!$I$28</f>
        <v/>
      </c>
      <c r="Q55" s="16" t="str">
        <f>Planejador!$I$30</f>
        <v/>
      </c>
      <c r="R55" s="14" t="str">
        <f>iferror(Planejador!$I$34,"")</f>
        <v/>
      </c>
      <c r="S55" s="18">
        <f t="shared" si="16"/>
        <v>0</v>
      </c>
      <c r="T55" s="14" t="str">
        <f>iferror(Planejador!$I$29,"")</f>
        <v/>
      </c>
      <c r="U55" s="4"/>
      <c r="V55" s="4"/>
      <c r="W55" s="4"/>
      <c r="X55" s="4"/>
      <c r="Y55" s="4"/>
      <c r="Z55" s="4"/>
      <c r="AA55" s="4"/>
      <c r="AB55" s="4"/>
    </row>
    <row r="56" ht="18.75" hidden="1" customHeight="1" outlineLevel="1">
      <c r="A56" s="12">
        <v>46075.0</v>
      </c>
      <c r="B56" s="13" t="str">
        <f t="shared" si="10"/>
        <v>domingo</v>
      </c>
      <c r="C56" s="13"/>
      <c r="D56" s="14">
        <f>SUMIF('ADV - GG'!A:A,A56,'ADV - GG'!C:C)+SUMIF('ADV - FB'!A:A,$A56,'ADV - FB'!E:E)</f>
        <v>50.98</v>
      </c>
      <c r="E56" s="19"/>
      <c r="F56" s="15">
        <f t="shared" si="11"/>
        <v>0</v>
      </c>
      <c r="G56" s="14">
        <f t="shared" si="12"/>
        <v>16.99333333</v>
      </c>
      <c r="H56" s="16">
        <f t="shared" si="1"/>
        <v>0.5</v>
      </c>
      <c r="I56" s="14">
        <f t="shared" si="2"/>
        <v>25.49</v>
      </c>
      <c r="J56" s="17">
        <f>SUMIF('ADV - GG'!A:A,A56,'ADV - GG'!H:H)+SUMIF('ADV - FB'!A:A,$A56,'ADV - FB'!I:I)</f>
        <v>2</v>
      </c>
      <c r="K56" s="22">
        <f>SUMIF('ADV - GA4'!A:A,A56,'ADV - GA4'!C:C)</f>
        <v>4</v>
      </c>
      <c r="L56" s="19">
        <f t="shared" si="13"/>
        <v>0</v>
      </c>
      <c r="M56" s="20">
        <f t="shared" si="14"/>
        <v>0</v>
      </c>
      <c r="N56" s="14">
        <f t="shared" si="15"/>
        <v>0</v>
      </c>
      <c r="O56" s="15" t="str">
        <f>IFERROR(Planejador!$I$37,"")</f>
        <v/>
      </c>
      <c r="P56" s="14" t="str">
        <f>Planejador!$I$28</f>
        <v/>
      </c>
      <c r="Q56" s="16" t="str">
        <f>Planejador!$I$30</f>
        <v/>
      </c>
      <c r="R56" s="14" t="str">
        <f>iferror(Planejador!$I$34,"")</f>
        <v/>
      </c>
      <c r="S56" s="18">
        <f t="shared" si="16"/>
        <v>0</v>
      </c>
      <c r="T56" s="14" t="str">
        <f>iferror(Planejador!$I$29,"")</f>
        <v/>
      </c>
      <c r="U56" s="4"/>
      <c r="V56" s="4"/>
      <c r="W56" s="4"/>
      <c r="X56" s="4"/>
      <c r="Y56" s="4"/>
      <c r="Z56" s="4"/>
      <c r="AA56" s="4"/>
      <c r="AB56" s="4"/>
    </row>
    <row r="57" ht="18.75" hidden="1" customHeight="1" outlineLevel="1">
      <c r="A57" s="12">
        <v>46076.0</v>
      </c>
      <c r="B57" s="13" t="str">
        <f t="shared" si="10"/>
        <v>segunda-feira</v>
      </c>
      <c r="C57" s="13"/>
      <c r="D57" s="14">
        <f>SUMIF('ADV - GG'!A:A,A57,'ADV - GG'!C:C)+SUMIF('ADV - FB'!A:A,$A57,'ADV - FB'!E:E)</f>
        <v>46.06</v>
      </c>
      <c r="E57" s="19"/>
      <c r="F57" s="15">
        <f t="shared" si="11"/>
        <v>0</v>
      </c>
      <c r="G57" s="14">
        <f t="shared" si="12"/>
        <v>46.06</v>
      </c>
      <c r="H57" s="16">
        <f t="shared" si="1"/>
        <v>0.3333333333</v>
      </c>
      <c r="I57" s="14">
        <f t="shared" si="2"/>
        <v>46.06</v>
      </c>
      <c r="J57" s="17">
        <f>SUMIF('ADV - GG'!A:A,A57,'ADV - GG'!H:H)+SUMIF('ADV - FB'!A:A,$A57,'ADV - FB'!I:I)</f>
        <v>1</v>
      </c>
      <c r="K57" s="22">
        <f>SUMIF('ADV - GA4'!A:A,A57,'ADV - GA4'!C:C)</f>
        <v>3</v>
      </c>
      <c r="L57" s="19">
        <f t="shared" si="13"/>
        <v>0</v>
      </c>
      <c r="M57" s="20">
        <f t="shared" si="14"/>
        <v>0</v>
      </c>
      <c r="N57" s="14">
        <f t="shared" si="15"/>
        <v>0</v>
      </c>
      <c r="O57" s="15" t="str">
        <f>IFERROR(Planejador!$I$37,"")</f>
        <v/>
      </c>
      <c r="P57" s="14" t="str">
        <f>Planejador!$I$28</f>
        <v/>
      </c>
      <c r="Q57" s="16" t="str">
        <f>Planejador!$I$30</f>
        <v/>
      </c>
      <c r="R57" s="14" t="str">
        <f>iferror(Planejador!$I$34,"")</f>
        <v/>
      </c>
      <c r="S57" s="18">
        <f t="shared" si="16"/>
        <v>0</v>
      </c>
      <c r="T57" s="14" t="str">
        <f>iferror(Planejador!$I$29,"")</f>
        <v/>
      </c>
      <c r="U57" s="4"/>
      <c r="V57" s="4"/>
      <c r="W57" s="4"/>
      <c r="X57" s="4"/>
      <c r="Y57" s="4"/>
      <c r="Z57" s="4"/>
      <c r="AA57" s="4"/>
      <c r="AB57" s="4"/>
    </row>
    <row r="58" ht="18.75" hidden="1" customHeight="1" outlineLevel="1">
      <c r="A58" s="12">
        <v>46077.0</v>
      </c>
      <c r="B58" s="13" t="str">
        <f t="shared" si="10"/>
        <v>terça-feira</v>
      </c>
      <c r="C58" s="13"/>
      <c r="D58" s="14">
        <f>SUMIF('ADV - GG'!A:A,A58,'ADV - GG'!C:C)+SUMIF('ADV - FB'!A:A,$A58,'ADV - FB'!E:E)</f>
        <v>40.42</v>
      </c>
      <c r="E58" s="19"/>
      <c r="F58" s="15">
        <f t="shared" si="11"/>
        <v>0</v>
      </c>
      <c r="G58" s="14">
        <f t="shared" si="12"/>
        <v>10.105</v>
      </c>
      <c r="H58" s="16">
        <f t="shared" si="1"/>
        <v>0</v>
      </c>
      <c r="I58" s="14" t="str">
        <f t="shared" si="2"/>
        <v/>
      </c>
      <c r="J58" s="17">
        <f>SUMIF('ADV - GG'!A:A,A58,'ADV - GG'!H:H)+SUMIF('ADV - FB'!A:A,$A58,'ADV - FB'!I:I)</f>
        <v>0</v>
      </c>
      <c r="K58" s="22">
        <f>SUMIF('ADV - GA4'!A:A,A58,'ADV - GA4'!C:C)</f>
        <v>1</v>
      </c>
      <c r="L58" s="19" t="str">
        <f t="shared" si="13"/>
        <v/>
      </c>
      <c r="M58" s="20">
        <f t="shared" si="14"/>
        <v>0</v>
      </c>
      <c r="N58" s="14">
        <f t="shared" si="15"/>
        <v>0</v>
      </c>
      <c r="O58" s="15" t="str">
        <f>IFERROR(Planejador!$I$37,"")</f>
        <v/>
      </c>
      <c r="P58" s="14" t="str">
        <f>Planejador!$I$28</f>
        <v/>
      </c>
      <c r="Q58" s="16" t="str">
        <f>Planejador!$I$30</f>
        <v/>
      </c>
      <c r="R58" s="14" t="str">
        <f>iferror(Planejador!$I$34,"")</f>
        <v/>
      </c>
      <c r="S58" s="18">
        <f t="shared" si="16"/>
        <v>0</v>
      </c>
      <c r="T58" s="14" t="str">
        <f>iferror(Planejador!$I$29,"")</f>
        <v/>
      </c>
      <c r="U58" s="4"/>
      <c r="V58" s="4"/>
      <c r="W58" s="4"/>
      <c r="X58" s="4"/>
      <c r="Y58" s="4"/>
      <c r="Z58" s="4"/>
      <c r="AA58" s="4"/>
      <c r="AB58" s="4"/>
    </row>
    <row r="59" ht="18.75" hidden="1" customHeight="1" outlineLevel="1">
      <c r="A59" s="12">
        <v>46078.0</v>
      </c>
      <c r="B59" s="13" t="str">
        <f t="shared" si="10"/>
        <v>quarta-feira</v>
      </c>
      <c r="C59" s="13"/>
      <c r="D59" s="14">
        <f>SUMIF('ADV - GG'!A:A,A59,'ADV - GG'!C:C)+SUMIF('ADV - FB'!A:A,$A59,'ADV - FB'!E:E)</f>
        <v>36.07</v>
      </c>
      <c r="E59" s="19"/>
      <c r="F59" s="15">
        <f t="shared" si="11"/>
        <v>0</v>
      </c>
      <c r="G59" s="14">
        <f t="shared" si="12"/>
        <v>12.02333333</v>
      </c>
      <c r="H59" s="16">
        <f t="shared" si="1"/>
        <v>0.6</v>
      </c>
      <c r="I59" s="14">
        <f t="shared" si="2"/>
        <v>12.02333333</v>
      </c>
      <c r="J59" s="17">
        <f>SUMIF('ADV - GG'!A:A,A59,'ADV - GG'!H:H)+SUMIF('ADV - FB'!A:A,$A59,'ADV - FB'!I:I)</f>
        <v>3</v>
      </c>
      <c r="K59" s="22">
        <f>SUMIF('ADV - GA4'!A:A,A59,'ADV - GA4'!C:C)</f>
        <v>5</v>
      </c>
      <c r="L59" s="19">
        <f t="shared" si="13"/>
        <v>0</v>
      </c>
      <c r="M59" s="20">
        <f t="shared" si="14"/>
        <v>0</v>
      </c>
      <c r="N59" s="14">
        <f t="shared" si="15"/>
        <v>0</v>
      </c>
      <c r="O59" s="15" t="str">
        <f>IFERROR(Planejador!$I$37,"")</f>
        <v/>
      </c>
      <c r="P59" s="14" t="str">
        <f>Planejador!$I$28</f>
        <v/>
      </c>
      <c r="Q59" s="16" t="str">
        <f>Planejador!$I$30</f>
        <v/>
      </c>
      <c r="R59" s="14" t="str">
        <f>iferror(Planejador!$I$34,"")</f>
        <v/>
      </c>
      <c r="S59" s="18">
        <f t="shared" si="16"/>
        <v>0</v>
      </c>
      <c r="T59" s="14" t="str">
        <f>iferror(Planejador!$I$29,"")</f>
        <v/>
      </c>
      <c r="U59" s="4"/>
      <c r="V59" s="4"/>
      <c r="W59" s="4"/>
      <c r="X59" s="4"/>
      <c r="Y59" s="4"/>
      <c r="Z59" s="4"/>
      <c r="AA59" s="4"/>
      <c r="AB59" s="4"/>
    </row>
    <row r="60" ht="18.75" hidden="1" customHeight="1" outlineLevel="1">
      <c r="A60" s="12">
        <v>46079.0</v>
      </c>
      <c r="B60" s="13" t="str">
        <f t="shared" si="10"/>
        <v>quinta-feira</v>
      </c>
      <c r="C60" s="13"/>
      <c r="D60" s="14">
        <f>SUMIF('ADV - GG'!A:A,A60,'ADV - GG'!C:C)+SUMIF('ADV - FB'!A:A,$A60,'ADV - FB'!E:E)</f>
        <v>35.1</v>
      </c>
      <c r="E60" s="19"/>
      <c r="F60" s="15">
        <f t="shared" si="11"/>
        <v>0</v>
      </c>
      <c r="G60" s="14">
        <f t="shared" si="12"/>
        <v>35.1</v>
      </c>
      <c r="H60" s="16">
        <f t="shared" si="1"/>
        <v>0.1111111111</v>
      </c>
      <c r="I60" s="14">
        <f t="shared" si="2"/>
        <v>35.1</v>
      </c>
      <c r="J60" s="17">
        <f>SUMIF('ADV - GG'!A:A,A60,'ADV - GG'!H:H)+SUMIF('ADV - FB'!A:A,$A60,'ADV - FB'!I:I)</f>
        <v>1</v>
      </c>
      <c r="K60" s="22">
        <f>SUMIF('ADV - GA4'!A:A,A60,'ADV - GA4'!C:C)</f>
        <v>9</v>
      </c>
      <c r="L60" s="19">
        <f t="shared" si="13"/>
        <v>0</v>
      </c>
      <c r="M60" s="20">
        <f t="shared" si="14"/>
        <v>0</v>
      </c>
      <c r="N60" s="14">
        <f t="shared" si="15"/>
        <v>0</v>
      </c>
      <c r="O60" s="15" t="str">
        <f>IFERROR(Planejador!$I$37,"")</f>
        <v/>
      </c>
      <c r="P60" s="14" t="str">
        <f>Planejador!$I$28</f>
        <v/>
      </c>
      <c r="Q60" s="16" t="str">
        <f>Planejador!$I$30</f>
        <v/>
      </c>
      <c r="R60" s="14" t="str">
        <f>iferror(Planejador!$I$34,"")</f>
        <v/>
      </c>
      <c r="S60" s="18">
        <f t="shared" si="16"/>
        <v>0</v>
      </c>
      <c r="T60" s="14" t="str">
        <f>iferror(Planejador!$I$29,"")</f>
        <v/>
      </c>
      <c r="U60" s="4"/>
      <c r="V60" s="4"/>
      <c r="W60" s="4"/>
      <c r="X60" s="4"/>
      <c r="Y60" s="4"/>
      <c r="Z60" s="4"/>
      <c r="AA60" s="4"/>
      <c r="AB60" s="4"/>
    </row>
    <row r="61" ht="18.75" hidden="1" customHeight="1" outlineLevel="1">
      <c r="A61" s="12">
        <v>46080.0</v>
      </c>
      <c r="B61" s="13" t="str">
        <f t="shared" si="10"/>
        <v>sexta-feira</v>
      </c>
      <c r="C61" s="13"/>
      <c r="D61" s="14">
        <f>SUMIF('ADV - GG'!A:A,A61,'ADV - GG'!C:C)+SUMIF('ADV - FB'!A:A,$A61,'ADV - FB'!E:E)</f>
        <v>34.76</v>
      </c>
      <c r="E61" s="19"/>
      <c r="F61" s="15">
        <f t="shared" si="11"/>
        <v>0</v>
      </c>
      <c r="G61" s="14">
        <f t="shared" si="12"/>
        <v>6.952</v>
      </c>
      <c r="H61" s="16">
        <f t="shared" si="1"/>
        <v>1.5</v>
      </c>
      <c r="I61" s="14">
        <f t="shared" si="2"/>
        <v>11.58666667</v>
      </c>
      <c r="J61" s="17">
        <f>SUMIF('ADV - GG'!A:A,A61,'ADV - GG'!H:H)+SUMIF('ADV - FB'!A:A,$A61,'ADV - FB'!I:I)</f>
        <v>3</v>
      </c>
      <c r="K61" s="22">
        <f>SUMIF('ADV - GA4'!A:A,A61,'ADV - GA4'!C:C)</f>
        <v>2</v>
      </c>
      <c r="L61" s="19">
        <f t="shared" si="13"/>
        <v>0</v>
      </c>
      <c r="M61" s="20">
        <f t="shared" si="14"/>
        <v>0</v>
      </c>
      <c r="N61" s="14">
        <f t="shared" si="15"/>
        <v>0</v>
      </c>
      <c r="O61" s="15" t="str">
        <f>IFERROR(Planejador!$I$37,"")</f>
        <v/>
      </c>
      <c r="P61" s="14" t="str">
        <f>Planejador!$I$28</f>
        <v/>
      </c>
      <c r="Q61" s="16" t="str">
        <f>Planejador!$I$30</f>
        <v/>
      </c>
      <c r="R61" s="14" t="str">
        <f>iferror(Planejador!$I$34,"")</f>
        <v/>
      </c>
      <c r="S61" s="18">
        <f t="shared" si="16"/>
        <v>0</v>
      </c>
      <c r="T61" s="14" t="str">
        <f>iferror(Planejador!$I$29,"")</f>
        <v/>
      </c>
      <c r="U61" s="4"/>
      <c r="V61" s="4"/>
      <c r="W61" s="4"/>
      <c r="X61" s="4"/>
      <c r="Y61" s="4"/>
      <c r="Z61" s="4"/>
      <c r="AA61" s="4"/>
      <c r="AB61" s="4"/>
    </row>
    <row r="62" ht="18.75" hidden="1" customHeight="1" outlineLevel="1">
      <c r="A62" s="12">
        <v>46081.0</v>
      </c>
      <c r="B62" s="13" t="str">
        <f t="shared" si="10"/>
        <v>sábado</v>
      </c>
      <c r="C62" s="13"/>
      <c r="D62" s="14">
        <f>SUMIF('ADV - GG'!A:A,A62,'ADV - GG'!C:C)+SUMIF('ADV - FB'!A:A,$A62,'ADV - FB'!E:E)</f>
        <v>35.17</v>
      </c>
      <c r="E62" s="19"/>
      <c r="F62" s="15">
        <f t="shared" si="11"/>
        <v>0</v>
      </c>
      <c r="G62" s="14">
        <f t="shared" si="12"/>
        <v>3.907777778</v>
      </c>
      <c r="H62" s="16">
        <f t="shared" si="1"/>
        <v>1</v>
      </c>
      <c r="I62" s="14">
        <f t="shared" si="2"/>
        <v>17.585</v>
      </c>
      <c r="J62" s="17">
        <f>SUMIF('ADV - GG'!A:A,A62,'ADV - GG'!H:H)+SUMIF('ADV - FB'!A:A,$A62,'ADV - FB'!I:I)</f>
        <v>2</v>
      </c>
      <c r="K62" s="22">
        <f>SUMIF('ADV - GA4'!A:A,A62,'ADV - GA4'!C:C)</f>
        <v>2</v>
      </c>
      <c r="L62" s="19">
        <f t="shared" si="13"/>
        <v>0</v>
      </c>
      <c r="M62" s="20">
        <f t="shared" si="14"/>
        <v>0</v>
      </c>
      <c r="N62" s="14">
        <f t="shared" si="15"/>
        <v>0</v>
      </c>
      <c r="O62" s="15" t="str">
        <f>IFERROR(Planejador!$I$37,"")</f>
        <v/>
      </c>
      <c r="P62" s="14" t="str">
        <f>Planejador!$I$28</f>
        <v/>
      </c>
      <c r="Q62" s="16" t="str">
        <f>Planejador!$I$30</f>
        <v/>
      </c>
      <c r="R62" s="14" t="str">
        <f>iferror(Planejador!$I$34,"")</f>
        <v/>
      </c>
      <c r="S62" s="18">
        <f t="shared" si="16"/>
        <v>0</v>
      </c>
      <c r="T62" s="14" t="str">
        <f>iferror(Planejador!$I$29,"")</f>
        <v/>
      </c>
      <c r="U62" s="4"/>
      <c r="V62" s="4"/>
      <c r="W62" s="4"/>
      <c r="X62" s="4"/>
      <c r="Y62" s="4"/>
      <c r="Z62" s="4"/>
      <c r="AA62" s="4"/>
      <c r="AB62" s="4"/>
    </row>
    <row r="63" ht="18.75" hidden="1" customHeight="1" outlineLevel="1">
      <c r="A63" s="23" t="s">
        <v>22</v>
      </c>
      <c r="B63" s="13" t="str">
        <f t="shared" si="10"/>
        <v>29/02/2026</v>
      </c>
      <c r="C63" s="13"/>
      <c r="D63" s="14">
        <f>SUMIF('ADV - GG'!A:A,A63,'ADV - GG'!C:C)+SUMIF('ADV - FB'!A:A,$A63,'ADV - FB'!E:E)</f>
        <v>0</v>
      </c>
      <c r="E63" s="19"/>
      <c r="F63" s="15" t="str">
        <f t="shared" si="11"/>
        <v/>
      </c>
      <c r="G63" s="14">
        <f t="shared" si="12"/>
        <v>0</v>
      </c>
      <c r="H63" s="16" t="str">
        <f t="shared" si="1"/>
        <v/>
      </c>
      <c r="I63" s="14" t="str">
        <f t="shared" si="2"/>
        <v/>
      </c>
      <c r="J63" s="17">
        <f>SUMIF('ADV - GG'!A:A,A63,'ADV - GG'!H:H)+SUMIF('ADV - FB'!A:A,$A63,'ADV - FB'!I:I)</f>
        <v>0</v>
      </c>
      <c r="K63" s="22">
        <f>SUMIF('ADV - GA4'!A:A,A63,'ADV - GA4'!C:C)</f>
        <v>0</v>
      </c>
      <c r="L63" s="19" t="str">
        <f t="shared" si="13"/>
        <v/>
      </c>
      <c r="M63" s="20">
        <f t="shared" si="14"/>
        <v>0</v>
      </c>
      <c r="N63" s="14">
        <f t="shared" si="15"/>
        <v>0</v>
      </c>
      <c r="O63" s="15" t="str">
        <f>IFERROR(Planejador!$I$37,"")</f>
        <v/>
      </c>
      <c r="P63" s="14" t="str">
        <f>Planejador!$I$28</f>
        <v/>
      </c>
      <c r="Q63" s="16" t="str">
        <f>Planejador!$I$30</f>
        <v/>
      </c>
      <c r="R63" s="14" t="str">
        <f>iferror(Planejador!$I$34,"")</f>
        <v/>
      </c>
      <c r="S63" s="18">
        <f t="shared" si="16"/>
        <v>0</v>
      </c>
      <c r="T63" s="14" t="str">
        <f>iferror(Planejador!$I$29,"")</f>
        <v/>
      </c>
      <c r="U63" s="4"/>
      <c r="V63" s="4"/>
      <c r="W63" s="4"/>
      <c r="X63" s="4"/>
      <c r="Y63" s="4"/>
      <c r="Z63" s="4"/>
      <c r="AA63" s="4"/>
      <c r="AB63" s="4"/>
    </row>
    <row r="64" ht="18.75" customHeight="1" collapsed="1">
      <c r="A64" s="5" t="s">
        <v>23</v>
      </c>
      <c r="B64" s="5">
        <v>31.0</v>
      </c>
      <c r="C64" s="6"/>
      <c r="D64" s="7">
        <f>IFERROR(SUM(D65:D95),"")</f>
        <v>1935.08</v>
      </c>
      <c r="E64" s="7">
        <f>iferror(SUM(E65:E95),"")</f>
        <v>0</v>
      </c>
      <c r="F64" s="8">
        <f>iferror(E64/D64,"")</f>
        <v>0</v>
      </c>
      <c r="G64" s="9">
        <f>iferror(D64/K64,"")</f>
        <v>15.1178125</v>
      </c>
      <c r="H64" s="10">
        <f t="shared" si="1"/>
        <v>0.4921875</v>
      </c>
      <c r="I64" s="9">
        <f t="shared" si="2"/>
        <v>30.71555556</v>
      </c>
      <c r="J64" s="11">
        <f>iferror(SUM(J65:J95),"")</f>
        <v>63</v>
      </c>
      <c r="K64" s="11">
        <f>IFERROR(SUM(K65:K95),"")</f>
        <v>128</v>
      </c>
      <c r="L64" s="9">
        <f>iferror(E64/J64,"")</f>
        <v>0</v>
      </c>
      <c r="M64" s="7" t="str">
        <f>Planejador!$I$50</f>
        <v/>
      </c>
      <c r="N64" s="7" t="str">
        <f>IFERROR(Planejador!$I$59,"")</f>
        <v/>
      </c>
      <c r="O64" s="8" t="str">
        <f>IFERROR(Planejador!$I$60,"")</f>
        <v/>
      </c>
      <c r="P64" s="9" t="str">
        <f>Planejador!$I$51</f>
        <v/>
      </c>
      <c r="Q64" s="10" t="str">
        <f>Planejador!$I$53</f>
        <v/>
      </c>
      <c r="R64" s="9" t="str">
        <f>iferror(Planejador!$I$57,"")</f>
        <v/>
      </c>
      <c r="S64" s="11" t="str">
        <f>iferror(Planejador!$I$56,"")</f>
        <v/>
      </c>
      <c r="T64" s="9" t="str">
        <f>iferror(Planejador!$I$52,"")</f>
        <v/>
      </c>
      <c r="U64" s="4"/>
      <c r="V64" s="4"/>
      <c r="W64" s="4"/>
      <c r="X64" s="4"/>
      <c r="Y64" s="4"/>
      <c r="Z64" s="4"/>
      <c r="AA64" s="4"/>
      <c r="AB64" s="4"/>
    </row>
    <row r="65" ht="18.75" hidden="1" customHeight="1" outlineLevel="1">
      <c r="A65" s="12">
        <v>46082.0</v>
      </c>
      <c r="B65" s="13" t="str">
        <f t="shared" ref="B65:B95" si="17">TEXT(A65,"dddd")</f>
        <v>domingo</v>
      </c>
      <c r="C65" s="13"/>
      <c r="D65" s="14">
        <f>SUMIF('ADV - GG'!A:A,A65,'ADV - GG'!C:C)+SUMIF('ADV - FB'!A:A,$A65,'ADV - FB'!E:E)</f>
        <v>51.15</v>
      </c>
      <c r="E65" s="19"/>
      <c r="F65" s="15">
        <f t="shared" ref="F65:F95" si="18">IFERROR(E65/D65,"")</f>
        <v>0</v>
      </c>
      <c r="G65" s="14">
        <f t="shared" ref="G65:G95" si="19">IFERROR(D65/K65,"")</f>
        <v>51.15</v>
      </c>
      <c r="H65" s="16">
        <f t="shared" si="1"/>
        <v>3</v>
      </c>
      <c r="I65" s="14">
        <f t="shared" si="2"/>
        <v>17.05</v>
      </c>
      <c r="J65" s="17">
        <f>SUMIF('ADV - GG'!A:A,A65,'ADV - GG'!H:H)+SUMIF('ADV - FB'!A:A,$A65,'ADV - FB'!I:I)</f>
        <v>3</v>
      </c>
      <c r="K65" s="22">
        <f>SUMIF('ADV - GA4'!A:A,A65,'ADV - GA4'!C:C)</f>
        <v>1</v>
      </c>
      <c r="L65" s="19">
        <f t="shared" ref="L65:L95" si="20">IFERROR(E65/J65,"")</f>
        <v>0</v>
      </c>
      <c r="M65" s="20">
        <f t="shared" ref="M65:M95" si="21">$M$64/$B$64</f>
        <v>0</v>
      </c>
      <c r="N65" s="14">
        <f t="shared" ref="N65:N95" si="22">$N$64/$B$64</f>
        <v>0</v>
      </c>
      <c r="O65" s="15" t="str">
        <f>IFERROR(Planejador!$I$60,"")</f>
        <v/>
      </c>
      <c r="P65" s="14" t="str">
        <f>Planejador!$I$51</f>
        <v/>
      </c>
      <c r="Q65" s="16" t="str">
        <f>Planejador!$I$53</f>
        <v/>
      </c>
      <c r="R65" s="14" t="str">
        <f>iferror(Planejador!$I$57,"")</f>
        <v/>
      </c>
      <c r="S65" s="18">
        <f t="shared" ref="S65:S95" si="23">$S$64/$B$64</f>
        <v>0</v>
      </c>
      <c r="T65" s="14" t="str">
        <f>Planejador!$I$52</f>
        <v/>
      </c>
      <c r="U65" s="4"/>
      <c r="V65" s="4"/>
      <c r="W65" s="4"/>
      <c r="X65" s="4"/>
      <c r="Y65" s="4"/>
      <c r="Z65" s="4"/>
      <c r="AA65" s="4"/>
      <c r="AB65" s="4"/>
    </row>
    <row r="66" ht="18.75" hidden="1" customHeight="1" outlineLevel="1">
      <c r="A66" s="12">
        <v>46083.0</v>
      </c>
      <c r="B66" s="13" t="str">
        <f t="shared" si="17"/>
        <v>segunda-feira</v>
      </c>
      <c r="C66" s="13"/>
      <c r="D66" s="14">
        <f>SUMIF('ADV - GG'!A:A,A66,'ADV - GG'!C:C)+SUMIF('ADV - FB'!A:A,$A66,'ADV - FB'!E:E)</f>
        <v>66.59</v>
      </c>
      <c r="E66" s="19"/>
      <c r="F66" s="15">
        <f t="shared" si="18"/>
        <v>0</v>
      </c>
      <c r="G66" s="14">
        <f t="shared" si="19"/>
        <v>16.6475</v>
      </c>
      <c r="H66" s="16">
        <f t="shared" si="1"/>
        <v>0.5</v>
      </c>
      <c r="I66" s="14">
        <f t="shared" si="2"/>
        <v>33.295</v>
      </c>
      <c r="J66" s="17">
        <f>SUMIF('ADV - GG'!A:A,A66,'ADV - GG'!H:H)+SUMIF('ADV - FB'!A:A,$A66,'ADV - FB'!I:I)</f>
        <v>2</v>
      </c>
      <c r="K66" s="22">
        <f>SUMIF('ADV - GA4'!A:A,A66,'ADV - GA4'!C:C)</f>
        <v>4</v>
      </c>
      <c r="L66" s="19">
        <f t="shared" si="20"/>
        <v>0</v>
      </c>
      <c r="M66" s="20">
        <f t="shared" si="21"/>
        <v>0</v>
      </c>
      <c r="N66" s="14">
        <f t="shared" si="22"/>
        <v>0</v>
      </c>
      <c r="O66" s="15" t="str">
        <f>IFERROR(Planejador!$I$60,"")</f>
        <v/>
      </c>
      <c r="P66" s="14" t="str">
        <f>Planejador!$I$51</f>
        <v/>
      </c>
      <c r="Q66" s="16" t="str">
        <f>Planejador!$I$53</f>
        <v/>
      </c>
      <c r="R66" s="14" t="str">
        <f>iferror(Planejador!$I$57,"")</f>
        <v/>
      </c>
      <c r="S66" s="18">
        <f t="shared" si="23"/>
        <v>0</v>
      </c>
      <c r="T66" s="14" t="str">
        <f>Planejador!$I$52</f>
        <v/>
      </c>
      <c r="U66" s="4"/>
      <c r="V66" s="4"/>
      <c r="W66" s="4"/>
      <c r="X66" s="4"/>
      <c r="Y66" s="4"/>
      <c r="Z66" s="4"/>
      <c r="AA66" s="4"/>
      <c r="AB66" s="4"/>
    </row>
    <row r="67" ht="18.75" hidden="1" customHeight="1" outlineLevel="1">
      <c r="A67" s="12">
        <v>46084.0</v>
      </c>
      <c r="B67" s="13" t="str">
        <f t="shared" si="17"/>
        <v>terça-feira</v>
      </c>
      <c r="C67" s="13"/>
      <c r="D67" s="14">
        <f>SUMIF('ADV - GG'!A:A,A67,'ADV - GG'!C:C)+SUMIF('ADV - FB'!A:A,$A67,'ADV - FB'!E:E)</f>
        <v>61.98</v>
      </c>
      <c r="E67" s="19"/>
      <c r="F67" s="15">
        <f t="shared" si="18"/>
        <v>0</v>
      </c>
      <c r="G67" s="14">
        <f t="shared" si="19"/>
        <v>30.99</v>
      </c>
      <c r="H67" s="16">
        <f t="shared" si="1"/>
        <v>1</v>
      </c>
      <c r="I67" s="14">
        <f t="shared" si="2"/>
        <v>30.99</v>
      </c>
      <c r="J67" s="17">
        <f>SUMIF('ADV - GG'!A:A,A67,'ADV - GG'!H:H)+SUMIF('ADV - FB'!A:A,$A67,'ADV - FB'!I:I)</f>
        <v>2</v>
      </c>
      <c r="K67" s="22">
        <f>SUMIF('ADV - GA4'!A:A,A67,'ADV - GA4'!C:C)</f>
        <v>2</v>
      </c>
      <c r="L67" s="19">
        <f t="shared" si="20"/>
        <v>0</v>
      </c>
      <c r="M67" s="20">
        <f t="shared" si="21"/>
        <v>0</v>
      </c>
      <c r="N67" s="14">
        <f t="shared" si="22"/>
        <v>0</v>
      </c>
      <c r="O67" s="15" t="str">
        <f>IFERROR(Planejador!$I$60,"")</f>
        <v/>
      </c>
      <c r="P67" s="14" t="str">
        <f>Planejador!$I$51</f>
        <v/>
      </c>
      <c r="Q67" s="16" t="str">
        <f>Planejador!$I$53</f>
        <v/>
      </c>
      <c r="R67" s="14" t="str">
        <f>iferror(Planejador!$I$57,"")</f>
        <v/>
      </c>
      <c r="S67" s="18">
        <f t="shared" si="23"/>
        <v>0</v>
      </c>
      <c r="T67" s="14" t="str">
        <f>Planejador!$I$52</f>
        <v/>
      </c>
      <c r="U67" s="4"/>
      <c r="V67" s="4"/>
      <c r="W67" s="4"/>
      <c r="X67" s="4"/>
      <c r="Y67" s="4"/>
      <c r="Z67" s="4"/>
      <c r="AA67" s="4"/>
      <c r="AB67" s="4"/>
    </row>
    <row r="68" ht="18.75" hidden="1" customHeight="1" outlineLevel="1">
      <c r="A68" s="12">
        <v>46085.0</v>
      </c>
      <c r="B68" s="13" t="str">
        <f t="shared" si="17"/>
        <v>quarta-feira</v>
      </c>
      <c r="C68" s="13"/>
      <c r="D68" s="14">
        <f>SUMIF('ADV - GG'!A:A,A68,'ADV - GG'!C:C)+SUMIF('ADV - FB'!A:A,$A68,'ADV - FB'!E:E)</f>
        <v>55.45</v>
      </c>
      <c r="E68" s="19"/>
      <c r="F68" s="15">
        <f t="shared" si="18"/>
        <v>0</v>
      </c>
      <c r="G68" s="14">
        <f t="shared" si="19"/>
        <v>13.8625</v>
      </c>
      <c r="H68" s="16">
        <f t="shared" si="1"/>
        <v>0.25</v>
      </c>
      <c r="I68" s="14">
        <f t="shared" si="2"/>
        <v>55.45</v>
      </c>
      <c r="J68" s="17">
        <f>SUMIF('ADV - GG'!A:A,A68,'ADV - GG'!H:H)+SUMIF('ADV - FB'!A:A,$A68,'ADV - FB'!I:I)</f>
        <v>1</v>
      </c>
      <c r="K68" s="22">
        <f>SUMIF('ADV - GA4'!A:A,A68,'ADV - GA4'!C:C)</f>
        <v>4</v>
      </c>
      <c r="L68" s="19">
        <f t="shared" si="20"/>
        <v>0</v>
      </c>
      <c r="M68" s="20">
        <f t="shared" si="21"/>
        <v>0</v>
      </c>
      <c r="N68" s="14">
        <f t="shared" si="22"/>
        <v>0</v>
      </c>
      <c r="O68" s="15" t="str">
        <f>IFERROR(Planejador!$I$60,"")</f>
        <v/>
      </c>
      <c r="P68" s="14" t="str">
        <f>Planejador!$I$51</f>
        <v/>
      </c>
      <c r="Q68" s="16" t="str">
        <f>Planejador!$I$53</f>
        <v/>
      </c>
      <c r="R68" s="14" t="str">
        <f>iferror(Planejador!$I$57,"")</f>
        <v/>
      </c>
      <c r="S68" s="18">
        <f t="shared" si="23"/>
        <v>0</v>
      </c>
      <c r="T68" s="14" t="str">
        <f>Planejador!$I$52</f>
        <v/>
      </c>
      <c r="U68" s="4"/>
      <c r="V68" s="4"/>
      <c r="W68" s="4"/>
      <c r="X68" s="4"/>
      <c r="Y68" s="4"/>
      <c r="Z68" s="4"/>
      <c r="AA68" s="4"/>
      <c r="AB68" s="4"/>
    </row>
    <row r="69" ht="18.75" hidden="1" customHeight="1" outlineLevel="1">
      <c r="A69" s="12">
        <v>46086.0</v>
      </c>
      <c r="B69" s="13" t="str">
        <f t="shared" si="17"/>
        <v>quinta-feira</v>
      </c>
      <c r="C69" s="13"/>
      <c r="D69" s="14">
        <f>SUMIF('ADV - GG'!A:A,A69,'ADV - GG'!C:C)+SUMIF('ADV - FB'!A:A,$A69,'ADV - FB'!E:E)</f>
        <v>69.46</v>
      </c>
      <c r="E69" s="19"/>
      <c r="F69" s="15">
        <f t="shared" si="18"/>
        <v>0</v>
      </c>
      <c r="G69" s="14">
        <f t="shared" si="19"/>
        <v>23.15333333</v>
      </c>
      <c r="H69" s="16">
        <f t="shared" si="1"/>
        <v>1</v>
      </c>
      <c r="I69" s="14">
        <f t="shared" si="2"/>
        <v>23.15333333</v>
      </c>
      <c r="J69" s="17">
        <f>SUMIF('ADV - GG'!A:A,A69,'ADV - GG'!H:H)+SUMIF('ADV - FB'!A:A,$A69,'ADV - FB'!I:I)</f>
        <v>3</v>
      </c>
      <c r="K69" s="22">
        <f>SUMIF('ADV - GA4'!A:A,A69,'ADV - GA4'!C:C)</f>
        <v>3</v>
      </c>
      <c r="L69" s="19">
        <f t="shared" si="20"/>
        <v>0</v>
      </c>
      <c r="M69" s="20">
        <f t="shared" si="21"/>
        <v>0</v>
      </c>
      <c r="N69" s="14">
        <f t="shared" si="22"/>
        <v>0</v>
      </c>
      <c r="O69" s="15" t="str">
        <f>IFERROR(Planejador!$I$60,"")</f>
        <v/>
      </c>
      <c r="P69" s="14" t="str">
        <f>Planejador!$I$51</f>
        <v/>
      </c>
      <c r="Q69" s="16" t="str">
        <f>Planejador!$I$53</f>
        <v/>
      </c>
      <c r="R69" s="14" t="str">
        <f>iferror(Planejador!$I$57,"")</f>
        <v/>
      </c>
      <c r="S69" s="18">
        <f t="shared" si="23"/>
        <v>0</v>
      </c>
      <c r="T69" s="14" t="str">
        <f>Planejador!$I$52</f>
        <v/>
      </c>
      <c r="U69" s="4"/>
      <c r="V69" s="4"/>
      <c r="W69" s="4"/>
      <c r="X69" s="4"/>
      <c r="Y69" s="4"/>
      <c r="Z69" s="4"/>
      <c r="AA69" s="4"/>
      <c r="AB69" s="4"/>
    </row>
    <row r="70" ht="18.75" hidden="1" customHeight="1" outlineLevel="1">
      <c r="A70" s="12">
        <v>46087.0</v>
      </c>
      <c r="B70" s="13" t="str">
        <f t="shared" si="17"/>
        <v>sexta-feira</v>
      </c>
      <c r="C70" s="13"/>
      <c r="D70" s="14">
        <f>SUMIF('ADV - GG'!A:A,A70,'ADV - GG'!C:C)+SUMIF('ADV - FB'!A:A,$A70,'ADV - FB'!E:E)</f>
        <v>70.74</v>
      </c>
      <c r="E70" s="19"/>
      <c r="F70" s="15">
        <f t="shared" si="18"/>
        <v>0</v>
      </c>
      <c r="G70" s="14">
        <f t="shared" si="19"/>
        <v>14.148</v>
      </c>
      <c r="H70" s="16">
        <f t="shared" si="1"/>
        <v>1</v>
      </c>
      <c r="I70" s="14">
        <f t="shared" si="2"/>
        <v>14.148</v>
      </c>
      <c r="J70" s="17">
        <f>SUMIF('ADV - GG'!A:A,A70,'ADV - GG'!H:H)+SUMIF('ADV - FB'!A:A,$A70,'ADV - FB'!I:I)</f>
        <v>5</v>
      </c>
      <c r="K70" s="22">
        <f>SUMIF('ADV - GA4'!A:A,A70,'ADV - GA4'!C:C)</f>
        <v>5</v>
      </c>
      <c r="L70" s="19">
        <f t="shared" si="20"/>
        <v>0</v>
      </c>
      <c r="M70" s="20">
        <f t="shared" si="21"/>
        <v>0</v>
      </c>
      <c r="N70" s="14">
        <f t="shared" si="22"/>
        <v>0</v>
      </c>
      <c r="O70" s="15" t="str">
        <f>IFERROR(Planejador!$I$60,"")</f>
        <v/>
      </c>
      <c r="P70" s="14" t="str">
        <f>Planejador!$I$51</f>
        <v/>
      </c>
      <c r="Q70" s="16" t="str">
        <f>Planejador!$I$53</f>
        <v/>
      </c>
      <c r="R70" s="14" t="str">
        <f>iferror(Planejador!$I$57,"")</f>
        <v/>
      </c>
      <c r="S70" s="18">
        <f t="shared" si="23"/>
        <v>0</v>
      </c>
      <c r="T70" s="14" t="str">
        <f>Planejador!$I$52</f>
        <v/>
      </c>
      <c r="U70" s="4"/>
      <c r="V70" s="4"/>
      <c r="W70" s="4"/>
      <c r="X70" s="4"/>
      <c r="Y70" s="4"/>
      <c r="Z70" s="4"/>
      <c r="AA70" s="4"/>
      <c r="AB70" s="4"/>
    </row>
    <row r="71" ht="18.75" hidden="1" customHeight="1" outlineLevel="1">
      <c r="A71" s="12">
        <v>46088.0</v>
      </c>
      <c r="B71" s="13" t="str">
        <f t="shared" si="17"/>
        <v>sábado</v>
      </c>
      <c r="C71" s="13"/>
      <c r="D71" s="14">
        <f>SUMIF('ADV - GG'!A:A,A71,'ADV - GG'!C:C)+SUMIF('ADV - FB'!A:A,$A71,'ADV - FB'!E:E)</f>
        <v>66.94</v>
      </c>
      <c r="E71" s="19"/>
      <c r="F71" s="15">
        <f t="shared" si="18"/>
        <v>0</v>
      </c>
      <c r="G71" s="14">
        <f t="shared" si="19"/>
        <v>66.94</v>
      </c>
      <c r="H71" s="16">
        <f t="shared" si="1"/>
        <v>1</v>
      </c>
      <c r="I71" s="14">
        <f t="shared" si="2"/>
        <v>66.94</v>
      </c>
      <c r="J71" s="17">
        <f>SUMIF('ADV - GG'!A:A,A71,'ADV - GG'!H:H)+SUMIF('ADV - FB'!A:A,$A71,'ADV - FB'!I:I)</f>
        <v>1</v>
      </c>
      <c r="K71" s="22">
        <f>SUMIF('ADV - GA4'!A:A,A71,'ADV - GA4'!C:C)</f>
        <v>1</v>
      </c>
      <c r="L71" s="19">
        <f t="shared" si="20"/>
        <v>0</v>
      </c>
      <c r="M71" s="20">
        <f t="shared" si="21"/>
        <v>0</v>
      </c>
      <c r="N71" s="14">
        <f t="shared" si="22"/>
        <v>0</v>
      </c>
      <c r="O71" s="15" t="str">
        <f>IFERROR(Planejador!$I$60,"")</f>
        <v/>
      </c>
      <c r="P71" s="14" t="str">
        <f>Planejador!$I$51</f>
        <v/>
      </c>
      <c r="Q71" s="16" t="str">
        <f>Planejador!$I$53</f>
        <v/>
      </c>
      <c r="R71" s="14" t="str">
        <f>iferror(Planejador!$I$57,"")</f>
        <v/>
      </c>
      <c r="S71" s="18">
        <f t="shared" si="23"/>
        <v>0</v>
      </c>
      <c r="T71" s="14" t="str">
        <f>Planejador!$I$52</f>
        <v/>
      </c>
      <c r="U71" s="4"/>
      <c r="V71" s="4"/>
      <c r="W71" s="4"/>
      <c r="X71" s="4"/>
      <c r="Y71" s="4"/>
      <c r="Z71" s="4"/>
      <c r="AA71" s="4"/>
      <c r="AB71" s="4"/>
    </row>
    <row r="72" ht="18.75" hidden="1" customHeight="1" outlineLevel="1">
      <c r="A72" s="12">
        <v>46089.0</v>
      </c>
      <c r="B72" s="13" t="str">
        <f t="shared" si="17"/>
        <v>domingo</v>
      </c>
      <c r="C72" s="13"/>
      <c r="D72" s="14">
        <f>SUMIF('ADV - GG'!A:A,A72,'ADV - GG'!C:C)+SUMIF('ADV - FB'!A:A,$A72,'ADV - FB'!E:E)</f>
        <v>81.19</v>
      </c>
      <c r="E72" s="19"/>
      <c r="F72" s="15">
        <f t="shared" si="18"/>
        <v>0</v>
      </c>
      <c r="G72" s="14">
        <f t="shared" si="19"/>
        <v>27.06333333</v>
      </c>
      <c r="H72" s="16">
        <f t="shared" si="1"/>
        <v>0.3333333333</v>
      </c>
      <c r="I72" s="14">
        <f t="shared" si="2"/>
        <v>81.19</v>
      </c>
      <c r="J72" s="17">
        <f>SUMIF('ADV - GG'!A:A,A72,'ADV - GG'!H:H)+SUMIF('ADV - FB'!A:A,$A72,'ADV - FB'!I:I)</f>
        <v>1</v>
      </c>
      <c r="K72" s="22">
        <f>SUMIF('ADV - GA4'!A:A,A72,'ADV - GA4'!C:C)</f>
        <v>3</v>
      </c>
      <c r="L72" s="19">
        <f t="shared" si="20"/>
        <v>0</v>
      </c>
      <c r="M72" s="20">
        <f t="shared" si="21"/>
        <v>0</v>
      </c>
      <c r="N72" s="14">
        <f t="shared" si="22"/>
        <v>0</v>
      </c>
      <c r="O72" s="15" t="str">
        <f>IFERROR(Planejador!$I$60,"")</f>
        <v/>
      </c>
      <c r="P72" s="14" t="str">
        <f>Planejador!$I$51</f>
        <v/>
      </c>
      <c r="Q72" s="16" t="str">
        <f>Planejador!$I$53</f>
        <v/>
      </c>
      <c r="R72" s="14" t="str">
        <f>iferror(Planejador!$I$57,"")</f>
        <v/>
      </c>
      <c r="S72" s="18">
        <f t="shared" si="23"/>
        <v>0</v>
      </c>
      <c r="T72" s="14" t="str">
        <f>Planejador!$I$52</f>
        <v/>
      </c>
      <c r="U72" s="4"/>
      <c r="V72" s="4"/>
      <c r="W72" s="4"/>
      <c r="X72" s="4"/>
      <c r="Y72" s="4"/>
      <c r="Z72" s="4"/>
      <c r="AA72" s="4"/>
      <c r="AB72" s="4"/>
    </row>
    <row r="73" ht="18.75" hidden="1" customHeight="1" outlineLevel="1">
      <c r="A73" s="12">
        <v>46090.0</v>
      </c>
      <c r="B73" s="13" t="str">
        <f t="shared" si="17"/>
        <v>segunda-feira</v>
      </c>
      <c r="C73" s="13"/>
      <c r="D73" s="14">
        <f>SUMIF('ADV - GG'!A:A,A73,'ADV - GG'!C:C)+SUMIF('ADV - FB'!A:A,$A73,'ADV - FB'!E:E)</f>
        <v>81.01</v>
      </c>
      <c r="E73" s="19"/>
      <c r="F73" s="15">
        <f t="shared" si="18"/>
        <v>0</v>
      </c>
      <c r="G73" s="14">
        <f t="shared" si="19"/>
        <v>20.2525</v>
      </c>
      <c r="H73" s="16">
        <f t="shared" si="1"/>
        <v>0</v>
      </c>
      <c r="I73" s="14" t="str">
        <f t="shared" si="2"/>
        <v/>
      </c>
      <c r="J73" s="17">
        <f>SUMIF('ADV - GG'!A:A,A73,'ADV - GG'!H:H)+SUMIF('ADV - FB'!A:A,$A73,'ADV - FB'!I:I)</f>
        <v>0</v>
      </c>
      <c r="K73" s="22">
        <f>SUMIF('ADV - GA4'!A:A,A73,'ADV - GA4'!C:C)</f>
        <v>4</v>
      </c>
      <c r="L73" s="19" t="str">
        <f t="shared" si="20"/>
        <v/>
      </c>
      <c r="M73" s="20">
        <f t="shared" si="21"/>
        <v>0</v>
      </c>
      <c r="N73" s="14">
        <f t="shared" si="22"/>
        <v>0</v>
      </c>
      <c r="O73" s="15" t="str">
        <f>IFERROR(Planejador!$I$60,"")</f>
        <v/>
      </c>
      <c r="P73" s="14" t="str">
        <f>Planejador!$I$51</f>
        <v/>
      </c>
      <c r="Q73" s="16" t="str">
        <f>Planejador!$I$53</f>
        <v/>
      </c>
      <c r="R73" s="14" t="str">
        <f>iferror(Planejador!$I$57,"")</f>
        <v/>
      </c>
      <c r="S73" s="18">
        <f t="shared" si="23"/>
        <v>0</v>
      </c>
      <c r="T73" s="14" t="str">
        <f>Planejador!$I$52</f>
        <v/>
      </c>
      <c r="U73" s="4"/>
      <c r="V73" s="4"/>
      <c r="W73" s="4"/>
      <c r="X73" s="4"/>
      <c r="Y73" s="4"/>
      <c r="Z73" s="4"/>
      <c r="AA73" s="4"/>
      <c r="AB73" s="4"/>
    </row>
    <row r="74" ht="18.75" hidden="1" customHeight="1" outlineLevel="1">
      <c r="A74" s="12">
        <v>46091.0</v>
      </c>
      <c r="B74" s="13" t="str">
        <f t="shared" si="17"/>
        <v>terça-feira</v>
      </c>
      <c r="C74" s="13"/>
      <c r="D74" s="14">
        <f>SUMIF('ADV - GG'!A:A,A74,'ADV - GG'!C:C)+SUMIF('ADV - FB'!A:A,$A74,'ADV - FB'!E:E)</f>
        <v>71.25</v>
      </c>
      <c r="E74" s="19"/>
      <c r="F74" s="15">
        <f t="shared" si="18"/>
        <v>0</v>
      </c>
      <c r="G74" s="14">
        <f t="shared" si="19"/>
        <v>17.8125</v>
      </c>
      <c r="H74" s="16">
        <f t="shared" si="1"/>
        <v>0.75</v>
      </c>
      <c r="I74" s="14">
        <f t="shared" si="2"/>
        <v>23.75</v>
      </c>
      <c r="J74" s="17">
        <f>SUMIF('ADV - GG'!A:A,A74,'ADV - GG'!H:H)+SUMIF('ADV - FB'!A:A,$A74,'ADV - FB'!I:I)</f>
        <v>3</v>
      </c>
      <c r="K74" s="22">
        <f>SUMIF('ADV - GA4'!A:A,A74,'ADV - GA4'!C:C)</f>
        <v>4</v>
      </c>
      <c r="L74" s="19">
        <f t="shared" si="20"/>
        <v>0</v>
      </c>
      <c r="M74" s="20">
        <f t="shared" si="21"/>
        <v>0</v>
      </c>
      <c r="N74" s="14">
        <f t="shared" si="22"/>
        <v>0</v>
      </c>
      <c r="O74" s="15" t="str">
        <f>IFERROR(Planejador!$I$60,"")</f>
        <v/>
      </c>
      <c r="P74" s="14" t="str">
        <f>Planejador!$I$51</f>
        <v/>
      </c>
      <c r="Q74" s="16" t="str">
        <f>Planejador!$I$53</f>
        <v/>
      </c>
      <c r="R74" s="14" t="str">
        <f>iferror(Planejador!$I$57,"")</f>
        <v/>
      </c>
      <c r="S74" s="18">
        <f t="shared" si="23"/>
        <v>0</v>
      </c>
      <c r="T74" s="14" t="str">
        <f>Planejador!$I$52</f>
        <v/>
      </c>
      <c r="U74" s="4"/>
      <c r="V74" s="4"/>
      <c r="W74" s="4"/>
      <c r="X74" s="4"/>
      <c r="Y74" s="4"/>
      <c r="Z74" s="4"/>
      <c r="AA74" s="4"/>
      <c r="AB74" s="4"/>
    </row>
    <row r="75" ht="18.75" hidden="1" customHeight="1" outlineLevel="1">
      <c r="A75" s="12">
        <v>46092.0</v>
      </c>
      <c r="B75" s="13" t="str">
        <f t="shared" si="17"/>
        <v>quarta-feira</v>
      </c>
      <c r="C75" s="13"/>
      <c r="D75" s="14">
        <f>SUMIF('ADV - GG'!A:A,A75,'ADV - GG'!C:C)+SUMIF('ADV - FB'!A:A,$A75,'ADV - FB'!E:E)</f>
        <v>51.8</v>
      </c>
      <c r="E75" s="19"/>
      <c r="F75" s="15">
        <f t="shared" si="18"/>
        <v>0</v>
      </c>
      <c r="G75" s="14">
        <f t="shared" si="19"/>
        <v>12.95</v>
      </c>
      <c r="H75" s="16">
        <f t="shared" si="1"/>
        <v>0</v>
      </c>
      <c r="I75" s="14" t="str">
        <f t="shared" si="2"/>
        <v/>
      </c>
      <c r="J75" s="17">
        <f>SUMIF('ADV - GG'!A:A,A75,'ADV - GG'!H:H)+SUMIF('ADV - FB'!A:A,$A75,'ADV - FB'!I:I)</f>
        <v>0</v>
      </c>
      <c r="K75" s="22">
        <f>SUMIF('ADV - GA4'!A:A,A75,'ADV - GA4'!C:C)</f>
        <v>4</v>
      </c>
      <c r="L75" s="19" t="str">
        <f t="shared" si="20"/>
        <v/>
      </c>
      <c r="M75" s="20">
        <f t="shared" si="21"/>
        <v>0</v>
      </c>
      <c r="N75" s="14">
        <f t="shared" si="22"/>
        <v>0</v>
      </c>
      <c r="O75" s="15" t="str">
        <f>IFERROR(Planejador!$I$60,"")</f>
        <v/>
      </c>
      <c r="P75" s="14" t="str">
        <f>Planejador!$I$51</f>
        <v/>
      </c>
      <c r="Q75" s="16" t="str">
        <f>Planejador!$I$53</f>
        <v/>
      </c>
      <c r="R75" s="14" t="str">
        <f>iferror(Planejador!$I$57,"")</f>
        <v/>
      </c>
      <c r="S75" s="18">
        <f t="shared" si="23"/>
        <v>0</v>
      </c>
      <c r="T75" s="14" t="str">
        <f>Planejador!$I$52</f>
        <v/>
      </c>
      <c r="U75" s="4"/>
      <c r="V75" s="4"/>
      <c r="W75" s="4"/>
      <c r="X75" s="4"/>
      <c r="Y75" s="4"/>
      <c r="Z75" s="4"/>
      <c r="AA75" s="4"/>
      <c r="AB75" s="4"/>
    </row>
    <row r="76" ht="18.75" hidden="1" customHeight="1" outlineLevel="1">
      <c r="A76" s="12">
        <v>46093.0</v>
      </c>
      <c r="B76" s="13" t="str">
        <f t="shared" si="17"/>
        <v>quinta-feira</v>
      </c>
      <c r="C76" s="13"/>
      <c r="D76" s="14">
        <f>SUMIF('ADV - GG'!A:A,A76,'ADV - GG'!C:C)+SUMIF('ADV - FB'!A:A,$A76,'ADV - FB'!E:E)</f>
        <v>86.42</v>
      </c>
      <c r="E76" s="19"/>
      <c r="F76" s="15">
        <f t="shared" si="18"/>
        <v>0</v>
      </c>
      <c r="G76" s="14">
        <f t="shared" si="19"/>
        <v>21.605</v>
      </c>
      <c r="H76" s="16">
        <f t="shared" si="1"/>
        <v>1</v>
      </c>
      <c r="I76" s="14">
        <f t="shared" si="2"/>
        <v>21.605</v>
      </c>
      <c r="J76" s="17">
        <f>SUMIF('ADV - GG'!A:A,A76,'ADV - GG'!H:H)+SUMIF('ADV - FB'!A:A,$A76,'ADV - FB'!I:I)</f>
        <v>4</v>
      </c>
      <c r="K76" s="22">
        <f>SUMIF('ADV - GA4'!A:A,A76,'ADV - GA4'!C:C)</f>
        <v>4</v>
      </c>
      <c r="L76" s="19">
        <f t="shared" si="20"/>
        <v>0</v>
      </c>
      <c r="M76" s="20">
        <f t="shared" si="21"/>
        <v>0</v>
      </c>
      <c r="N76" s="14">
        <f t="shared" si="22"/>
        <v>0</v>
      </c>
      <c r="O76" s="15" t="str">
        <f>IFERROR(Planejador!$I$60,"")</f>
        <v/>
      </c>
      <c r="P76" s="14" t="str">
        <f>Planejador!$I$51</f>
        <v/>
      </c>
      <c r="Q76" s="16" t="str">
        <f>Planejador!$I$53</f>
        <v/>
      </c>
      <c r="R76" s="14" t="str">
        <f>iferror(Planejador!$I$57,"")</f>
        <v/>
      </c>
      <c r="S76" s="18">
        <f t="shared" si="23"/>
        <v>0</v>
      </c>
      <c r="T76" s="14" t="str">
        <f>Planejador!$I$52</f>
        <v/>
      </c>
      <c r="U76" s="4"/>
      <c r="V76" s="4"/>
      <c r="W76" s="4"/>
      <c r="X76" s="4"/>
      <c r="Y76" s="4"/>
      <c r="Z76" s="4"/>
      <c r="AA76" s="4"/>
      <c r="AB76" s="4"/>
    </row>
    <row r="77" ht="18.75" hidden="1" customHeight="1" outlineLevel="1">
      <c r="A77" s="12">
        <v>46094.0</v>
      </c>
      <c r="B77" s="13" t="str">
        <f t="shared" si="17"/>
        <v>sexta-feira</v>
      </c>
      <c r="C77" s="13"/>
      <c r="D77" s="14">
        <f>SUMIF('ADV - GG'!A:A,A77,'ADV - GG'!C:C)+SUMIF('ADV - FB'!A:A,$A77,'ADV - FB'!E:E)</f>
        <v>46.3</v>
      </c>
      <c r="E77" s="19"/>
      <c r="F77" s="15">
        <f t="shared" si="18"/>
        <v>0</v>
      </c>
      <c r="G77" s="14">
        <f t="shared" si="19"/>
        <v>7.716666667</v>
      </c>
      <c r="H77" s="16">
        <f t="shared" si="1"/>
        <v>0.5</v>
      </c>
      <c r="I77" s="14">
        <f t="shared" si="2"/>
        <v>15.43333333</v>
      </c>
      <c r="J77" s="17">
        <f>SUMIF('ADV - GG'!A:A,A77,'ADV - GG'!H:H)+SUMIF('ADV - FB'!A:A,$A77,'ADV - FB'!I:I)</f>
        <v>3</v>
      </c>
      <c r="K77" s="22">
        <f>SUMIF('ADV - GA4'!A:A,A77,'ADV - GA4'!C:C)</f>
        <v>6</v>
      </c>
      <c r="L77" s="19">
        <f t="shared" si="20"/>
        <v>0</v>
      </c>
      <c r="M77" s="20">
        <f t="shared" si="21"/>
        <v>0</v>
      </c>
      <c r="N77" s="14">
        <f t="shared" si="22"/>
        <v>0</v>
      </c>
      <c r="O77" s="15" t="str">
        <f>IFERROR(Planejador!$I$60,"")</f>
        <v/>
      </c>
      <c r="P77" s="14" t="str">
        <f>Planejador!$I$51</f>
        <v/>
      </c>
      <c r="Q77" s="16" t="str">
        <f>Planejador!$I$53</f>
        <v/>
      </c>
      <c r="R77" s="14" t="str">
        <f>iferror(Planejador!$I$57,"")</f>
        <v/>
      </c>
      <c r="S77" s="18">
        <f t="shared" si="23"/>
        <v>0</v>
      </c>
      <c r="T77" s="14" t="str">
        <f>Planejador!$I$52</f>
        <v/>
      </c>
      <c r="U77" s="4"/>
      <c r="V77" s="4"/>
      <c r="W77" s="4"/>
      <c r="X77" s="4"/>
      <c r="Y77" s="4"/>
      <c r="Z77" s="4"/>
      <c r="AA77" s="4"/>
      <c r="AB77" s="4"/>
    </row>
    <row r="78" ht="18.75" hidden="1" customHeight="1" outlineLevel="1">
      <c r="A78" s="12">
        <v>46095.0</v>
      </c>
      <c r="B78" s="13" t="str">
        <f t="shared" si="17"/>
        <v>sábado</v>
      </c>
      <c r="C78" s="13"/>
      <c r="D78" s="14">
        <f>SUMIF('ADV - GG'!A:A,A78,'ADV - GG'!C:C)+SUMIF('ADV - FB'!A:A,$A78,'ADV - FB'!E:E)</f>
        <v>130.54</v>
      </c>
      <c r="E78" s="19"/>
      <c r="F78" s="15">
        <f t="shared" si="18"/>
        <v>0</v>
      </c>
      <c r="G78" s="14">
        <f t="shared" si="19"/>
        <v>32.635</v>
      </c>
      <c r="H78" s="16">
        <f t="shared" si="1"/>
        <v>0.25</v>
      </c>
      <c r="I78" s="14">
        <f t="shared" si="2"/>
        <v>130.54</v>
      </c>
      <c r="J78" s="17">
        <f>SUMIF('ADV - GG'!A:A,A78,'ADV - GG'!H:H)+SUMIF('ADV - FB'!A:A,$A78,'ADV - FB'!I:I)</f>
        <v>1</v>
      </c>
      <c r="K78" s="22">
        <f>SUMIF('ADV - GA4'!A:A,A78,'ADV - GA4'!C:C)</f>
        <v>4</v>
      </c>
      <c r="L78" s="19">
        <f t="shared" si="20"/>
        <v>0</v>
      </c>
      <c r="M78" s="20">
        <f t="shared" si="21"/>
        <v>0</v>
      </c>
      <c r="N78" s="14">
        <f t="shared" si="22"/>
        <v>0</v>
      </c>
      <c r="O78" s="15" t="str">
        <f>IFERROR(Planejador!$I$60,"")</f>
        <v/>
      </c>
      <c r="P78" s="14" t="str">
        <f>Planejador!$I$51</f>
        <v/>
      </c>
      <c r="Q78" s="16" t="str">
        <f>Planejador!$I$53</f>
        <v/>
      </c>
      <c r="R78" s="14" t="str">
        <f>iferror(Planejador!$I$57,"")</f>
        <v/>
      </c>
      <c r="S78" s="18">
        <f t="shared" si="23"/>
        <v>0</v>
      </c>
      <c r="T78" s="14" t="str">
        <f>Planejador!$I$52</f>
        <v/>
      </c>
      <c r="U78" s="4"/>
      <c r="V78" s="4"/>
      <c r="W78" s="4"/>
      <c r="X78" s="4"/>
      <c r="Y78" s="4"/>
      <c r="Z78" s="4"/>
      <c r="AA78" s="4"/>
      <c r="AB78" s="4"/>
    </row>
    <row r="79" ht="18.75" hidden="1" customHeight="1" outlineLevel="1">
      <c r="A79" s="12">
        <v>46096.0</v>
      </c>
      <c r="B79" s="13" t="str">
        <f t="shared" si="17"/>
        <v>domingo</v>
      </c>
      <c r="C79" s="13"/>
      <c r="D79" s="14">
        <f>SUMIF('ADV - GG'!A:A,A79,'ADV - GG'!C:C)+SUMIF('ADV - FB'!A:A,$A79,'ADV - FB'!E:E)</f>
        <v>108.65</v>
      </c>
      <c r="E79" s="19"/>
      <c r="F79" s="15">
        <f t="shared" si="18"/>
        <v>0</v>
      </c>
      <c r="G79" s="14">
        <f t="shared" si="19"/>
        <v>54.325</v>
      </c>
      <c r="H79" s="16">
        <f t="shared" si="1"/>
        <v>3</v>
      </c>
      <c r="I79" s="14">
        <f t="shared" si="2"/>
        <v>18.10833333</v>
      </c>
      <c r="J79" s="17">
        <f>SUMIF('ADV - GG'!A:A,A79,'ADV - GG'!H:H)+SUMIF('ADV - FB'!A:A,$A79,'ADV - FB'!I:I)</f>
        <v>6</v>
      </c>
      <c r="K79" s="22">
        <f>SUMIF('ADV - GA4'!A:A,A79,'ADV - GA4'!C:C)</f>
        <v>2</v>
      </c>
      <c r="L79" s="19">
        <f t="shared" si="20"/>
        <v>0</v>
      </c>
      <c r="M79" s="20">
        <f t="shared" si="21"/>
        <v>0</v>
      </c>
      <c r="N79" s="14">
        <f t="shared" si="22"/>
        <v>0</v>
      </c>
      <c r="O79" s="15" t="str">
        <f>IFERROR(Planejador!$I$60,"")</f>
        <v/>
      </c>
      <c r="P79" s="14" t="str">
        <f>Planejador!$I$51</f>
        <v/>
      </c>
      <c r="Q79" s="16" t="str">
        <f>Planejador!$I$53</f>
        <v/>
      </c>
      <c r="R79" s="14" t="str">
        <f>iferror(Planejador!$I$57,"")</f>
        <v/>
      </c>
      <c r="S79" s="18">
        <f t="shared" si="23"/>
        <v>0</v>
      </c>
      <c r="T79" s="14" t="str">
        <f>Planejador!$I$52</f>
        <v/>
      </c>
      <c r="U79" s="4"/>
      <c r="V79" s="4"/>
      <c r="W79" s="4"/>
      <c r="X79" s="4"/>
      <c r="Y79" s="4"/>
      <c r="Z79" s="4"/>
      <c r="AA79" s="4"/>
      <c r="AB79" s="4"/>
    </row>
    <row r="80" ht="18.75" hidden="1" customHeight="1" outlineLevel="1">
      <c r="A80" s="12">
        <v>46097.0</v>
      </c>
      <c r="B80" s="13" t="str">
        <f t="shared" si="17"/>
        <v>segunda-feira</v>
      </c>
      <c r="C80" s="13"/>
      <c r="D80" s="14">
        <f>SUMIF('ADV - GG'!A:A,A80,'ADV - GG'!C:C)+SUMIF('ADV - FB'!A:A,$A80,'ADV - FB'!E:E)</f>
        <v>86.94</v>
      </c>
      <c r="E80" s="19"/>
      <c r="F80" s="15">
        <f t="shared" si="18"/>
        <v>0</v>
      </c>
      <c r="G80" s="14">
        <f t="shared" si="19"/>
        <v>86.94</v>
      </c>
      <c r="H80" s="16">
        <f t="shared" si="1"/>
        <v>6</v>
      </c>
      <c r="I80" s="14">
        <f t="shared" si="2"/>
        <v>14.49</v>
      </c>
      <c r="J80" s="17">
        <f>SUMIF('ADV - GG'!A:A,A80,'ADV - GG'!H:H)+SUMIF('ADV - FB'!A:A,$A80,'ADV - FB'!I:I)</f>
        <v>6</v>
      </c>
      <c r="K80" s="22">
        <f>SUMIF('ADV - GA4'!A:A,A80,'ADV - GA4'!C:C)</f>
        <v>1</v>
      </c>
      <c r="L80" s="19">
        <f t="shared" si="20"/>
        <v>0</v>
      </c>
      <c r="M80" s="20">
        <f t="shared" si="21"/>
        <v>0</v>
      </c>
      <c r="N80" s="14">
        <f t="shared" si="22"/>
        <v>0</v>
      </c>
      <c r="O80" s="15" t="str">
        <f>IFERROR(Planejador!$I$60,"")</f>
        <v/>
      </c>
      <c r="P80" s="14" t="str">
        <f>Planejador!$I$51</f>
        <v/>
      </c>
      <c r="Q80" s="16" t="str">
        <f>Planejador!$I$53</f>
        <v/>
      </c>
      <c r="R80" s="14" t="str">
        <f>iferror(Planejador!$I$57,"")</f>
        <v/>
      </c>
      <c r="S80" s="18">
        <f t="shared" si="23"/>
        <v>0</v>
      </c>
      <c r="T80" s="14" t="str">
        <f>Planejador!$I$52</f>
        <v/>
      </c>
      <c r="U80" s="4"/>
      <c r="V80" s="4"/>
      <c r="W80" s="4"/>
      <c r="X80" s="4"/>
      <c r="Y80" s="4"/>
      <c r="Z80" s="4"/>
      <c r="AA80" s="4"/>
      <c r="AB80" s="4"/>
    </row>
    <row r="81" ht="18.75" hidden="1" customHeight="1" outlineLevel="1">
      <c r="A81" s="12">
        <v>46098.0</v>
      </c>
      <c r="B81" s="13" t="str">
        <f t="shared" si="17"/>
        <v>terça-feira</v>
      </c>
      <c r="C81" s="13"/>
      <c r="D81" s="14">
        <f>SUMIF('ADV - GG'!A:A,A81,'ADV - GG'!C:C)+SUMIF('ADV - FB'!A:A,$A81,'ADV - FB'!E:E)</f>
        <v>67.96</v>
      </c>
      <c r="E81" s="19"/>
      <c r="F81" s="15">
        <f t="shared" si="18"/>
        <v>0</v>
      </c>
      <c r="G81" s="14">
        <f t="shared" si="19"/>
        <v>13.592</v>
      </c>
      <c r="H81" s="16">
        <f t="shared" si="1"/>
        <v>0.8</v>
      </c>
      <c r="I81" s="14">
        <f t="shared" si="2"/>
        <v>16.99</v>
      </c>
      <c r="J81" s="17">
        <f>SUMIF('ADV - GG'!A:A,A81,'ADV - GG'!H:H)+SUMIF('ADV - FB'!A:A,$A81,'ADV - FB'!I:I)</f>
        <v>4</v>
      </c>
      <c r="K81" s="22">
        <f>SUMIF('ADV - GA4'!A:A,A81,'ADV - GA4'!C:C)</f>
        <v>5</v>
      </c>
      <c r="L81" s="19">
        <f t="shared" si="20"/>
        <v>0</v>
      </c>
      <c r="M81" s="20">
        <f t="shared" si="21"/>
        <v>0</v>
      </c>
      <c r="N81" s="14">
        <f t="shared" si="22"/>
        <v>0</v>
      </c>
      <c r="O81" s="15" t="str">
        <f>IFERROR(Planejador!$I$60,"")</f>
        <v/>
      </c>
      <c r="P81" s="14" t="str">
        <f>Planejador!$I$51</f>
        <v/>
      </c>
      <c r="Q81" s="16" t="str">
        <f>Planejador!$I$53</f>
        <v/>
      </c>
      <c r="R81" s="14" t="str">
        <f>iferror(Planejador!$I$57,"")</f>
        <v/>
      </c>
      <c r="S81" s="18">
        <f t="shared" si="23"/>
        <v>0</v>
      </c>
      <c r="T81" s="14" t="str">
        <f>Planejador!$I$52</f>
        <v/>
      </c>
      <c r="U81" s="4"/>
      <c r="V81" s="4"/>
      <c r="W81" s="4"/>
      <c r="X81" s="4"/>
      <c r="Y81" s="4"/>
      <c r="Z81" s="4"/>
      <c r="AA81" s="4"/>
      <c r="AB81" s="4"/>
    </row>
    <row r="82" ht="18.75" hidden="1" customHeight="1" outlineLevel="1">
      <c r="A82" s="12">
        <v>46099.0</v>
      </c>
      <c r="B82" s="13" t="str">
        <f t="shared" si="17"/>
        <v>quarta-feira</v>
      </c>
      <c r="C82" s="13"/>
      <c r="D82" s="14">
        <f>SUMIF('ADV - GG'!A:A,A82,'ADV - GG'!C:C)+SUMIF('ADV - FB'!A:A,$A82,'ADV - FB'!E:E)</f>
        <v>73.34</v>
      </c>
      <c r="E82" s="19"/>
      <c r="F82" s="15">
        <f t="shared" si="18"/>
        <v>0</v>
      </c>
      <c r="G82" s="14">
        <f t="shared" si="19"/>
        <v>14.668</v>
      </c>
      <c r="H82" s="16">
        <f t="shared" si="1"/>
        <v>0.8</v>
      </c>
      <c r="I82" s="14">
        <f t="shared" si="2"/>
        <v>18.335</v>
      </c>
      <c r="J82" s="17">
        <f>SUMIF('ADV - GG'!A:A,A82,'ADV - GG'!H:H)+SUMIF('ADV - FB'!A:A,$A82,'ADV - FB'!I:I)</f>
        <v>4</v>
      </c>
      <c r="K82" s="22">
        <f>SUMIF('ADV - GA4'!A:A,A82,'ADV - GA4'!C:C)</f>
        <v>5</v>
      </c>
      <c r="L82" s="19">
        <f t="shared" si="20"/>
        <v>0</v>
      </c>
      <c r="M82" s="20">
        <f t="shared" si="21"/>
        <v>0</v>
      </c>
      <c r="N82" s="14">
        <f t="shared" si="22"/>
        <v>0</v>
      </c>
      <c r="O82" s="15" t="str">
        <f>IFERROR(Planejador!$I$60,"")</f>
        <v/>
      </c>
      <c r="P82" s="14" t="str">
        <f>Planejador!$I$51</f>
        <v/>
      </c>
      <c r="Q82" s="16" t="str">
        <f>Planejador!$I$53</f>
        <v/>
      </c>
      <c r="R82" s="14" t="str">
        <f>iferror(Planejador!$I$57,"")</f>
        <v/>
      </c>
      <c r="S82" s="18">
        <f t="shared" si="23"/>
        <v>0</v>
      </c>
      <c r="T82" s="14" t="str">
        <f>Planejador!$I$52</f>
        <v/>
      </c>
      <c r="U82" s="4"/>
      <c r="V82" s="4"/>
      <c r="W82" s="4"/>
      <c r="X82" s="4"/>
      <c r="Y82" s="4"/>
      <c r="Z82" s="4"/>
      <c r="AA82" s="4"/>
      <c r="AB82" s="4"/>
    </row>
    <row r="83" ht="18.75" hidden="1" customHeight="1" outlineLevel="1">
      <c r="A83" s="12">
        <v>46100.0</v>
      </c>
      <c r="B83" s="13" t="str">
        <f t="shared" si="17"/>
        <v>quinta-feira</v>
      </c>
      <c r="C83" s="13"/>
      <c r="D83" s="14">
        <f>SUMIF('ADV - GG'!A:A,A83,'ADV - GG'!C:C)+SUMIF('ADV - FB'!A:A,$A83,'ADV - FB'!E:E)</f>
        <v>73.52</v>
      </c>
      <c r="E83" s="19"/>
      <c r="F83" s="15">
        <f t="shared" si="18"/>
        <v>0</v>
      </c>
      <c r="G83" s="14">
        <f t="shared" si="19"/>
        <v>36.76</v>
      </c>
      <c r="H83" s="16">
        <f t="shared" si="1"/>
        <v>0.5</v>
      </c>
      <c r="I83" s="14">
        <f t="shared" si="2"/>
        <v>73.52</v>
      </c>
      <c r="J83" s="17">
        <f>SUMIF('ADV - GG'!A:A,A83,'ADV - GG'!H:H)+SUMIF('ADV - FB'!A:A,$A83,'ADV - FB'!I:I)</f>
        <v>1</v>
      </c>
      <c r="K83" s="22">
        <f>SUMIF('ADV - GA4'!A:A,A83,'ADV - GA4'!C:C)</f>
        <v>2</v>
      </c>
      <c r="L83" s="19">
        <f t="shared" si="20"/>
        <v>0</v>
      </c>
      <c r="M83" s="20">
        <f t="shared" si="21"/>
        <v>0</v>
      </c>
      <c r="N83" s="14">
        <f t="shared" si="22"/>
        <v>0</v>
      </c>
      <c r="O83" s="15" t="str">
        <f>IFERROR(Planejador!$I$60,"")</f>
        <v/>
      </c>
      <c r="P83" s="14" t="str">
        <f>Planejador!$I$51</f>
        <v/>
      </c>
      <c r="Q83" s="16" t="str">
        <f>Planejador!$I$53</f>
        <v/>
      </c>
      <c r="R83" s="14" t="str">
        <f>iferror(Planejador!$I$57,"")</f>
        <v/>
      </c>
      <c r="S83" s="18">
        <f t="shared" si="23"/>
        <v>0</v>
      </c>
      <c r="T83" s="14" t="str">
        <f>Planejador!$I$52</f>
        <v/>
      </c>
      <c r="U83" s="4"/>
      <c r="V83" s="4"/>
      <c r="W83" s="4"/>
      <c r="X83" s="4"/>
      <c r="Y83" s="4"/>
      <c r="Z83" s="4"/>
      <c r="AA83" s="4"/>
      <c r="AB83" s="4"/>
    </row>
    <row r="84" ht="18.75" hidden="1" customHeight="1" outlineLevel="1">
      <c r="A84" s="12">
        <v>46101.0</v>
      </c>
      <c r="B84" s="13" t="str">
        <f t="shared" si="17"/>
        <v>sexta-feira</v>
      </c>
      <c r="C84" s="13"/>
      <c r="D84" s="14">
        <f>SUMIF('ADV - GG'!A:A,A84,'ADV - GG'!C:C)+SUMIF('ADV - FB'!A:A,$A84,'ADV - FB'!E:E)</f>
        <v>67.01</v>
      </c>
      <c r="E84" s="19"/>
      <c r="F84" s="15">
        <f t="shared" si="18"/>
        <v>0</v>
      </c>
      <c r="G84" s="14">
        <f t="shared" si="19"/>
        <v>22.33666667</v>
      </c>
      <c r="H84" s="16">
        <f t="shared" si="1"/>
        <v>0</v>
      </c>
      <c r="I84" s="14" t="str">
        <f t="shared" si="2"/>
        <v/>
      </c>
      <c r="J84" s="17">
        <f>SUMIF('ADV - GG'!A:A,A84,'ADV - GG'!H:H)+SUMIF('ADV - FB'!A:A,$A84,'ADV - FB'!I:I)</f>
        <v>0</v>
      </c>
      <c r="K84" s="22">
        <f>SUMIF('ADV - GA4'!A:A,A84,'ADV - GA4'!C:C)</f>
        <v>3</v>
      </c>
      <c r="L84" s="19" t="str">
        <f t="shared" si="20"/>
        <v/>
      </c>
      <c r="M84" s="20">
        <f t="shared" si="21"/>
        <v>0</v>
      </c>
      <c r="N84" s="14">
        <f t="shared" si="22"/>
        <v>0</v>
      </c>
      <c r="O84" s="15" t="str">
        <f>IFERROR(Planejador!$I$60,"")</f>
        <v/>
      </c>
      <c r="P84" s="14" t="str">
        <f>Planejador!$I$51</f>
        <v/>
      </c>
      <c r="Q84" s="16" t="str">
        <f>Planejador!$I$53</f>
        <v/>
      </c>
      <c r="R84" s="14" t="str">
        <f>iferror(Planejador!$I$57,"")</f>
        <v/>
      </c>
      <c r="S84" s="18">
        <f t="shared" si="23"/>
        <v>0</v>
      </c>
      <c r="T84" s="14" t="str">
        <f>Planejador!$I$52</f>
        <v/>
      </c>
      <c r="U84" s="4"/>
      <c r="V84" s="4"/>
      <c r="W84" s="4"/>
      <c r="X84" s="4"/>
      <c r="Y84" s="4"/>
      <c r="Z84" s="4"/>
      <c r="AA84" s="4"/>
      <c r="AB84" s="4"/>
    </row>
    <row r="85" ht="18.75" hidden="1" customHeight="1" outlineLevel="1">
      <c r="A85" s="12">
        <v>46102.0</v>
      </c>
      <c r="B85" s="13" t="str">
        <f t="shared" si="17"/>
        <v>sábado</v>
      </c>
      <c r="C85" s="13"/>
      <c r="D85" s="14">
        <f>SUMIF('ADV - GG'!A:A,A85,'ADV - GG'!C:C)+SUMIF('ADV - FB'!A:A,$A85,'ADV - FB'!E:E)</f>
        <v>58.04</v>
      </c>
      <c r="E85" s="19"/>
      <c r="F85" s="15">
        <f t="shared" si="18"/>
        <v>0</v>
      </c>
      <c r="G85" s="14">
        <f t="shared" si="19"/>
        <v>7.255</v>
      </c>
      <c r="H85" s="16">
        <f t="shared" si="1"/>
        <v>0.125</v>
      </c>
      <c r="I85" s="14">
        <f t="shared" si="2"/>
        <v>58.04</v>
      </c>
      <c r="J85" s="17">
        <f>SUMIF('ADV - GG'!A:A,A85,'ADV - GG'!H:H)+SUMIF('ADV - FB'!A:A,$A85,'ADV - FB'!I:I)</f>
        <v>1</v>
      </c>
      <c r="K85" s="22">
        <f>SUMIF('ADV - GA4'!A:A,A85,'ADV - GA4'!C:C)</f>
        <v>8</v>
      </c>
      <c r="L85" s="19">
        <f t="shared" si="20"/>
        <v>0</v>
      </c>
      <c r="M85" s="20">
        <f t="shared" si="21"/>
        <v>0</v>
      </c>
      <c r="N85" s="14">
        <f t="shared" si="22"/>
        <v>0</v>
      </c>
      <c r="O85" s="15" t="str">
        <f>IFERROR(Planejador!$I$60,"")</f>
        <v/>
      </c>
      <c r="P85" s="14" t="str">
        <f>Planejador!$I$51</f>
        <v/>
      </c>
      <c r="Q85" s="16" t="str">
        <f>Planejador!$I$53</f>
        <v/>
      </c>
      <c r="R85" s="14" t="str">
        <f>iferror(Planejador!$I$57,"")</f>
        <v/>
      </c>
      <c r="S85" s="18">
        <f t="shared" si="23"/>
        <v>0</v>
      </c>
      <c r="T85" s="14" t="str">
        <f>Planejador!$I$52</f>
        <v/>
      </c>
      <c r="U85" s="4"/>
      <c r="V85" s="4"/>
      <c r="W85" s="4"/>
      <c r="X85" s="4"/>
      <c r="Y85" s="4"/>
      <c r="Z85" s="4"/>
      <c r="AA85" s="4"/>
      <c r="AB85" s="4"/>
    </row>
    <row r="86" ht="18.75" hidden="1" customHeight="1" outlineLevel="1">
      <c r="A86" s="12">
        <v>46103.0</v>
      </c>
      <c r="B86" s="13" t="str">
        <f t="shared" si="17"/>
        <v>domingo</v>
      </c>
      <c r="C86" s="13"/>
      <c r="D86" s="14">
        <f>SUMIF('ADV - GG'!A:A,A86,'ADV - GG'!C:C)+SUMIF('ADV - FB'!A:A,$A86,'ADV - FB'!E:E)</f>
        <v>70.23</v>
      </c>
      <c r="E86" s="19"/>
      <c r="F86" s="15">
        <f t="shared" si="18"/>
        <v>0</v>
      </c>
      <c r="G86" s="14">
        <f t="shared" si="19"/>
        <v>23.41</v>
      </c>
      <c r="H86" s="16">
        <f t="shared" si="1"/>
        <v>0.3333333333</v>
      </c>
      <c r="I86" s="14">
        <f t="shared" si="2"/>
        <v>70.23</v>
      </c>
      <c r="J86" s="17">
        <f>SUMIF('ADV - GG'!A:A,A86,'ADV - GG'!H:H)+SUMIF('ADV - FB'!A:A,$A86,'ADV - FB'!I:I)</f>
        <v>1</v>
      </c>
      <c r="K86" s="22">
        <f>SUMIF('ADV - GA4'!A:A,A86,'ADV - GA4'!C:C)</f>
        <v>3</v>
      </c>
      <c r="L86" s="19">
        <f t="shared" si="20"/>
        <v>0</v>
      </c>
      <c r="M86" s="20">
        <f t="shared" si="21"/>
        <v>0</v>
      </c>
      <c r="N86" s="14">
        <f t="shared" si="22"/>
        <v>0</v>
      </c>
      <c r="O86" s="15" t="str">
        <f>IFERROR(Planejador!$I$60,"")</f>
        <v/>
      </c>
      <c r="P86" s="14" t="str">
        <f>Planejador!$I$51</f>
        <v/>
      </c>
      <c r="Q86" s="16" t="str">
        <f>Planejador!$I$53</f>
        <v/>
      </c>
      <c r="R86" s="14" t="str">
        <f>iferror(Planejador!$I$57,"")</f>
        <v/>
      </c>
      <c r="S86" s="18">
        <f t="shared" si="23"/>
        <v>0</v>
      </c>
      <c r="T86" s="14" t="str">
        <f>Planejador!$I$52</f>
        <v/>
      </c>
      <c r="U86" s="4"/>
      <c r="V86" s="4"/>
      <c r="W86" s="4"/>
      <c r="X86" s="4"/>
      <c r="Y86" s="4"/>
      <c r="Z86" s="4"/>
      <c r="AA86" s="4"/>
      <c r="AB86" s="4"/>
    </row>
    <row r="87" ht="18.75" hidden="1" customHeight="1" outlineLevel="1">
      <c r="A87" s="12">
        <v>46104.0</v>
      </c>
      <c r="B87" s="13" t="str">
        <f t="shared" si="17"/>
        <v>segunda-feira</v>
      </c>
      <c r="C87" s="13"/>
      <c r="D87" s="14">
        <f>SUMIF('ADV - GG'!A:A,A87,'ADV - GG'!C:C)+SUMIF('ADV - FB'!A:A,$A87,'ADV - FB'!E:E)</f>
        <v>54.36</v>
      </c>
      <c r="E87" s="19"/>
      <c r="F87" s="15">
        <f t="shared" si="18"/>
        <v>0</v>
      </c>
      <c r="G87" s="14">
        <f t="shared" si="19"/>
        <v>9.06</v>
      </c>
      <c r="H87" s="16">
        <f t="shared" si="1"/>
        <v>0.1666666667</v>
      </c>
      <c r="I87" s="14">
        <f t="shared" si="2"/>
        <v>54.36</v>
      </c>
      <c r="J87" s="17">
        <f>SUMIF('ADV - GG'!A:A,A87,'ADV - GG'!H:H)+SUMIF('ADV - FB'!A:A,$A87,'ADV - FB'!I:I)</f>
        <v>1</v>
      </c>
      <c r="K87" s="22">
        <f>SUMIF('ADV - GA4'!A:A,A87,'ADV - GA4'!C:C)</f>
        <v>6</v>
      </c>
      <c r="L87" s="19">
        <f t="shared" si="20"/>
        <v>0</v>
      </c>
      <c r="M87" s="20">
        <f t="shared" si="21"/>
        <v>0</v>
      </c>
      <c r="N87" s="14">
        <f t="shared" si="22"/>
        <v>0</v>
      </c>
      <c r="O87" s="15" t="str">
        <f>IFERROR(Planejador!$I$60,"")</f>
        <v/>
      </c>
      <c r="P87" s="14" t="str">
        <f>Planejador!$I$51</f>
        <v/>
      </c>
      <c r="Q87" s="16" t="str">
        <f>Planejador!$I$53</f>
        <v/>
      </c>
      <c r="R87" s="14" t="str">
        <f>iferror(Planejador!$I$57,"")</f>
        <v/>
      </c>
      <c r="S87" s="18">
        <f t="shared" si="23"/>
        <v>0</v>
      </c>
      <c r="T87" s="14" t="str">
        <f>Planejador!$I$52</f>
        <v/>
      </c>
      <c r="U87" s="4"/>
      <c r="V87" s="4"/>
      <c r="W87" s="4"/>
      <c r="X87" s="4"/>
      <c r="Y87" s="4"/>
      <c r="Z87" s="4"/>
      <c r="AA87" s="4"/>
      <c r="AB87" s="4"/>
    </row>
    <row r="88" ht="18.75" hidden="1" customHeight="1" outlineLevel="1">
      <c r="A88" s="12">
        <v>46105.0</v>
      </c>
      <c r="B88" s="13" t="str">
        <f t="shared" si="17"/>
        <v>terça-feira</v>
      </c>
      <c r="C88" s="13"/>
      <c r="D88" s="14">
        <f>SUMIF('ADV - GG'!A:A,A88,'ADV - GG'!C:C)+SUMIF('ADV - FB'!A:A,$A88,'ADV - FB'!E:E)</f>
        <v>74.7</v>
      </c>
      <c r="E88" s="19"/>
      <c r="F88" s="15">
        <f t="shared" si="18"/>
        <v>0</v>
      </c>
      <c r="G88" s="14">
        <f t="shared" si="19"/>
        <v>14.94</v>
      </c>
      <c r="H88" s="16">
        <f t="shared" si="1"/>
        <v>0.4</v>
      </c>
      <c r="I88" s="14">
        <f t="shared" si="2"/>
        <v>37.35</v>
      </c>
      <c r="J88" s="17">
        <f>SUMIF('ADV - GG'!A:A,A88,'ADV - GG'!H:H)+SUMIF('ADV - FB'!A:A,$A88,'ADV - FB'!I:I)</f>
        <v>2</v>
      </c>
      <c r="K88" s="22">
        <f>SUMIF('ADV - GA4'!A:A,A88,'ADV - GA4'!C:C)</f>
        <v>5</v>
      </c>
      <c r="L88" s="19">
        <f t="shared" si="20"/>
        <v>0</v>
      </c>
      <c r="M88" s="20">
        <f t="shared" si="21"/>
        <v>0</v>
      </c>
      <c r="N88" s="14">
        <f t="shared" si="22"/>
        <v>0</v>
      </c>
      <c r="O88" s="15" t="str">
        <f>IFERROR(Planejador!$I$60,"")</f>
        <v/>
      </c>
      <c r="P88" s="14" t="str">
        <f>Planejador!$I$51</f>
        <v/>
      </c>
      <c r="Q88" s="16" t="str">
        <f>Planejador!$I$53</f>
        <v/>
      </c>
      <c r="R88" s="14" t="str">
        <f>iferror(Planejador!$I$57,"")</f>
        <v/>
      </c>
      <c r="S88" s="18">
        <f t="shared" si="23"/>
        <v>0</v>
      </c>
      <c r="T88" s="14" t="str">
        <f>Planejador!$I$52</f>
        <v/>
      </c>
      <c r="U88" s="4"/>
      <c r="V88" s="4"/>
      <c r="W88" s="4"/>
      <c r="X88" s="4"/>
      <c r="Y88" s="4"/>
      <c r="Z88" s="4"/>
      <c r="AA88" s="4"/>
      <c r="AB88" s="4"/>
    </row>
    <row r="89" ht="18.75" hidden="1" customHeight="1" outlineLevel="1">
      <c r="A89" s="12">
        <v>46106.0</v>
      </c>
      <c r="B89" s="13" t="str">
        <f t="shared" si="17"/>
        <v>quarta-feira</v>
      </c>
      <c r="C89" s="13"/>
      <c r="D89" s="14">
        <f>SUMIF('ADV - GG'!A:A,A89,'ADV - GG'!C:C)+SUMIF('ADV - FB'!A:A,$A89,'ADV - FB'!E:E)</f>
        <v>66.77</v>
      </c>
      <c r="E89" s="19"/>
      <c r="F89" s="15">
        <f t="shared" si="18"/>
        <v>0</v>
      </c>
      <c r="G89" s="14">
        <f t="shared" si="19"/>
        <v>8.34625</v>
      </c>
      <c r="H89" s="16">
        <f t="shared" si="1"/>
        <v>0.375</v>
      </c>
      <c r="I89" s="14">
        <f t="shared" si="2"/>
        <v>22.25666667</v>
      </c>
      <c r="J89" s="17">
        <f>SUMIF('ADV - GG'!A:A,A89,'ADV - GG'!H:H)+SUMIF('ADV - FB'!A:A,$A89,'ADV - FB'!I:I)</f>
        <v>3</v>
      </c>
      <c r="K89" s="22">
        <f>SUMIF('ADV - GA4'!A:A,A89,'ADV - GA4'!C:C)</f>
        <v>8</v>
      </c>
      <c r="L89" s="19">
        <f t="shared" si="20"/>
        <v>0</v>
      </c>
      <c r="M89" s="20">
        <f t="shared" si="21"/>
        <v>0</v>
      </c>
      <c r="N89" s="14">
        <f t="shared" si="22"/>
        <v>0</v>
      </c>
      <c r="O89" s="15" t="str">
        <f>IFERROR(Planejador!$I$60,"")</f>
        <v/>
      </c>
      <c r="P89" s="14" t="str">
        <f>Planejador!$I$51</f>
        <v/>
      </c>
      <c r="Q89" s="16" t="str">
        <f>Planejador!$I$53</f>
        <v/>
      </c>
      <c r="R89" s="14" t="str">
        <f>iferror(Planejador!$I$57,"")</f>
        <v/>
      </c>
      <c r="S89" s="18">
        <f t="shared" si="23"/>
        <v>0</v>
      </c>
      <c r="T89" s="14" t="str">
        <f>Planejador!$I$52</f>
        <v/>
      </c>
      <c r="U89" s="4"/>
      <c r="V89" s="4"/>
      <c r="W89" s="4"/>
      <c r="X89" s="4"/>
      <c r="Y89" s="4"/>
      <c r="Z89" s="4"/>
      <c r="AA89" s="4"/>
      <c r="AB89" s="4"/>
    </row>
    <row r="90" ht="18.75" hidden="1" customHeight="1" outlineLevel="1">
      <c r="A90" s="12">
        <v>46107.0</v>
      </c>
      <c r="B90" s="13" t="str">
        <f t="shared" si="17"/>
        <v>quinta-feira</v>
      </c>
      <c r="C90" s="13"/>
      <c r="D90" s="14">
        <f>SUMIF('ADV - GG'!A:A,A90,'ADV - GG'!C:C)+SUMIF('ADV - FB'!A:A,$A90,'ADV - FB'!E:E)</f>
        <v>66.28</v>
      </c>
      <c r="E90" s="19"/>
      <c r="F90" s="15">
        <f t="shared" si="18"/>
        <v>0</v>
      </c>
      <c r="G90" s="14">
        <f t="shared" si="19"/>
        <v>8.285</v>
      </c>
      <c r="H90" s="16">
        <f t="shared" si="1"/>
        <v>0.375</v>
      </c>
      <c r="I90" s="14">
        <f t="shared" si="2"/>
        <v>22.09333333</v>
      </c>
      <c r="J90" s="17">
        <f>SUMIF('ADV - GG'!A:A,A90,'ADV - GG'!H:H)+SUMIF('ADV - FB'!A:A,$A90,'ADV - FB'!I:I)</f>
        <v>3</v>
      </c>
      <c r="K90" s="22">
        <f>SUMIF('ADV - GA4'!A:A,A90,'ADV - GA4'!C:C)</f>
        <v>8</v>
      </c>
      <c r="L90" s="19">
        <f t="shared" si="20"/>
        <v>0</v>
      </c>
      <c r="M90" s="20">
        <f t="shared" si="21"/>
        <v>0</v>
      </c>
      <c r="N90" s="14">
        <f t="shared" si="22"/>
        <v>0</v>
      </c>
      <c r="O90" s="15" t="str">
        <f>IFERROR(Planejador!$I$60,"")</f>
        <v/>
      </c>
      <c r="P90" s="14" t="str">
        <f>Planejador!$I$51</f>
        <v/>
      </c>
      <c r="Q90" s="16" t="str">
        <f>Planejador!$I$53</f>
        <v/>
      </c>
      <c r="R90" s="14" t="str">
        <f>iferror(Planejador!$I$57,"")</f>
        <v/>
      </c>
      <c r="S90" s="18">
        <f t="shared" si="23"/>
        <v>0</v>
      </c>
      <c r="T90" s="14" t="str">
        <f>Planejador!$I$52</f>
        <v/>
      </c>
      <c r="U90" s="4"/>
      <c r="V90" s="4"/>
      <c r="W90" s="4"/>
      <c r="X90" s="4"/>
      <c r="Y90" s="4"/>
      <c r="Z90" s="4"/>
      <c r="AA90" s="4"/>
      <c r="AB90" s="4"/>
    </row>
    <row r="91" ht="18.75" hidden="1" customHeight="1" outlineLevel="1">
      <c r="A91" s="12">
        <v>46108.0</v>
      </c>
      <c r="B91" s="13" t="str">
        <f t="shared" si="17"/>
        <v>sexta-feira</v>
      </c>
      <c r="C91" s="13"/>
      <c r="D91" s="14">
        <f>SUMIF('ADV - GG'!A:A,A91,'ADV - GG'!C:C)+SUMIF('ADV - FB'!A:A,$A91,'ADV - FB'!E:E)</f>
        <v>62.33</v>
      </c>
      <c r="E91" s="19"/>
      <c r="F91" s="15">
        <f t="shared" si="18"/>
        <v>0</v>
      </c>
      <c r="G91" s="14">
        <f t="shared" si="19"/>
        <v>12.466</v>
      </c>
      <c r="H91" s="16">
        <f t="shared" si="1"/>
        <v>0.4</v>
      </c>
      <c r="I91" s="14">
        <f t="shared" si="2"/>
        <v>31.165</v>
      </c>
      <c r="J91" s="17">
        <f>SUMIF('ADV - GG'!A:A,A91,'ADV - GG'!H:H)+SUMIF('ADV - FB'!A:A,$A91,'ADV - FB'!I:I)</f>
        <v>2</v>
      </c>
      <c r="K91" s="22">
        <f>SUMIF('ADV - GA4'!A:A,A91,'ADV - GA4'!C:C)</f>
        <v>5</v>
      </c>
      <c r="L91" s="19">
        <f t="shared" si="20"/>
        <v>0</v>
      </c>
      <c r="M91" s="20">
        <f t="shared" si="21"/>
        <v>0</v>
      </c>
      <c r="N91" s="14">
        <f t="shared" si="22"/>
        <v>0</v>
      </c>
      <c r="O91" s="15" t="str">
        <f>IFERROR(Planejador!$I$60,"")</f>
        <v/>
      </c>
      <c r="P91" s="14" t="str">
        <f>Planejador!$I$51</f>
        <v/>
      </c>
      <c r="Q91" s="16" t="str">
        <f>Planejador!$I$53</f>
        <v/>
      </c>
      <c r="R91" s="14" t="str">
        <f>iferror(Planejador!$I$57,"")</f>
        <v/>
      </c>
      <c r="S91" s="18">
        <f t="shared" si="23"/>
        <v>0</v>
      </c>
      <c r="T91" s="14" t="str">
        <f>Planejador!$I$52</f>
        <v/>
      </c>
      <c r="U91" s="4"/>
      <c r="V91" s="4"/>
      <c r="W91" s="4"/>
      <c r="X91" s="4"/>
      <c r="Y91" s="4"/>
      <c r="Z91" s="4"/>
      <c r="AA91" s="4"/>
      <c r="AB91" s="4"/>
    </row>
    <row r="92" ht="18.75" hidden="1" customHeight="1" outlineLevel="1">
      <c r="A92" s="12">
        <v>46109.0</v>
      </c>
      <c r="B92" s="13" t="str">
        <f t="shared" si="17"/>
        <v>sábado</v>
      </c>
      <c r="C92" s="13"/>
      <c r="D92" s="14">
        <f>SUMIF('ADV - GG'!A:A,A92,'ADV - GG'!C:C)+SUMIF('ADV - FB'!A:A,$A92,'ADV - FB'!E:E)</f>
        <v>14.13</v>
      </c>
      <c r="E92" s="19"/>
      <c r="F92" s="15">
        <f t="shared" si="18"/>
        <v>0</v>
      </c>
      <c r="G92" s="14">
        <f t="shared" si="19"/>
        <v>2.826</v>
      </c>
      <c r="H92" s="16">
        <f t="shared" si="1"/>
        <v>0</v>
      </c>
      <c r="I92" s="14" t="str">
        <f t="shared" si="2"/>
        <v/>
      </c>
      <c r="J92" s="17">
        <f>SUMIF('ADV - GG'!A:A,A92,'ADV - GG'!H:H)+SUMIF('ADV - FB'!A:A,$A92,'ADV - FB'!I:I)</f>
        <v>0</v>
      </c>
      <c r="K92" s="22">
        <f>SUMIF('ADV - GA4'!A:A,A92,'ADV - GA4'!C:C)</f>
        <v>5</v>
      </c>
      <c r="L92" s="19" t="str">
        <f t="shared" si="20"/>
        <v/>
      </c>
      <c r="M92" s="20">
        <f t="shared" si="21"/>
        <v>0</v>
      </c>
      <c r="N92" s="14">
        <f t="shared" si="22"/>
        <v>0</v>
      </c>
      <c r="O92" s="15" t="str">
        <f>IFERROR(Planejador!$I$60,"")</f>
        <v/>
      </c>
      <c r="P92" s="14" t="str">
        <f>Planejador!$I$51</f>
        <v/>
      </c>
      <c r="Q92" s="16" t="str">
        <f>Planejador!$I$53</f>
        <v/>
      </c>
      <c r="R92" s="14" t="str">
        <f>iferror(Planejador!$I$57,"")</f>
        <v/>
      </c>
      <c r="S92" s="18">
        <f t="shared" si="23"/>
        <v>0</v>
      </c>
      <c r="T92" s="14" t="str">
        <f>Planejador!$I$52</f>
        <v/>
      </c>
      <c r="U92" s="4"/>
      <c r="V92" s="4"/>
      <c r="W92" s="4"/>
      <c r="X92" s="4"/>
      <c r="Y92" s="4"/>
      <c r="Z92" s="4"/>
      <c r="AA92" s="4"/>
      <c r="AB92" s="4"/>
    </row>
    <row r="93" ht="18.75" hidden="1" customHeight="1" outlineLevel="1">
      <c r="A93" s="12">
        <v>46110.0</v>
      </c>
      <c r="B93" s="13" t="str">
        <f t="shared" si="17"/>
        <v>domingo</v>
      </c>
      <c r="C93" s="13"/>
      <c r="D93" s="14">
        <f>SUMIF('ADV - GG'!A:A,A93,'ADV - GG'!C:C)+SUMIF('ADV - FB'!A:A,$A93,'ADV - FB'!E:E)</f>
        <v>0</v>
      </c>
      <c r="E93" s="19"/>
      <c r="F93" s="15" t="str">
        <f t="shared" si="18"/>
        <v/>
      </c>
      <c r="G93" s="14">
        <f t="shared" si="19"/>
        <v>0</v>
      </c>
      <c r="H93" s="16">
        <f t="shared" si="1"/>
        <v>0</v>
      </c>
      <c r="I93" s="14" t="str">
        <f t="shared" si="2"/>
        <v/>
      </c>
      <c r="J93" s="17">
        <f>SUMIF('ADV - GG'!A:A,A93,'ADV - GG'!H:H)+SUMIF('ADV - FB'!A:A,$A93,'ADV - FB'!I:I)</f>
        <v>0</v>
      </c>
      <c r="K93" s="22">
        <f>SUMIF('ADV - GA4'!A:A,A93,'ADV - GA4'!C:C)</f>
        <v>3</v>
      </c>
      <c r="L93" s="19" t="str">
        <f t="shared" si="20"/>
        <v/>
      </c>
      <c r="M93" s="20">
        <f t="shared" si="21"/>
        <v>0</v>
      </c>
      <c r="N93" s="14">
        <f t="shared" si="22"/>
        <v>0</v>
      </c>
      <c r="O93" s="15" t="str">
        <f>IFERROR(Planejador!$I$60,"")</f>
        <v/>
      </c>
      <c r="P93" s="14" t="str">
        <f>Planejador!$I$51</f>
        <v/>
      </c>
      <c r="Q93" s="16" t="str">
        <f>Planejador!$I$53</f>
        <v/>
      </c>
      <c r="R93" s="14" t="str">
        <f>iferror(Planejador!$I$57,"")</f>
        <v/>
      </c>
      <c r="S93" s="18">
        <f t="shared" si="23"/>
        <v>0</v>
      </c>
      <c r="T93" s="14" t="str">
        <f>Planejador!$I$52</f>
        <v/>
      </c>
      <c r="U93" s="4"/>
      <c r="V93" s="4"/>
      <c r="W93" s="4"/>
      <c r="X93" s="4"/>
      <c r="Y93" s="4"/>
      <c r="Z93" s="4"/>
      <c r="AA93" s="4"/>
      <c r="AB93" s="4"/>
    </row>
    <row r="94" ht="18.75" hidden="1" customHeight="1" outlineLevel="1">
      <c r="A94" s="12">
        <v>46111.0</v>
      </c>
      <c r="B94" s="13" t="str">
        <f t="shared" si="17"/>
        <v>segunda-feira</v>
      </c>
      <c r="C94" s="13"/>
      <c r="D94" s="14">
        <f>SUMIF('ADV - GG'!A:A,A94,'ADV - GG'!C:C)+SUMIF('ADV - FB'!A:A,$A94,'ADV - FB'!E:E)</f>
        <v>0</v>
      </c>
      <c r="E94" s="19"/>
      <c r="F94" s="15" t="str">
        <f t="shared" si="18"/>
        <v/>
      </c>
      <c r="G94" s="14">
        <f t="shared" si="19"/>
        <v>0</v>
      </c>
      <c r="H94" s="16">
        <f t="shared" si="1"/>
        <v>0</v>
      </c>
      <c r="I94" s="14" t="str">
        <f t="shared" si="2"/>
        <v/>
      </c>
      <c r="J94" s="17">
        <f>SUMIF('ADV - GG'!A:A,A94,'ADV - GG'!H:H)+SUMIF('ADV - FB'!A:A,$A94,'ADV - FB'!I:I)</f>
        <v>0</v>
      </c>
      <c r="K94" s="22">
        <f>SUMIF('ADV - GA4'!A:A,A94,'ADV - GA4'!C:C)</f>
        <v>6</v>
      </c>
      <c r="L94" s="19" t="str">
        <f t="shared" si="20"/>
        <v/>
      </c>
      <c r="M94" s="20">
        <f t="shared" si="21"/>
        <v>0</v>
      </c>
      <c r="N94" s="14">
        <f t="shared" si="22"/>
        <v>0</v>
      </c>
      <c r="O94" s="15" t="str">
        <f>IFERROR(Planejador!$I$60,"")</f>
        <v/>
      </c>
      <c r="P94" s="14" t="str">
        <f>Planejador!$I$51</f>
        <v/>
      </c>
      <c r="Q94" s="16" t="str">
        <f>Planejador!$I$53</f>
        <v/>
      </c>
      <c r="R94" s="14" t="str">
        <f>iferror(Planejador!$I$57,"")</f>
        <v/>
      </c>
      <c r="S94" s="18">
        <f t="shared" si="23"/>
        <v>0</v>
      </c>
      <c r="T94" s="14" t="str">
        <f>Planejador!$I$52</f>
        <v/>
      </c>
      <c r="U94" s="4"/>
      <c r="V94" s="4"/>
      <c r="W94" s="4"/>
      <c r="X94" s="4"/>
      <c r="Y94" s="4"/>
      <c r="Z94" s="4"/>
      <c r="AA94" s="4"/>
      <c r="AB94" s="4"/>
    </row>
    <row r="95" ht="18.75" hidden="1" customHeight="1" outlineLevel="1">
      <c r="A95" s="12">
        <v>46112.0</v>
      </c>
      <c r="B95" s="13" t="str">
        <f t="shared" si="17"/>
        <v>terça-feira</v>
      </c>
      <c r="C95" s="13"/>
      <c r="D95" s="14">
        <f>SUMIF('ADV - GG'!A:A,A95,'ADV - GG'!C:C)+SUMIF('ADV - FB'!A:A,$A95,'ADV - FB'!E:E)</f>
        <v>0</v>
      </c>
      <c r="E95" s="19"/>
      <c r="F95" s="15" t="str">
        <f t="shared" si="18"/>
        <v/>
      </c>
      <c r="G95" s="14">
        <f t="shared" si="19"/>
        <v>0</v>
      </c>
      <c r="H95" s="16">
        <f t="shared" si="1"/>
        <v>0</v>
      </c>
      <c r="I95" s="14" t="str">
        <f t="shared" si="2"/>
        <v/>
      </c>
      <c r="J95" s="17">
        <f>SUMIF('ADV - GG'!A:A,A95,'ADV - GG'!H:H)+SUMIF('ADV - FB'!A:A,$A95,'ADV - FB'!I:I)</f>
        <v>0</v>
      </c>
      <c r="K95" s="22">
        <f>SUMIF('ADV - GA4'!A:A,A95,'ADV - GA4'!C:C)</f>
        <v>4</v>
      </c>
      <c r="L95" s="19" t="str">
        <f t="shared" si="20"/>
        <v/>
      </c>
      <c r="M95" s="20">
        <f t="shared" si="21"/>
        <v>0</v>
      </c>
      <c r="N95" s="14">
        <f t="shared" si="22"/>
        <v>0</v>
      </c>
      <c r="O95" s="15" t="str">
        <f>IFERROR(Planejador!$I$60,"")</f>
        <v/>
      </c>
      <c r="P95" s="14" t="str">
        <f>Planejador!$I$51</f>
        <v/>
      </c>
      <c r="Q95" s="16" t="str">
        <f>Planejador!$I$53</f>
        <v/>
      </c>
      <c r="R95" s="14" t="str">
        <f>iferror(Planejador!$I$57,"")</f>
        <v/>
      </c>
      <c r="S95" s="18">
        <f t="shared" si="23"/>
        <v>0</v>
      </c>
      <c r="T95" s="14" t="str">
        <f>Planejador!$I$52</f>
        <v/>
      </c>
      <c r="U95" s="4"/>
      <c r="V95" s="4"/>
      <c r="W95" s="4"/>
      <c r="X95" s="4"/>
      <c r="Y95" s="4"/>
      <c r="Z95" s="4"/>
      <c r="AA95" s="4"/>
      <c r="AB95" s="4"/>
    </row>
    <row r="96" ht="18.75" customHeight="1" collapsed="1">
      <c r="A96" s="5" t="s">
        <v>24</v>
      </c>
      <c r="B96" s="5">
        <v>30.0</v>
      </c>
      <c r="C96" s="6"/>
      <c r="D96" s="7">
        <f>IFERROR(SUM(D97:D126),"")</f>
        <v>1365.72</v>
      </c>
      <c r="E96" s="7">
        <f>iferror(SUM(E97:E126),"")</f>
        <v>4557.7</v>
      </c>
      <c r="F96" s="8">
        <f>iferror(E96/D96,"")</f>
        <v>3.33721407</v>
      </c>
      <c r="G96" s="9">
        <f>iferror(D96/K96,"")</f>
        <v>15.34516854</v>
      </c>
      <c r="H96" s="10">
        <f t="shared" si="1"/>
        <v>0.393258427</v>
      </c>
      <c r="I96" s="9">
        <f t="shared" si="2"/>
        <v>39.02057143</v>
      </c>
      <c r="J96" s="11">
        <f>iferror(SUM(J97:J126),"")</f>
        <v>35</v>
      </c>
      <c r="K96" s="11">
        <f>IFERROR(SUM(K97:K126),"")</f>
        <v>89</v>
      </c>
      <c r="L96" s="9">
        <f>iferror(E96/J96,"")</f>
        <v>130.22</v>
      </c>
      <c r="M96" s="7" t="str">
        <f>Planejador!$I$73</f>
        <v/>
      </c>
      <c r="N96" s="7" t="str">
        <f>IFERROR(Planejador!$I$82,"")</f>
        <v/>
      </c>
      <c r="O96" s="8" t="str">
        <f>IFERROR(Planejador!$I$83,"")</f>
        <v/>
      </c>
      <c r="P96" s="9" t="str">
        <f>Planejador!$I$74</f>
        <v/>
      </c>
      <c r="Q96" s="10" t="str">
        <f>Planejador!$I$76</f>
        <v/>
      </c>
      <c r="R96" s="9" t="str">
        <f>iferror(Planejador!$I$80,"")</f>
        <v/>
      </c>
      <c r="S96" s="11" t="str">
        <f>iferror(Planejador!$I$79,"")</f>
        <v/>
      </c>
      <c r="T96" s="9" t="str">
        <f>iferror(Planejador!$I$75,"")</f>
        <v/>
      </c>
      <c r="U96" s="4"/>
      <c r="V96" s="4"/>
      <c r="W96" s="4"/>
      <c r="X96" s="4"/>
      <c r="Y96" s="4"/>
      <c r="Z96" s="4"/>
      <c r="AA96" s="4"/>
      <c r="AB96" s="4"/>
    </row>
    <row r="97" ht="18.75" hidden="1" customHeight="1" outlineLevel="1">
      <c r="A97" s="12">
        <v>46113.0</v>
      </c>
      <c r="B97" s="13" t="str">
        <f t="shared" ref="B97:B126" si="24">TEXT(A97,"dddd")</f>
        <v>quarta-feira</v>
      </c>
      <c r="C97" s="13"/>
      <c r="D97" s="14">
        <f>SUMIF('ADV - GG'!A:A,A97,'ADV - GG'!C:C)+SUMIF('ADV - FB'!A:A,$A97,'ADV - FB'!E:E)</f>
        <v>93.96</v>
      </c>
      <c r="E97" s="24">
        <v>492.7</v>
      </c>
      <c r="F97" s="15">
        <f t="shared" ref="F97:F126" si="25">IFERROR(E97/D97,"")</f>
        <v>5.243720732</v>
      </c>
      <c r="G97" s="14">
        <f t="shared" ref="G97:G126" si="26">IFERROR(D97/K97,"")</f>
        <v>46.98</v>
      </c>
      <c r="H97" s="16">
        <f t="shared" si="1"/>
        <v>1.5</v>
      </c>
      <c r="I97" s="14">
        <f t="shared" si="2"/>
        <v>31.32</v>
      </c>
      <c r="J97" s="17">
        <f>SUMIF('ADV - GG'!A:A,A97,'ADV - GG'!H:H)+SUMIF('ADV - FB'!A:A,$A97,'ADV - FB'!I:I)</f>
        <v>3</v>
      </c>
      <c r="K97" s="22">
        <f>SUMIF('ADV - GA4'!A:A,A97,'ADV - GA4'!C:C)</f>
        <v>2</v>
      </c>
      <c r="L97" s="19">
        <f t="shared" ref="L97:L126" si="27">IFERROR(E97/J97,"")</f>
        <v>164.2333333</v>
      </c>
      <c r="M97" s="20">
        <f t="shared" ref="M97:M126" si="28">$M$96/$B$96</f>
        <v>0</v>
      </c>
      <c r="N97" s="14">
        <f t="shared" ref="N97:N126" si="29">$N$96/$B$96</f>
        <v>0</v>
      </c>
      <c r="O97" s="15" t="str">
        <f>IFERROR(Planejador!$I$83,"")</f>
        <v/>
      </c>
      <c r="P97" s="14" t="str">
        <f>Planejador!$I$74</f>
        <v/>
      </c>
      <c r="Q97" s="16" t="str">
        <f>Planejador!$I$76</f>
        <v/>
      </c>
      <c r="R97" s="14" t="str">
        <f>Planejador!$I$80</f>
        <v>#DIV/0!</v>
      </c>
      <c r="S97" s="18">
        <f t="shared" ref="S97:S126" si="30">$S$96/$B$96</f>
        <v>0</v>
      </c>
      <c r="T97" s="14" t="str">
        <f>Planejador!$I$75</f>
        <v/>
      </c>
      <c r="U97" s="4"/>
      <c r="V97" s="4"/>
      <c r="W97" s="4"/>
      <c r="X97" s="4"/>
      <c r="Y97" s="4"/>
      <c r="Z97" s="4"/>
      <c r="AA97" s="4"/>
      <c r="AB97" s="4"/>
    </row>
    <row r="98" ht="18.75" hidden="1" customHeight="1" outlineLevel="1">
      <c r="A98" s="12">
        <v>46114.0</v>
      </c>
      <c r="B98" s="13" t="str">
        <f t="shared" si="24"/>
        <v>quinta-feira</v>
      </c>
      <c r="C98" s="13"/>
      <c r="D98" s="14">
        <f>SUMIF('ADV - GG'!A:A,A98,'ADV - GG'!C:C)+SUMIF('ADV - FB'!A:A,$A98,'ADV - FB'!E:E)</f>
        <v>112.41</v>
      </c>
      <c r="E98" s="24">
        <v>89.5</v>
      </c>
      <c r="F98" s="15">
        <f t="shared" si="25"/>
        <v>0.7961925096</v>
      </c>
      <c r="G98" s="14">
        <f t="shared" si="26"/>
        <v>10.21909091</v>
      </c>
      <c r="H98" s="16">
        <f t="shared" si="1"/>
        <v>0.09090909091</v>
      </c>
      <c r="I98" s="14">
        <f t="shared" si="2"/>
        <v>112.41</v>
      </c>
      <c r="J98" s="17">
        <f>SUMIF('ADV - GG'!A:A,A98,'ADV - GG'!H:H)+SUMIF('ADV - FB'!A:A,$A98,'ADV - FB'!I:I)</f>
        <v>1</v>
      </c>
      <c r="K98" s="22">
        <f>SUMIF('ADV - GA4'!A:A,A98,'ADV - GA4'!C:C)</f>
        <v>11</v>
      </c>
      <c r="L98" s="19">
        <f t="shared" si="27"/>
        <v>89.5</v>
      </c>
      <c r="M98" s="20">
        <f t="shared" si="28"/>
        <v>0</v>
      </c>
      <c r="N98" s="14">
        <f t="shared" si="29"/>
        <v>0</v>
      </c>
      <c r="O98" s="15" t="str">
        <f>IFERROR(Planejador!$I$83,"")</f>
        <v/>
      </c>
      <c r="P98" s="14" t="str">
        <f>Planejador!$I$74</f>
        <v/>
      </c>
      <c r="Q98" s="16" t="str">
        <f>Planejador!$I$76</f>
        <v/>
      </c>
      <c r="R98" s="14" t="str">
        <f>Planejador!$I$80</f>
        <v>#DIV/0!</v>
      </c>
      <c r="S98" s="18">
        <f t="shared" si="30"/>
        <v>0</v>
      </c>
      <c r="T98" s="14" t="str">
        <f>Planejador!$I$75</f>
        <v/>
      </c>
      <c r="U98" s="4"/>
      <c r="V98" s="4"/>
      <c r="W98" s="4"/>
      <c r="X98" s="4"/>
      <c r="Y98" s="4"/>
      <c r="Z98" s="4"/>
      <c r="AA98" s="4"/>
      <c r="AB98" s="4"/>
    </row>
    <row r="99" ht="18.75" hidden="1" customHeight="1" outlineLevel="1">
      <c r="A99" s="12">
        <v>46115.0</v>
      </c>
      <c r="B99" s="13" t="str">
        <f t="shared" si="24"/>
        <v>sexta-feira</v>
      </c>
      <c r="C99" s="13"/>
      <c r="D99" s="14">
        <f>SUMIF('ADV - GG'!A:A,A99,'ADV - GG'!C:C)+SUMIF('ADV - FB'!A:A,$A99,'ADV - FB'!E:E)</f>
        <v>110.71</v>
      </c>
      <c r="E99" s="24">
        <v>298.2</v>
      </c>
      <c r="F99" s="15">
        <f t="shared" si="25"/>
        <v>2.69352362</v>
      </c>
      <c r="G99" s="14">
        <f t="shared" si="26"/>
        <v>3.953928571</v>
      </c>
      <c r="H99" s="16">
        <f t="shared" si="1"/>
        <v>0.07142857143</v>
      </c>
      <c r="I99" s="14">
        <f t="shared" si="2"/>
        <v>55.355</v>
      </c>
      <c r="J99" s="17">
        <f>SUMIF('ADV - GG'!A:A,A99,'ADV - GG'!H:H)+SUMIF('ADV - FB'!A:A,$A99,'ADV - FB'!I:I)</f>
        <v>2</v>
      </c>
      <c r="K99" s="22">
        <f>SUMIF('ADV - GA4'!A:A,A99,'ADV - GA4'!C:C)</f>
        <v>28</v>
      </c>
      <c r="L99" s="19">
        <f t="shared" si="27"/>
        <v>149.1</v>
      </c>
      <c r="M99" s="20">
        <f t="shared" si="28"/>
        <v>0</v>
      </c>
      <c r="N99" s="14">
        <f t="shared" si="29"/>
        <v>0</v>
      </c>
      <c r="O99" s="15" t="str">
        <f>IFERROR(Planejador!$I$83,"")</f>
        <v/>
      </c>
      <c r="P99" s="14" t="str">
        <f>Planejador!$I$74</f>
        <v/>
      </c>
      <c r="Q99" s="16" t="str">
        <f>Planejador!$I$76</f>
        <v/>
      </c>
      <c r="R99" s="14" t="str">
        <f>Planejador!$I$80</f>
        <v>#DIV/0!</v>
      </c>
      <c r="S99" s="18">
        <f t="shared" si="30"/>
        <v>0</v>
      </c>
      <c r="T99" s="14" t="str">
        <f>Planejador!$I$75</f>
        <v/>
      </c>
      <c r="U99" s="4"/>
      <c r="V99" s="4"/>
      <c r="W99" s="4"/>
      <c r="X99" s="4"/>
      <c r="Y99" s="4"/>
      <c r="Z99" s="4"/>
      <c r="AA99" s="4"/>
      <c r="AB99" s="4"/>
    </row>
    <row r="100" ht="18.75" hidden="1" customHeight="1" outlineLevel="1">
      <c r="A100" s="12">
        <v>46116.0</v>
      </c>
      <c r="B100" s="13" t="str">
        <f t="shared" si="24"/>
        <v>sábado</v>
      </c>
      <c r="C100" s="13"/>
      <c r="D100" s="14">
        <f>SUMIF('ADV - GG'!A:A,A100,'ADV - GG'!C:C)+SUMIF('ADV - FB'!A:A,$A100,'ADV - FB'!E:E)</f>
        <v>110.27</v>
      </c>
      <c r="E100" s="24">
        <v>322.2</v>
      </c>
      <c r="F100" s="15">
        <f t="shared" si="25"/>
        <v>2.921918926</v>
      </c>
      <c r="G100" s="14">
        <f t="shared" si="26"/>
        <v>36.75666667</v>
      </c>
      <c r="H100" s="16">
        <f t="shared" si="1"/>
        <v>1</v>
      </c>
      <c r="I100" s="14">
        <f t="shared" si="2"/>
        <v>36.75666667</v>
      </c>
      <c r="J100" s="17">
        <f>SUMIF('ADV - GG'!A:A,A100,'ADV - GG'!H:H)+SUMIF('ADV - FB'!A:A,$A100,'ADV - FB'!I:I)</f>
        <v>3</v>
      </c>
      <c r="K100" s="22">
        <f>SUMIF('ADV - GA4'!A:A,A100,'ADV - GA4'!C:C)</f>
        <v>3</v>
      </c>
      <c r="L100" s="19">
        <f t="shared" si="27"/>
        <v>107.4</v>
      </c>
      <c r="M100" s="20">
        <f t="shared" si="28"/>
        <v>0</v>
      </c>
      <c r="N100" s="14">
        <f t="shared" si="29"/>
        <v>0</v>
      </c>
      <c r="O100" s="15" t="str">
        <f>IFERROR(Planejador!$I$83,"")</f>
        <v/>
      </c>
      <c r="P100" s="14" t="str">
        <f>Planejador!$I$74</f>
        <v/>
      </c>
      <c r="Q100" s="16" t="str">
        <f>Planejador!$I$76</f>
        <v/>
      </c>
      <c r="R100" s="14" t="str">
        <f>Planejador!$I$80</f>
        <v>#DIV/0!</v>
      </c>
      <c r="S100" s="18">
        <f t="shared" si="30"/>
        <v>0</v>
      </c>
      <c r="T100" s="14" t="str">
        <f>Planejador!$I$75</f>
        <v/>
      </c>
      <c r="U100" s="4"/>
      <c r="V100" s="4"/>
      <c r="W100" s="4"/>
      <c r="X100" s="4"/>
      <c r="Y100" s="4"/>
      <c r="Z100" s="4"/>
      <c r="AA100" s="4"/>
      <c r="AB100" s="4"/>
    </row>
    <row r="101" ht="18.75" hidden="1" customHeight="1" outlineLevel="1">
      <c r="A101" s="12">
        <v>46117.0</v>
      </c>
      <c r="B101" s="13" t="str">
        <f t="shared" si="24"/>
        <v>domingo</v>
      </c>
      <c r="C101" s="13"/>
      <c r="D101" s="14">
        <f>SUMIF('ADV - GG'!A:A,A101,'ADV - GG'!C:C)+SUMIF('ADV - FB'!A:A,$A101,'ADV - FB'!E:E)</f>
        <v>72.54</v>
      </c>
      <c r="E101" s="24">
        <v>89.5</v>
      </c>
      <c r="F101" s="15">
        <f t="shared" si="25"/>
        <v>1.23380204</v>
      </c>
      <c r="G101" s="14">
        <f t="shared" si="26"/>
        <v>24.18</v>
      </c>
      <c r="H101" s="16">
        <f t="shared" si="1"/>
        <v>0.3333333333</v>
      </c>
      <c r="I101" s="14">
        <f t="shared" si="2"/>
        <v>72.54</v>
      </c>
      <c r="J101" s="17">
        <f>SUMIF('ADV - GG'!A:A,A101,'ADV - GG'!H:H)+SUMIF('ADV - FB'!A:A,$A101,'ADV - FB'!I:I)</f>
        <v>1</v>
      </c>
      <c r="K101" s="22">
        <f>SUMIF('ADV - GA4'!A:A,A101,'ADV - GA4'!C:C)</f>
        <v>3</v>
      </c>
      <c r="L101" s="19">
        <f t="shared" si="27"/>
        <v>89.5</v>
      </c>
      <c r="M101" s="20">
        <f t="shared" si="28"/>
        <v>0</v>
      </c>
      <c r="N101" s="14">
        <f t="shared" si="29"/>
        <v>0</v>
      </c>
      <c r="O101" s="15" t="str">
        <f>IFERROR(Planejador!$I$83,"")</f>
        <v/>
      </c>
      <c r="P101" s="14" t="str">
        <f>Planejador!$I$74</f>
        <v/>
      </c>
      <c r="Q101" s="16" t="str">
        <f>Planejador!$I$76</f>
        <v/>
      </c>
      <c r="R101" s="14" t="str">
        <f>Planejador!$I$80</f>
        <v>#DIV/0!</v>
      </c>
      <c r="S101" s="18">
        <f t="shared" si="30"/>
        <v>0</v>
      </c>
      <c r="T101" s="14" t="str">
        <f>Planejador!$I$75</f>
        <v/>
      </c>
      <c r="U101" s="4"/>
      <c r="V101" s="4"/>
      <c r="W101" s="4"/>
      <c r="X101" s="4"/>
      <c r="Y101" s="4"/>
      <c r="Z101" s="4"/>
      <c r="AA101" s="4"/>
      <c r="AB101" s="4"/>
    </row>
    <row r="102" ht="18.75" hidden="1" customHeight="1" outlineLevel="1">
      <c r="A102" s="12">
        <v>46118.0</v>
      </c>
      <c r="B102" s="13" t="str">
        <f t="shared" si="24"/>
        <v>segunda-feira</v>
      </c>
      <c r="C102" s="13"/>
      <c r="D102" s="14">
        <f>SUMIF('ADV - GG'!A:A,A102,'ADV - GG'!C:C)+SUMIF('ADV - FB'!A:A,$A102,'ADV - FB'!E:E)</f>
        <v>72.29</v>
      </c>
      <c r="E102" s="24">
        <v>392.8</v>
      </c>
      <c r="F102" s="15">
        <f t="shared" si="25"/>
        <v>5.433669941</v>
      </c>
      <c r="G102" s="14">
        <f t="shared" si="26"/>
        <v>8.032222222</v>
      </c>
      <c r="H102" s="16">
        <f t="shared" si="1"/>
        <v>0.4444444444</v>
      </c>
      <c r="I102" s="14">
        <f t="shared" si="2"/>
        <v>18.0725</v>
      </c>
      <c r="J102" s="17">
        <f>SUMIF('ADV - GG'!A:A,A102,'ADV - GG'!H:H)+SUMIF('ADV - FB'!A:A,$A102,'ADV - FB'!I:I)</f>
        <v>4</v>
      </c>
      <c r="K102" s="22">
        <f>SUMIF('ADV - GA4'!A:A,A102,'ADV - GA4'!C:C)</f>
        <v>9</v>
      </c>
      <c r="L102" s="19">
        <f t="shared" si="27"/>
        <v>98.2</v>
      </c>
      <c r="M102" s="20">
        <f t="shared" si="28"/>
        <v>0</v>
      </c>
      <c r="N102" s="14">
        <f t="shared" si="29"/>
        <v>0</v>
      </c>
      <c r="O102" s="15" t="str">
        <f>IFERROR(Planejador!$I$83,"")</f>
        <v/>
      </c>
      <c r="P102" s="14" t="str">
        <f>Planejador!$I$74</f>
        <v/>
      </c>
      <c r="Q102" s="16" t="str">
        <f>Planejador!$I$76</f>
        <v/>
      </c>
      <c r="R102" s="14" t="str">
        <f>Planejador!$I$80</f>
        <v>#DIV/0!</v>
      </c>
      <c r="S102" s="18">
        <f t="shared" si="30"/>
        <v>0</v>
      </c>
      <c r="T102" s="14" t="str">
        <f>Planejador!$I$75</f>
        <v/>
      </c>
      <c r="U102" s="4"/>
      <c r="V102" s="4"/>
      <c r="W102" s="4"/>
      <c r="X102" s="4"/>
      <c r="Y102" s="4"/>
      <c r="Z102" s="4"/>
      <c r="AA102" s="4"/>
      <c r="AB102" s="4"/>
    </row>
    <row r="103" ht="18.75" hidden="1" customHeight="1" outlineLevel="1">
      <c r="A103" s="12">
        <v>46119.0</v>
      </c>
      <c r="B103" s="13" t="str">
        <f t="shared" si="24"/>
        <v>terça-feira</v>
      </c>
      <c r="C103" s="13"/>
      <c r="D103" s="14">
        <f>SUMIF('ADV - GG'!A:A,A103,'ADV - GG'!C:C)+SUMIF('ADV - FB'!A:A,$A103,'ADV - FB'!E:E)</f>
        <v>63.01</v>
      </c>
      <c r="E103" s="24">
        <v>107.4</v>
      </c>
      <c r="F103" s="15">
        <f t="shared" si="25"/>
        <v>1.704491351</v>
      </c>
      <c r="G103" s="14">
        <f t="shared" si="26"/>
        <v>31.505</v>
      </c>
      <c r="H103" s="16">
        <f t="shared" si="1"/>
        <v>0.5</v>
      </c>
      <c r="I103" s="14">
        <f t="shared" si="2"/>
        <v>63.01</v>
      </c>
      <c r="J103" s="17">
        <f>SUMIF('ADV - GG'!A:A,A103,'ADV - GG'!H:H)+SUMIF('ADV - FB'!A:A,$A103,'ADV - FB'!I:I)</f>
        <v>1</v>
      </c>
      <c r="K103" s="22">
        <f>SUMIF('ADV - GA4'!A:A,A103,'ADV - GA4'!C:C)</f>
        <v>2</v>
      </c>
      <c r="L103" s="19">
        <f t="shared" si="27"/>
        <v>107.4</v>
      </c>
      <c r="M103" s="20">
        <f t="shared" si="28"/>
        <v>0</v>
      </c>
      <c r="N103" s="14">
        <f t="shared" si="29"/>
        <v>0</v>
      </c>
      <c r="O103" s="15" t="str">
        <f>IFERROR(Planejador!$I$83,"")</f>
        <v/>
      </c>
      <c r="P103" s="14" t="str">
        <f>Planejador!$I$74</f>
        <v/>
      </c>
      <c r="Q103" s="16" t="str">
        <f>Planejador!$I$76</f>
        <v/>
      </c>
      <c r="R103" s="14" t="str">
        <f>Planejador!$I$80</f>
        <v>#DIV/0!</v>
      </c>
      <c r="S103" s="18">
        <f t="shared" si="30"/>
        <v>0</v>
      </c>
      <c r="T103" s="14" t="str">
        <f>Planejador!$I$75</f>
        <v/>
      </c>
      <c r="U103" s="4"/>
      <c r="V103" s="4"/>
      <c r="W103" s="4"/>
      <c r="X103" s="4"/>
      <c r="Y103" s="4"/>
      <c r="Z103" s="4"/>
      <c r="AA103" s="4"/>
      <c r="AB103" s="4"/>
    </row>
    <row r="104" ht="18.75" hidden="1" customHeight="1" outlineLevel="1">
      <c r="A104" s="12">
        <v>46120.0</v>
      </c>
      <c r="B104" s="13" t="str">
        <f t="shared" si="24"/>
        <v>quarta-feira</v>
      </c>
      <c r="C104" s="13"/>
      <c r="D104" s="14">
        <f>SUMIF('ADV - GG'!A:A,A104,'ADV - GG'!C:C)+SUMIF('ADV - FB'!A:A,$A104,'ADV - FB'!E:E)</f>
        <v>70.65</v>
      </c>
      <c r="E104" s="24">
        <v>190.8</v>
      </c>
      <c r="F104" s="15">
        <f t="shared" si="25"/>
        <v>2.700636943</v>
      </c>
      <c r="G104" s="14">
        <f t="shared" si="26"/>
        <v>23.55</v>
      </c>
      <c r="H104" s="16">
        <f t="shared" si="1"/>
        <v>0.3333333333</v>
      </c>
      <c r="I104" s="14">
        <f t="shared" si="2"/>
        <v>70.65</v>
      </c>
      <c r="J104" s="17">
        <f>SUMIF('ADV - GG'!A:A,A104,'ADV - GG'!H:H)+SUMIF('ADV - FB'!A:A,$A104,'ADV - FB'!I:I)</f>
        <v>1</v>
      </c>
      <c r="K104" s="22">
        <f>SUMIF('ADV - GA4'!A:A,A104,'ADV - GA4'!C:C)</f>
        <v>3</v>
      </c>
      <c r="L104" s="19">
        <f t="shared" si="27"/>
        <v>190.8</v>
      </c>
      <c r="M104" s="20">
        <f t="shared" si="28"/>
        <v>0</v>
      </c>
      <c r="N104" s="14">
        <f t="shared" si="29"/>
        <v>0</v>
      </c>
      <c r="O104" s="15" t="str">
        <f>IFERROR(Planejador!$I$83,"")</f>
        <v/>
      </c>
      <c r="P104" s="14" t="str">
        <f>Planejador!$I$74</f>
        <v/>
      </c>
      <c r="Q104" s="16" t="str">
        <f>Planejador!$I$76</f>
        <v/>
      </c>
      <c r="R104" s="14" t="str">
        <f>Planejador!$I$80</f>
        <v>#DIV/0!</v>
      </c>
      <c r="S104" s="18">
        <f t="shared" si="30"/>
        <v>0</v>
      </c>
      <c r="T104" s="14" t="str">
        <f>Planejador!$I$75</f>
        <v/>
      </c>
      <c r="U104" s="4"/>
      <c r="V104" s="4"/>
      <c r="W104" s="4"/>
      <c r="X104" s="4"/>
      <c r="Y104" s="4"/>
      <c r="Z104" s="4"/>
      <c r="AA104" s="4"/>
      <c r="AB104" s="4"/>
    </row>
    <row r="105" ht="18.75" hidden="1" customHeight="1" outlineLevel="1">
      <c r="A105" s="12">
        <v>46121.0</v>
      </c>
      <c r="B105" s="13" t="str">
        <f t="shared" si="24"/>
        <v>quinta-feira</v>
      </c>
      <c r="C105" s="13"/>
      <c r="D105" s="14">
        <f>SUMIF('ADV - GG'!A:A,A105,'ADV - GG'!C:C)+SUMIF('ADV - FB'!A:A,$A105,'ADV - FB'!E:E)</f>
        <v>61.25</v>
      </c>
      <c r="E105" s="24">
        <v>262.4</v>
      </c>
      <c r="F105" s="15">
        <f t="shared" si="25"/>
        <v>4.284081633</v>
      </c>
      <c r="G105" s="14">
        <f t="shared" si="26"/>
        <v>61.25</v>
      </c>
      <c r="H105" s="16">
        <f t="shared" si="1"/>
        <v>2</v>
      </c>
      <c r="I105" s="14">
        <f t="shared" si="2"/>
        <v>30.625</v>
      </c>
      <c r="J105" s="17">
        <f>SUMIF('ADV - GG'!A:A,A105,'ADV - GG'!H:H)+SUMIF('ADV - FB'!A:A,$A105,'ADV - FB'!I:I)</f>
        <v>2</v>
      </c>
      <c r="K105" s="22">
        <f>SUMIF('ADV - GA4'!A:A,A105,'ADV - GA4'!C:C)</f>
        <v>1</v>
      </c>
      <c r="L105" s="19">
        <f t="shared" si="27"/>
        <v>131.2</v>
      </c>
      <c r="M105" s="20">
        <f t="shared" si="28"/>
        <v>0</v>
      </c>
      <c r="N105" s="14">
        <f t="shared" si="29"/>
        <v>0</v>
      </c>
      <c r="O105" s="15" t="str">
        <f>IFERROR(Planejador!$I$83,"")</f>
        <v/>
      </c>
      <c r="P105" s="14" t="str">
        <f>Planejador!$I$74</f>
        <v/>
      </c>
      <c r="Q105" s="16" t="str">
        <f>Planejador!$I$76</f>
        <v/>
      </c>
      <c r="R105" s="14" t="str">
        <f>Planejador!$I$80</f>
        <v>#DIV/0!</v>
      </c>
      <c r="S105" s="18">
        <f t="shared" si="30"/>
        <v>0</v>
      </c>
      <c r="T105" s="14" t="str">
        <f>Planejador!$I$75</f>
        <v/>
      </c>
      <c r="U105" s="4"/>
      <c r="V105" s="4"/>
      <c r="W105" s="4"/>
      <c r="X105" s="4"/>
      <c r="Y105" s="4"/>
      <c r="Z105" s="4"/>
      <c r="AA105" s="4"/>
      <c r="AB105" s="4"/>
    </row>
    <row r="106" ht="18.75" hidden="1" customHeight="1" outlineLevel="1">
      <c r="A106" s="12">
        <v>46122.0</v>
      </c>
      <c r="B106" s="13" t="str">
        <f t="shared" si="24"/>
        <v>sexta-feira</v>
      </c>
      <c r="C106" s="13"/>
      <c r="D106" s="14">
        <f>SUMIF('ADV - GG'!A:A,A106,'ADV - GG'!C:C)+SUMIF('ADV - FB'!A:A,$A106,'ADV - FB'!E:E)</f>
        <v>65.07</v>
      </c>
      <c r="E106" s="24">
        <v>606.8</v>
      </c>
      <c r="F106" s="15">
        <f t="shared" si="25"/>
        <v>9.325341939</v>
      </c>
      <c r="G106" s="14">
        <f t="shared" si="26"/>
        <v>65.07</v>
      </c>
      <c r="H106" s="16">
        <f t="shared" si="1"/>
        <v>3</v>
      </c>
      <c r="I106" s="14">
        <f t="shared" si="2"/>
        <v>21.69</v>
      </c>
      <c r="J106" s="17">
        <f>SUMIF('ADV - GG'!A:A,A106,'ADV - GG'!H:H)+SUMIF('ADV - FB'!A:A,$A106,'ADV - FB'!I:I)</f>
        <v>3</v>
      </c>
      <c r="K106" s="22">
        <f>SUMIF('ADV - GA4'!A:A,A106,'ADV - GA4'!C:C)</f>
        <v>1</v>
      </c>
      <c r="L106" s="19">
        <f t="shared" si="27"/>
        <v>202.2666667</v>
      </c>
      <c r="M106" s="20">
        <f t="shared" si="28"/>
        <v>0</v>
      </c>
      <c r="N106" s="14">
        <f t="shared" si="29"/>
        <v>0</v>
      </c>
      <c r="O106" s="15" t="str">
        <f>IFERROR(Planejador!$I$83,"")</f>
        <v/>
      </c>
      <c r="P106" s="14" t="str">
        <f>Planejador!$I$74</f>
        <v/>
      </c>
      <c r="Q106" s="16" t="str">
        <f>Planejador!$I$76</f>
        <v/>
      </c>
      <c r="R106" s="14" t="str">
        <f>Planejador!$I$80</f>
        <v>#DIV/0!</v>
      </c>
      <c r="S106" s="18">
        <f t="shared" si="30"/>
        <v>0</v>
      </c>
      <c r="T106" s="14" t="str">
        <f>Planejador!$I$75</f>
        <v/>
      </c>
      <c r="U106" s="4"/>
      <c r="V106" s="4"/>
      <c r="W106" s="4"/>
      <c r="X106" s="4"/>
      <c r="Y106" s="4"/>
      <c r="Z106" s="4"/>
      <c r="AA106" s="4"/>
      <c r="AB106" s="4"/>
    </row>
    <row r="107" ht="18.75" hidden="1" customHeight="1" outlineLevel="1">
      <c r="A107" s="12">
        <v>46123.0</v>
      </c>
      <c r="B107" s="13" t="str">
        <f t="shared" si="24"/>
        <v>sábado</v>
      </c>
      <c r="C107" s="13"/>
      <c r="D107" s="14">
        <f>SUMIF('ADV - GG'!A:A,A107,'ADV - GG'!C:C)+SUMIF('ADV - FB'!A:A,$A107,'ADV - FB'!E:E)</f>
        <v>60.45</v>
      </c>
      <c r="E107" s="24">
        <v>572.4</v>
      </c>
      <c r="F107" s="15">
        <f t="shared" si="25"/>
        <v>9.46898263</v>
      </c>
      <c r="G107" s="14">
        <f t="shared" si="26"/>
        <v>60.45</v>
      </c>
      <c r="H107" s="16">
        <f t="shared" si="1"/>
        <v>3</v>
      </c>
      <c r="I107" s="14">
        <f t="shared" si="2"/>
        <v>20.15</v>
      </c>
      <c r="J107" s="17">
        <f>SUMIF('ADV - GG'!A:A,A107,'ADV - GG'!H:H)+SUMIF('ADV - FB'!A:A,$A107,'ADV - FB'!I:I)</f>
        <v>3</v>
      </c>
      <c r="K107" s="22">
        <f>SUMIF('ADV - GA4'!A:A,A107,'ADV - GA4'!C:C)</f>
        <v>1</v>
      </c>
      <c r="L107" s="19">
        <f t="shared" si="27"/>
        <v>190.8</v>
      </c>
      <c r="M107" s="20">
        <f t="shared" si="28"/>
        <v>0</v>
      </c>
      <c r="N107" s="14">
        <f t="shared" si="29"/>
        <v>0</v>
      </c>
      <c r="O107" s="15" t="str">
        <f>IFERROR(Planejador!$I$83,"")</f>
        <v/>
      </c>
      <c r="P107" s="14" t="str">
        <f>Planejador!$I$74</f>
        <v/>
      </c>
      <c r="Q107" s="16" t="str">
        <f>Planejador!$I$76</f>
        <v/>
      </c>
      <c r="R107" s="14" t="str">
        <f>Planejador!$I$80</f>
        <v>#DIV/0!</v>
      </c>
      <c r="S107" s="18">
        <f t="shared" si="30"/>
        <v>0</v>
      </c>
      <c r="T107" s="14" t="str">
        <f>Planejador!$I$75</f>
        <v/>
      </c>
      <c r="U107" s="4"/>
      <c r="V107" s="4"/>
      <c r="W107" s="4"/>
      <c r="X107" s="4"/>
      <c r="Y107" s="4"/>
      <c r="Z107" s="4"/>
      <c r="AA107" s="4"/>
      <c r="AB107" s="4"/>
    </row>
    <row r="108" ht="18.75" hidden="1" customHeight="1" outlineLevel="1">
      <c r="A108" s="12">
        <v>46124.0</v>
      </c>
      <c r="B108" s="13" t="str">
        <f t="shared" si="24"/>
        <v>domingo</v>
      </c>
      <c r="C108" s="13"/>
      <c r="D108" s="14">
        <f>SUMIF('ADV - GG'!A:A,A108,'ADV - GG'!C:C)+SUMIF('ADV - FB'!A:A,$A108,'ADV - FB'!E:E)</f>
        <v>9.23</v>
      </c>
      <c r="E108" s="24">
        <v>0.0</v>
      </c>
      <c r="F108" s="15">
        <f t="shared" si="25"/>
        <v>0</v>
      </c>
      <c r="G108" s="14">
        <f t="shared" si="26"/>
        <v>1.846</v>
      </c>
      <c r="H108" s="16">
        <f t="shared" si="1"/>
        <v>0</v>
      </c>
      <c r="I108" s="14" t="str">
        <f t="shared" si="2"/>
        <v/>
      </c>
      <c r="J108" s="17">
        <f>SUMIF('ADV - GG'!A:A,A108,'ADV - GG'!H:H)+SUMIF('ADV - FB'!A:A,$A108,'ADV - FB'!I:I)</f>
        <v>0</v>
      </c>
      <c r="K108" s="22">
        <f>SUMIF('ADV - GA4'!A:A,A108,'ADV - GA4'!C:C)</f>
        <v>5</v>
      </c>
      <c r="L108" s="19" t="str">
        <f t="shared" si="27"/>
        <v/>
      </c>
      <c r="M108" s="20">
        <f t="shared" si="28"/>
        <v>0</v>
      </c>
      <c r="N108" s="14">
        <f t="shared" si="29"/>
        <v>0</v>
      </c>
      <c r="O108" s="15" t="str">
        <f>IFERROR(Planejador!$I$83,"")</f>
        <v/>
      </c>
      <c r="P108" s="14" t="str">
        <f>Planejador!$I$74</f>
        <v/>
      </c>
      <c r="Q108" s="16" t="str">
        <f>Planejador!$I$76</f>
        <v/>
      </c>
      <c r="R108" s="14" t="str">
        <f>Planejador!$I$80</f>
        <v>#DIV/0!</v>
      </c>
      <c r="S108" s="18">
        <f t="shared" si="30"/>
        <v>0</v>
      </c>
      <c r="T108" s="14" t="str">
        <f>Planejador!$I$75</f>
        <v/>
      </c>
      <c r="U108" s="4"/>
      <c r="V108" s="4"/>
      <c r="W108" s="4"/>
      <c r="X108" s="4"/>
      <c r="Y108" s="4"/>
      <c r="Z108" s="4"/>
      <c r="AA108" s="4"/>
      <c r="AB108" s="4"/>
    </row>
    <row r="109" ht="18.75" hidden="1" customHeight="1" outlineLevel="1">
      <c r="A109" s="12">
        <v>46125.0</v>
      </c>
      <c r="B109" s="13" t="str">
        <f t="shared" si="24"/>
        <v>segunda-feira</v>
      </c>
      <c r="C109" s="13"/>
      <c r="D109" s="14">
        <f>SUMIF('ADV - GG'!A:A,A109,'ADV - GG'!C:C)+SUMIF('ADV - FB'!A:A,$A109,'ADV - FB'!E:E)</f>
        <v>0</v>
      </c>
      <c r="E109" s="24">
        <v>0.0</v>
      </c>
      <c r="F109" s="15" t="str">
        <f t="shared" si="25"/>
        <v/>
      </c>
      <c r="G109" s="14">
        <f t="shared" si="26"/>
        <v>0</v>
      </c>
      <c r="H109" s="16">
        <f t="shared" si="1"/>
        <v>0</v>
      </c>
      <c r="I109" s="14" t="str">
        <f t="shared" si="2"/>
        <v/>
      </c>
      <c r="J109" s="17">
        <f>SUMIF('ADV - GG'!A:A,A109,'ADV - GG'!H:H)+SUMIF('ADV - FB'!A:A,$A109,'ADV - FB'!I:I)</f>
        <v>0</v>
      </c>
      <c r="K109" s="22">
        <f>SUMIF('ADV - GA4'!A:A,A109,'ADV - GA4'!C:C)</f>
        <v>4</v>
      </c>
      <c r="L109" s="19" t="str">
        <f t="shared" si="27"/>
        <v/>
      </c>
      <c r="M109" s="20">
        <f t="shared" si="28"/>
        <v>0</v>
      </c>
      <c r="N109" s="14">
        <f t="shared" si="29"/>
        <v>0</v>
      </c>
      <c r="O109" s="15" t="str">
        <f>IFERROR(Planejador!$I$83,"")</f>
        <v/>
      </c>
      <c r="P109" s="14" t="str">
        <f>Planejador!$I$74</f>
        <v/>
      </c>
      <c r="Q109" s="16" t="str">
        <f>Planejador!$I$76</f>
        <v/>
      </c>
      <c r="R109" s="14" t="str">
        <f>Planejador!$I$80</f>
        <v>#DIV/0!</v>
      </c>
      <c r="S109" s="18">
        <f t="shared" si="30"/>
        <v>0</v>
      </c>
      <c r="T109" s="14" t="str">
        <f>Planejador!$I$75</f>
        <v/>
      </c>
      <c r="U109" s="4"/>
      <c r="V109" s="4"/>
      <c r="W109" s="4"/>
      <c r="X109" s="4"/>
      <c r="Y109" s="4"/>
      <c r="Z109" s="4"/>
      <c r="AA109" s="4"/>
      <c r="AB109" s="4"/>
    </row>
    <row r="110" ht="18.75" hidden="1" customHeight="1" outlineLevel="1">
      <c r="A110" s="12">
        <v>46126.0</v>
      </c>
      <c r="B110" s="13" t="str">
        <f t="shared" si="24"/>
        <v>terça-feira</v>
      </c>
      <c r="C110" s="13"/>
      <c r="D110" s="14">
        <f>SUMIF('ADV - GG'!A:A,A110,'ADV - GG'!C:C)+SUMIF('ADV - FB'!A:A,$A110,'ADV - FB'!E:E)</f>
        <v>61.01</v>
      </c>
      <c r="E110" s="24">
        <v>0.0</v>
      </c>
      <c r="F110" s="15">
        <f t="shared" si="25"/>
        <v>0</v>
      </c>
      <c r="G110" s="14">
        <f t="shared" si="26"/>
        <v>30.505</v>
      </c>
      <c r="H110" s="16">
        <f t="shared" si="1"/>
        <v>0</v>
      </c>
      <c r="I110" s="14" t="str">
        <f t="shared" si="2"/>
        <v/>
      </c>
      <c r="J110" s="17">
        <f>SUMIF('ADV - GG'!A:A,A110,'ADV - GG'!H:H)+SUMIF('ADV - FB'!A:A,$A110,'ADV - FB'!I:I)</f>
        <v>0</v>
      </c>
      <c r="K110" s="22">
        <f>SUMIF('ADV - GA4'!A:A,A110,'ADV - GA4'!C:C)</f>
        <v>2</v>
      </c>
      <c r="L110" s="19" t="str">
        <f t="shared" si="27"/>
        <v/>
      </c>
      <c r="M110" s="20">
        <f t="shared" si="28"/>
        <v>0</v>
      </c>
      <c r="N110" s="14">
        <f t="shared" si="29"/>
        <v>0</v>
      </c>
      <c r="O110" s="15" t="str">
        <f>IFERROR(Planejador!$I$83,"")</f>
        <v/>
      </c>
      <c r="P110" s="14" t="str">
        <f>Planejador!$I$74</f>
        <v/>
      </c>
      <c r="Q110" s="16" t="str">
        <f>Planejador!$I$76</f>
        <v/>
      </c>
      <c r="R110" s="14" t="str">
        <f>Planejador!$I$80</f>
        <v>#DIV/0!</v>
      </c>
      <c r="S110" s="18">
        <f t="shared" si="30"/>
        <v>0</v>
      </c>
      <c r="T110" s="14" t="str">
        <f>Planejador!$I$75</f>
        <v/>
      </c>
      <c r="U110" s="4"/>
      <c r="V110" s="4"/>
      <c r="W110" s="4"/>
      <c r="X110" s="4"/>
      <c r="Y110" s="4"/>
      <c r="Z110" s="4"/>
      <c r="AA110" s="4"/>
      <c r="AB110" s="4"/>
    </row>
    <row r="111" ht="18.75" hidden="1" customHeight="1" outlineLevel="1">
      <c r="A111" s="12">
        <v>46127.0</v>
      </c>
      <c r="B111" s="13" t="str">
        <f t="shared" si="24"/>
        <v>quarta-feira</v>
      </c>
      <c r="C111" s="13"/>
      <c r="D111" s="14">
        <f>SUMIF('ADV - GG'!A:A,A111,'ADV - GG'!C:C)+SUMIF('ADV - FB'!A:A,$A111,'ADV - FB'!E:E)</f>
        <v>81.35</v>
      </c>
      <c r="E111" s="24">
        <v>620.0</v>
      </c>
      <c r="F111" s="15">
        <f t="shared" si="25"/>
        <v>7.62138906</v>
      </c>
      <c r="G111" s="14">
        <f t="shared" si="26"/>
        <v>13.55833333</v>
      </c>
      <c r="H111" s="16">
        <f t="shared" si="1"/>
        <v>0.8333333333</v>
      </c>
      <c r="I111" s="14">
        <f t="shared" si="2"/>
        <v>16.27</v>
      </c>
      <c r="J111" s="17">
        <f>SUMIF('ADV - GG'!A:A,A111,'ADV - GG'!H:H)+SUMIF('ADV - FB'!A:A,$A111,'ADV - FB'!I:I)</f>
        <v>5</v>
      </c>
      <c r="K111" s="22">
        <f>SUMIF('ADV - GA4'!A:A,A111,'ADV - GA4'!C:C)</f>
        <v>6</v>
      </c>
      <c r="L111" s="19">
        <f t="shared" si="27"/>
        <v>124</v>
      </c>
      <c r="M111" s="20">
        <f t="shared" si="28"/>
        <v>0</v>
      </c>
      <c r="N111" s="14">
        <f t="shared" si="29"/>
        <v>0</v>
      </c>
      <c r="O111" s="15" t="str">
        <f>IFERROR(Planejador!$I$83,"")</f>
        <v/>
      </c>
      <c r="P111" s="14" t="str">
        <f>Planejador!$I$74</f>
        <v/>
      </c>
      <c r="Q111" s="16" t="str">
        <f>Planejador!$I$76</f>
        <v/>
      </c>
      <c r="R111" s="14" t="str">
        <f>Planejador!$I$80</f>
        <v>#DIV/0!</v>
      </c>
      <c r="S111" s="18">
        <f t="shared" si="30"/>
        <v>0</v>
      </c>
      <c r="T111" s="14" t="str">
        <f>Planejador!$I$75</f>
        <v/>
      </c>
      <c r="U111" s="4"/>
      <c r="V111" s="4"/>
      <c r="W111" s="4"/>
      <c r="X111" s="4"/>
      <c r="Y111" s="4"/>
      <c r="Z111" s="4"/>
      <c r="AA111" s="4"/>
      <c r="AB111" s="4"/>
    </row>
    <row r="112" ht="18.75" hidden="1" customHeight="1" outlineLevel="1">
      <c r="A112" s="12">
        <v>46128.0</v>
      </c>
      <c r="B112" s="13" t="str">
        <f t="shared" si="24"/>
        <v>quinta-feira</v>
      </c>
      <c r="C112" s="13"/>
      <c r="D112" s="14">
        <f>SUMIF('ADV - GG'!A:A,A112,'ADV - GG'!C:C)+SUMIF('ADV - FB'!A:A,$A112,'ADV - FB'!E:E)</f>
        <v>73.14</v>
      </c>
      <c r="E112" s="24">
        <v>513.0</v>
      </c>
      <c r="F112" s="15">
        <f t="shared" si="25"/>
        <v>7.013945857</v>
      </c>
      <c r="G112" s="14">
        <f t="shared" si="26"/>
        <v>10.44857143</v>
      </c>
      <c r="H112" s="16">
        <f t="shared" si="1"/>
        <v>0.5714285714</v>
      </c>
      <c r="I112" s="14">
        <f t="shared" si="2"/>
        <v>18.285</v>
      </c>
      <c r="J112" s="17">
        <f>SUMIF('ADV - GG'!A:A,A112,'ADV - GG'!H:H)+SUMIF('ADV - FB'!A:A,$A112,'ADV - FB'!I:I)</f>
        <v>4</v>
      </c>
      <c r="K112" s="22">
        <f>SUMIF('ADV - GA4'!A:A,A112,'ADV - GA4'!C:C)</f>
        <v>7</v>
      </c>
      <c r="L112" s="19">
        <f t="shared" si="27"/>
        <v>128.25</v>
      </c>
      <c r="M112" s="20">
        <f t="shared" si="28"/>
        <v>0</v>
      </c>
      <c r="N112" s="14">
        <f t="shared" si="29"/>
        <v>0</v>
      </c>
      <c r="O112" s="15" t="str">
        <f>IFERROR(Planejador!$I$83,"")</f>
        <v/>
      </c>
      <c r="P112" s="14" t="str">
        <f>Planejador!$I$74</f>
        <v/>
      </c>
      <c r="Q112" s="16" t="str">
        <f>Planejador!$I$76</f>
        <v/>
      </c>
      <c r="R112" s="14" t="str">
        <f>Planejador!$I$80</f>
        <v>#DIV/0!</v>
      </c>
      <c r="S112" s="18">
        <f t="shared" si="30"/>
        <v>0</v>
      </c>
      <c r="T112" s="14" t="str">
        <f>Planejador!$I$75</f>
        <v/>
      </c>
      <c r="U112" s="4"/>
      <c r="V112" s="4"/>
      <c r="W112" s="4"/>
      <c r="X112" s="4"/>
      <c r="Y112" s="4"/>
      <c r="Z112" s="4"/>
      <c r="AA112" s="4"/>
      <c r="AB112" s="4"/>
    </row>
    <row r="113" ht="18.75" hidden="1" customHeight="1" outlineLevel="1">
      <c r="A113" s="12">
        <v>46129.0</v>
      </c>
      <c r="B113" s="13" t="str">
        <f t="shared" si="24"/>
        <v>sexta-feira</v>
      </c>
      <c r="C113" s="13"/>
      <c r="D113" s="14">
        <f>SUMIF('ADV - GG'!A:A,A113,'ADV - GG'!C:C)+SUMIF('ADV - FB'!A:A,$A113,'ADV - FB'!E:E)</f>
        <v>64.63</v>
      </c>
      <c r="E113" s="19"/>
      <c r="F113" s="15">
        <f t="shared" si="25"/>
        <v>0</v>
      </c>
      <c r="G113" s="14">
        <f t="shared" si="26"/>
        <v>64.63</v>
      </c>
      <c r="H113" s="16">
        <f t="shared" si="1"/>
        <v>1</v>
      </c>
      <c r="I113" s="14">
        <f t="shared" si="2"/>
        <v>64.63</v>
      </c>
      <c r="J113" s="17">
        <f>SUMIF('ADV - GG'!A:A,A113,'ADV - GG'!H:H)+SUMIF('ADV - FB'!A:A,$A113,'ADV - FB'!I:I)</f>
        <v>1</v>
      </c>
      <c r="K113" s="22">
        <f>SUMIF('ADV - GA4'!A:A,A113,'ADV - GA4'!C:C)</f>
        <v>1</v>
      </c>
      <c r="L113" s="19">
        <f t="shared" si="27"/>
        <v>0</v>
      </c>
      <c r="M113" s="20">
        <f t="shared" si="28"/>
        <v>0</v>
      </c>
      <c r="N113" s="14">
        <f t="shared" si="29"/>
        <v>0</v>
      </c>
      <c r="O113" s="15" t="str">
        <f>IFERROR(Planejador!$I$83,"")</f>
        <v/>
      </c>
      <c r="P113" s="14" t="str">
        <f>Planejador!$I$74</f>
        <v/>
      </c>
      <c r="Q113" s="16" t="str">
        <f>Planejador!$I$76</f>
        <v/>
      </c>
      <c r="R113" s="14" t="str">
        <f>Planejador!$I$80</f>
        <v>#DIV/0!</v>
      </c>
      <c r="S113" s="18">
        <f t="shared" si="30"/>
        <v>0</v>
      </c>
      <c r="T113" s="14" t="str">
        <f>Planejador!$I$75</f>
        <v/>
      </c>
      <c r="U113" s="4"/>
      <c r="V113" s="4"/>
      <c r="W113" s="4"/>
      <c r="X113" s="4"/>
      <c r="Y113" s="4"/>
      <c r="Z113" s="4"/>
      <c r="AA113" s="4"/>
      <c r="AB113" s="4"/>
    </row>
    <row r="114" ht="18.75" hidden="1" customHeight="1" outlineLevel="1">
      <c r="A114" s="12">
        <v>46130.0</v>
      </c>
      <c r="B114" s="13" t="str">
        <f t="shared" si="24"/>
        <v>sábado</v>
      </c>
      <c r="C114" s="13"/>
      <c r="D114" s="14">
        <f>SUMIF('ADV - GG'!A:A,A114,'ADV - GG'!C:C)+SUMIF('ADV - FB'!A:A,$A114,'ADV - FB'!E:E)</f>
        <v>65.67</v>
      </c>
      <c r="E114" s="19"/>
      <c r="F114" s="15">
        <f t="shared" si="25"/>
        <v>0</v>
      </c>
      <c r="G114" s="14" t="str">
        <f t="shared" si="26"/>
        <v/>
      </c>
      <c r="H114" s="16" t="str">
        <f t="shared" si="1"/>
        <v/>
      </c>
      <c r="I114" s="14">
        <f t="shared" si="2"/>
        <v>65.67</v>
      </c>
      <c r="J114" s="17">
        <f>SUMIF('ADV - GG'!A:A,A114,'ADV - GG'!H:H)+SUMIF('ADV - FB'!A:A,$A114,'ADV - FB'!I:I)</f>
        <v>1</v>
      </c>
      <c r="K114" s="22">
        <f>SUMIF('ADV - GA4'!A:A,A114,'ADV - GA4'!C:C)</f>
        <v>0</v>
      </c>
      <c r="L114" s="19">
        <f t="shared" si="27"/>
        <v>0</v>
      </c>
      <c r="M114" s="20">
        <f t="shared" si="28"/>
        <v>0</v>
      </c>
      <c r="N114" s="14">
        <f t="shared" si="29"/>
        <v>0</v>
      </c>
      <c r="O114" s="15" t="str">
        <f>IFERROR(Planejador!$I$83,"")</f>
        <v/>
      </c>
      <c r="P114" s="14" t="str">
        <f>Planejador!$I$74</f>
        <v/>
      </c>
      <c r="Q114" s="16" t="str">
        <f>Planejador!$I$76</f>
        <v/>
      </c>
      <c r="R114" s="14" t="str">
        <f>Planejador!$I$80</f>
        <v>#DIV/0!</v>
      </c>
      <c r="S114" s="18">
        <f t="shared" si="30"/>
        <v>0</v>
      </c>
      <c r="T114" s="14" t="str">
        <f>Planejador!$I$75</f>
        <v/>
      </c>
      <c r="U114" s="4"/>
      <c r="V114" s="4"/>
      <c r="W114" s="4"/>
      <c r="X114" s="4"/>
      <c r="Y114" s="4"/>
      <c r="Z114" s="4"/>
      <c r="AA114" s="4"/>
      <c r="AB114" s="4"/>
    </row>
    <row r="115" ht="18.75" hidden="1" customHeight="1" outlineLevel="1">
      <c r="A115" s="12">
        <v>46131.0</v>
      </c>
      <c r="B115" s="13" t="str">
        <f t="shared" si="24"/>
        <v>domingo</v>
      </c>
      <c r="C115" s="13"/>
      <c r="D115" s="14">
        <f>SUMIF('ADV - GG'!A:A,A115,'ADV - GG'!C:C)+SUMIF('ADV - FB'!A:A,$A115,'ADV - FB'!E:E)</f>
        <v>49.5</v>
      </c>
      <c r="E115" s="19"/>
      <c r="F115" s="15">
        <f t="shared" si="25"/>
        <v>0</v>
      </c>
      <c r="G115" s="14" t="str">
        <f t="shared" si="26"/>
        <v/>
      </c>
      <c r="H115" s="16" t="str">
        <f t="shared" si="1"/>
        <v/>
      </c>
      <c r="I115" s="14" t="str">
        <f t="shared" si="2"/>
        <v/>
      </c>
      <c r="J115" s="17">
        <f>SUMIF('ADV - GG'!A:A,A115,'ADV - GG'!H:H)+SUMIF('ADV - FB'!A:A,$A115,'ADV - FB'!I:I)</f>
        <v>0</v>
      </c>
      <c r="K115" s="22">
        <f>SUMIF('ADV - GA4'!A:A,A115,'ADV - GA4'!C:C)</f>
        <v>0</v>
      </c>
      <c r="L115" s="19" t="str">
        <f t="shared" si="27"/>
        <v/>
      </c>
      <c r="M115" s="20">
        <f t="shared" si="28"/>
        <v>0</v>
      </c>
      <c r="N115" s="14">
        <f t="shared" si="29"/>
        <v>0</v>
      </c>
      <c r="O115" s="15" t="str">
        <f>IFERROR(Planejador!$I$83,"")</f>
        <v/>
      </c>
      <c r="P115" s="14" t="str">
        <f>Planejador!$I$74</f>
        <v/>
      </c>
      <c r="Q115" s="16" t="str">
        <f>Planejador!$I$76</f>
        <v/>
      </c>
      <c r="R115" s="14" t="str">
        <f>Planejador!$I$80</f>
        <v>#DIV/0!</v>
      </c>
      <c r="S115" s="18">
        <f t="shared" si="30"/>
        <v>0</v>
      </c>
      <c r="T115" s="14" t="str">
        <f>Planejador!$I$75</f>
        <v/>
      </c>
      <c r="U115" s="4"/>
      <c r="V115" s="4"/>
      <c r="W115" s="4"/>
      <c r="X115" s="4"/>
      <c r="Y115" s="4"/>
      <c r="Z115" s="4"/>
      <c r="AA115" s="4"/>
      <c r="AB115" s="4"/>
    </row>
    <row r="116" ht="18.75" hidden="1" customHeight="1" outlineLevel="1">
      <c r="A116" s="12">
        <v>46132.0</v>
      </c>
      <c r="B116" s="13" t="str">
        <f t="shared" si="24"/>
        <v>segunda-feira</v>
      </c>
      <c r="C116" s="13"/>
      <c r="D116" s="14">
        <f>SUMIF('ADV - GG'!A:A,A116,'ADV - GG'!C:C)+SUMIF('ADV - FB'!A:A,$A116,'ADV - FB'!E:E)</f>
        <v>67.73</v>
      </c>
      <c r="E116" s="19"/>
      <c r="F116" s="15">
        <f t="shared" si="25"/>
        <v>0</v>
      </c>
      <c r="G116" s="14" t="str">
        <f t="shared" si="26"/>
        <v/>
      </c>
      <c r="H116" s="16" t="str">
        <f t="shared" si="1"/>
        <v/>
      </c>
      <c r="I116" s="14" t="str">
        <f t="shared" si="2"/>
        <v/>
      </c>
      <c r="J116" s="17">
        <f>SUMIF('ADV - GG'!A:A,A116,'ADV - GG'!H:H)+SUMIF('ADV - FB'!A:A,$A116,'ADV - FB'!I:I)</f>
        <v>0</v>
      </c>
      <c r="K116" s="22">
        <f>SUMIF('ADV - GA4'!A:A,A116,'ADV - GA4'!C:C)</f>
        <v>0</v>
      </c>
      <c r="L116" s="19" t="str">
        <f t="shared" si="27"/>
        <v/>
      </c>
      <c r="M116" s="20">
        <f t="shared" si="28"/>
        <v>0</v>
      </c>
      <c r="N116" s="14">
        <f t="shared" si="29"/>
        <v>0</v>
      </c>
      <c r="O116" s="15" t="str">
        <f>IFERROR(Planejador!$I$83,"")</f>
        <v/>
      </c>
      <c r="P116" s="14" t="str">
        <f>Planejador!$I$74</f>
        <v/>
      </c>
      <c r="Q116" s="16" t="str">
        <f>Planejador!$I$76</f>
        <v/>
      </c>
      <c r="R116" s="14" t="str">
        <f>Planejador!$I$80</f>
        <v>#DIV/0!</v>
      </c>
      <c r="S116" s="18">
        <f t="shared" si="30"/>
        <v>0</v>
      </c>
      <c r="T116" s="14" t="str">
        <f>Planejador!$I$75</f>
        <v/>
      </c>
      <c r="U116" s="4"/>
      <c r="V116" s="4"/>
      <c r="W116" s="4"/>
      <c r="X116" s="4"/>
      <c r="Y116" s="4"/>
      <c r="Z116" s="4"/>
      <c r="AA116" s="4"/>
      <c r="AB116" s="4"/>
    </row>
    <row r="117" ht="18.75" hidden="1" customHeight="1" outlineLevel="1">
      <c r="A117" s="12">
        <v>46133.0</v>
      </c>
      <c r="B117" s="13" t="str">
        <f t="shared" si="24"/>
        <v>terça-feira</v>
      </c>
      <c r="C117" s="13"/>
      <c r="D117" s="14">
        <f>SUMIF('ADV - GG'!A:A,A117,'ADV - GG'!C:C)+SUMIF('ADV - FB'!A:A,$A117,'ADV - FB'!E:E)</f>
        <v>0.85</v>
      </c>
      <c r="E117" s="19"/>
      <c r="F117" s="15">
        <f t="shared" si="25"/>
        <v>0</v>
      </c>
      <c r="G117" s="14" t="str">
        <f t="shared" si="26"/>
        <v/>
      </c>
      <c r="H117" s="16" t="str">
        <f t="shared" si="1"/>
        <v/>
      </c>
      <c r="I117" s="14" t="str">
        <f t="shared" si="2"/>
        <v/>
      </c>
      <c r="J117" s="17">
        <f>SUMIF('ADV - GG'!A:A,A117,'ADV - GG'!H:H)+SUMIF('ADV - FB'!A:A,$A117,'ADV - FB'!I:I)</f>
        <v>0</v>
      </c>
      <c r="K117" s="22">
        <f>SUMIF('ADV - GA4'!A:A,A117,'ADV - GA4'!C:C)</f>
        <v>0</v>
      </c>
      <c r="L117" s="19" t="str">
        <f t="shared" si="27"/>
        <v/>
      </c>
      <c r="M117" s="20">
        <f t="shared" si="28"/>
        <v>0</v>
      </c>
      <c r="N117" s="14">
        <f t="shared" si="29"/>
        <v>0</v>
      </c>
      <c r="O117" s="15" t="str">
        <f>IFERROR(Planejador!$I$83,"")</f>
        <v/>
      </c>
      <c r="P117" s="14" t="str">
        <f>Planejador!$I$74</f>
        <v/>
      </c>
      <c r="Q117" s="16" t="str">
        <f>Planejador!$I$76</f>
        <v/>
      </c>
      <c r="R117" s="14" t="str">
        <f>Planejador!$I$80</f>
        <v>#DIV/0!</v>
      </c>
      <c r="S117" s="18">
        <f t="shared" si="30"/>
        <v>0</v>
      </c>
      <c r="T117" s="14" t="str">
        <f>Planejador!$I$75</f>
        <v/>
      </c>
      <c r="U117" s="4"/>
      <c r="V117" s="4"/>
      <c r="W117" s="4"/>
      <c r="X117" s="4"/>
      <c r="Y117" s="4"/>
      <c r="Z117" s="4"/>
      <c r="AA117" s="4"/>
      <c r="AB117" s="4"/>
    </row>
    <row r="118" ht="18.75" hidden="1" customHeight="1" outlineLevel="1">
      <c r="A118" s="12">
        <v>46134.0</v>
      </c>
      <c r="B118" s="13" t="str">
        <f t="shared" si="24"/>
        <v>quarta-feira</v>
      </c>
      <c r="C118" s="13"/>
      <c r="D118" s="14">
        <f>SUMIF('ADV - GG'!A:A,A118,'ADV - GG'!C:C)+SUMIF('ADV - FB'!A:A,$A118,'ADV - FB'!E:E)</f>
        <v>0</v>
      </c>
      <c r="E118" s="19"/>
      <c r="F118" s="15" t="str">
        <f t="shared" si="25"/>
        <v/>
      </c>
      <c r="G118" s="14" t="str">
        <f t="shared" si="26"/>
        <v/>
      </c>
      <c r="H118" s="16" t="str">
        <f t="shared" si="1"/>
        <v/>
      </c>
      <c r="I118" s="14" t="str">
        <f t="shared" si="2"/>
        <v/>
      </c>
      <c r="J118" s="17">
        <f>SUMIF('ADV - GG'!A:A,A118,'ADV - GG'!H:H)+SUMIF('ADV - FB'!A:A,$A118,'ADV - FB'!I:I)</f>
        <v>0</v>
      </c>
      <c r="K118" s="22">
        <f>SUMIF('ADV - GA4'!A:A,A118,'ADV - GA4'!C:C)</f>
        <v>0</v>
      </c>
      <c r="L118" s="19" t="str">
        <f t="shared" si="27"/>
        <v/>
      </c>
      <c r="M118" s="20">
        <f t="shared" si="28"/>
        <v>0</v>
      </c>
      <c r="N118" s="14">
        <f t="shared" si="29"/>
        <v>0</v>
      </c>
      <c r="O118" s="15" t="str">
        <f>IFERROR(Planejador!$I$83,"")</f>
        <v/>
      </c>
      <c r="P118" s="14" t="str">
        <f>Planejador!$I$74</f>
        <v/>
      </c>
      <c r="Q118" s="16" t="str">
        <f>Planejador!$I$76</f>
        <v/>
      </c>
      <c r="R118" s="14" t="str">
        <f>Planejador!$I$80</f>
        <v>#DIV/0!</v>
      </c>
      <c r="S118" s="18">
        <f t="shared" si="30"/>
        <v>0</v>
      </c>
      <c r="T118" s="14" t="str">
        <f>Planejador!$I$75</f>
        <v/>
      </c>
      <c r="U118" s="4"/>
      <c r="V118" s="4"/>
      <c r="W118" s="4"/>
      <c r="X118" s="4"/>
      <c r="Y118" s="4"/>
      <c r="Z118" s="4"/>
      <c r="AA118" s="4"/>
      <c r="AB118" s="4"/>
    </row>
    <row r="119" ht="18.75" hidden="1" customHeight="1" outlineLevel="1">
      <c r="A119" s="12">
        <v>46135.0</v>
      </c>
      <c r="B119" s="13" t="str">
        <f t="shared" si="24"/>
        <v>quinta-feira</v>
      </c>
      <c r="C119" s="13"/>
      <c r="D119" s="14">
        <f>SUMIF('ADV - GG'!A:A,A119,'ADV - GG'!C:C)+SUMIF('ADV - FB'!A:A,$A119,'ADV - FB'!E:E)</f>
        <v>0</v>
      </c>
      <c r="E119" s="19"/>
      <c r="F119" s="15" t="str">
        <f t="shared" si="25"/>
        <v/>
      </c>
      <c r="G119" s="14" t="str">
        <f t="shared" si="26"/>
        <v/>
      </c>
      <c r="H119" s="16" t="str">
        <f t="shared" si="1"/>
        <v/>
      </c>
      <c r="I119" s="14" t="str">
        <f t="shared" si="2"/>
        <v/>
      </c>
      <c r="J119" s="17">
        <f>SUMIF('ADV - GG'!A:A,A119,'ADV - GG'!H:H)+SUMIF('ADV - FB'!A:A,$A119,'ADV - FB'!I:I)</f>
        <v>0</v>
      </c>
      <c r="K119" s="22">
        <f>SUMIF('ADV - GA4'!A:A,A119,'ADV - GA4'!C:C)</f>
        <v>0</v>
      </c>
      <c r="L119" s="19" t="str">
        <f t="shared" si="27"/>
        <v/>
      </c>
      <c r="M119" s="20">
        <f t="shared" si="28"/>
        <v>0</v>
      </c>
      <c r="N119" s="14">
        <f t="shared" si="29"/>
        <v>0</v>
      </c>
      <c r="O119" s="15" t="str">
        <f>IFERROR(Planejador!$I$83,"")</f>
        <v/>
      </c>
      <c r="P119" s="14" t="str">
        <f>Planejador!$I$74</f>
        <v/>
      </c>
      <c r="Q119" s="16" t="str">
        <f>Planejador!$I$76</f>
        <v/>
      </c>
      <c r="R119" s="14" t="str">
        <f>Planejador!$I$80</f>
        <v>#DIV/0!</v>
      </c>
      <c r="S119" s="18">
        <f t="shared" si="30"/>
        <v>0</v>
      </c>
      <c r="T119" s="14" t="str">
        <f>Planejador!$I$75</f>
        <v/>
      </c>
      <c r="U119" s="4"/>
      <c r="V119" s="4"/>
      <c r="W119" s="4"/>
      <c r="X119" s="4"/>
      <c r="Y119" s="4"/>
      <c r="Z119" s="4"/>
      <c r="AA119" s="4"/>
      <c r="AB119" s="4"/>
    </row>
    <row r="120" ht="18.75" hidden="1" customHeight="1" outlineLevel="1">
      <c r="A120" s="12">
        <v>46136.0</v>
      </c>
      <c r="B120" s="13" t="str">
        <f t="shared" si="24"/>
        <v>sexta-feira</v>
      </c>
      <c r="C120" s="13"/>
      <c r="D120" s="14">
        <f>SUMIF('ADV - GG'!A:A,A120,'ADV - GG'!C:C)+SUMIF('ADV - FB'!A:A,$A120,'ADV - FB'!E:E)</f>
        <v>0</v>
      </c>
      <c r="E120" s="19"/>
      <c r="F120" s="15" t="str">
        <f t="shared" si="25"/>
        <v/>
      </c>
      <c r="G120" s="14" t="str">
        <f t="shared" si="26"/>
        <v/>
      </c>
      <c r="H120" s="16" t="str">
        <f t="shared" si="1"/>
        <v/>
      </c>
      <c r="I120" s="14" t="str">
        <f t="shared" si="2"/>
        <v/>
      </c>
      <c r="J120" s="17">
        <f>SUMIF('ADV - GG'!A:A,A120,'ADV - GG'!H:H)+SUMIF('ADV - FB'!A:A,$A120,'ADV - FB'!I:I)</f>
        <v>0</v>
      </c>
      <c r="K120" s="22">
        <f>SUMIF('ADV - GA4'!A:A,A120,'ADV - GA4'!C:C)</f>
        <v>0</v>
      </c>
      <c r="L120" s="19" t="str">
        <f t="shared" si="27"/>
        <v/>
      </c>
      <c r="M120" s="20">
        <f t="shared" si="28"/>
        <v>0</v>
      </c>
      <c r="N120" s="14">
        <f t="shared" si="29"/>
        <v>0</v>
      </c>
      <c r="O120" s="15" t="str">
        <f>IFERROR(Planejador!$I$83,"")</f>
        <v/>
      </c>
      <c r="P120" s="14" t="str">
        <f>Planejador!$I$74</f>
        <v/>
      </c>
      <c r="Q120" s="16" t="str">
        <f>Planejador!$I$76</f>
        <v/>
      </c>
      <c r="R120" s="14" t="str">
        <f>Planejador!$I$80</f>
        <v>#DIV/0!</v>
      </c>
      <c r="S120" s="18">
        <f t="shared" si="30"/>
        <v>0</v>
      </c>
      <c r="T120" s="14" t="str">
        <f>Planejador!$I$75</f>
        <v/>
      </c>
      <c r="U120" s="4"/>
      <c r="V120" s="4"/>
      <c r="W120" s="4"/>
      <c r="X120" s="4"/>
      <c r="Y120" s="4"/>
      <c r="Z120" s="4"/>
      <c r="AA120" s="4"/>
      <c r="AB120" s="4"/>
    </row>
    <row r="121" ht="18.75" hidden="1" customHeight="1" outlineLevel="1">
      <c r="A121" s="12">
        <v>46137.0</v>
      </c>
      <c r="B121" s="13" t="str">
        <f t="shared" si="24"/>
        <v>sábado</v>
      </c>
      <c r="C121" s="13"/>
      <c r="D121" s="14">
        <f>SUMIF('ADV - GG'!A:A,A121,'ADV - GG'!C:C)+SUMIF('ADV - FB'!A:A,$A121,'ADV - FB'!E:E)</f>
        <v>0</v>
      </c>
      <c r="E121" s="19"/>
      <c r="F121" s="15" t="str">
        <f t="shared" si="25"/>
        <v/>
      </c>
      <c r="G121" s="14" t="str">
        <f t="shared" si="26"/>
        <v/>
      </c>
      <c r="H121" s="16" t="str">
        <f t="shared" si="1"/>
        <v/>
      </c>
      <c r="I121" s="14" t="str">
        <f t="shared" si="2"/>
        <v/>
      </c>
      <c r="J121" s="17">
        <f>SUMIF('ADV - GG'!A:A,A121,'ADV - GG'!H:H)+SUMIF('ADV - FB'!A:A,$A121,'ADV - FB'!I:I)</f>
        <v>0</v>
      </c>
      <c r="K121" s="22">
        <f>SUMIF('ADV - GA4'!A:A,A121,'ADV - GA4'!C:C)</f>
        <v>0</v>
      </c>
      <c r="L121" s="19" t="str">
        <f t="shared" si="27"/>
        <v/>
      </c>
      <c r="M121" s="20">
        <f t="shared" si="28"/>
        <v>0</v>
      </c>
      <c r="N121" s="14">
        <f t="shared" si="29"/>
        <v>0</v>
      </c>
      <c r="O121" s="15" t="str">
        <f>IFERROR(Planejador!$I$83,"")</f>
        <v/>
      </c>
      <c r="P121" s="14" t="str">
        <f>Planejador!$I$74</f>
        <v/>
      </c>
      <c r="Q121" s="16" t="str">
        <f>Planejador!$I$76</f>
        <v/>
      </c>
      <c r="R121" s="14" t="str">
        <f>Planejador!$I$80</f>
        <v>#DIV/0!</v>
      </c>
      <c r="S121" s="18">
        <f t="shared" si="30"/>
        <v>0</v>
      </c>
      <c r="T121" s="14" t="str">
        <f>Planejador!$I$75</f>
        <v/>
      </c>
      <c r="U121" s="4"/>
      <c r="V121" s="4"/>
      <c r="W121" s="4"/>
      <c r="X121" s="4"/>
      <c r="Y121" s="4"/>
      <c r="Z121" s="4"/>
      <c r="AA121" s="4"/>
      <c r="AB121" s="4"/>
    </row>
    <row r="122" ht="18.75" hidden="1" customHeight="1" outlineLevel="1">
      <c r="A122" s="12">
        <v>46138.0</v>
      </c>
      <c r="B122" s="13" t="str">
        <f t="shared" si="24"/>
        <v>domingo</v>
      </c>
      <c r="C122" s="13"/>
      <c r="D122" s="14">
        <f>SUMIF('ADV - GG'!A:A,A122,'ADV - GG'!C:C)+SUMIF('ADV - FB'!A:A,$A122,'ADV - FB'!E:E)</f>
        <v>0</v>
      </c>
      <c r="E122" s="19"/>
      <c r="F122" s="15" t="str">
        <f t="shared" si="25"/>
        <v/>
      </c>
      <c r="G122" s="14" t="str">
        <f t="shared" si="26"/>
        <v/>
      </c>
      <c r="H122" s="16" t="str">
        <f t="shared" si="1"/>
        <v/>
      </c>
      <c r="I122" s="14" t="str">
        <f t="shared" si="2"/>
        <v/>
      </c>
      <c r="J122" s="17">
        <f>SUMIF('ADV - GG'!A:A,A122,'ADV - GG'!H:H)+SUMIF('ADV - FB'!A:A,$A122,'ADV - FB'!I:I)</f>
        <v>0</v>
      </c>
      <c r="K122" s="22">
        <f>SUMIF('ADV - GA4'!A:A,A122,'ADV - GA4'!C:C)</f>
        <v>0</v>
      </c>
      <c r="L122" s="19" t="str">
        <f t="shared" si="27"/>
        <v/>
      </c>
      <c r="M122" s="20">
        <f t="shared" si="28"/>
        <v>0</v>
      </c>
      <c r="N122" s="14">
        <f t="shared" si="29"/>
        <v>0</v>
      </c>
      <c r="O122" s="15" t="str">
        <f>IFERROR(Planejador!$I$83,"")</f>
        <v/>
      </c>
      <c r="P122" s="14" t="str">
        <f>Planejador!$I$74</f>
        <v/>
      </c>
      <c r="Q122" s="16" t="str">
        <f>Planejador!$I$76</f>
        <v/>
      </c>
      <c r="R122" s="14" t="str">
        <f>Planejador!$I$80</f>
        <v>#DIV/0!</v>
      </c>
      <c r="S122" s="18">
        <f t="shared" si="30"/>
        <v>0</v>
      </c>
      <c r="T122" s="14" t="str">
        <f>Planejador!$I$75</f>
        <v/>
      </c>
      <c r="U122" s="4"/>
      <c r="V122" s="4"/>
      <c r="W122" s="4"/>
      <c r="X122" s="4"/>
      <c r="Y122" s="4"/>
      <c r="Z122" s="4"/>
      <c r="AA122" s="4"/>
      <c r="AB122" s="4"/>
    </row>
    <row r="123" ht="18.75" hidden="1" customHeight="1" outlineLevel="1">
      <c r="A123" s="12">
        <v>46139.0</v>
      </c>
      <c r="B123" s="13" t="str">
        <f t="shared" si="24"/>
        <v>segunda-feira</v>
      </c>
      <c r="C123" s="13"/>
      <c r="D123" s="14">
        <f>SUMIF('ADV - GG'!A:A,A123,'ADV - GG'!C:C)+SUMIF('ADV - FB'!A:A,$A123,'ADV - FB'!E:E)</f>
        <v>0</v>
      </c>
      <c r="E123" s="19"/>
      <c r="F123" s="15" t="str">
        <f t="shared" si="25"/>
        <v/>
      </c>
      <c r="G123" s="14" t="str">
        <f t="shared" si="26"/>
        <v/>
      </c>
      <c r="H123" s="16" t="str">
        <f t="shared" si="1"/>
        <v/>
      </c>
      <c r="I123" s="14" t="str">
        <f t="shared" si="2"/>
        <v/>
      </c>
      <c r="J123" s="17">
        <f>SUMIF('ADV - GG'!A:A,A123,'ADV - GG'!H:H)+SUMIF('ADV - FB'!A:A,$A123,'ADV - FB'!I:I)</f>
        <v>0</v>
      </c>
      <c r="K123" s="22">
        <f>SUMIF('ADV - GA4'!A:A,A123,'ADV - GA4'!C:C)</f>
        <v>0</v>
      </c>
      <c r="L123" s="19" t="str">
        <f t="shared" si="27"/>
        <v/>
      </c>
      <c r="M123" s="20">
        <f t="shared" si="28"/>
        <v>0</v>
      </c>
      <c r="N123" s="14">
        <f t="shared" si="29"/>
        <v>0</v>
      </c>
      <c r="O123" s="15" t="str">
        <f>IFERROR(Planejador!$I$83,"")</f>
        <v/>
      </c>
      <c r="P123" s="14" t="str">
        <f>Planejador!$I$74</f>
        <v/>
      </c>
      <c r="Q123" s="16" t="str">
        <f>Planejador!$I$76</f>
        <v/>
      </c>
      <c r="R123" s="14" t="str">
        <f>Planejador!$I$80</f>
        <v>#DIV/0!</v>
      </c>
      <c r="S123" s="18">
        <f t="shared" si="30"/>
        <v>0</v>
      </c>
      <c r="T123" s="14" t="str">
        <f>Planejador!$I$75</f>
        <v/>
      </c>
      <c r="U123" s="4"/>
      <c r="V123" s="4"/>
      <c r="W123" s="4"/>
      <c r="X123" s="4"/>
      <c r="Y123" s="4"/>
      <c r="Z123" s="4"/>
      <c r="AA123" s="4"/>
      <c r="AB123" s="4"/>
    </row>
    <row r="124" ht="18.75" hidden="1" customHeight="1" outlineLevel="1">
      <c r="A124" s="12">
        <v>46140.0</v>
      </c>
      <c r="B124" s="13" t="str">
        <f t="shared" si="24"/>
        <v>terça-feira</v>
      </c>
      <c r="C124" s="13"/>
      <c r="D124" s="14">
        <f>SUMIF('ADV - GG'!A:A,A124,'ADV - GG'!C:C)+SUMIF('ADV - FB'!A:A,$A124,'ADV - FB'!E:E)</f>
        <v>0</v>
      </c>
      <c r="E124" s="19"/>
      <c r="F124" s="15" t="str">
        <f t="shared" si="25"/>
        <v/>
      </c>
      <c r="G124" s="14" t="str">
        <f t="shared" si="26"/>
        <v/>
      </c>
      <c r="H124" s="16" t="str">
        <f t="shared" si="1"/>
        <v/>
      </c>
      <c r="I124" s="14" t="str">
        <f t="shared" si="2"/>
        <v/>
      </c>
      <c r="J124" s="17">
        <f>SUMIF('ADV - GG'!A:A,A124,'ADV - GG'!H:H)+SUMIF('ADV - FB'!A:A,$A124,'ADV - FB'!I:I)</f>
        <v>0</v>
      </c>
      <c r="K124" s="22">
        <f>SUMIF('ADV - GA4'!A:A,A124,'ADV - GA4'!C:C)</f>
        <v>0</v>
      </c>
      <c r="L124" s="19" t="str">
        <f t="shared" si="27"/>
        <v/>
      </c>
      <c r="M124" s="20">
        <f t="shared" si="28"/>
        <v>0</v>
      </c>
      <c r="N124" s="14">
        <f t="shared" si="29"/>
        <v>0</v>
      </c>
      <c r="O124" s="15" t="str">
        <f>IFERROR(Planejador!$I$83,"")</f>
        <v/>
      </c>
      <c r="P124" s="14" t="str">
        <f>Planejador!$I$74</f>
        <v/>
      </c>
      <c r="Q124" s="16" t="str">
        <f>Planejador!$I$76</f>
        <v/>
      </c>
      <c r="R124" s="14" t="str">
        <f>Planejador!$I$80</f>
        <v>#DIV/0!</v>
      </c>
      <c r="S124" s="18">
        <f t="shared" si="30"/>
        <v>0</v>
      </c>
      <c r="T124" s="14" t="str">
        <f>Planejador!$I$75</f>
        <v/>
      </c>
      <c r="U124" s="4"/>
      <c r="V124" s="4"/>
      <c r="W124" s="4"/>
      <c r="X124" s="4"/>
      <c r="Y124" s="4"/>
      <c r="Z124" s="4"/>
      <c r="AA124" s="4"/>
      <c r="AB124" s="4"/>
    </row>
    <row r="125" ht="18.75" hidden="1" customHeight="1" outlineLevel="1">
      <c r="A125" s="12">
        <v>46141.0</v>
      </c>
      <c r="B125" s="13" t="str">
        <f t="shared" si="24"/>
        <v>quarta-feira</v>
      </c>
      <c r="C125" s="13"/>
      <c r="D125" s="14">
        <f>SUMIF('ADV - GG'!A:A,A125,'ADV - GG'!C:C)+SUMIF('ADV - FB'!A:A,$A125,'ADV - FB'!E:E)</f>
        <v>0</v>
      </c>
      <c r="E125" s="19"/>
      <c r="F125" s="15" t="str">
        <f t="shared" si="25"/>
        <v/>
      </c>
      <c r="G125" s="14" t="str">
        <f t="shared" si="26"/>
        <v/>
      </c>
      <c r="H125" s="16" t="str">
        <f t="shared" si="1"/>
        <v/>
      </c>
      <c r="I125" s="14" t="str">
        <f t="shared" si="2"/>
        <v/>
      </c>
      <c r="J125" s="17">
        <f>SUMIF('ADV - GG'!A:A,A125,'ADV - GG'!H:H)+SUMIF('ADV - FB'!A:A,$A125,'ADV - FB'!I:I)</f>
        <v>0</v>
      </c>
      <c r="K125" s="22">
        <f>SUMIF('ADV - GA4'!A:A,A125,'ADV - GA4'!C:C)</f>
        <v>0</v>
      </c>
      <c r="L125" s="19" t="str">
        <f t="shared" si="27"/>
        <v/>
      </c>
      <c r="M125" s="20">
        <f t="shared" si="28"/>
        <v>0</v>
      </c>
      <c r="N125" s="14">
        <f t="shared" si="29"/>
        <v>0</v>
      </c>
      <c r="O125" s="15" t="str">
        <f>IFERROR(Planejador!$I$83,"")</f>
        <v/>
      </c>
      <c r="P125" s="14" t="str">
        <f>Planejador!$I$74</f>
        <v/>
      </c>
      <c r="Q125" s="16" t="str">
        <f>Planejador!$I$76</f>
        <v/>
      </c>
      <c r="R125" s="14" t="str">
        <f>Planejador!$I$80</f>
        <v>#DIV/0!</v>
      </c>
      <c r="S125" s="18">
        <f t="shared" si="30"/>
        <v>0</v>
      </c>
      <c r="T125" s="14" t="str">
        <f>Planejador!$I$75</f>
        <v/>
      </c>
      <c r="U125" s="4"/>
      <c r="V125" s="4"/>
      <c r="W125" s="4"/>
      <c r="X125" s="4"/>
      <c r="Y125" s="4"/>
      <c r="Z125" s="4"/>
      <c r="AA125" s="4"/>
      <c r="AB125" s="4"/>
    </row>
    <row r="126" ht="18.75" hidden="1" customHeight="1" outlineLevel="1">
      <c r="A126" s="12">
        <v>46142.0</v>
      </c>
      <c r="B126" s="13" t="str">
        <f t="shared" si="24"/>
        <v>quinta-feira</v>
      </c>
      <c r="C126" s="13"/>
      <c r="D126" s="14">
        <f>SUMIF('ADV - GG'!A:A,A126,'ADV - GG'!C:C)+SUMIF('ADV - FB'!A:A,$A126,'ADV - FB'!E:E)</f>
        <v>0</v>
      </c>
      <c r="E126" s="19"/>
      <c r="F126" s="15" t="str">
        <f t="shared" si="25"/>
        <v/>
      </c>
      <c r="G126" s="14" t="str">
        <f t="shared" si="26"/>
        <v/>
      </c>
      <c r="H126" s="16" t="str">
        <f t="shared" si="1"/>
        <v/>
      </c>
      <c r="I126" s="14" t="str">
        <f t="shared" si="2"/>
        <v/>
      </c>
      <c r="J126" s="17">
        <f>SUMIF('ADV - GG'!A:A,A126,'ADV - GG'!H:H)+SUMIF('ADV - FB'!A:A,$A126,'ADV - FB'!I:I)</f>
        <v>0</v>
      </c>
      <c r="K126" s="22">
        <f>SUMIF('ADV - GA4'!A:A,A126,'ADV - GA4'!C:C)</f>
        <v>0</v>
      </c>
      <c r="L126" s="19" t="str">
        <f t="shared" si="27"/>
        <v/>
      </c>
      <c r="M126" s="20">
        <f t="shared" si="28"/>
        <v>0</v>
      </c>
      <c r="N126" s="14">
        <f t="shared" si="29"/>
        <v>0</v>
      </c>
      <c r="O126" s="15" t="str">
        <f>IFERROR(Planejador!$I$83,"")</f>
        <v/>
      </c>
      <c r="P126" s="14" t="str">
        <f>Planejador!$I$74</f>
        <v/>
      </c>
      <c r="Q126" s="16" t="str">
        <f>Planejador!$I$76</f>
        <v/>
      </c>
      <c r="R126" s="14" t="str">
        <f>Planejador!$I$80</f>
        <v>#DIV/0!</v>
      </c>
      <c r="S126" s="18">
        <f t="shared" si="30"/>
        <v>0</v>
      </c>
      <c r="T126" s="14" t="str">
        <f>Planejador!$I$75</f>
        <v/>
      </c>
      <c r="U126" s="4"/>
      <c r="V126" s="4"/>
      <c r="W126" s="4"/>
      <c r="X126" s="4"/>
      <c r="Y126" s="4"/>
      <c r="Z126" s="4"/>
      <c r="AA126" s="4"/>
      <c r="AB126" s="4"/>
    </row>
    <row r="127" ht="18.75" customHeight="1" collapsed="1">
      <c r="A127" s="5" t="s">
        <v>25</v>
      </c>
      <c r="B127" s="5">
        <v>31.0</v>
      </c>
      <c r="C127" s="6"/>
      <c r="D127" s="7">
        <f>IFERROR(SUM(D128:D158),"")</f>
        <v>0</v>
      </c>
      <c r="E127" s="7">
        <f>iferror(SUM(E128:E158),"")</f>
        <v>0</v>
      </c>
      <c r="F127" s="8" t="str">
        <f>iferror(E127/D127,"")</f>
        <v/>
      </c>
      <c r="G127" s="9" t="str">
        <f>iferror(D127/K127,"")</f>
        <v/>
      </c>
      <c r="H127" s="10" t="str">
        <f t="shared" si="1"/>
        <v/>
      </c>
      <c r="I127" s="9" t="str">
        <f t="shared" si="2"/>
        <v/>
      </c>
      <c r="J127" s="11">
        <f>iferror(SUM(J128:J158),"")</f>
        <v>0</v>
      </c>
      <c r="K127" s="11">
        <f>IFERROR(SUM(K128:K158),"")</f>
        <v>0</v>
      </c>
      <c r="L127" s="9" t="str">
        <f>iferror(E127/J127,"")</f>
        <v/>
      </c>
      <c r="M127" s="7" t="str">
        <f>Planejador!$I$96</f>
        <v/>
      </c>
      <c r="N127" s="7" t="str">
        <f>IFERROR(Planejador!$I$105,"")</f>
        <v/>
      </c>
      <c r="O127" s="8" t="str">
        <f>IFERROR(Planejador!$I$106,"")</f>
        <v/>
      </c>
      <c r="P127" s="9" t="str">
        <f>Planejador!$I$97</f>
        <v/>
      </c>
      <c r="Q127" s="10" t="str">
        <f>Planejador!$I$99</f>
        <v/>
      </c>
      <c r="R127" s="9" t="str">
        <f>iferror(Planejador!$I$103,"")</f>
        <v/>
      </c>
      <c r="S127" s="11" t="str">
        <f>iferror(Planejador!$I$102,"")</f>
        <v/>
      </c>
      <c r="T127" s="9" t="str">
        <f>iferror(Planejador!$I$98,"")</f>
        <v/>
      </c>
      <c r="U127" s="4"/>
      <c r="V127" s="4"/>
      <c r="W127" s="4"/>
      <c r="X127" s="4"/>
      <c r="Y127" s="4"/>
      <c r="Z127" s="4"/>
      <c r="AA127" s="4"/>
      <c r="AB127" s="4"/>
    </row>
    <row r="128" ht="18.75" hidden="1" customHeight="1" outlineLevel="1">
      <c r="A128" s="12">
        <v>46143.0</v>
      </c>
      <c r="B128" s="13" t="str">
        <f t="shared" ref="B128:B158" si="31">TEXT(A128,"dddd")</f>
        <v>sexta-feira</v>
      </c>
      <c r="C128" s="13"/>
      <c r="D128" s="14">
        <f>SUMIF('ADV - GG'!A:A,A128,'ADV - GG'!C:C)+SUMIF('ADV - FB'!A:A,$A128,'ADV - FB'!E:E)</f>
        <v>0</v>
      </c>
      <c r="E128" s="19"/>
      <c r="F128" s="15" t="str">
        <f t="shared" ref="F128:F379" si="32">IFERROR(E128/D128,"")</f>
        <v/>
      </c>
      <c r="G128" s="14" t="str">
        <f t="shared" ref="G128:G379" si="33">IFERROR(D128/K128,"")</f>
        <v/>
      </c>
      <c r="H128" s="16" t="str">
        <f t="shared" si="1"/>
        <v/>
      </c>
      <c r="I128" s="14" t="str">
        <f t="shared" si="2"/>
        <v/>
      </c>
      <c r="J128" s="17">
        <f>SUMIF('ADV - GG'!A:A,A128,'ADV - GG'!H:H)+SUMIF('ADV - FB'!A:A,$A128,'ADV - FB'!I:I)</f>
        <v>0</v>
      </c>
      <c r="K128" s="22">
        <f>SUMIF('ADV - GA4'!A:A,A128,'ADV - GA4'!C:C)</f>
        <v>0</v>
      </c>
      <c r="L128" s="19" t="str">
        <f t="shared" ref="L128:L379" si="34">IFERROR(E128/J128,"")</f>
        <v/>
      </c>
      <c r="M128" s="20">
        <f t="shared" ref="M128:M158" si="35">$M$96/$B$96</f>
        <v>0</v>
      </c>
      <c r="N128" s="14">
        <f t="shared" ref="N128:N158" si="36">$N$127/$B$127</f>
        <v>0</v>
      </c>
      <c r="O128" s="15" t="str">
        <f>IFERROR(Planejador!$I$106,"")</f>
        <v/>
      </c>
      <c r="P128" s="14" t="str">
        <f>Planejador!$I$97</f>
        <v/>
      </c>
      <c r="Q128" s="16" t="str">
        <f>Planejador!$I$99</f>
        <v/>
      </c>
      <c r="R128" s="14" t="str">
        <f>iferror(Planejador!$I$103,"")</f>
        <v/>
      </c>
      <c r="S128" s="18">
        <f t="shared" ref="S128:S158" si="37">$S$127/$B$127</f>
        <v>0</v>
      </c>
      <c r="T128" s="14" t="str">
        <f>Planejador!$I$98</f>
        <v/>
      </c>
      <c r="U128" s="4"/>
      <c r="V128" s="4"/>
      <c r="W128" s="4"/>
      <c r="X128" s="4"/>
      <c r="Y128" s="4"/>
      <c r="Z128" s="4"/>
      <c r="AA128" s="4"/>
      <c r="AB128" s="4"/>
    </row>
    <row r="129" ht="18.75" hidden="1" customHeight="1" outlineLevel="1">
      <c r="A129" s="12">
        <v>46144.0</v>
      </c>
      <c r="B129" s="13" t="str">
        <f t="shared" si="31"/>
        <v>sábado</v>
      </c>
      <c r="C129" s="13"/>
      <c r="D129" s="14">
        <f>SUMIF('ADV - GG'!A:A,A129,'ADV - GG'!C:C)+SUMIF('ADV - FB'!A:A,$A129,'ADV - FB'!E:E)</f>
        <v>0</v>
      </c>
      <c r="E129" s="19"/>
      <c r="F129" s="15" t="str">
        <f t="shared" si="32"/>
        <v/>
      </c>
      <c r="G129" s="14" t="str">
        <f t="shared" si="33"/>
        <v/>
      </c>
      <c r="H129" s="16" t="str">
        <f t="shared" si="1"/>
        <v/>
      </c>
      <c r="I129" s="14" t="str">
        <f t="shared" si="2"/>
        <v/>
      </c>
      <c r="J129" s="17">
        <f>SUMIF('ADV - GG'!A:A,A129,'ADV - GG'!H:H)+SUMIF('ADV - FB'!A:A,$A129,'ADV - FB'!I:I)</f>
        <v>0</v>
      </c>
      <c r="K129" s="22">
        <f>SUMIF('ADV - GA4'!A:A,A129,'ADV - GA4'!C:C)</f>
        <v>0</v>
      </c>
      <c r="L129" s="19" t="str">
        <f t="shared" si="34"/>
        <v/>
      </c>
      <c r="M129" s="20">
        <f t="shared" si="35"/>
        <v>0</v>
      </c>
      <c r="N129" s="14">
        <f t="shared" si="36"/>
        <v>0</v>
      </c>
      <c r="O129" s="15" t="str">
        <f>IFERROR(Planejador!$I$106,"")</f>
        <v/>
      </c>
      <c r="P129" s="14" t="str">
        <f>Planejador!$I$97</f>
        <v/>
      </c>
      <c r="Q129" s="16" t="str">
        <f>Planejador!$I$99</f>
        <v/>
      </c>
      <c r="R129" s="14" t="str">
        <f>iferror(Planejador!$I$103,"")</f>
        <v/>
      </c>
      <c r="S129" s="18">
        <f t="shared" si="37"/>
        <v>0</v>
      </c>
      <c r="T129" s="14" t="str">
        <f>Planejador!$I$98</f>
        <v/>
      </c>
      <c r="U129" s="4"/>
      <c r="V129" s="4"/>
      <c r="W129" s="4"/>
      <c r="X129" s="4"/>
      <c r="Y129" s="4"/>
      <c r="Z129" s="4"/>
      <c r="AA129" s="4"/>
      <c r="AB129" s="4"/>
    </row>
    <row r="130" ht="18.75" hidden="1" customHeight="1" outlineLevel="1">
      <c r="A130" s="12">
        <v>46145.0</v>
      </c>
      <c r="B130" s="13" t="str">
        <f t="shared" si="31"/>
        <v>domingo</v>
      </c>
      <c r="C130" s="13"/>
      <c r="D130" s="14">
        <f>SUMIF('ADV - GG'!A:A,A130,'ADV - GG'!C:C)+SUMIF('ADV - FB'!A:A,$A130,'ADV - FB'!E:E)</f>
        <v>0</v>
      </c>
      <c r="E130" s="19"/>
      <c r="F130" s="15" t="str">
        <f t="shared" si="32"/>
        <v/>
      </c>
      <c r="G130" s="14" t="str">
        <f t="shared" si="33"/>
        <v/>
      </c>
      <c r="H130" s="16" t="str">
        <f t="shared" si="1"/>
        <v/>
      </c>
      <c r="I130" s="14" t="str">
        <f t="shared" si="2"/>
        <v/>
      </c>
      <c r="J130" s="17">
        <f>SUMIF('ADV - GG'!A:A,A130,'ADV - GG'!H:H)+SUMIF('ADV - FB'!A:A,$A130,'ADV - FB'!I:I)</f>
        <v>0</v>
      </c>
      <c r="K130" s="22">
        <f>SUMIF('ADV - GA4'!A:A,A130,'ADV - GA4'!C:C)</f>
        <v>0</v>
      </c>
      <c r="L130" s="19" t="str">
        <f t="shared" si="34"/>
        <v/>
      </c>
      <c r="M130" s="20">
        <f t="shared" si="35"/>
        <v>0</v>
      </c>
      <c r="N130" s="14">
        <f t="shared" si="36"/>
        <v>0</v>
      </c>
      <c r="O130" s="15" t="str">
        <f>IFERROR(Planejador!$I$106,"")</f>
        <v/>
      </c>
      <c r="P130" s="14" t="str">
        <f>Planejador!$I$97</f>
        <v/>
      </c>
      <c r="Q130" s="16" t="str">
        <f>Planejador!$I$99</f>
        <v/>
      </c>
      <c r="R130" s="14" t="str">
        <f>iferror(Planejador!$I$103,"")</f>
        <v/>
      </c>
      <c r="S130" s="18">
        <f t="shared" si="37"/>
        <v>0</v>
      </c>
      <c r="T130" s="14" t="str">
        <f>Planejador!$I$98</f>
        <v/>
      </c>
      <c r="U130" s="4"/>
      <c r="V130" s="4"/>
      <c r="W130" s="4"/>
      <c r="X130" s="4"/>
      <c r="Y130" s="4"/>
      <c r="Z130" s="4"/>
      <c r="AA130" s="4"/>
      <c r="AB130" s="4"/>
    </row>
    <row r="131" ht="18.75" hidden="1" customHeight="1" outlineLevel="1">
      <c r="A131" s="12">
        <v>46146.0</v>
      </c>
      <c r="B131" s="13" t="str">
        <f t="shared" si="31"/>
        <v>segunda-feira</v>
      </c>
      <c r="C131" s="13"/>
      <c r="D131" s="14">
        <f>SUMIF('ADV - GG'!A:A,A131,'ADV - GG'!C:C)+SUMIF('ADV - FB'!A:A,$A131,'ADV - FB'!E:E)</f>
        <v>0</v>
      </c>
      <c r="E131" s="19"/>
      <c r="F131" s="15" t="str">
        <f t="shared" si="32"/>
        <v/>
      </c>
      <c r="G131" s="14" t="str">
        <f t="shared" si="33"/>
        <v/>
      </c>
      <c r="H131" s="16" t="str">
        <f t="shared" si="1"/>
        <v/>
      </c>
      <c r="I131" s="14" t="str">
        <f t="shared" si="2"/>
        <v/>
      </c>
      <c r="J131" s="17">
        <f>SUMIF('ADV - GG'!A:A,A131,'ADV - GG'!H:H)+SUMIF('ADV - FB'!A:A,$A131,'ADV - FB'!I:I)</f>
        <v>0</v>
      </c>
      <c r="K131" s="22">
        <f>SUMIF('ADV - GA4'!A:A,A131,'ADV - GA4'!C:C)</f>
        <v>0</v>
      </c>
      <c r="L131" s="19" t="str">
        <f t="shared" si="34"/>
        <v/>
      </c>
      <c r="M131" s="20">
        <f t="shared" si="35"/>
        <v>0</v>
      </c>
      <c r="N131" s="14">
        <f t="shared" si="36"/>
        <v>0</v>
      </c>
      <c r="O131" s="15" t="str">
        <f>IFERROR(Planejador!$I$106,"")</f>
        <v/>
      </c>
      <c r="P131" s="14" t="str">
        <f>Planejador!$I$97</f>
        <v/>
      </c>
      <c r="Q131" s="16" t="str">
        <f>Planejador!$I$99</f>
        <v/>
      </c>
      <c r="R131" s="14" t="str">
        <f>iferror(Planejador!$I$103,"")</f>
        <v/>
      </c>
      <c r="S131" s="18">
        <f t="shared" si="37"/>
        <v>0</v>
      </c>
      <c r="T131" s="14" t="str">
        <f>Planejador!$I$98</f>
        <v/>
      </c>
      <c r="U131" s="4"/>
      <c r="V131" s="4"/>
      <c r="W131" s="4"/>
      <c r="X131" s="4"/>
      <c r="Y131" s="4"/>
      <c r="Z131" s="4"/>
      <c r="AA131" s="4"/>
      <c r="AB131" s="4"/>
    </row>
    <row r="132" ht="18.75" hidden="1" customHeight="1" outlineLevel="1">
      <c r="A132" s="12">
        <v>46147.0</v>
      </c>
      <c r="B132" s="13" t="str">
        <f t="shared" si="31"/>
        <v>terça-feira</v>
      </c>
      <c r="C132" s="13"/>
      <c r="D132" s="14">
        <f>SUMIF('ADV - GG'!A:A,A132,'ADV - GG'!C:C)+SUMIF('ADV - FB'!A:A,$A132,'ADV - FB'!E:E)</f>
        <v>0</v>
      </c>
      <c r="E132" s="19"/>
      <c r="F132" s="15" t="str">
        <f t="shared" si="32"/>
        <v/>
      </c>
      <c r="G132" s="14" t="str">
        <f t="shared" si="33"/>
        <v/>
      </c>
      <c r="H132" s="16" t="str">
        <f t="shared" si="1"/>
        <v/>
      </c>
      <c r="I132" s="14" t="str">
        <f t="shared" si="2"/>
        <v/>
      </c>
      <c r="J132" s="17">
        <f>SUMIF('ADV - GG'!A:A,A132,'ADV - GG'!H:H)+SUMIF('ADV - FB'!A:A,$A132,'ADV - FB'!I:I)</f>
        <v>0</v>
      </c>
      <c r="K132" s="22">
        <f>SUMIF('ADV - GA4'!A:A,A132,'ADV - GA4'!C:C)</f>
        <v>0</v>
      </c>
      <c r="L132" s="19" t="str">
        <f t="shared" si="34"/>
        <v/>
      </c>
      <c r="M132" s="20">
        <f t="shared" si="35"/>
        <v>0</v>
      </c>
      <c r="N132" s="14">
        <f t="shared" si="36"/>
        <v>0</v>
      </c>
      <c r="O132" s="15" t="str">
        <f>IFERROR(Planejador!$I$106,"")</f>
        <v/>
      </c>
      <c r="P132" s="14" t="str">
        <f>Planejador!$I$97</f>
        <v/>
      </c>
      <c r="Q132" s="16" t="str">
        <f>Planejador!$I$99</f>
        <v/>
      </c>
      <c r="R132" s="14" t="str">
        <f>iferror(Planejador!$I$103,"")</f>
        <v/>
      </c>
      <c r="S132" s="18">
        <f t="shared" si="37"/>
        <v>0</v>
      </c>
      <c r="T132" s="14" t="str">
        <f>Planejador!$I$98</f>
        <v/>
      </c>
      <c r="U132" s="4"/>
      <c r="V132" s="4"/>
      <c r="W132" s="4"/>
      <c r="X132" s="4"/>
      <c r="Y132" s="4"/>
      <c r="Z132" s="4"/>
      <c r="AA132" s="4"/>
      <c r="AB132" s="4"/>
    </row>
    <row r="133" ht="18.75" hidden="1" customHeight="1" outlineLevel="1">
      <c r="A133" s="12">
        <v>46148.0</v>
      </c>
      <c r="B133" s="13" t="str">
        <f t="shared" si="31"/>
        <v>quarta-feira</v>
      </c>
      <c r="C133" s="13"/>
      <c r="D133" s="14">
        <f>SUMIF('ADV - GG'!A:A,A133,'ADV - GG'!C:C)+SUMIF('ADV - FB'!A:A,$A133,'ADV - FB'!E:E)</f>
        <v>0</v>
      </c>
      <c r="E133" s="19"/>
      <c r="F133" s="15" t="str">
        <f t="shared" si="32"/>
        <v/>
      </c>
      <c r="G133" s="14" t="str">
        <f t="shared" si="33"/>
        <v/>
      </c>
      <c r="H133" s="16" t="str">
        <f t="shared" si="1"/>
        <v/>
      </c>
      <c r="I133" s="14" t="str">
        <f t="shared" si="2"/>
        <v/>
      </c>
      <c r="J133" s="17">
        <f>SUMIF('ADV - GG'!A:A,A133,'ADV - GG'!H:H)+SUMIF('ADV - FB'!A:A,$A133,'ADV - FB'!I:I)</f>
        <v>0</v>
      </c>
      <c r="K133" s="22">
        <f>SUMIF('ADV - GA4'!A:A,A133,'ADV - GA4'!C:C)</f>
        <v>0</v>
      </c>
      <c r="L133" s="19" t="str">
        <f t="shared" si="34"/>
        <v/>
      </c>
      <c r="M133" s="20">
        <f t="shared" si="35"/>
        <v>0</v>
      </c>
      <c r="N133" s="14">
        <f t="shared" si="36"/>
        <v>0</v>
      </c>
      <c r="O133" s="15" t="str">
        <f>IFERROR(Planejador!$I$106,"")</f>
        <v/>
      </c>
      <c r="P133" s="14" t="str">
        <f>Planejador!$I$97</f>
        <v/>
      </c>
      <c r="Q133" s="16" t="str">
        <f>Planejador!$I$99</f>
        <v/>
      </c>
      <c r="R133" s="14" t="str">
        <f>iferror(Planejador!$I$103,"")</f>
        <v/>
      </c>
      <c r="S133" s="18">
        <f t="shared" si="37"/>
        <v>0</v>
      </c>
      <c r="T133" s="14" t="str">
        <f>Planejador!$I$98</f>
        <v/>
      </c>
      <c r="U133" s="4"/>
      <c r="V133" s="4"/>
      <c r="W133" s="4"/>
      <c r="X133" s="4"/>
      <c r="Y133" s="4"/>
      <c r="Z133" s="4"/>
      <c r="AA133" s="4"/>
      <c r="AB133" s="4"/>
    </row>
    <row r="134" ht="18.75" hidden="1" customHeight="1" outlineLevel="1">
      <c r="A134" s="12">
        <v>46149.0</v>
      </c>
      <c r="B134" s="13" t="str">
        <f t="shared" si="31"/>
        <v>quinta-feira</v>
      </c>
      <c r="C134" s="13"/>
      <c r="D134" s="14">
        <f>SUMIF('ADV - GG'!A:A,A134,'ADV - GG'!C:C)+SUMIF('ADV - FB'!A:A,$A134,'ADV - FB'!E:E)</f>
        <v>0</v>
      </c>
      <c r="E134" s="19"/>
      <c r="F134" s="15" t="str">
        <f t="shared" si="32"/>
        <v/>
      </c>
      <c r="G134" s="14" t="str">
        <f t="shared" si="33"/>
        <v/>
      </c>
      <c r="H134" s="16" t="str">
        <f t="shared" si="1"/>
        <v/>
      </c>
      <c r="I134" s="14" t="str">
        <f t="shared" si="2"/>
        <v/>
      </c>
      <c r="J134" s="17">
        <f>SUMIF('ADV - GG'!A:A,A134,'ADV - GG'!H:H)+SUMIF('ADV - FB'!A:A,$A134,'ADV - FB'!I:I)</f>
        <v>0</v>
      </c>
      <c r="K134" s="22">
        <f>SUMIF('ADV - GA4'!A:A,A134,'ADV - GA4'!C:C)</f>
        <v>0</v>
      </c>
      <c r="L134" s="19" t="str">
        <f t="shared" si="34"/>
        <v/>
      </c>
      <c r="M134" s="20">
        <f t="shared" si="35"/>
        <v>0</v>
      </c>
      <c r="N134" s="14">
        <f t="shared" si="36"/>
        <v>0</v>
      </c>
      <c r="O134" s="15" t="str">
        <f>IFERROR(Planejador!$I$106,"")</f>
        <v/>
      </c>
      <c r="P134" s="14" t="str">
        <f>Planejador!$I$97</f>
        <v/>
      </c>
      <c r="Q134" s="16" t="str">
        <f>Planejador!$I$99</f>
        <v/>
      </c>
      <c r="R134" s="14" t="str">
        <f>iferror(Planejador!$I$103,"")</f>
        <v/>
      </c>
      <c r="S134" s="18">
        <f t="shared" si="37"/>
        <v>0</v>
      </c>
      <c r="T134" s="14" t="str">
        <f>Planejador!$I$98</f>
        <v/>
      </c>
      <c r="U134" s="4"/>
      <c r="V134" s="4"/>
      <c r="W134" s="4"/>
      <c r="X134" s="4"/>
      <c r="Y134" s="4"/>
      <c r="Z134" s="4"/>
      <c r="AA134" s="4"/>
      <c r="AB134" s="4"/>
    </row>
    <row r="135" ht="18.75" hidden="1" customHeight="1" outlineLevel="1">
      <c r="A135" s="12">
        <v>46150.0</v>
      </c>
      <c r="B135" s="13" t="str">
        <f t="shared" si="31"/>
        <v>sexta-feira</v>
      </c>
      <c r="C135" s="13"/>
      <c r="D135" s="14">
        <f>SUMIF('ADV - GG'!A:A,A135,'ADV - GG'!C:C)+SUMIF('ADV - FB'!A:A,$A135,'ADV - FB'!E:E)</f>
        <v>0</v>
      </c>
      <c r="E135" s="19"/>
      <c r="F135" s="15" t="str">
        <f t="shared" si="32"/>
        <v/>
      </c>
      <c r="G135" s="14" t="str">
        <f t="shared" si="33"/>
        <v/>
      </c>
      <c r="H135" s="16" t="str">
        <f t="shared" si="1"/>
        <v/>
      </c>
      <c r="I135" s="14" t="str">
        <f t="shared" si="2"/>
        <v/>
      </c>
      <c r="J135" s="17">
        <f>SUMIF('ADV - GG'!A:A,A135,'ADV - GG'!H:H)+SUMIF('ADV - FB'!A:A,$A135,'ADV - FB'!I:I)</f>
        <v>0</v>
      </c>
      <c r="K135" s="22">
        <f>SUMIF('ADV - GA4'!A:A,A135,'ADV - GA4'!C:C)</f>
        <v>0</v>
      </c>
      <c r="L135" s="19" t="str">
        <f t="shared" si="34"/>
        <v/>
      </c>
      <c r="M135" s="20">
        <f t="shared" si="35"/>
        <v>0</v>
      </c>
      <c r="N135" s="14">
        <f t="shared" si="36"/>
        <v>0</v>
      </c>
      <c r="O135" s="15" t="str">
        <f>IFERROR(Planejador!$I$106,"")</f>
        <v/>
      </c>
      <c r="P135" s="14" t="str">
        <f>Planejador!$I$97</f>
        <v/>
      </c>
      <c r="Q135" s="16" t="str">
        <f>Planejador!$I$99</f>
        <v/>
      </c>
      <c r="R135" s="14" t="str">
        <f>iferror(Planejador!$I$103,"")</f>
        <v/>
      </c>
      <c r="S135" s="18">
        <f t="shared" si="37"/>
        <v>0</v>
      </c>
      <c r="T135" s="14" t="str">
        <f>Planejador!$I$98</f>
        <v/>
      </c>
      <c r="U135" s="4"/>
      <c r="V135" s="4"/>
      <c r="W135" s="4"/>
      <c r="X135" s="4"/>
      <c r="Y135" s="4"/>
      <c r="Z135" s="4"/>
      <c r="AA135" s="4"/>
      <c r="AB135" s="4"/>
    </row>
    <row r="136" ht="18.75" hidden="1" customHeight="1" outlineLevel="1">
      <c r="A136" s="12">
        <v>46151.0</v>
      </c>
      <c r="B136" s="13" t="str">
        <f t="shared" si="31"/>
        <v>sábado</v>
      </c>
      <c r="C136" s="13"/>
      <c r="D136" s="14">
        <f>SUMIF('ADV - GG'!A:A,A136,'ADV - GG'!C:C)+SUMIF('ADV - FB'!A:A,$A136,'ADV - FB'!E:E)</f>
        <v>0</v>
      </c>
      <c r="E136" s="19"/>
      <c r="F136" s="15" t="str">
        <f t="shared" si="32"/>
        <v/>
      </c>
      <c r="G136" s="14" t="str">
        <f t="shared" si="33"/>
        <v/>
      </c>
      <c r="H136" s="16" t="str">
        <f t="shared" si="1"/>
        <v/>
      </c>
      <c r="I136" s="14" t="str">
        <f t="shared" si="2"/>
        <v/>
      </c>
      <c r="J136" s="17">
        <f>SUMIF('ADV - GG'!A:A,A136,'ADV - GG'!H:H)+SUMIF('ADV - FB'!A:A,$A136,'ADV - FB'!I:I)</f>
        <v>0</v>
      </c>
      <c r="K136" s="22">
        <f>SUMIF('ADV - GA4'!A:A,A136,'ADV - GA4'!C:C)</f>
        <v>0</v>
      </c>
      <c r="L136" s="19" t="str">
        <f t="shared" si="34"/>
        <v/>
      </c>
      <c r="M136" s="20">
        <f t="shared" si="35"/>
        <v>0</v>
      </c>
      <c r="N136" s="14">
        <f t="shared" si="36"/>
        <v>0</v>
      </c>
      <c r="O136" s="15" t="str">
        <f>IFERROR(Planejador!$I$106,"")</f>
        <v/>
      </c>
      <c r="P136" s="14" t="str">
        <f>Planejador!$I$97</f>
        <v/>
      </c>
      <c r="Q136" s="16" t="str">
        <f>Planejador!$I$99</f>
        <v/>
      </c>
      <c r="R136" s="14" t="str">
        <f>iferror(Planejador!$I$103,"")</f>
        <v/>
      </c>
      <c r="S136" s="18">
        <f t="shared" si="37"/>
        <v>0</v>
      </c>
      <c r="T136" s="14" t="str">
        <f>Planejador!$I$98</f>
        <v/>
      </c>
      <c r="U136" s="4"/>
      <c r="V136" s="4"/>
      <c r="W136" s="4"/>
      <c r="X136" s="4"/>
      <c r="Y136" s="4"/>
      <c r="Z136" s="4"/>
      <c r="AA136" s="4"/>
      <c r="AB136" s="4"/>
    </row>
    <row r="137" ht="18.75" hidden="1" customHeight="1" outlineLevel="1">
      <c r="A137" s="12">
        <v>46152.0</v>
      </c>
      <c r="B137" s="13" t="str">
        <f t="shared" si="31"/>
        <v>domingo</v>
      </c>
      <c r="C137" s="13"/>
      <c r="D137" s="14">
        <f>SUMIF('ADV - GG'!A:A,A137,'ADV - GG'!C:C)+SUMIF('ADV - FB'!A:A,$A137,'ADV - FB'!E:E)</f>
        <v>0</v>
      </c>
      <c r="E137" s="19"/>
      <c r="F137" s="15" t="str">
        <f t="shared" si="32"/>
        <v/>
      </c>
      <c r="G137" s="14" t="str">
        <f t="shared" si="33"/>
        <v/>
      </c>
      <c r="H137" s="16" t="str">
        <f t="shared" si="1"/>
        <v/>
      </c>
      <c r="I137" s="14" t="str">
        <f t="shared" si="2"/>
        <v/>
      </c>
      <c r="J137" s="17">
        <f>SUMIF('ADV - GG'!A:A,A137,'ADV - GG'!H:H)+SUMIF('ADV - FB'!A:A,$A137,'ADV - FB'!I:I)</f>
        <v>0</v>
      </c>
      <c r="K137" s="22">
        <f>SUMIF('ADV - GA4'!A:A,A137,'ADV - GA4'!C:C)</f>
        <v>0</v>
      </c>
      <c r="L137" s="19" t="str">
        <f t="shared" si="34"/>
        <v/>
      </c>
      <c r="M137" s="20">
        <f t="shared" si="35"/>
        <v>0</v>
      </c>
      <c r="N137" s="14">
        <f t="shared" si="36"/>
        <v>0</v>
      </c>
      <c r="O137" s="15" t="str">
        <f>IFERROR(Planejador!$I$106,"")</f>
        <v/>
      </c>
      <c r="P137" s="14" t="str">
        <f>Planejador!$I$97</f>
        <v/>
      </c>
      <c r="Q137" s="16" t="str">
        <f>Planejador!$I$99</f>
        <v/>
      </c>
      <c r="R137" s="14" t="str">
        <f>iferror(Planejador!$I$103,"")</f>
        <v/>
      </c>
      <c r="S137" s="18">
        <f t="shared" si="37"/>
        <v>0</v>
      </c>
      <c r="T137" s="14" t="str">
        <f>Planejador!$I$98</f>
        <v/>
      </c>
      <c r="U137" s="4"/>
      <c r="V137" s="4"/>
      <c r="W137" s="4"/>
      <c r="X137" s="4"/>
      <c r="Y137" s="4"/>
      <c r="Z137" s="4"/>
      <c r="AA137" s="4"/>
      <c r="AB137" s="4"/>
    </row>
    <row r="138" ht="18.75" hidden="1" customHeight="1" outlineLevel="1">
      <c r="A138" s="12">
        <v>46153.0</v>
      </c>
      <c r="B138" s="13" t="str">
        <f t="shared" si="31"/>
        <v>segunda-feira</v>
      </c>
      <c r="C138" s="13"/>
      <c r="D138" s="14">
        <f>SUMIF('ADV - GG'!A:A,A138,'ADV - GG'!C:C)+SUMIF('ADV - FB'!A:A,$A138,'ADV - FB'!E:E)</f>
        <v>0</v>
      </c>
      <c r="E138" s="19"/>
      <c r="F138" s="15" t="str">
        <f t="shared" si="32"/>
        <v/>
      </c>
      <c r="G138" s="14" t="str">
        <f t="shared" si="33"/>
        <v/>
      </c>
      <c r="H138" s="16" t="str">
        <f t="shared" si="1"/>
        <v/>
      </c>
      <c r="I138" s="14" t="str">
        <f t="shared" si="2"/>
        <v/>
      </c>
      <c r="J138" s="17">
        <f>SUMIF('ADV - GG'!A:A,A138,'ADV - GG'!H:H)+SUMIF('ADV - FB'!A:A,$A138,'ADV - FB'!I:I)</f>
        <v>0</v>
      </c>
      <c r="K138" s="22">
        <f>SUMIF('ADV - GA4'!A:A,A138,'ADV - GA4'!C:C)</f>
        <v>0</v>
      </c>
      <c r="L138" s="19" t="str">
        <f t="shared" si="34"/>
        <v/>
      </c>
      <c r="M138" s="20">
        <f t="shared" si="35"/>
        <v>0</v>
      </c>
      <c r="N138" s="14">
        <f t="shared" si="36"/>
        <v>0</v>
      </c>
      <c r="O138" s="15" t="str">
        <f>IFERROR(Planejador!$I$106,"")</f>
        <v/>
      </c>
      <c r="P138" s="14" t="str">
        <f>Planejador!$I$97</f>
        <v/>
      </c>
      <c r="Q138" s="16" t="str">
        <f>Planejador!$I$99</f>
        <v/>
      </c>
      <c r="R138" s="14" t="str">
        <f>iferror(Planejador!$I$103,"")</f>
        <v/>
      </c>
      <c r="S138" s="18">
        <f t="shared" si="37"/>
        <v>0</v>
      </c>
      <c r="T138" s="14" t="str">
        <f>Planejador!$I$98</f>
        <v/>
      </c>
      <c r="U138" s="4"/>
      <c r="V138" s="4"/>
      <c r="W138" s="4"/>
      <c r="X138" s="4"/>
      <c r="Y138" s="4"/>
      <c r="Z138" s="4"/>
      <c r="AA138" s="4"/>
      <c r="AB138" s="4"/>
    </row>
    <row r="139" ht="18.75" hidden="1" customHeight="1" outlineLevel="1">
      <c r="A139" s="12">
        <v>46154.0</v>
      </c>
      <c r="B139" s="13" t="str">
        <f t="shared" si="31"/>
        <v>terça-feira</v>
      </c>
      <c r="C139" s="13"/>
      <c r="D139" s="14">
        <f>SUMIF('ADV - GG'!A:A,A139,'ADV - GG'!C:C)+SUMIF('ADV - FB'!A:A,$A139,'ADV - FB'!E:E)</f>
        <v>0</v>
      </c>
      <c r="E139" s="19"/>
      <c r="F139" s="15" t="str">
        <f t="shared" si="32"/>
        <v/>
      </c>
      <c r="G139" s="14" t="str">
        <f t="shared" si="33"/>
        <v/>
      </c>
      <c r="H139" s="16" t="str">
        <f t="shared" si="1"/>
        <v/>
      </c>
      <c r="I139" s="14" t="str">
        <f t="shared" si="2"/>
        <v/>
      </c>
      <c r="J139" s="17">
        <f>SUMIF('ADV - GG'!A:A,A139,'ADV - GG'!H:H)+SUMIF('ADV - FB'!A:A,$A139,'ADV - FB'!I:I)</f>
        <v>0</v>
      </c>
      <c r="K139" s="22">
        <f>SUMIF('ADV - GA4'!A:A,A139,'ADV - GA4'!C:C)</f>
        <v>0</v>
      </c>
      <c r="L139" s="19" t="str">
        <f t="shared" si="34"/>
        <v/>
      </c>
      <c r="M139" s="20">
        <f t="shared" si="35"/>
        <v>0</v>
      </c>
      <c r="N139" s="14">
        <f t="shared" si="36"/>
        <v>0</v>
      </c>
      <c r="O139" s="15" t="str">
        <f>IFERROR(Planejador!$I$106,"")</f>
        <v/>
      </c>
      <c r="P139" s="14" t="str">
        <f>Planejador!$I$97</f>
        <v/>
      </c>
      <c r="Q139" s="16" t="str">
        <f>Planejador!$I$99</f>
        <v/>
      </c>
      <c r="R139" s="14" t="str">
        <f>iferror(Planejador!$I$103,"")</f>
        <v/>
      </c>
      <c r="S139" s="18">
        <f t="shared" si="37"/>
        <v>0</v>
      </c>
      <c r="T139" s="14" t="str">
        <f>Planejador!$I$98</f>
        <v/>
      </c>
      <c r="U139" s="4"/>
      <c r="V139" s="4"/>
      <c r="W139" s="4"/>
      <c r="X139" s="4"/>
      <c r="Y139" s="4"/>
      <c r="Z139" s="4"/>
      <c r="AA139" s="4"/>
      <c r="AB139" s="4"/>
    </row>
    <row r="140" ht="18.75" hidden="1" customHeight="1" outlineLevel="1">
      <c r="A140" s="12">
        <v>46155.0</v>
      </c>
      <c r="B140" s="13" t="str">
        <f t="shared" si="31"/>
        <v>quarta-feira</v>
      </c>
      <c r="C140" s="13"/>
      <c r="D140" s="14">
        <f>SUMIF('ADV - GG'!A:A,A140,'ADV - GG'!C:C)+SUMIF('ADV - FB'!A:A,$A140,'ADV - FB'!E:E)</f>
        <v>0</v>
      </c>
      <c r="E140" s="19"/>
      <c r="F140" s="15" t="str">
        <f t="shared" si="32"/>
        <v/>
      </c>
      <c r="G140" s="14" t="str">
        <f t="shared" si="33"/>
        <v/>
      </c>
      <c r="H140" s="16" t="str">
        <f t="shared" si="1"/>
        <v/>
      </c>
      <c r="I140" s="14" t="str">
        <f t="shared" si="2"/>
        <v/>
      </c>
      <c r="J140" s="17">
        <f>SUMIF('ADV - GG'!A:A,A140,'ADV - GG'!H:H)+SUMIF('ADV - FB'!A:A,$A140,'ADV - FB'!I:I)</f>
        <v>0</v>
      </c>
      <c r="K140" s="22">
        <f>SUMIF('ADV - GA4'!A:A,A140,'ADV - GA4'!C:C)</f>
        <v>0</v>
      </c>
      <c r="L140" s="19" t="str">
        <f t="shared" si="34"/>
        <v/>
      </c>
      <c r="M140" s="20">
        <f t="shared" si="35"/>
        <v>0</v>
      </c>
      <c r="N140" s="14">
        <f t="shared" si="36"/>
        <v>0</v>
      </c>
      <c r="O140" s="15" t="str">
        <f>IFERROR(Planejador!$I$106,"")</f>
        <v/>
      </c>
      <c r="P140" s="14" t="str">
        <f>Planejador!$I$97</f>
        <v/>
      </c>
      <c r="Q140" s="16" t="str">
        <f>Planejador!$I$99</f>
        <v/>
      </c>
      <c r="R140" s="14" t="str">
        <f>iferror(Planejador!$I$103,"")</f>
        <v/>
      </c>
      <c r="S140" s="18">
        <f t="shared" si="37"/>
        <v>0</v>
      </c>
      <c r="T140" s="14" t="str">
        <f>Planejador!$I$98</f>
        <v/>
      </c>
      <c r="U140" s="4"/>
      <c r="V140" s="4"/>
      <c r="W140" s="4"/>
      <c r="X140" s="4"/>
      <c r="Y140" s="4"/>
      <c r="Z140" s="4"/>
      <c r="AA140" s="4"/>
      <c r="AB140" s="4"/>
    </row>
    <row r="141" ht="18.75" hidden="1" customHeight="1" outlineLevel="1">
      <c r="A141" s="12">
        <v>46156.0</v>
      </c>
      <c r="B141" s="13" t="str">
        <f t="shared" si="31"/>
        <v>quinta-feira</v>
      </c>
      <c r="C141" s="13"/>
      <c r="D141" s="14">
        <f>SUMIF('ADV - GG'!A:A,A141,'ADV - GG'!C:C)+SUMIF('ADV - FB'!A:A,$A141,'ADV - FB'!E:E)</f>
        <v>0</v>
      </c>
      <c r="E141" s="19"/>
      <c r="F141" s="15" t="str">
        <f t="shared" si="32"/>
        <v/>
      </c>
      <c r="G141" s="14" t="str">
        <f t="shared" si="33"/>
        <v/>
      </c>
      <c r="H141" s="16" t="str">
        <f t="shared" si="1"/>
        <v/>
      </c>
      <c r="I141" s="14" t="str">
        <f t="shared" si="2"/>
        <v/>
      </c>
      <c r="J141" s="17">
        <f>SUMIF('ADV - GG'!A:A,A141,'ADV - GG'!H:H)+SUMIF('ADV - FB'!A:A,$A141,'ADV - FB'!I:I)</f>
        <v>0</v>
      </c>
      <c r="K141" s="22">
        <f>SUMIF('ADV - GA4'!A:A,A141,'ADV - GA4'!C:C)</f>
        <v>0</v>
      </c>
      <c r="L141" s="19" t="str">
        <f t="shared" si="34"/>
        <v/>
      </c>
      <c r="M141" s="20">
        <f t="shared" si="35"/>
        <v>0</v>
      </c>
      <c r="N141" s="14">
        <f t="shared" si="36"/>
        <v>0</v>
      </c>
      <c r="O141" s="15" t="str">
        <f>IFERROR(Planejador!$I$106,"")</f>
        <v/>
      </c>
      <c r="P141" s="14" t="str">
        <f>Planejador!$I$97</f>
        <v/>
      </c>
      <c r="Q141" s="16" t="str">
        <f>Planejador!$I$99</f>
        <v/>
      </c>
      <c r="R141" s="14" t="str">
        <f>iferror(Planejador!$I$103,"")</f>
        <v/>
      </c>
      <c r="S141" s="18">
        <f t="shared" si="37"/>
        <v>0</v>
      </c>
      <c r="T141" s="14" t="str">
        <f>Planejador!$I$98</f>
        <v/>
      </c>
      <c r="U141" s="4"/>
      <c r="V141" s="4"/>
      <c r="W141" s="4"/>
      <c r="X141" s="4"/>
      <c r="Y141" s="4"/>
      <c r="Z141" s="4"/>
      <c r="AA141" s="4"/>
      <c r="AB141" s="4"/>
    </row>
    <row r="142" ht="18.75" hidden="1" customHeight="1" outlineLevel="1">
      <c r="A142" s="12">
        <v>46157.0</v>
      </c>
      <c r="B142" s="13" t="str">
        <f t="shared" si="31"/>
        <v>sexta-feira</v>
      </c>
      <c r="C142" s="13"/>
      <c r="D142" s="14">
        <f>SUMIF('ADV - GG'!A:A,A142,'ADV - GG'!C:C)+SUMIF('ADV - FB'!A:A,$A142,'ADV - FB'!E:E)</f>
        <v>0</v>
      </c>
      <c r="E142" s="19"/>
      <c r="F142" s="15" t="str">
        <f t="shared" si="32"/>
        <v/>
      </c>
      <c r="G142" s="14" t="str">
        <f t="shared" si="33"/>
        <v/>
      </c>
      <c r="H142" s="16" t="str">
        <f t="shared" si="1"/>
        <v/>
      </c>
      <c r="I142" s="14" t="str">
        <f t="shared" si="2"/>
        <v/>
      </c>
      <c r="J142" s="17">
        <f>SUMIF('ADV - GG'!A:A,A142,'ADV - GG'!H:H)+SUMIF('ADV - FB'!A:A,$A142,'ADV - FB'!I:I)</f>
        <v>0</v>
      </c>
      <c r="K142" s="22">
        <f>SUMIF('ADV - GA4'!A:A,A142,'ADV - GA4'!C:C)</f>
        <v>0</v>
      </c>
      <c r="L142" s="19" t="str">
        <f t="shared" si="34"/>
        <v/>
      </c>
      <c r="M142" s="20">
        <f t="shared" si="35"/>
        <v>0</v>
      </c>
      <c r="N142" s="14">
        <f t="shared" si="36"/>
        <v>0</v>
      </c>
      <c r="O142" s="15" t="str">
        <f>IFERROR(Planejador!$I$106,"")</f>
        <v/>
      </c>
      <c r="P142" s="14" t="str">
        <f>Planejador!$I$97</f>
        <v/>
      </c>
      <c r="Q142" s="16" t="str">
        <f>Planejador!$I$99</f>
        <v/>
      </c>
      <c r="R142" s="14" t="str">
        <f>iferror(Planejador!$I$103,"")</f>
        <v/>
      </c>
      <c r="S142" s="18">
        <f t="shared" si="37"/>
        <v>0</v>
      </c>
      <c r="T142" s="14" t="str">
        <f>Planejador!$I$98</f>
        <v/>
      </c>
      <c r="U142" s="4"/>
      <c r="V142" s="4"/>
      <c r="W142" s="4"/>
      <c r="X142" s="4"/>
      <c r="Y142" s="4"/>
      <c r="Z142" s="4"/>
      <c r="AA142" s="4"/>
      <c r="AB142" s="4"/>
    </row>
    <row r="143" ht="18.75" hidden="1" customHeight="1" outlineLevel="1">
      <c r="A143" s="12">
        <v>46158.0</v>
      </c>
      <c r="B143" s="13" t="str">
        <f t="shared" si="31"/>
        <v>sábado</v>
      </c>
      <c r="C143" s="13"/>
      <c r="D143" s="14">
        <f>SUMIF('ADV - GG'!A:A,A143,'ADV - GG'!C:C)+SUMIF('ADV - FB'!A:A,$A143,'ADV - FB'!E:E)</f>
        <v>0</v>
      </c>
      <c r="E143" s="19"/>
      <c r="F143" s="15" t="str">
        <f t="shared" si="32"/>
        <v/>
      </c>
      <c r="G143" s="14" t="str">
        <f t="shared" si="33"/>
        <v/>
      </c>
      <c r="H143" s="16" t="str">
        <f t="shared" si="1"/>
        <v/>
      </c>
      <c r="I143" s="14" t="str">
        <f t="shared" si="2"/>
        <v/>
      </c>
      <c r="J143" s="17">
        <f>SUMIF('ADV - GG'!A:A,A143,'ADV - GG'!H:H)+SUMIF('ADV - FB'!A:A,$A143,'ADV - FB'!I:I)</f>
        <v>0</v>
      </c>
      <c r="K143" s="22">
        <f>SUMIF('ADV - GA4'!A:A,A143,'ADV - GA4'!C:C)</f>
        <v>0</v>
      </c>
      <c r="L143" s="19" t="str">
        <f t="shared" si="34"/>
        <v/>
      </c>
      <c r="M143" s="20">
        <f t="shared" si="35"/>
        <v>0</v>
      </c>
      <c r="N143" s="14">
        <f t="shared" si="36"/>
        <v>0</v>
      </c>
      <c r="O143" s="15" t="str">
        <f>IFERROR(Planejador!$I$106,"")</f>
        <v/>
      </c>
      <c r="P143" s="14" t="str">
        <f>Planejador!$I$97</f>
        <v/>
      </c>
      <c r="Q143" s="16" t="str">
        <f>Planejador!$I$99</f>
        <v/>
      </c>
      <c r="R143" s="14" t="str">
        <f>iferror(Planejador!$I$103,"")</f>
        <v/>
      </c>
      <c r="S143" s="18">
        <f t="shared" si="37"/>
        <v>0</v>
      </c>
      <c r="T143" s="14" t="str">
        <f>Planejador!$I$98</f>
        <v/>
      </c>
      <c r="U143" s="4"/>
      <c r="V143" s="4"/>
      <c r="W143" s="4"/>
      <c r="X143" s="4"/>
      <c r="Y143" s="4"/>
      <c r="Z143" s="4"/>
      <c r="AA143" s="4"/>
      <c r="AB143" s="4"/>
    </row>
    <row r="144" ht="18.75" hidden="1" customHeight="1" outlineLevel="1">
      <c r="A144" s="12">
        <v>46159.0</v>
      </c>
      <c r="B144" s="13" t="str">
        <f t="shared" si="31"/>
        <v>domingo</v>
      </c>
      <c r="C144" s="13"/>
      <c r="D144" s="14">
        <f>SUMIF('ADV - GG'!A:A,A144,'ADV - GG'!C:C)+SUMIF('ADV - FB'!A:A,$A144,'ADV - FB'!E:E)</f>
        <v>0</v>
      </c>
      <c r="E144" s="19"/>
      <c r="F144" s="15" t="str">
        <f t="shared" si="32"/>
        <v/>
      </c>
      <c r="G144" s="14" t="str">
        <f t="shared" si="33"/>
        <v/>
      </c>
      <c r="H144" s="16" t="str">
        <f t="shared" si="1"/>
        <v/>
      </c>
      <c r="I144" s="14" t="str">
        <f t="shared" si="2"/>
        <v/>
      </c>
      <c r="J144" s="17">
        <f>SUMIF('ADV - GG'!A:A,A144,'ADV - GG'!H:H)+SUMIF('ADV - FB'!A:A,$A144,'ADV - FB'!I:I)</f>
        <v>0</v>
      </c>
      <c r="K144" s="22">
        <f>SUMIF('ADV - GA4'!A:A,A144,'ADV - GA4'!C:C)</f>
        <v>0</v>
      </c>
      <c r="L144" s="19" t="str">
        <f t="shared" si="34"/>
        <v/>
      </c>
      <c r="M144" s="20">
        <f t="shared" si="35"/>
        <v>0</v>
      </c>
      <c r="N144" s="14">
        <f t="shared" si="36"/>
        <v>0</v>
      </c>
      <c r="O144" s="15" t="str">
        <f>IFERROR(Planejador!$I$106,"")</f>
        <v/>
      </c>
      <c r="P144" s="14" t="str">
        <f>Planejador!$I$97</f>
        <v/>
      </c>
      <c r="Q144" s="16" t="str">
        <f>Planejador!$I$99</f>
        <v/>
      </c>
      <c r="R144" s="14" t="str">
        <f>iferror(Planejador!$I$103,"")</f>
        <v/>
      </c>
      <c r="S144" s="18">
        <f t="shared" si="37"/>
        <v>0</v>
      </c>
      <c r="T144" s="14" t="str">
        <f>Planejador!$I$98</f>
        <v/>
      </c>
      <c r="U144" s="4"/>
      <c r="V144" s="4"/>
      <c r="W144" s="4"/>
      <c r="X144" s="4"/>
      <c r="Y144" s="4"/>
      <c r="Z144" s="4"/>
      <c r="AA144" s="4"/>
      <c r="AB144" s="4"/>
    </row>
    <row r="145" ht="18.75" hidden="1" customHeight="1" outlineLevel="1">
      <c r="A145" s="12">
        <v>46160.0</v>
      </c>
      <c r="B145" s="13" t="str">
        <f t="shared" si="31"/>
        <v>segunda-feira</v>
      </c>
      <c r="C145" s="13"/>
      <c r="D145" s="14">
        <f>SUMIF('ADV - GG'!A:A,A145,'ADV - GG'!C:C)+SUMIF('ADV - FB'!A:A,$A145,'ADV - FB'!E:E)</f>
        <v>0</v>
      </c>
      <c r="E145" s="19"/>
      <c r="F145" s="15" t="str">
        <f t="shared" si="32"/>
        <v/>
      </c>
      <c r="G145" s="14" t="str">
        <f t="shared" si="33"/>
        <v/>
      </c>
      <c r="H145" s="16" t="str">
        <f t="shared" si="1"/>
        <v/>
      </c>
      <c r="I145" s="14" t="str">
        <f t="shared" si="2"/>
        <v/>
      </c>
      <c r="J145" s="17">
        <f>SUMIF('ADV - GG'!A:A,A145,'ADV - GG'!H:H)+SUMIF('ADV - FB'!A:A,$A145,'ADV - FB'!I:I)</f>
        <v>0</v>
      </c>
      <c r="K145" s="22">
        <f>SUMIF('ADV - GA4'!A:A,A145,'ADV - GA4'!C:C)</f>
        <v>0</v>
      </c>
      <c r="L145" s="19" t="str">
        <f t="shared" si="34"/>
        <v/>
      </c>
      <c r="M145" s="20">
        <f t="shared" si="35"/>
        <v>0</v>
      </c>
      <c r="N145" s="14">
        <f t="shared" si="36"/>
        <v>0</v>
      </c>
      <c r="O145" s="15" t="str">
        <f>IFERROR(Planejador!$I$106,"")</f>
        <v/>
      </c>
      <c r="P145" s="14" t="str">
        <f>Planejador!$I$97</f>
        <v/>
      </c>
      <c r="Q145" s="16" t="str">
        <f>Planejador!$I$99</f>
        <v/>
      </c>
      <c r="R145" s="14" t="str">
        <f>iferror(Planejador!$I$103,"")</f>
        <v/>
      </c>
      <c r="S145" s="18">
        <f t="shared" si="37"/>
        <v>0</v>
      </c>
      <c r="T145" s="14" t="str">
        <f>Planejador!$I$98</f>
        <v/>
      </c>
      <c r="U145" s="4"/>
      <c r="V145" s="4"/>
      <c r="W145" s="4"/>
      <c r="X145" s="4"/>
      <c r="Y145" s="4"/>
      <c r="Z145" s="4"/>
      <c r="AA145" s="4"/>
      <c r="AB145" s="4"/>
    </row>
    <row r="146" ht="18.75" hidden="1" customHeight="1" outlineLevel="1">
      <c r="A146" s="12">
        <v>46161.0</v>
      </c>
      <c r="B146" s="13" t="str">
        <f t="shared" si="31"/>
        <v>terça-feira</v>
      </c>
      <c r="C146" s="13"/>
      <c r="D146" s="14">
        <f>SUMIF('ADV - GG'!A:A,A146,'ADV - GG'!C:C)+SUMIF('ADV - FB'!A:A,$A146,'ADV - FB'!E:E)</f>
        <v>0</v>
      </c>
      <c r="E146" s="19"/>
      <c r="F146" s="15" t="str">
        <f t="shared" si="32"/>
        <v/>
      </c>
      <c r="G146" s="14" t="str">
        <f t="shared" si="33"/>
        <v/>
      </c>
      <c r="H146" s="16" t="str">
        <f t="shared" si="1"/>
        <v/>
      </c>
      <c r="I146" s="14" t="str">
        <f t="shared" si="2"/>
        <v/>
      </c>
      <c r="J146" s="17">
        <f>SUMIF('ADV - GG'!A:A,A146,'ADV - GG'!H:H)+SUMIF('ADV - FB'!A:A,$A146,'ADV - FB'!I:I)</f>
        <v>0</v>
      </c>
      <c r="K146" s="22">
        <f>SUMIF('ADV - GA4'!A:A,A146,'ADV - GA4'!C:C)</f>
        <v>0</v>
      </c>
      <c r="L146" s="19" t="str">
        <f t="shared" si="34"/>
        <v/>
      </c>
      <c r="M146" s="20">
        <f t="shared" si="35"/>
        <v>0</v>
      </c>
      <c r="N146" s="14">
        <f t="shared" si="36"/>
        <v>0</v>
      </c>
      <c r="O146" s="15" t="str">
        <f>IFERROR(Planejador!$I$106,"")</f>
        <v/>
      </c>
      <c r="P146" s="14" t="str">
        <f>Planejador!$I$97</f>
        <v/>
      </c>
      <c r="Q146" s="16" t="str">
        <f>Planejador!$I$99</f>
        <v/>
      </c>
      <c r="R146" s="14" t="str">
        <f>iferror(Planejador!$I$103,"")</f>
        <v/>
      </c>
      <c r="S146" s="18">
        <f t="shared" si="37"/>
        <v>0</v>
      </c>
      <c r="T146" s="14" t="str">
        <f>Planejador!$I$98</f>
        <v/>
      </c>
      <c r="U146" s="4"/>
      <c r="V146" s="4"/>
      <c r="W146" s="4"/>
      <c r="X146" s="4"/>
      <c r="Y146" s="4"/>
      <c r="Z146" s="4"/>
      <c r="AA146" s="4"/>
      <c r="AB146" s="4"/>
    </row>
    <row r="147" ht="18.75" hidden="1" customHeight="1" outlineLevel="1">
      <c r="A147" s="12">
        <v>46162.0</v>
      </c>
      <c r="B147" s="13" t="str">
        <f t="shared" si="31"/>
        <v>quarta-feira</v>
      </c>
      <c r="C147" s="13"/>
      <c r="D147" s="14">
        <f>SUMIF('ADV - GG'!A:A,A147,'ADV - GG'!C:C)+SUMIF('ADV - FB'!A:A,$A147,'ADV - FB'!E:E)</f>
        <v>0</v>
      </c>
      <c r="E147" s="19"/>
      <c r="F147" s="15" t="str">
        <f t="shared" si="32"/>
        <v/>
      </c>
      <c r="G147" s="14" t="str">
        <f t="shared" si="33"/>
        <v/>
      </c>
      <c r="H147" s="16" t="str">
        <f t="shared" si="1"/>
        <v/>
      </c>
      <c r="I147" s="14" t="str">
        <f t="shared" si="2"/>
        <v/>
      </c>
      <c r="J147" s="17">
        <f>SUMIF('ADV - GG'!A:A,A147,'ADV - GG'!H:H)+SUMIF('ADV - FB'!A:A,$A147,'ADV - FB'!I:I)</f>
        <v>0</v>
      </c>
      <c r="K147" s="22">
        <f>SUMIF('ADV - GA4'!A:A,A147,'ADV - GA4'!C:C)</f>
        <v>0</v>
      </c>
      <c r="L147" s="19" t="str">
        <f t="shared" si="34"/>
        <v/>
      </c>
      <c r="M147" s="20">
        <f t="shared" si="35"/>
        <v>0</v>
      </c>
      <c r="N147" s="14">
        <f t="shared" si="36"/>
        <v>0</v>
      </c>
      <c r="O147" s="15" t="str">
        <f>IFERROR(Planejador!$I$106,"")</f>
        <v/>
      </c>
      <c r="P147" s="14" t="str">
        <f>Planejador!$I$97</f>
        <v/>
      </c>
      <c r="Q147" s="16" t="str">
        <f>Planejador!$I$99</f>
        <v/>
      </c>
      <c r="R147" s="14" t="str">
        <f>iferror(Planejador!$I$103,"")</f>
        <v/>
      </c>
      <c r="S147" s="18">
        <f t="shared" si="37"/>
        <v>0</v>
      </c>
      <c r="T147" s="14" t="str">
        <f>Planejador!$I$98</f>
        <v/>
      </c>
      <c r="U147" s="4"/>
      <c r="V147" s="4"/>
      <c r="W147" s="4"/>
      <c r="X147" s="4"/>
      <c r="Y147" s="4"/>
      <c r="Z147" s="4"/>
      <c r="AA147" s="4"/>
      <c r="AB147" s="4"/>
    </row>
    <row r="148" ht="18.75" hidden="1" customHeight="1" outlineLevel="1">
      <c r="A148" s="12">
        <v>46163.0</v>
      </c>
      <c r="B148" s="13" t="str">
        <f t="shared" si="31"/>
        <v>quinta-feira</v>
      </c>
      <c r="C148" s="13"/>
      <c r="D148" s="14">
        <f>SUMIF('ADV - GG'!A:A,A148,'ADV - GG'!C:C)+SUMIF('ADV - FB'!A:A,$A148,'ADV - FB'!E:E)</f>
        <v>0</v>
      </c>
      <c r="E148" s="19"/>
      <c r="F148" s="15" t="str">
        <f t="shared" si="32"/>
        <v/>
      </c>
      <c r="G148" s="14" t="str">
        <f t="shared" si="33"/>
        <v/>
      </c>
      <c r="H148" s="16" t="str">
        <f t="shared" si="1"/>
        <v/>
      </c>
      <c r="I148" s="14" t="str">
        <f t="shared" si="2"/>
        <v/>
      </c>
      <c r="J148" s="17">
        <f>SUMIF('ADV - GG'!A:A,A148,'ADV - GG'!H:H)+SUMIF('ADV - FB'!A:A,$A148,'ADV - FB'!I:I)</f>
        <v>0</v>
      </c>
      <c r="K148" s="22">
        <f>SUMIF('ADV - GA4'!A:A,A148,'ADV - GA4'!C:C)</f>
        <v>0</v>
      </c>
      <c r="L148" s="19" t="str">
        <f t="shared" si="34"/>
        <v/>
      </c>
      <c r="M148" s="20">
        <f t="shared" si="35"/>
        <v>0</v>
      </c>
      <c r="N148" s="14">
        <f t="shared" si="36"/>
        <v>0</v>
      </c>
      <c r="O148" s="15" t="str">
        <f>IFERROR(Planejador!$I$106,"")</f>
        <v/>
      </c>
      <c r="P148" s="14" t="str">
        <f>Planejador!$I$97</f>
        <v/>
      </c>
      <c r="Q148" s="16" t="str">
        <f>Planejador!$I$99</f>
        <v/>
      </c>
      <c r="R148" s="14" t="str">
        <f>iferror(Planejador!$I$103,"")</f>
        <v/>
      </c>
      <c r="S148" s="18">
        <f t="shared" si="37"/>
        <v>0</v>
      </c>
      <c r="T148" s="14" t="str">
        <f>Planejador!$I$98</f>
        <v/>
      </c>
      <c r="U148" s="4"/>
      <c r="V148" s="4"/>
      <c r="W148" s="4"/>
      <c r="X148" s="4"/>
      <c r="Y148" s="4"/>
      <c r="Z148" s="4"/>
      <c r="AA148" s="4"/>
      <c r="AB148" s="4"/>
    </row>
    <row r="149" ht="18.75" hidden="1" customHeight="1" outlineLevel="1">
      <c r="A149" s="12">
        <v>46164.0</v>
      </c>
      <c r="B149" s="13" t="str">
        <f t="shared" si="31"/>
        <v>sexta-feira</v>
      </c>
      <c r="C149" s="13"/>
      <c r="D149" s="14">
        <f>SUMIF('ADV - GG'!A:A,A149,'ADV - GG'!C:C)+SUMIF('ADV - FB'!A:A,$A149,'ADV - FB'!E:E)</f>
        <v>0</v>
      </c>
      <c r="E149" s="19"/>
      <c r="F149" s="15" t="str">
        <f t="shared" si="32"/>
        <v/>
      </c>
      <c r="G149" s="14" t="str">
        <f t="shared" si="33"/>
        <v/>
      </c>
      <c r="H149" s="16" t="str">
        <f t="shared" si="1"/>
        <v/>
      </c>
      <c r="I149" s="14" t="str">
        <f t="shared" si="2"/>
        <v/>
      </c>
      <c r="J149" s="17">
        <f>SUMIF('ADV - GG'!A:A,A149,'ADV - GG'!H:H)+SUMIF('ADV - FB'!A:A,$A149,'ADV - FB'!I:I)</f>
        <v>0</v>
      </c>
      <c r="K149" s="22">
        <f>SUMIF('ADV - GA4'!A:A,A149,'ADV - GA4'!C:C)</f>
        <v>0</v>
      </c>
      <c r="L149" s="19" t="str">
        <f t="shared" si="34"/>
        <v/>
      </c>
      <c r="M149" s="20">
        <f t="shared" si="35"/>
        <v>0</v>
      </c>
      <c r="N149" s="14">
        <f t="shared" si="36"/>
        <v>0</v>
      </c>
      <c r="O149" s="15" t="str">
        <f>IFERROR(Planejador!$I$106,"")</f>
        <v/>
      </c>
      <c r="P149" s="14" t="str">
        <f>Planejador!$I$97</f>
        <v/>
      </c>
      <c r="Q149" s="16" t="str">
        <f>Planejador!$I$99</f>
        <v/>
      </c>
      <c r="R149" s="14" t="str">
        <f>iferror(Planejador!$I$103,"")</f>
        <v/>
      </c>
      <c r="S149" s="18">
        <f t="shared" si="37"/>
        <v>0</v>
      </c>
      <c r="T149" s="14" t="str">
        <f>Planejador!$I$98</f>
        <v/>
      </c>
      <c r="U149" s="4"/>
      <c r="V149" s="4"/>
      <c r="W149" s="4"/>
      <c r="X149" s="4"/>
      <c r="Y149" s="4"/>
      <c r="Z149" s="4"/>
      <c r="AA149" s="4"/>
      <c r="AB149" s="4"/>
    </row>
    <row r="150" ht="18.75" hidden="1" customHeight="1" outlineLevel="1">
      <c r="A150" s="12">
        <v>46165.0</v>
      </c>
      <c r="B150" s="13" t="str">
        <f t="shared" si="31"/>
        <v>sábado</v>
      </c>
      <c r="C150" s="13"/>
      <c r="D150" s="14">
        <f>SUMIF('ADV - GG'!A:A,A150,'ADV - GG'!C:C)+SUMIF('ADV - FB'!A:A,$A150,'ADV - FB'!E:E)</f>
        <v>0</v>
      </c>
      <c r="E150" s="19"/>
      <c r="F150" s="15" t="str">
        <f t="shared" si="32"/>
        <v/>
      </c>
      <c r="G150" s="14" t="str">
        <f t="shared" si="33"/>
        <v/>
      </c>
      <c r="H150" s="16" t="str">
        <f t="shared" si="1"/>
        <v/>
      </c>
      <c r="I150" s="14" t="str">
        <f t="shared" si="2"/>
        <v/>
      </c>
      <c r="J150" s="17">
        <f>SUMIF('ADV - GG'!A:A,A150,'ADV - GG'!H:H)+SUMIF('ADV - FB'!A:A,$A150,'ADV - FB'!I:I)</f>
        <v>0</v>
      </c>
      <c r="K150" s="22">
        <f>SUMIF('ADV - GA4'!A:A,A150,'ADV - GA4'!C:C)</f>
        <v>0</v>
      </c>
      <c r="L150" s="19" t="str">
        <f t="shared" si="34"/>
        <v/>
      </c>
      <c r="M150" s="20">
        <f t="shared" si="35"/>
        <v>0</v>
      </c>
      <c r="N150" s="14">
        <f t="shared" si="36"/>
        <v>0</v>
      </c>
      <c r="O150" s="15" t="str">
        <f>IFERROR(Planejador!$I$106,"")</f>
        <v/>
      </c>
      <c r="P150" s="14" t="str">
        <f>Planejador!$I$97</f>
        <v/>
      </c>
      <c r="Q150" s="16" t="str">
        <f>Planejador!$I$99</f>
        <v/>
      </c>
      <c r="R150" s="14" t="str">
        <f>iferror(Planejador!$I$103,"")</f>
        <v/>
      </c>
      <c r="S150" s="18">
        <f t="shared" si="37"/>
        <v>0</v>
      </c>
      <c r="T150" s="14" t="str">
        <f>Planejador!$I$98</f>
        <v/>
      </c>
      <c r="U150" s="4"/>
      <c r="V150" s="4"/>
      <c r="W150" s="4"/>
      <c r="X150" s="4"/>
      <c r="Y150" s="4"/>
      <c r="Z150" s="4"/>
      <c r="AA150" s="4"/>
      <c r="AB150" s="4"/>
    </row>
    <row r="151" ht="18.75" hidden="1" customHeight="1" outlineLevel="1">
      <c r="A151" s="12">
        <v>46166.0</v>
      </c>
      <c r="B151" s="13" t="str">
        <f t="shared" si="31"/>
        <v>domingo</v>
      </c>
      <c r="C151" s="13"/>
      <c r="D151" s="14">
        <f>SUMIF('ADV - GG'!A:A,A151,'ADV - GG'!C:C)+SUMIF('ADV - FB'!A:A,$A151,'ADV - FB'!E:E)</f>
        <v>0</v>
      </c>
      <c r="E151" s="19"/>
      <c r="F151" s="15" t="str">
        <f t="shared" si="32"/>
        <v/>
      </c>
      <c r="G151" s="14" t="str">
        <f t="shared" si="33"/>
        <v/>
      </c>
      <c r="H151" s="16" t="str">
        <f t="shared" si="1"/>
        <v/>
      </c>
      <c r="I151" s="14" t="str">
        <f t="shared" si="2"/>
        <v/>
      </c>
      <c r="J151" s="17">
        <f>SUMIF('ADV - GG'!A:A,A151,'ADV - GG'!H:H)+SUMIF('ADV - FB'!A:A,$A151,'ADV - FB'!I:I)</f>
        <v>0</v>
      </c>
      <c r="K151" s="22">
        <f>SUMIF('ADV - GA4'!A:A,A151,'ADV - GA4'!C:C)</f>
        <v>0</v>
      </c>
      <c r="L151" s="19" t="str">
        <f t="shared" si="34"/>
        <v/>
      </c>
      <c r="M151" s="20">
        <f t="shared" si="35"/>
        <v>0</v>
      </c>
      <c r="N151" s="14">
        <f t="shared" si="36"/>
        <v>0</v>
      </c>
      <c r="O151" s="15" t="str">
        <f>IFERROR(Planejador!$I$106,"")</f>
        <v/>
      </c>
      <c r="P151" s="14" t="str">
        <f>Planejador!$I$97</f>
        <v/>
      </c>
      <c r="Q151" s="16" t="str">
        <f>Planejador!$I$99</f>
        <v/>
      </c>
      <c r="R151" s="14" t="str">
        <f>iferror(Planejador!$I$103,"")</f>
        <v/>
      </c>
      <c r="S151" s="18">
        <f t="shared" si="37"/>
        <v>0</v>
      </c>
      <c r="T151" s="14" t="str">
        <f>Planejador!$I$98</f>
        <v/>
      </c>
      <c r="U151" s="4"/>
      <c r="V151" s="4"/>
      <c r="W151" s="4"/>
      <c r="X151" s="4"/>
      <c r="Y151" s="4"/>
      <c r="Z151" s="4"/>
      <c r="AA151" s="4"/>
      <c r="AB151" s="4"/>
    </row>
    <row r="152" ht="18.75" hidden="1" customHeight="1" outlineLevel="1">
      <c r="A152" s="12">
        <v>46167.0</v>
      </c>
      <c r="B152" s="13" t="str">
        <f t="shared" si="31"/>
        <v>segunda-feira</v>
      </c>
      <c r="C152" s="13"/>
      <c r="D152" s="14">
        <f>SUMIF('ADV - GG'!A:A,A152,'ADV - GG'!C:C)+SUMIF('ADV - FB'!A:A,$A152,'ADV - FB'!E:E)</f>
        <v>0</v>
      </c>
      <c r="E152" s="19"/>
      <c r="F152" s="15" t="str">
        <f t="shared" si="32"/>
        <v/>
      </c>
      <c r="G152" s="14" t="str">
        <f t="shared" si="33"/>
        <v/>
      </c>
      <c r="H152" s="16" t="str">
        <f t="shared" si="1"/>
        <v/>
      </c>
      <c r="I152" s="14" t="str">
        <f t="shared" si="2"/>
        <v/>
      </c>
      <c r="J152" s="17">
        <f>SUMIF('ADV - GG'!A:A,A152,'ADV - GG'!H:H)+SUMIF('ADV - FB'!A:A,$A152,'ADV - FB'!I:I)</f>
        <v>0</v>
      </c>
      <c r="K152" s="22">
        <f>SUMIF('ADV - GA4'!A:A,A152,'ADV - GA4'!C:C)</f>
        <v>0</v>
      </c>
      <c r="L152" s="19" t="str">
        <f t="shared" si="34"/>
        <v/>
      </c>
      <c r="M152" s="20">
        <f t="shared" si="35"/>
        <v>0</v>
      </c>
      <c r="N152" s="14">
        <f t="shared" si="36"/>
        <v>0</v>
      </c>
      <c r="O152" s="15" t="str">
        <f>IFERROR(Planejador!$I$106,"")</f>
        <v/>
      </c>
      <c r="P152" s="14" t="str">
        <f>Planejador!$I$97</f>
        <v/>
      </c>
      <c r="Q152" s="16" t="str">
        <f>Planejador!$I$99</f>
        <v/>
      </c>
      <c r="R152" s="14" t="str">
        <f>iferror(Planejador!$I$103,"")</f>
        <v/>
      </c>
      <c r="S152" s="18">
        <f t="shared" si="37"/>
        <v>0</v>
      </c>
      <c r="T152" s="14" t="str">
        <f>Planejador!$I$98</f>
        <v/>
      </c>
      <c r="U152" s="4"/>
      <c r="V152" s="4"/>
      <c r="W152" s="4"/>
      <c r="X152" s="4"/>
      <c r="Y152" s="4"/>
      <c r="Z152" s="4"/>
      <c r="AA152" s="4"/>
      <c r="AB152" s="4"/>
    </row>
    <row r="153" ht="18.75" hidden="1" customHeight="1" outlineLevel="1">
      <c r="A153" s="12">
        <v>46168.0</v>
      </c>
      <c r="B153" s="13" t="str">
        <f t="shared" si="31"/>
        <v>terça-feira</v>
      </c>
      <c r="C153" s="13"/>
      <c r="D153" s="14">
        <f>SUMIF('ADV - GG'!A:A,A153,'ADV - GG'!C:C)+SUMIF('ADV - FB'!A:A,$A153,'ADV - FB'!E:E)</f>
        <v>0</v>
      </c>
      <c r="E153" s="19"/>
      <c r="F153" s="15" t="str">
        <f t="shared" si="32"/>
        <v/>
      </c>
      <c r="G153" s="14" t="str">
        <f t="shared" si="33"/>
        <v/>
      </c>
      <c r="H153" s="16" t="str">
        <f t="shared" si="1"/>
        <v/>
      </c>
      <c r="I153" s="14" t="str">
        <f t="shared" si="2"/>
        <v/>
      </c>
      <c r="J153" s="17">
        <f>SUMIF('ADV - GG'!A:A,A153,'ADV - GG'!H:H)+SUMIF('ADV - FB'!A:A,$A153,'ADV - FB'!I:I)</f>
        <v>0</v>
      </c>
      <c r="K153" s="22">
        <f>SUMIF('ADV - GA4'!A:A,A153,'ADV - GA4'!C:C)</f>
        <v>0</v>
      </c>
      <c r="L153" s="19" t="str">
        <f t="shared" si="34"/>
        <v/>
      </c>
      <c r="M153" s="20">
        <f t="shared" si="35"/>
        <v>0</v>
      </c>
      <c r="N153" s="14">
        <f t="shared" si="36"/>
        <v>0</v>
      </c>
      <c r="O153" s="15" t="str">
        <f>IFERROR(Planejador!$I$106,"")</f>
        <v/>
      </c>
      <c r="P153" s="14" t="str">
        <f>Planejador!$I$97</f>
        <v/>
      </c>
      <c r="Q153" s="16" t="str">
        <f>Planejador!$I$99</f>
        <v/>
      </c>
      <c r="R153" s="14" t="str">
        <f>iferror(Planejador!$I$103,"")</f>
        <v/>
      </c>
      <c r="S153" s="18">
        <f t="shared" si="37"/>
        <v>0</v>
      </c>
      <c r="T153" s="14" t="str">
        <f>Planejador!$I$98</f>
        <v/>
      </c>
      <c r="U153" s="4"/>
      <c r="V153" s="4"/>
      <c r="W153" s="4"/>
      <c r="X153" s="4"/>
      <c r="Y153" s="4"/>
      <c r="Z153" s="4"/>
      <c r="AA153" s="4"/>
      <c r="AB153" s="4"/>
    </row>
    <row r="154" ht="18.75" hidden="1" customHeight="1" outlineLevel="1">
      <c r="A154" s="12">
        <v>46169.0</v>
      </c>
      <c r="B154" s="13" t="str">
        <f t="shared" si="31"/>
        <v>quarta-feira</v>
      </c>
      <c r="C154" s="13"/>
      <c r="D154" s="14">
        <f>SUMIF('ADV - GG'!A:A,A154,'ADV - GG'!C:C)+SUMIF('ADV - FB'!A:A,$A154,'ADV - FB'!E:E)</f>
        <v>0</v>
      </c>
      <c r="E154" s="19"/>
      <c r="F154" s="15" t="str">
        <f t="shared" si="32"/>
        <v/>
      </c>
      <c r="G154" s="14" t="str">
        <f t="shared" si="33"/>
        <v/>
      </c>
      <c r="H154" s="16" t="str">
        <f t="shared" si="1"/>
        <v/>
      </c>
      <c r="I154" s="14" t="str">
        <f t="shared" si="2"/>
        <v/>
      </c>
      <c r="J154" s="17">
        <f>SUMIF('ADV - GG'!A:A,A154,'ADV - GG'!H:H)+SUMIF('ADV - FB'!A:A,$A154,'ADV - FB'!I:I)</f>
        <v>0</v>
      </c>
      <c r="K154" s="22">
        <f>SUMIF('ADV - GA4'!A:A,A154,'ADV - GA4'!C:C)</f>
        <v>0</v>
      </c>
      <c r="L154" s="19" t="str">
        <f t="shared" si="34"/>
        <v/>
      </c>
      <c r="M154" s="20">
        <f t="shared" si="35"/>
        <v>0</v>
      </c>
      <c r="N154" s="14">
        <f t="shared" si="36"/>
        <v>0</v>
      </c>
      <c r="O154" s="15" t="str">
        <f>IFERROR(Planejador!$I$106,"")</f>
        <v/>
      </c>
      <c r="P154" s="14" t="str">
        <f>Planejador!$I$97</f>
        <v/>
      </c>
      <c r="Q154" s="16" t="str">
        <f>Planejador!$I$99</f>
        <v/>
      </c>
      <c r="R154" s="14" t="str">
        <f>iferror(Planejador!$I$103,"")</f>
        <v/>
      </c>
      <c r="S154" s="18">
        <f t="shared" si="37"/>
        <v>0</v>
      </c>
      <c r="T154" s="14" t="str">
        <f>Planejador!$I$98</f>
        <v/>
      </c>
      <c r="U154" s="4"/>
      <c r="V154" s="4"/>
      <c r="W154" s="4"/>
      <c r="X154" s="4"/>
      <c r="Y154" s="4"/>
      <c r="Z154" s="4"/>
      <c r="AA154" s="4"/>
      <c r="AB154" s="4"/>
    </row>
    <row r="155" ht="18.75" hidden="1" customHeight="1" outlineLevel="1">
      <c r="A155" s="12">
        <v>46170.0</v>
      </c>
      <c r="B155" s="13" t="str">
        <f t="shared" si="31"/>
        <v>quinta-feira</v>
      </c>
      <c r="C155" s="13"/>
      <c r="D155" s="14">
        <f>SUMIF('ADV - GG'!A:A,A155,'ADV - GG'!C:C)+SUMIF('ADV - FB'!A:A,$A155,'ADV - FB'!E:E)</f>
        <v>0</v>
      </c>
      <c r="E155" s="19"/>
      <c r="F155" s="15" t="str">
        <f t="shared" si="32"/>
        <v/>
      </c>
      <c r="G155" s="14" t="str">
        <f t="shared" si="33"/>
        <v/>
      </c>
      <c r="H155" s="16" t="str">
        <f t="shared" si="1"/>
        <v/>
      </c>
      <c r="I155" s="14" t="str">
        <f t="shared" si="2"/>
        <v/>
      </c>
      <c r="J155" s="17">
        <f>SUMIF('ADV - GG'!A:A,A155,'ADV - GG'!H:H)+SUMIF('ADV - FB'!A:A,$A155,'ADV - FB'!I:I)</f>
        <v>0</v>
      </c>
      <c r="K155" s="22">
        <f>SUMIF('ADV - GA4'!A:A,A155,'ADV - GA4'!C:C)</f>
        <v>0</v>
      </c>
      <c r="L155" s="19" t="str">
        <f t="shared" si="34"/>
        <v/>
      </c>
      <c r="M155" s="20">
        <f t="shared" si="35"/>
        <v>0</v>
      </c>
      <c r="N155" s="14">
        <f t="shared" si="36"/>
        <v>0</v>
      </c>
      <c r="O155" s="15" t="str">
        <f>IFERROR(Planejador!$I$106,"")</f>
        <v/>
      </c>
      <c r="P155" s="14" t="str">
        <f>Planejador!$I$97</f>
        <v/>
      </c>
      <c r="Q155" s="16" t="str">
        <f>Planejador!$I$99</f>
        <v/>
      </c>
      <c r="R155" s="14" t="str">
        <f>iferror(Planejador!$I$103,"")</f>
        <v/>
      </c>
      <c r="S155" s="18">
        <f t="shared" si="37"/>
        <v>0</v>
      </c>
      <c r="T155" s="14" t="str">
        <f>Planejador!$I$98</f>
        <v/>
      </c>
      <c r="U155" s="4"/>
      <c r="V155" s="4"/>
      <c r="W155" s="4"/>
      <c r="X155" s="4"/>
      <c r="Y155" s="4"/>
      <c r="Z155" s="4"/>
      <c r="AA155" s="4"/>
      <c r="AB155" s="4"/>
    </row>
    <row r="156" ht="18.75" hidden="1" customHeight="1" outlineLevel="1">
      <c r="A156" s="12">
        <v>46171.0</v>
      </c>
      <c r="B156" s="13" t="str">
        <f t="shared" si="31"/>
        <v>sexta-feira</v>
      </c>
      <c r="C156" s="13"/>
      <c r="D156" s="14">
        <f>SUMIF('ADV - GG'!A:A,A156,'ADV - GG'!C:C)+SUMIF('ADV - FB'!A:A,$A156,'ADV - FB'!E:E)</f>
        <v>0</v>
      </c>
      <c r="E156" s="19"/>
      <c r="F156" s="15" t="str">
        <f t="shared" si="32"/>
        <v/>
      </c>
      <c r="G156" s="14" t="str">
        <f t="shared" si="33"/>
        <v/>
      </c>
      <c r="H156" s="16" t="str">
        <f t="shared" si="1"/>
        <v/>
      </c>
      <c r="I156" s="14" t="str">
        <f t="shared" si="2"/>
        <v/>
      </c>
      <c r="J156" s="17">
        <f>SUMIF('ADV - GG'!A:A,A156,'ADV - GG'!H:H)+SUMIF('ADV - FB'!A:A,$A156,'ADV - FB'!I:I)</f>
        <v>0</v>
      </c>
      <c r="K156" s="22">
        <f>SUMIF('ADV - GA4'!A:A,A156,'ADV - GA4'!C:C)</f>
        <v>0</v>
      </c>
      <c r="L156" s="19" t="str">
        <f t="shared" si="34"/>
        <v/>
      </c>
      <c r="M156" s="20">
        <f t="shared" si="35"/>
        <v>0</v>
      </c>
      <c r="N156" s="14">
        <f t="shared" si="36"/>
        <v>0</v>
      </c>
      <c r="O156" s="15" t="str">
        <f>IFERROR(Planejador!$I$106,"")</f>
        <v/>
      </c>
      <c r="P156" s="14" t="str">
        <f>Planejador!$I$97</f>
        <v/>
      </c>
      <c r="Q156" s="16" t="str">
        <f>Planejador!$I$99</f>
        <v/>
      </c>
      <c r="R156" s="14" t="str">
        <f>iferror(Planejador!$I$103,"")</f>
        <v/>
      </c>
      <c r="S156" s="18">
        <f t="shared" si="37"/>
        <v>0</v>
      </c>
      <c r="T156" s="14" t="str">
        <f>Planejador!$I$98</f>
        <v/>
      </c>
      <c r="U156" s="4"/>
      <c r="V156" s="4"/>
      <c r="W156" s="4"/>
      <c r="X156" s="4"/>
      <c r="Y156" s="4"/>
      <c r="Z156" s="4"/>
      <c r="AA156" s="4"/>
      <c r="AB156" s="4"/>
    </row>
    <row r="157" ht="18.75" hidden="1" customHeight="1" outlineLevel="1">
      <c r="A157" s="12">
        <v>46172.0</v>
      </c>
      <c r="B157" s="13" t="str">
        <f t="shared" si="31"/>
        <v>sábado</v>
      </c>
      <c r="C157" s="13"/>
      <c r="D157" s="14">
        <f>SUMIF('ADV - GG'!A:A,A157,'ADV - GG'!C:C)+SUMIF('ADV - FB'!A:A,$A157,'ADV - FB'!E:E)</f>
        <v>0</v>
      </c>
      <c r="E157" s="19"/>
      <c r="F157" s="15" t="str">
        <f t="shared" si="32"/>
        <v/>
      </c>
      <c r="G157" s="14" t="str">
        <f t="shared" si="33"/>
        <v/>
      </c>
      <c r="H157" s="16" t="str">
        <f t="shared" si="1"/>
        <v/>
      </c>
      <c r="I157" s="14" t="str">
        <f t="shared" si="2"/>
        <v/>
      </c>
      <c r="J157" s="17">
        <f>SUMIF('ADV - GG'!A:A,A157,'ADV - GG'!H:H)+SUMIF('ADV - FB'!A:A,$A157,'ADV - FB'!I:I)</f>
        <v>0</v>
      </c>
      <c r="K157" s="22">
        <f>SUMIF('ADV - GA4'!A:A,A157,'ADV - GA4'!C:C)</f>
        <v>0</v>
      </c>
      <c r="L157" s="19" t="str">
        <f t="shared" si="34"/>
        <v/>
      </c>
      <c r="M157" s="20">
        <f t="shared" si="35"/>
        <v>0</v>
      </c>
      <c r="N157" s="14">
        <f t="shared" si="36"/>
        <v>0</v>
      </c>
      <c r="O157" s="15" t="str">
        <f>IFERROR(Planejador!$I$106,"")</f>
        <v/>
      </c>
      <c r="P157" s="14" t="str">
        <f>Planejador!$I$97</f>
        <v/>
      </c>
      <c r="Q157" s="16" t="str">
        <f>Planejador!$I$99</f>
        <v/>
      </c>
      <c r="R157" s="14" t="str">
        <f>iferror(Planejador!$I$103,"")</f>
        <v/>
      </c>
      <c r="S157" s="18">
        <f t="shared" si="37"/>
        <v>0</v>
      </c>
      <c r="T157" s="14" t="str">
        <f>Planejador!$I$98</f>
        <v/>
      </c>
      <c r="U157" s="4"/>
      <c r="V157" s="4"/>
      <c r="W157" s="4"/>
      <c r="X157" s="4"/>
      <c r="Y157" s="4"/>
      <c r="Z157" s="4"/>
      <c r="AA157" s="4"/>
      <c r="AB157" s="4"/>
    </row>
    <row r="158" ht="18.75" hidden="1" customHeight="1" outlineLevel="1">
      <c r="A158" s="12">
        <v>46173.0</v>
      </c>
      <c r="B158" s="13" t="str">
        <f t="shared" si="31"/>
        <v>domingo</v>
      </c>
      <c r="C158" s="13"/>
      <c r="D158" s="14">
        <f>SUMIF('ADV - GG'!A:A,A158,'ADV - GG'!C:C)+SUMIF('ADV - FB'!A:A,$A158,'ADV - FB'!E:E)</f>
        <v>0</v>
      </c>
      <c r="E158" s="19"/>
      <c r="F158" s="15" t="str">
        <f t="shared" si="32"/>
        <v/>
      </c>
      <c r="G158" s="14" t="str">
        <f t="shared" si="33"/>
        <v/>
      </c>
      <c r="H158" s="16" t="str">
        <f t="shared" si="1"/>
        <v/>
      </c>
      <c r="I158" s="14" t="str">
        <f t="shared" si="2"/>
        <v/>
      </c>
      <c r="J158" s="17">
        <f>SUMIF('ADV - GG'!A:A,A158,'ADV - GG'!H:H)+SUMIF('ADV - FB'!A:A,$A158,'ADV - FB'!I:I)</f>
        <v>0</v>
      </c>
      <c r="K158" s="22">
        <f>SUMIF('ADV - GA4'!A:A,A158,'ADV - GA4'!C:C)</f>
        <v>0</v>
      </c>
      <c r="L158" s="19" t="str">
        <f t="shared" si="34"/>
        <v/>
      </c>
      <c r="M158" s="20">
        <f t="shared" si="35"/>
        <v>0</v>
      </c>
      <c r="N158" s="14">
        <f t="shared" si="36"/>
        <v>0</v>
      </c>
      <c r="O158" s="15" t="str">
        <f>IFERROR(Planejador!$I$106,"")</f>
        <v/>
      </c>
      <c r="P158" s="14" t="str">
        <f>Planejador!$I$97</f>
        <v/>
      </c>
      <c r="Q158" s="16" t="str">
        <f>Planejador!$I$99</f>
        <v/>
      </c>
      <c r="R158" s="14" t="str">
        <f>iferror(Planejador!$I$103,"")</f>
        <v/>
      </c>
      <c r="S158" s="18">
        <f t="shared" si="37"/>
        <v>0</v>
      </c>
      <c r="T158" s="14" t="str">
        <f>Planejador!$I$98</f>
        <v/>
      </c>
      <c r="U158" s="4"/>
      <c r="V158" s="4"/>
      <c r="W158" s="4"/>
      <c r="X158" s="4"/>
      <c r="Y158" s="4"/>
      <c r="Z158" s="4"/>
      <c r="AA158" s="4"/>
      <c r="AB158" s="4"/>
    </row>
    <row r="159" ht="18.75" customHeight="1" collapsed="1">
      <c r="A159" s="25" t="s">
        <v>26</v>
      </c>
      <c r="B159" s="26">
        <v>30.0</v>
      </c>
      <c r="C159" s="27"/>
      <c r="D159" s="28">
        <f t="shared" ref="D159:E159" si="38">IFERROR(SUM(D160:D189),"")</f>
        <v>0</v>
      </c>
      <c r="E159" s="28">
        <f t="shared" si="38"/>
        <v>0</v>
      </c>
      <c r="F159" s="29" t="str">
        <f t="shared" si="32"/>
        <v/>
      </c>
      <c r="G159" s="30" t="str">
        <f t="shared" si="33"/>
        <v/>
      </c>
      <c r="H159" s="31" t="str">
        <f>IFERROR(J159/K159,"")</f>
        <v/>
      </c>
      <c r="I159" s="30" t="str">
        <f>IFERROR(D159/J159,"")</f>
        <v/>
      </c>
      <c r="J159" s="32">
        <f t="shared" ref="J159:K159" si="39">IFERROR(SUM(J160:J189),"")</f>
        <v>0</v>
      </c>
      <c r="K159" s="32">
        <f t="shared" si="39"/>
        <v>0</v>
      </c>
      <c r="L159" s="30" t="str">
        <f t="shared" si="34"/>
        <v/>
      </c>
      <c r="M159" s="28" t="str">
        <f>Planejador!$I$119</f>
        <v/>
      </c>
      <c r="N159" s="28" t="str">
        <f>IFERROR(Planejador!$I$128,"")</f>
        <v/>
      </c>
      <c r="O159" s="33" t="str">
        <f>IFERROR(Planejador!$I$129,"")</f>
        <v/>
      </c>
      <c r="P159" s="34" t="str">
        <f>Planejador!$I$120</f>
        <v/>
      </c>
      <c r="Q159" s="35" t="str">
        <f>Planejador!$I$122</f>
        <v/>
      </c>
      <c r="R159" s="34" t="str">
        <f>IFERROR(Planejador!$I$126,"")</f>
        <v/>
      </c>
      <c r="S159" s="32" t="str">
        <f>IFERROR(Planejador!$I$125,"")</f>
        <v/>
      </c>
      <c r="T159" s="34" t="str">
        <f>IFERROR(Planejador!$I$121,"")</f>
        <v/>
      </c>
      <c r="U159" s="4"/>
      <c r="V159" s="4"/>
      <c r="W159" s="4"/>
      <c r="X159" s="4"/>
      <c r="Y159" s="4"/>
      <c r="Z159" s="4"/>
      <c r="AA159" s="4"/>
      <c r="AB159" s="4"/>
    </row>
    <row r="160" ht="18.75" hidden="1" customHeight="1" outlineLevel="1">
      <c r="A160" s="12">
        <v>46174.0</v>
      </c>
      <c r="B160" s="13" t="str">
        <f t="shared" ref="B160:B189" si="40">TEXT(A160,"dddd")</f>
        <v>segunda-feira</v>
      </c>
      <c r="C160" s="13"/>
      <c r="D160" s="14">
        <f>SUMIF('ADV - GG'!A:A,A160,'ADV - GG'!C:C)+SUMIF('ADV - FB'!A:A,$A160,'ADV - FB'!E:E)</f>
        <v>0</v>
      </c>
      <c r="E160" s="19"/>
      <c r="F160" s="15" t="str">
        <f t="shared" si="32"/>
        <v/>
      </c>
      <c r="G160" s="14" t="str">
        <f t="shared" si="33"/>
        <v/>
      </c>
      <c r="H160" s="16" t="str">
        <f t="shared" ref="H160:H189" si="41">iferror(J160/K160,"")</f>
        <v/>
      </c>
      <c r="I160" s="14" t="str">
        <f t="shared" ref="I160:I189" si="42">iferror(D160/J160,"")</f>
        <v/>
      </c>
      <c r="J160" s="17">
        <f>SUMIF('ADV - GG'!A:A,A160,'ADV - GG'!H:H)+SUMIF('ADV - FB'!A:A,$A160,'ADV - FB'!I:I)</f>
        <v>0</v>
      </c>
      <c r="K160" s="22">
        <f>SUMIF('ADV - GA4'!A:A,A160,'ADV - GA4'!C:C)</f>
        <v>0</v>
      </c>
      <c r="L160" s="19" t="str">
        <f t="shared" si="34"/>
        <v/>
      </c>
      <c r="M160" s="20">
        <f t="shared" ref="M160:M189" si="43">$M$159/$B$159</f>
        <v>0</v>
      </c>
      <c r="N160" s="14">
        <f t="shared" ref="N160:N189" si="44">$N$159/$B$159</f>
        <v>0</v>
      </c>
      <c r="O160" s="15" t="str">
        <f>Planejador!$I$129</f>
        <v>#DIV/0!</v>
      </c>
      <c r="P160" s="14" t="str">
        <f>Planejador!$I$120</f>
        <v/>
      </c>
      <c r="Q160" s="16" t="str">
        <f>Planejador!$I$122</f>
        <v/>
      </c>
      <c r="R160" s="14" t="str">
        <f>Planejador!$I$126</f>
        <v>#DIV/0!</v>
      </c>
      <c r="S160" s="18">
        <f t="shared" ref="S160:S189" si="45">$S$159/$B$159</f>
        <v>0</v>
      </c>
      <c r="T160" s="14" t="str">
        <f>Planejador!$I$121</f>
        <v/>
      </c>
      <c r="U160" s="4"/>
      <c r="V160" s="4"/>
      <c r="W160" s="4"/>
      <c r="X160" s="4"/>
      <c r="Y160" s="4"/>
      <c r="Z160" s="4"/>
      <c r="AA160" s="4"/>
      <c r="AB160" s="4"/>
    </row>
    <row r="161" ht="18.75" hidden="1" customHeight="1" outlineLevel="1">
      <c r="A161" s="12">
        <v>46175.0</v>
      </c>
      <c r="B161" s="13" t="str">
        <f t="shared" si="40"/>
        <v>terça-feira</v>
      </c>
      <c r="C161" s="13"/>
      <c r="D161" s="14">
        <f>SUMIF('ADV - GG'!A:A,A161,'ADV - GG'!C:C)+SUMIF('ADV - FB'!A:A,$A161,'ADV - FB'!E:E)</f>
        <v>0</v>
      </c>
      <c r="E161" s="19"/>
      <c r="F161" s="15" t="str">
        <f t="shared" si="32"/>
        <v/>
      </c>
      <c r="G161" s="14" t="str">
        <f t="shared" si="33"/>
        <v/>
      </c>
      <c r="H161" s="16" t="str">
        <f t="shared" si="41"/>
        <v/>
      </c>
      <c r="I161" s="14" t="str">
        <f t="shared" si="42"/>
        <v/>
      </c>
      <c r="J161" s="17">
        <f>SUMIF('ADV - GG'!A:A,A161,'ADV - GG'!H:H)+SUMIF('ADV - FB'!A:A,$A161,'ADV - FB'!I:I)</f>
        <v>0</v>
      </c>
      <c r="K161" s="22">
        <f>SUMIF('ADV - GA4'!A:A,A161,'ADV - GA4'!C:C)</f>
        <v>0</v>
      </c>
      <c r="L161" s="19" t="str">
        <f t="shared" si="34"/>
        <v/>
      </c>
      <c r="M161" s="20">
        <f t="shared" si="43"/>
        <v>0</v>
      </c>
      <c r="N161" s="14">
        <f t="shared" si="44"/>
        <v>0</v>
      </c>
      <c r="O161" s="15" t="str">
        <f>Planejador!$I$129</f>
        <v>#DIV/0!</v>
      </c>
      <c r="P161" s="14" t="str">
        <f>Planejador!$I$120</f>
        <v/>
      </c>
      <c r="Q161" s="16" t="str">
        <f>Planejador!$I$122</f>
        <v/>
      </c>
      <c r="R161" s="14" t="str">
        <f>Planejador!$I$126</f>
        <v>#DIV/0!</v>
      </c>
      <c r="S161" s="18">
        <f t="shared" si="45"/>
        <v>0</v>
      </c>
      <c r="T161" s="14" t="str">
        <f>Planejador!$I$121</f>
        <v/>
      </c>
      <c r="U161" s="4"/>
      <c r="V161" s="4"/>
      <c r="W161" s="4"/>
      <c r="X161" s="4"/>
      <c r="Y161" s="4"/>
      <c r="Z161" s="4"/>
      <c r="AA161" s="4"/>
      <c r="AB161" s="4"/>
    </row>
    <row r="162" ht="18.75" hidden="1" customHeight="1" outlineLevel="1">
      <c r="A162" s="12">
        <v>46176.0</v>
      </c>
      <c r="B162" s="13" t="str">
        <f t="shared" si="40"/>
        <v>quarta-feira</v>
      </c>
      <c r="C162" s="13"/>
      <c r="D162" s="14">
        <f>SUMIF('ADV - GG'!A:A,A162,'ADV - GG'!C:C)+SUMIF('ADV - FB'!A:A,$A162,'ADV - FB'!E:E)</f>
        <v>0</v>
      </c>
      <c r="E162" s="19"/>
      <c r="F162" s="15" t="str">
        <f t="shared" si="32"/>
        <v/>
      </c>
      <c r="G162" s="14" t="str">
        <f t="shared" si="33"/>
        <v/>
      </c>
      <c r="H162" s="16" t="str">
        <f t="shared" si="41"/>
        <v/>
      </c>
      <c r="I162" s="14" t="str">
        <f t="shared" si="42"/>
        <v/>
      </c>
      <c r="J162" s="17">
        <f>SUMIF('ADV - GG'!A:A,A162,'ADV - GG'!H:H)+SUMIF('ADV - FB'!A:A,$A162,'ADV - FB'!I:I)</f>
        <v>0</v>
      </c>
      <c r="K162" s="22">
        <f>SUMIF('ADV - GA4'!A:A,A162,'ADV - GA4'!C:C)</f>
        <v>0</v>
      </c>
      <c r="L162" s="19" t="str">
        <f t="shared" si="34"/>
        <v/>
      </c>
      <c r="M162" s="20">
        <f t="shared" si="43"/>
        <v>0</v>
      </c>
      <c r="N162" s="14">
        <f t="shared" si="44"/>
        <v>0</v>
      </c>
      <c r="O162" s="15" t="str">
        <f>Planejador!$I$129</f>
        <v>#DIV/0!</v>
      </c>
      <c r="P162" s="14" t="str">
        <f>Planejador!$I$120</f>
        <v/>
      </c>
      <c r="Q162" s="16" t="str">
        <f>Planejador!$I$122</f>
        <v/>
      </c>
      <c r="R162" s="14" t="str">
        <f>Planejador!$I$126</f>
        <v>#DIV/0!</v>
      </c>
      <c r="S162" s="18">
        <f t="shared" si="45"/>
        <v>0</v>
      </c>
      <c r="T162" s="14" t="str">
        <f>Planejador!$I$121</f>
        <v/>
      </c>
      <c r="U162" s="4"/>
      <c r="V162" s="4"/>
      <c r="W162" s="4"/>
      <c r="X162" s="4"/>
      <c r="Y162" s="4"/>
      <c r="Z162" s="4"/>
      <c r="AA162" s="4"/>
      <c r="AB162" s="4"/>
    </row>
    <row r="163" ht="18.75" hidden="1" customHeight="1" outlineLevel="1">
      <c r="A163" s="12">
        <v>46177.0</v>
      </c>
      <c r="B163" s="13" t="str">
        <f t="shared" si="40"/>
        <v>quinta-feira</v>
      </c>
      <c r="C163" s="13"/>
      <c r="D163" s="14">
        <f>SUMIF('ADV - GG'!A:A,A163,'ADV - GG'!C:C)+SUMIF('ADV - FB'!A:A,$A163,'ADV - FB'!E:E)</f>
        <v>0</v>
      </c>
      <c r="E163" s="19"/>
      <c r="F163" s="15" t="str">
        <f t="shared" si="32"/>
        <v/>
      </c>
      <c r="G163" s="14" t="str">
        <f t="shared" si="33"/>
        <v/>
      </c>
      <c r="H163" s="16" t="str">
        <f t="shared" si="41"/>
        <v/>
      </c>
      <c r="I163" s="14" t="str">
        <f t="shared" si="42"/>
        <v/>
      </c>
      <c r="J163" s="17">
        <f>SUMIF('ADV - GG'!A:A,A163,'ADV - GG'!H:H)+SUMIF('ADV - FB'!A:A,$A163,'ADV - FB'!I:I)</f>
        <v>0</v>
      </c>
      <c r="K163" s="22">
        <f>SUMIF('ADV - GA4'!A:A,A163,'ADV - GA4'!C:C)</f>
        <v>0</v>
      </c>
      <c r="L163" s="19" t="str">
        <f t="shared" si="34"/>
        <v/>
      </c>
      <c r="M163" s="20">
        <f t="shared" si="43"/>
        <v>0</v>
      </c>
      <c r="N163" s="14">
        <f t="shared" si="44"/>
        <v>0</v>
      </c>
      <c r="O163" s="15" t="str">
        <f>Planejador!$I$129</f>
        <v>#DIV/0!</v>
      </c>
      <c r="P163" s="14" t="str">
        <f>Planejador!$I$120</f>
        <v/>
      </c>
      <c r="Q163" s="16" t="str">
        <f>Planejador!$I$122</f>
        <v/>
      </c>
      <c r="R163" s="14" t="str">
        <f>Planejador!$I$126</f>
        <v>#DIV/0!</v>
      </c>
      <c r="S163" s="18">
        <f t="shared" si="45"/>
        <v>0</v>
      </c>
      <c r="T163" s="14" t="str">
        <f>Planejador!$I$121</f>
        <v/>
      </c>
      <c r="U163" s="4"/>
      <c r="V163" s="4"/>
      <c r="W163" s="4"/>
      <c r="X163" s="4"/>
      <c r="Y163" s="4"/>
      <c r="Z163" s="4"/>
      <c r="AA163" s="4"/>
      <c r="AB163" s="4"/>
    </row>
    <row r="164" ht="18.75" hidden="1" customHeight="1" outlineLevel="1">
      <c r="A164" s="12">
        <v>46178.0</v>
      </c>
      <c r="B164" s="13" t="str">
        <f t="shared" si="40"/>
        <v>sexta-feira</v>
      </c>
      <c r="C164" s="13"/>
      <c r="D164" s="14">
        <f>SUMIF('ADV - GG'!A:A,A164,'ADV - GG'!C:C)+SUMIF('ADV - FB'!A:A,$A164,'ADV - FB'!E:E)</f>
        <v>0</v>
      </c>
      <c r="E164" s="19"/>
      <c r="F164" s="15" t="str">
        <f t="shared" si="32"/>
        <v/>
      </c>
      <c r="G164" s="14" t="str">
        <f t="shared" si="33"/>
        <v/>
      </c>
      <c r="H164" s="16" t="str">
        <f t="shared" si="41"/>
        <v/>
      </c>
      <c r="I164" s="14" t="str">
        <f t="shared" si="42"/>
        <v/>
      </c>
      <c r="J164" s="17">
        <f>SUMIF('ADV - GG'!A:A,A164,'ADV - GG'!H:H)+SUMIF('ADV - FB'!A:A,$A164,'ADV - FB'!I:I)</f>
        <v>0</v>
      </c>
      <c r="K164" s="22">
        <f>SUMIF('ADV - GA4'!A:A,A164,'ADV - GA4'!C:C)</f>
        <v>0</v>
      </c>
      <c r="L164" s="19" t="str">
        <f t="shared" si="34"/>
        <v/>
      </c>
      <c r="M164" s="20">
        <f t="shared" si="43"/>
        <v>0</v>
      </c>
      <c r="N164" s="14">
        <f t="shared" si="44"/>
        <v>0</v>
      </c>
      <c r="O164" s="15" t="str">
        <f>Planejador!$I$129</f>
        <v>#DIV/0!</v>
      </c>
      <c r="P164" s="14" t="str">
        <f>Planejador!$I$120</f>
        <v/>
      </c>
      <c r="Q164" s="16" t="str">
        <f>Planejador!$I$122</f>
        <v/>
      </c>
      <c r="R164" s="14" t="str">
        <f>Planejador!$I$126</f>
        <v>#DIV/0!</v>
      </c>
      <c r="S164" s="18">
        <f t="shared" si="45"/>
        <v>0</v>
      </c>
      <c r="T164" s="14" t="str">
        <f>Planejador!$I$121</f>
        <v/>
      </c>
      <c r="U164" s="4"/>
      <c r="V164" s="4"/>
      <c r="W164" s="4"/>
      <c r="X164" s="4"/>
      <c r="Y164" s="4"/>
      <c r="Z164" s="4"/>
      <c r="AA164" s="4"/>
      <c r="AB164" s="4"/>
    </row>
    <row r="165" ht="18.75" hidden="1" customHeight="1" outlineLevel="1">
      <c r="A165" s="12">
        <v>46179.0</v>
      </c>
      <c r="B165" s="13" t="str">
        <f t="shared" si="40"/>
        <v>sábado</v>
      </c>
      <c r="C165" s="13"/>
      <c r="D165" s="14">
        <f>SUMIF('ADV - GG'!A:A,A165,'ADV - GG'!C:C)+SUMIF('ADV - FB'!A:A,$A165,'ADV - FB'!E:E)</f>
        <v>0</v>
      </c>
      <c r="E165" s="19"/>
      <c r="F165" s="15" t="str">
        <f t="shared" si="32"/>
        <v/>
      </c>
      <c r="G165" s="14" t="str">
        <f t="shared" si="33"/>
        <v/>
      </c>
      <c r="H165" s="16" t="str">
        <f t="shared" si="41"/>
        <v/>
      </c>
      <c r="I165" s="14" t="str">
        <f t="shared" si="42"/>
        <v/>
      </c>
      <c r="J165" s="17">
        <f>SUMIF('ADV - GG'!A:A,A165,'ADV - GG'!H:H)+SUMIF('ADV - FB'!A:A,$A165,'ADV - FB'!I:I)</f>
        <v>0</v>
      </c>
      <c r="K165" s="22">
        <f>SUMIF('ADV - GA4'!A:A,A165,'ADV - GA4'!C:C)</f>
        <v>0</v>
      </c>
      <c r="L165" s="19" t="str">
        <f t="shared" si="34"/>
        <v/>
      </c>
      <c r="M165" s="20">
        <f t="shared" si="43"/>
        <v>0</v>
      </c>
      <c r="N165" s="14">
        <f t="shared" si="44"/>
        <v>0</v>
      </c>
      <c r="O165" s="15" t="str">
        <f>Planejador!$I$129</f>
        <v>#DIV/0!</v>
      </c>
      <c r="P165" s="14" t="str">
        <f>Planejador!$I$120</f>
        <v/>
      </c>
      <c r="Q165" s="16" t="str">
        <f>Planejador!$I$122</f>
        <v/>
      </c>
      <c r="R165" s="14" t="str">
        <f>Planejador!$I$126</f>
        <v>#DIV/0!</v>
      </c>
      <c r="S165" s="18">
        <f t="shared" si="45"/>
        <v>0</v>
      </c>
      <c r="T165" s="14" t="str">
        <f>Planejador!$I$121</f>
        <v/>
      </c>
      <c r="U165" s="4"/>
      <c r="V165" s="4"/>
      <c r="W165" s="4"/>
      <c r="X165" s="4"/>
      <c r="Y165" s="4"/>
      <c r="Z165" s="4"/>
      <c r="AA165" s="4"/>
      <c r="AB165" s="4"/>
    </row>
    <row r="166" ht="18.75" hidden="1" customHeight="1" outlineLevel="1">
      <c r="A166" s="12">
        <v>46180.0</v>
      </c>
      <c r="B166" s="13" t="str">
        <f t="shared" si="40"/>
        <v>domingo</v>
      </c>
      <c r="C166" s="13"/>
      <c r="D166" s="14">
        <f>SUMIF('ADV - GG'!A:A,A166,'ADV - GG'!C:C)+SUMIF('ADV - FB'!A:A,$A166,'ADV - FB'!E:E)</f>
        <v>0</v>
      </c>
      <c r="E166" s="19"/>
      <c r="F166" s="15" t="str">
        <f t="shared" si="32"/>
        <v/>
      </c>
      <c r="G166" s="14" t="str">
        <f t="shared" si="33"/>
        <v/>
      </c>
      <c r="H166" s="16" t="str">
        <f t="shared" si="41"/>
        <v/>
      </c>
      <c r="I166" s="14" t="str">
        <f t="shared" si="42"/>
        <v/>
      </c>
      <c r="J166" s="17">
        <f>SUMIF('ADV - GG'!A:A,A166,'ADV - GG'!H:H)+SUMIF('ADV - FB'!A:A,$A166,'ADV - FB'!I:I)</f>
        <v>0</v>
      </c>
      <c r="K166" s="22">
        <f>SUMIF('ADV - GA4'!A:A,A166,'ADV - GA4'!C:C)</f>
        <v>0</v>
      </c>
      <c r="L166" s="19" t="str">
        <f t="shared" si="34"/>
        <v/>
      </c>
      <c r="M166" s="20">
        <f t="shared" si="43"/>
        <v>0</v>
      </c>
      <c r="N166" s="14">
        <f t="shared" si="44"/>
        <v>0</v>
      </c>
      <c r="O166" s="15" t="str">
        <f>Planejador!$I$129</f>
        <v>#DIV/0!</v>
      </c>
      <c r="P166" s="14" t="str">
        <f>Planejador!$I$120</f>
        <v/>
      </c>
      <c r="Q166" s="16" t="str">
        <f>Planejador!$I$122</f>
        <v/>
      </c>
      <c r="R166" s="14" t="str">
        <f>Planejador!$I$126</f>
        <v>#DIV/0!</v>
      </c>
      <c r="S166" s="18">
        <f t="shared" si="45"/>
        <v>0</v>
      </c>
      <c r="T166" s="14" t="str">
        <f>Planejador!$I$121</f>
        <v/>
      </c>
      <c r="U166" s="4"/>
      <c r="V166" s="4"/>
      <c r="W166" s="4"/>
      <c r="X166" s="4"/>
      <c r="Y166" s="4"/>
      <c r="Z166" s="4"/>
      <c r="AA166" s="4"/>
      <c r="AB166" s="4"/>
    </row>
    <row r="167" ht="18.75" hidden="1" customHeight="1" outlineLevel="1">
      <c r="A167" s="12">
        <v>46181.0</v>
      </c>
      <c r="B167" s="13" t="str">
        <f t="shared" si="40"/>
        <v>segunda-feira</v>
      </c>
      <c r="C167" s="13"/>
      <c r="D167" s="14">
        <f>SUMIF('ADV - GG'!A:A,A167,'ADV - GG'!C:C)+SUMIF('ADV - FB'!A:A,$A167,'ADV - FB'!E:E)</f>
        <v>0</v>
      </c>
      <c r="E167" s="19"/>
      <c r="F167" s="15" t="str">
        <f t="shared" si="32"/>
        <v/>
      </c>
      <c r="G167" s="14" t="str">
        <f t="shared" si="33"/>
        <v/>
      </c>
      <c r="H167" s="16" t="str">
        <f t="shared" si="41"/>
        <v/>
      </c>
      <c r="I167" s="14" t="str">
        <f t="shared" si="42"/>
        <v/>
      </c>
      <c r="J167" s="17">
        <f>SUMIF('ADV - GG'!A:A,A167,'ADV - GG'!H:H)+SUMIF('ADV - FB'!A:A,$A167,'ADV - FB'!I:I)</f>
        <v>0</v>
      </c>
      <c r="K167" s="22">
        <f>SUMIF('ADV - GA4'!A:A,A167,'ADV - GA4'!C:C)</f>
        <v>0</v>
      </c>
      <c r="L167" s="19" t="str">
        <f t="shared" si="34"/>
        <v/>
      </c>
      <c r="M167" s="20">
        <f t="shared" si="43"/>
        <v>0</v>
      </c>
      <c r="N167" s="14">
        <f t="shared" si="44"/>
        <v>0</v>
      </c>
      <c r="O167" s="15" t="str">
        <f>Planejador!$I$129</f>
        <v>#DIV/0!</v>
      </c>
      <c r="P167" s="14" t="str">
        <f>Planejador!$I$120</f>
        <v/>
      </c>
      <c r="Q167" s="16" t="str">
        <f>Planejador!$I$122</f>
        <v/>
      </c>
      <c r="R167" s="14" t="str">
        <f>Planejador!$I$126</f>
        <v>#DIV/0!</v>
      </c>
      <c r="S167" s="18">
        <f t="shared" si="45"/>
        <v>0</v>
      </c>
      <c r="T167" s="14" t="str">
        <f>Planejador!$I$121</f>
        <v/>
      </c>
      <c r="U167" s="4"/>
      <c r="V167" s="4"/>
      <c r="W167" s="4"/>
      <c r="X167" s="4"/>
      <c r="Y167" s="4"/>
      <c r="Z167" s="4"/>
      <c r="AA167" s="4"/>
      <c r="AB167" s="4"/>
    </row>
    <row r="168" ht="18.75" hidden="1" customHeight="1" outlineLevel="1">
      <c r="A168" s="12">
        <v>46182.0</v>
      </c>
      <c r="B168" s="13" t="str">
        <f t="shared" si="40"/>
        <v>terça-feira</v>
      </c>
      <c r="C168" s="13"/>
      <c r="D168" s="14">
        <f>SUMIF('ADV - GG'!A:A,A168,'ADV - GG'!C:C)+SUMIF('ADV - FB'!A:A,$A168,'ADV - FB'!E:E)</f>
        <v>0</v>
      </c>
      <c r="E168" s="19"/>
      <c r="F168" s="15" t="str">
        <f t="shared" si="32"/>
        <v/>
      </c>
      <c r="G168" s="14" t="str">
        <f t="shared" si="33"/>
        <v/>
      </c>
      <c r="H168" s="16" t="str">
        <f t="shared" si="41"/>
        <v/>
      </c>
      <c r="I168" s="14" t="str">
        <f t="shared" si="42"/>
        <v/>
      </c>
      <c r="J168" s="17">
        <f>SUMIF('ADV - GG'!A:A,A168,'ADV - GG'!H:H)+SUMIF('ADV - FB'!A:A,$A168,'ADV - FB'!I:I)</f>
        <v>0</v>
      </c>
      <c r="K168" s="22">
        <f>SUMIF('ADV - GA4'!A:A,A168,'ADV - GA4'!C:C)</f>
        <v>0</v>
      </c>
      <c r="L168" s="19" t="str">
        <f t="shared" si="34"/>
        <v/>
      </c>
      <c r="M168" s="20">
        <f t="shared" si="43"/>
        <v>0</v>
      </c>
      <c r="N168" s="14">
        <f t="shared" si="44"/>
        <v>0</v>
      </c>
      <c r="O168" s="15" t="str">
        <f>Planejador!$I$129</f>
        <v>#DIV/0!</v>
      </c>
      <c r="P168" s="14" t="str">
        <f>Planejador!$I$120</f>
        <v/>
      </c>
      <c r="Q168" s="16" t="str">
        <f>Planejador!$I$122</f>
        <v/>
      </c>
      <c r="R168" s="14" t="str">
        <f>Planejador!$I$126</f>
        <v>#DIV/0!</v>
      </c>
      <c r="S168" s="18">
        <f t="shared" si="45"/>
        <v>0</v>
      </c>
      <c r="T168" s="14" t="str">
        <f>Planejador!$I$121</f>
        <v/>
      </c>
      <c r="U168" s="4"/>
      <c r="V168" s="4"/>
      <c r="W168" s="4"/>
      <c r="X168" s="4"/>
      <c r="Y168" s="4"/>
      <c r="Z168" s="4"/>
      <c r="AA168" s="4"/>
      <c r="AB168" s="4"/>
    </row>
    <row r="169" ht="18.75" hidden="1" customHeight="1" outlineLevel="1">
      <c r="A169" s="12">
        <v>46183.0</v>
      </c>
      <c r="B169" s="13" t="str">
        <f t="shared" si="40"/>
        <v>quarta-feira</v>
      </c>
      <c r="C169" s="13"/>
      <c r="D169" s="14">
        <f>SUMIF('ADV - GG'!A:A,A169,'ADV - GG'!C:C)+SUMIF('ADV - FB'!A:A,$A169,'ADV - FB'!E:E)</f>
        <v>0</v>
      </c>
      <c r="E169" s="19"/>
      <c r="F169" s="15" t="str">
        <f t="shared" si="32"/>
        <v/>
      </c>
      <c r="G169" s="14" t="str">
        <f t="shared" si="33"/>
        <v/>
      </c>
      <c r="H169" s="16" t="str">
        <f t="shared" si="41"/>
        <v/>
      </c>
      <c r="I169" s="14" t="str">
        <f t="shared" si="42"/>
        <v/>
      </c>
      <c r="J169" s="17">
        <f>SUMIF('ADV - GG'!A:A,A169,'ADV - GG'!H:H)+SUMIF('ADV - FB'!A:A,$A169,'ADV - FB'!I:I)</f>
        <v>0</v>
      </c>
      <c r="K169" s="22">
        <f>SUMIF('ADV - GA4'!A:A,A169,'ADV - GA4'!C:C)</f>
        <v>0</v>
      </c>
      <c r="L169" s="19" t="str">
        <f t="shared" si="34"/>
        <v/>
      </c>
      <c r="M169" s="20">
        <f t="shared" si="43"/>
        <v>0</v>
      </c>
      <c r="N169" s="14">
        <f t="shared" si="44"/>
        <v>0</v>
      </c>
      <c r="O169" s="15" t="str">
        <f>Planejador!$I$129</f>
        <v>#DIV/0!</v>
      </c>
      <c r="P169" s="14" t="str">
        <f>Planejador!$I$120</f>
        <v/>
      </c>
      <c r="Q169" s="16" t="str">
        <f>Planejador!$I$122</f>
        <v/>
      </c>
      <c r="R169" s="14" t="str">
        <f>Planejador!$I$126</f>
        <v>#DIV/0!</v>
      </c>
      <c r="S169" s="18">
        <f t="shared" si="45"/>
        <v>0</v>
      </c>
      <c r="T169" s="14" t="str">
        <f>Planejador!$I$121</f>
        <v/>
      </c>
      <c r="U169" s="4"/>
      <c r="V169" s="4"/>
      <c r="W169" s="4"/>
      <c r="X169" s="4"/>
      <c r="Y169" s="4"/>
      <c r="Z169" s="4"/>
      <c r="AA169" s="4"/>
      <c r="AB169" s="4"/>
    </row>
    <row r="170" ht="18.75" hidden="1" customHeight="1" outlineLevel="1">
      <c r="A170" s="12">
        <v>46184.0</v>
      </c>
      <c r="B170" s="13" t="str">
        <f t="shared" si="40"/>
        <v>quinta-feira</v>
      </c>
      <c r="C170" s="13"/>
      <c r="D170" s="14">
        <f>SUMIF('ADV - GG'!A:A,A170,'ADV - GG'!C:C)+SUMIF('ADV - FB'!A:A,$A170,'ADV - FB'!E:E)</f>
        <v>0</v>
      </c>
      <c r="E170" s="19"/>
      <c r="F170" s="15" t="str">
        <f t="shared" si="32"/>
        <v/>
      </c>
      <c r="G170" s="14" t="str">
        <f t="shared" si="33"/>
        <v/>
      </c>
      <c r="H170" s="16" t="str">
        <f t="shared" si="41"/>
        <v/>
      </c>
      <c r="I170" s="14" t="str">
        <f t="shared" si="42"/>
        <v/>
      </c>
      <c r="J170" s="17">
        <f>SUMIF('ADV - GG'!A:A,A170,'ADV - GG'!H:H)+SUMIF('ADV - FB'!A:A,$A170,'ADV - FB'!I:I)</f>
        <v>0</v>
      </c>
      <c r="K170" s="22">
        <f>SUMIF('ADV - GA4'!A:A,A170,'ADV - GA4'!C:C)</f>
        <v>0</v>
      </c>
      <c r="L170" s="19" t="str">
        <f t="shared" si="34"/>
        <v/>
      </c>
      <c r="M170" s="20">
        <f t="shared" si="43"/>
        <v>0</v>
      </c>
      <c r="N170" s="14">
        <f t="shared" si="44"/>
        <v>0</v>
      </c>
      <c r="O170" s="15" t="str">
        <f>Planejador!$I$129</f>
        <v>#DIV/0!</v>
      </c>
      <c r="P170" s="14" t="str">
        <f>Planejador!$I$120</f>
        <v/>
      </c>
      <c r="Q170" s="16" t="str">
        <f>Planejador!$I$122</f>
        <v/>
      </c>
      <c r="R170" s="14" t="str">
        <f>Planejador!$I$126</f>
        <v>#DIV/0!</v>
      </c>
      <c r="S170" s="18">
        <f t="shared" si="45"/>
        <v>0</v>
      </c>
      <c r="T170" s="14" t="str">
        <f>Planejador!$I$121</f>
        <v/>
      </c>
      <c r="U170" s="4"/>
      <c r="V170" s="4"/>
      <c r="W170" s="4"/>
      <c r="X170" s="4"/>
      <c r="Y170" s="4"/>
      <c r="Z170" s="4"/>
      <c r="AA170" s="4"/>
      <c r="AB170" s="4"/>
    </row>
    <row r="171" ht="18.75" hidden="1" customHeight="1" outlineLevel="1">
      <c r="A171" s="12">
        <v>46185.0</v>
      </c>
      <c r="B171" s="13" t="str">
        <f t="shared" si="40"/>
        <v>sexta-feira</v>
      </c>
      <c r="C171" s="13"/>
      <c r="D171" s="14">
        <f>SUMIF('ADV - GG'!A:A,A171,'ADV - GG'!C:C)+SUMIF('ADV - FB'!A:A,$A171,'ADV - FB'!E:E)</f>
        <v>0</v>
      </c>
      <c r="E171" s="19"/>
      <c r="F171" s="15" t="str">
        <f t="shared" si="32"/>
        <v/>
      </c>
      <c r="G171" s="14" t="str">
        <f t="shared" si="33"/>
        <v/>
      </c>
      <c r="H171" s="16" t="str">
        <f t="shared" si="41"/>
        <v/>
      </c>
      <c r="I171" s="14" t="str">
        <f t="shared" si="42"/>
        <v/>
      </c>
      <c r="J171" s="17">
        <f>SUMIF('ADV - GG'!A:A,A171,'ADV - GG'!H:H)+SUMIF('ADV - FB'!A:A,$A171,'ADV - FB'!I:I)</f>
        <v>0</v>
      </c>
      <c r="K171" s="22">
        <f>SUMIF('ADV - GA4'!A:A,A171,'ADV - GA4'!C:C)</f>
        <v>0</v>
      </c>
      <c r="L171" s="19" t="str">
        <f t="shared" si="34"/>
        <v/>
      </c>
      <c r="M171" s="20">
        <f t="shared" si="43"/>
        <v>0</v>
      </c>
      <c r="N171" s="14">
        <f t="shared" si="44"/>
        <v>0</v>
      </c>
      <c r="O171" s="15" t="str">
        <f>Planejador!$I$129</f>
        <v>#DIV/0!</v>
      </c>
      <c r="P171" s="14" t="str">
        <f>Planejador!$I$120</f>
        <v/>
      </c>
      <c r="Q171" s="16" t="str">
        <f>Planejador!$I$122</f>
        <v/>
      </c>
      <c r="R171" s="14" t="str">
        <f>Planejador!$I$126</f>
        <v>#DIV/0!</v>
      </c>
      <c r="S171" s="18">
        <f t="shared" si="45"/>
        <v>0</v>
      </c>
      <c r="T171" s="14" t="str">
        <f>Planejador!$I$121</f>
        <v/>
      </c>
      <c r="U171" s="4"/>
      <c r="V171" s="4"/>
      <c r="W171" s="4"/>
      <c r="X171" s="4"/>
      <c r="Y171" s="4"/>
      <c r="Z171" s="4"/>
      <c r="AA171" s="4"/>
      <c r="AB171" s="4"/>
    </row>
    <row r="172" ht="18.75" hidden="1" customHeight="1" outlineLevel="1">
      <c r="A172" s="12">
        <v>46186.0</v>
      </c>
      <c r="B172" s="13" t="str">
        <f t="shared" si="40"/>
        <v>sábado</v>
      </c>
      <c r="C172" s="13"/>
      <c r="D172" s="14">
        <f>SUMIF('ADV - GG'!A:A,A172,'ADV - GG'!C:C)+SUMIF('ADV - FB'!A:A,$A172,'ADV - FB'!E:E)</f>
        <v>0</v>
      </c>
      <c r="E172" s="19"/>
      <c r="F172" s="15" t="str">
        <f t="shared" si="32"/>
        <v/>
      </c>
      <c r="G172" s="14" t="str">
        <f t="shared" si="33"/>
        <v/>
      </c>
      <c r="H172" s="16" t="str">
        <f t="shared" si="41"/>
        <v/>
      </c>
      <c r="I172" s="14" t="str">
        <f t="shared" si="42"/>
        <v/>
      </c>
      <c r="J172" s="17">
        <f>SUMIF('ADV - GG'!A:A,A172,'ADV - GG'!H:H)+SUMIF('ADV - FB'!A:A,$A172,'ADV - FB'!I:I)</f>
        <v>0</v>
      </c>
      <c r="K172" s="22">
        <f>SUMIF('ADV - GA4'!A:A,A172,'ADV - GA4'!C:C)</f>
        <v>0</v>
      </c>
      <c r="L172" s="19" t="str">
        <f t="shared" si="34"/>
        <v/>
      </c>
      <c r="M172" s="20">
        <f t="shared" si="43"/>
        <v>0</v>
      </c>
      <c r="N172" s="14">
        <f t="shared" si="44"/>
        <v>0</v>
      </c>
      <c r="O172" s="15" t="str">
        <f>Planejador!$I$129</f>
        <v>#DIV/0!</v>
      </c>
      <c r="P172" s="14" t="str">
        <f>Planejador!$I$120</f>
        <v/>
      </c>
      <c r="Q172" s="16" t="str">
        <f>Planejador!$I$122</f>
        <v/>
      </c>
      <c r="R172" s="14" t="str">
        <f>Planejador!$I$126</f>
        <v>#DIV/0!</v>
      </c>
      <c r="S172" s="18">
        <f t="shared" si="45"/>
        <v>0</v>
      </c>
      <c r="T172" s="14" t="str">
        <f>Planejador!$I$121</f>
        <v/>
      </c>
      <c r="U172" s="4"/>
      <c r="V172" s="4"/>
      <c r="W172" s="4"/>
      <c r="X172" s="4"/>
      <c r="Y172" s="4"/>
      <c r="Z172" s="4"/>
      <c r="AA172" s="4"/>
      <c r="AB172" s="4"/>
    </row>
    <row r="173" ht="18.75" hidden="1" customHeight="1" outlineLevel="1">
      <c r="A173" s="12">
        <v>46187.0</v>
      </c>
      <c r="B173" s="13" t="str">
        <f t="shared" si="40"/>
        <v>domingo</v>
      </c>
      <c r="C173" s="13"/>
      <c r="D173" s="14">
        <f>SUMIF('ADV - GG'!A:A,A173,'ADV - GG'!C:C)+SUMIF('ADV - FB'!A:A,$A173,'ADV - FB'!E:E)</f>
        <v>0</v>
      </c>
      <c r="E173" s="19"/>
      <c r="F173" s="15" t="str">
        <f t="shared" si="32"/>
        <v/>
      </c>
      <c r="G173" s="14" t="str">
        <f t="shared" si="33"/>
        <v/>
      </c>
      <c r="H173" s="16" t="str">
        <f t="shared" si="41"/>
        <v/>
      </c>
      <c r="I173" s="14" t="str">
        <f t="shared" si="42"/>
        <v/>
      </c>
      <c r="J173" s="17">
        <f>SUMIF('ADV - GG'!A:A,A173,'ADV - GG'!H:H)+SUMIF('ADV - FB'!A:A,$A173,'ADV - FB'!I:I)</f>
        <v>0</v>
      </c>
      <c r="K173" s="22">
        <f>SUMIF('ADV - GA4'!A:A,A173,'ADV - GA4'!C:C)</f>
        <v>0</v>
      </c>
      <c r="L173" s="19" t="str">
        <f t="shared" si="34"/>
        <v/>
      </c>
      <c r="M173" s="20">
        <f t="shared" si="43"/>
        <v>0</v>
      </c>
      <c r="N173" s="14">
        <f t="shared" si="44"/>
        <v>0</v>
      </c>
      <c r="O173" s="15" t="str">
        <f>Planejador!$I$129</f>
        <v>#DIV/0!</v>
      </c>
      <c r="P173" s="14" t="str">
        <f>Planejador!$I$120</f>
        <v/>
      </c>
      <c r="Q173" s="16" t="str">
        <f>Planejador!$I$122</f>
        <v/>
      </c>
      <c r="R173" s="14" t="str">
        <f>Planejador!$I$126</f>
        <v>#DIV/0!</v>
      </c>
      <c r="S173" s="18">
        <f t="shared" si="45"/>
        <v>0</v>
      </c>
      <c r="T173" s="14" t="str">
        <f>Planejador!$I$121</f>
        <v/>
      </c>
      <c r="U173" s="4"/>
      <c r="V173" s="4"/>
      <c r="W173" s="4"/>
      <c r="X173" s="4"/>
      <c r="Y173" s="4"/>
      <c r="Z173" s="4"/>
      <c r="AA173" s="4"/>
      <c r="AB173" s="4"/>
    </row>
    <row r="174" ht="18.75" hidden="1" customHeight="1" outlineLevel="1">
      <c r="A174" s="12">
        <v>46188.0</v>
      </c>
      <c r="B174" s="13" t="str">
        <f t="shared" si="40"/>
        <v>segunda-feira</v>
      </c>
      <c r="C174" s="13"/>
      <c r="D174" s="14">
        <f>SUMIF('ADV - GG'!A:A,A174,'ADV - GG'!C:C)+SUMIF('ADV - FB'!A:A,$A174,'ADV - FB'!E:E)</f>
        <v>0</v>
      </c>
      <c r="E174" s="19"/>
      <c r="F174" s="15" t="str">
        <f t="shared" si="32"/>
        <v/>
      </c>
      <c r="G174" s="14" t="str">
        <f t="shared" si="33"/>
        <v/>
      </c>
      <c r="H174" s="16" t="str">
        <f t="shared" si="41"/>
        <v/>
      </c>
      <c r="I174" s="14" t="str">
        <f t="shared" si="42"/>
        <v/>
      </c>
      <c r="J174" s="17">
        <f>SUMIF('ADV - GG'!A:A,A174,'ADV - GG'!H:H)+SUMIF('ADV - FB'!A:A,$A174,'ADV - FB'!I:I)</f>
        <v>0</v>
      </c>
      <c r="K174" s="22">
        <f>SUMIF('ADV - GA4'!A:A,A174,'ADV - GA4'!C:C)</f>
        <v>0</v>
      </c>
      <c r="L174" s="19" t="str">
        <f t="shared" si="34"/>
        <v/>
      </c>
      <c r="M174" s="20">
        <f t="shared" si="43"/>
        <v>0</v>
      </c>
      <c r="N174" s="14">
        <f t="shared" si="44"/>
        <v>0</v>
      </c>
      <c r="O174" s="15" t="str">
        <f>Planejador!$I$129</f>
        <v>#DIV/0!</v>
      </c>
      <c r="P174" s="14" t="str">
        <f>Planejador!$I$120</f>
        <v/>
      </c>
      <c r="Q174" s="16" t="str">
        <f>Planejador!$I$122</f>
        <v/>
      </c>
      <c r="R174" s="14" t="str">
        <f>Planejador!$I$126</f>
        <v>#DIV/0!</v>
      </c>
      <c r="S174" s="18">
        <f t="shared" si="45"/>
        <v>0</v>
      </c>
      <c r="T174" s="14" t="str">
        <f>Planejador!$I$121</f>
        <v/>
      </c>
      <c r="U174" s="4"/>
      <c r="V174" s="4"/>
      <c r="W174" s="4"/>
      <c r="X174" s="4"/>
      <c r="Y174" s="4"/>
      <c r="Z174" s="4"/>
      <c r="AA174" s="4"/>
      <c r="AB174" s="4"/>
    </row>
    <row r="175" ht="18.75" hidden="1" customHeight="1" outlineLevel="1">
      <c r="A175" s="12">
        <v>46189.0</v>
      </c>
      <c r="B175" s="13" t="str">
        <f t="shared" si="40"/>
        <v>terça-feira</v>
      </c>
      <c r="C175" s="13"/>
      <c r="D175" s="14">
        <f>SUMIF('ADV - GG'!A:A,A175,'ADV - GG'!C:C)+SUMIF('ADV - FB'!A:A,$A175,'ADV - FB'!E:E)</f>
        <v>0</v>
      </c>
      <c r="E175" s="19"/>
      <c r="F175" s="15" t="str">
        <f t="shared" si="32"/>
        <v/>
      </c>
      <c r="G175" s="14" t="str">
        <f t="shared" si="33"/>
        <v/>
      </c>
      <c r="H175" s="16" t="str">
        <f t="shared" si="41"/>
        <v/>
      </c>
      <c r="I175" s="14" t="str">
        <f t="shared" si="42"/>
        <v/>
      </c>
      <c r="J175" s="17">
        <f>SUMIF('ADV - GG'!A:A,A175,'ADV - GG'!H:H)+SUMIF('ADV - FB'!A:A,$A175,'ADV - FB'!I:I)</f>
        <v>0</v>
      </c>
      <c r="K175" s="22">
        <f>SUMIF('ADV - GA4'!A:A,A175,'ADV - GA4'!C:C)</f>
        <v>0</v>
      </c>
      <c r="L175" s="19" t="str">
        <f t="shared" si="34"/>
        <v/>
      </c>
      <c r="M175" s="20">
        <f t="shared" si="43"/>
        <v>0</v>
      </c>
      <c r="N175" s="14">
        <f t="shared" si="44"/>
        <v>0</v>
      </c>
      <c r="O175" s="15" t="str">
        <f>Planejador!$I$129</f>
        <v>#DIV/0!</v>
      </c>
      <c r="P175" s="14" t="str">
        <f>Planejador!$I$120</f>
        <v/>
      </c>
      <c r="Q175" s="16" t="str">
        <f>Planejador!$I$122</f>
        <v/>
      </c>
      <c r="R175" s="14" t="str">
        <f>Planejador!$I$126</f>
        <v>#DIV/0!</v>
      </c>
      <c r="S175" s="18">
        <f t="shared" si="45"/>
        <v>0</v>
      </c>
      <c r="T175" s="14" t="str">
        <f>Planejador!$I$121</f>
        <v/>
      </c>
      <c r="U175" s="4"/>
      <c r="V175" s="4"/>
      <c r="W175" s="4"/>
      <c r="X175" s="4"/>
      <c r="Y175" s="4"/>
      <c r="Z175" s="4"/>
      <c r="AA175" s="4"/>
      <c r="AB175" s="4"/>
    </row>
    <row r="176" ht="18.75" hidden="1" customHeight="1" outlineLevel="1">
      <c r="A176" s="12">
        <v>46190.0</v>
      </c>
      <c r="B176" s="13" t="str">
        <f t="shared" si="40"/>
        <v>quarta-feira</v>
      </c>
      <c r="C176" s="13"/>
      <c r="D176" s="14">
        <f>SUMIF('ADV - GG'!A:A,A176,'ADV - GG'!C:C)+SUMIF('ADV - FB'!A:A,$A176,'ADV - FB'!E:E)</f>
        <v>0</v>
      </c>
      <c r="E176" s="19"/>
      <c r="F176" s="15" t="str">
        <f t="shared" si="32"/>
        <v/>
      </c>
      <c r="G176" s="14" t="str">
        <f t="shared" si="33"/>
        <v/>
      </c>
      <c r="H176" s="16" t="str">
        <f t="shared" si="41"/>
        <v/>
      </c>
      <c r="I176" s="14" t="str">
        <f t="shared" si="42"/>
        <v/>
      </c>
      <c r="J176" s="17">
        <f>SUMIF('ADV - GG'!A:A,A176,'ADV - GG'!H:H)+SUMIF('ADV - FB'!A:A,$A176,'ADV - FB'!I:I)</f>
        <v>0</v>
      </c>
      <c r="K176" s="22">
        <f>SUMIF('ADV - GA4'!A:A,A176,'ADV - GA4'!C:C)</f>
        <v>0</v>
      </c>
      <c r="L176" s="19" t="str">
        <f t="shared" si="34"/>
        <v/>
      </c>
      <c r="M176" s="20">
        <f t="shared" si="43"/>
        <v>0</v>
      </c>
      <c r="N176" s="14">
        <f t="shared" si="44"/>
        <v>0</v>
      </c>
      <c r="O176" s="15" t="str">
        <f>Planejador!$I$129</f>
        <v>#DIV/0!</v>
      </c>
      <c r="P176" s="14" t="str">
        <f>Planejador!$I$120</f>
        <v/>
      </c>
      <c r="Q176" s="16" t="str">
        <f>Planejador!$I$122</f>
        <v/>
      </c>
      <c r="R176" s="14" t="str">
        <f>Planejador!$I$126</f>
        <v>#DIV/0!</v>
      </c>
      <c r="S176" s="18">
        <f t="shared" si="45"/>
        <v>0</v>
      </c>
      <c r="T176" s="14" t="str">
        <f>Planejador!$I$121</f>
        <v/>
      </c>
      <c r="U176" s="4"/>
      <c r="V176" s="4"/>
      <c r="W176" s="4"/>
      <c r="X176" s="4"/>
      <c r="Y176" s="4"/>
      <c r="Z176" s="4"/>
      <c r="AA176" s="4"/>
      <c r="AB176" s="4"/>
    </row>
    <row r="177" ht="18.75" hidden="1" customHeight="1" outlineLevel="1">
      <c r="A177" s="12">
        <v>46191.0</v>
      </c>
      <c r="B177" s="13" t="str">
        <f t="shared" si="40"/>
        <v>quinta-feira</v>
      </c>
      <c r="C177" s="13"/>
      <c r="D177" s="14">
        <f>SUMIF('ADV - GG'!A:A,A177,'ADV - GG'!C:C)+SUMIF('ADV - FB'!A:A,$A177,'ADV - FB'!E:E)</f>
        <v>0</v>
      </c>
      <c r="E177" s="19"/>
      <c r="F177" s="15" t="str">
        <f t="shared" si="32"/>
        <v/>
      </c>
      <c r="G177" s="14" t="str">
        <f t="shared" si="33"/>
        <v/>
      </c>
      <c r="H177" s="16" t="str">
        <f t="shared" si="41"/>
        <v/>
      </c>
      <c r="I177" s="14" t="str">
        <f t="shared" si="42"/>
        <v/>
      </c>
      <c r="J177" s="17">
        <f>SUMIF('ADV - GG'!A:A,A177,'ADV - GG'!H:H)+SUMIF('ADV - FB'!A:A,$A177,'ADV - FB'!I:I)</f>
        <v>0</v>
      </c>
      <c r="K177" s="22">
        <f>SUMIF('ADV - GA4'!A:A,A177,'ADV - GA4'!C:C)</f>
        <v>0</v>
      </c>
      <c r="L177" s="19" t="str">
        <f t="shared" si="34"/>
        <v/>
      </c>
      <c r="M177" s="20">
        <f t="shared" si="43"/>
        <v>0</v>
      </c>
      <c r="N177" s="14">
        <f t="shared" si="44"/>
        <v>0</v>
      </c>
      <c r="O177" s="15" t="str">
        <f>Planejador!$I$129</f>
        <v>#DIV/0!</v>
      </c>
      <c r="P177" s="14" t="str">
        <f>Planejador!$I$120</f>
        <v/>
      </c>
      <c r="Q177" s="16" t="str">
        <f>Planejador!$I$122</f>
        <v/>
      </c>
      <c r="R177" s="14" t="str">
        <f>Planejador!$I$126</f>
        <v>#DIV/0!</v>
      </c>
      <c r="S177" s="18">
        <f t="shared" si="45"/>
        <v>0</v>
      </c>
      <c r="T177" s="14" t="str">
        <f>Planejador!$I$121</f>
        <v/>
      </c>
      <c r="U177" s="4"/>
      <c r="V177" s="4"/>
      <c r="W177" s="4"/>
      <c r="X177" s="4"/>
      <c r="Y177" s="4"/>
      <c r="Z177" s="4"/>
      <c r="AA177" s="4"/>
      <c r="AB177" s="4"/>
    </row>
    <row r="178" ht="18.75" hidden="1" customHeight="1" outlineLevel="1">
      <c r="A178" s="12">
        <v>46192.0</v>
      </c>
      <c r="B178" s="13" t="str">
        <f t="shared" si="40"/>
        <v>sexta-feira</v>
      </c>
      <c r="C178" s="13"/>
      <c r="D178" s="14">
        <f>SUMIF('ADV - GG'!A:A,A178,'ADV - GG'!C:C)+SUMIF('ADV - FB'!A:A,$A178,'ADV - FB'!E:E)</f>
        <v>0</v>
      </c>
      <c r="E178" s="19"/>
      <c r="F178" s="15" t="str">
        <f t="shared" si="32"/>
        <v/>
      </c>
      <c r="G178" s="14" t="str">
        <f t="shared" si="33"/>
        <v/>
      </c>
      <c r="H178" s="16" t="str">
        <f t="shared" si="41"/>
        <v/>
      </c>
      <c r="I178" s="14" t="str">
        <f t="shared" si="42"/>
        <v/>
      </c>
      <c r="J178" s="17">
        <f>SUMIF('ADV - GG'!A:A,A178,'ADV - GG'!H:H)+SUMIF('ADV - FB'!A:A,$A178,'ADV - FB'!I:I)</f>
        <v>0</v>
      </c>
      <c r="K178" s="22">
        <f>SUMIF('ADV - GA4'!A:A,A178,'ADV - GA4'!C:C)</f>
        <v>0</v>
      </c>
      <c r="L178" s="19" t="str">
        <f t="shared" si="34"/>
        <v/>
      </c>
      <c r="M178" s="20">
        <f t="shared" si="43"/>
        <v>0</v>
      </c>
      <c r="N178" s="14">
        <f t="shared" si="44"/>
        <v>0</v>
      </c>
      <c r="O178" s="15" t="str">
        <f>Planejador!$I$129</f>
        <v>#DIV/0!</v>
      </c>
      <c r="P178" s="14" t="str">
        <f>Planejador!$I$120</f>
        <v/>
      </c>
      <c r="Q178" s="16" t="str">
        <f>Planejador!$I$122</f>
        <v/>
      </c>
      <c r="R178" s="14" t="str">
        <f>Planejador!$I$126</f>
        <v>#DIV/0!</v>
      </c>
      <c r="S178" s="18">
        <f t="shared" si="45"/>
        <v>0</v>
      </c>
      <c r="T178" s="14" t="str">
        <f>Planejador!$I$121</f>
        <v/>
      </c>
      <c r="U178" s="4"/>
      <c r="V178" s="4"/>
      <c r="W178" s="4"/>
      <c r="X178" s="4"/>
      <c r="Y178" s="4"/>
      <c r="Z178" s="4"/>
      <c r="AA178" s="4"/>
      <c r="AB178" s="4"/>
    </row>
    <row r="179" ht="18.75" hidden="1" customHeight="1" outlineLevel="1">
      <c r="A179" s="12">
        <v>46193.0</v>
      </c>
      <c r="B179" s="13" t="str">
        <f t="shared" si="40"/>
        <v>sábado</v>
      </c>
      <c r="C179" s="13"/>
      <c r="D179" s="14">
        <f>SUMIF('ADV - GG'!A:A,A179,'ADV - GG'!C:C)+SUMIF('ADV - FB'!A:A,$A179,'ADV - FB'!E:E)</f>
        <v>0</v>
      </c>
      <c r="E179" s="19"/>
      <c r="F179" s="15" t="str">
        <f t="shared" si="32"/>
        <v/>
      </c>
      <c r="G179" s="14" t="str">
        <f t="shared" si="33"/>
        <v/>
      </c>
      <c r="H179" s="16" t="str">
        <f t="shared" si="41"/>
        <v/>
      </c>
      <c r="I179" s="14" t="str">
        <f t="shared" si="42"/>
        <v/>
      </c>
      <c r="J179" s="17">
        <f>SUMIF('ADV - GG'!A:A,A179,'ADV - GG'!H:H)+SUMIF('ADV - FB'!A:A,$A179,'ADV - FB'!I:I)</f>
        <v>0</v>
      </c>
      <c r="K179" s="22">
        <f>SUMIF('ADV - GA4'!A:A,A179,'ADV - GA4'!C:C)</f>
        <v>0</v>
      </c>
      <c r="L179" s="19" t="str">
        <f t="shared" si="34"/>
        <v/>
      </c>
      <c r="M179" s="20">
        <f t="shared" si="43"/>
        <v>0</v>
      </c>
      <c r="N179" s="14">
        <f t="shared" si="44"/>
        <v>0</v>
      </c>
      <c r="O179" s="15" t="str">
        <f>Planejador!$I$129</f>
        <v>#DIV/0!</v>
      </c>
      <c r="P179" s="14" t="str">
        <f>Planejador!$I$120</f>
        <v/>
      </c>
      <c r="Q179" s="16" t="str">
        <f>Planejador!$I$122</f>
        <v/>
      </c>
      <c r="R179" s="14" t="str">
        <f>Planejador!$I$126</f>
        <v>#DIV/0!</v>
      </c>
      <c r="S179" s="18">
        <f t="shared" si="45"/>
        <v>0</v>
      </c>
      <c r="T179" s="14" t="str">
        <f>Planejador!$I$121</f>
        <v/>
      </c>
      <c r="U179" s="4"/>
      <c r="V179" s="4"/>
      <c r="W179" s="4"/>
      <c r="X179" s="4"/>
      <c r="Y179" s="4"/>
      <c r="Z179" s="4"/>
      <c r="AA179" s="4"/>
      <c r="AB179" s="4"/>
    </row>
    <row r="180" ht="18.75" hidden="1" customHeight="1" outlineLevel="1">
      <c r="A180" s="12">
        <v>46194.0</v>
      </c>
      <c r="B180" s="13" t="str">
        <f t="shared" si="40"/>
        <v>domingo</v>
      </c>
      <c r="C180" s="13"/>
      <c r="D180" s="14">
        <f>SUMIF('ADV - GG'!A:A,A180,'ADV - GG'!C:C)+SUMIF('ADV - FB'!A:A,$A180,'ADV - FB'!E:E)</f>
        <v>0</v>
      </c>
      <c r="E180" s="19"/>
      <c r="F180" s="15" t="str">
        <f t="shared" si="32"/>
        <v/>
      </c>
      <c r="G180" s="14" t="str">
        <f t="shared" si="33"/>
        <v/>
      </c>
      <c r="H180" s="16" t="str">
        <f t="shared" si="41"/>
        <v/>
      </c>
      <c r="I180" s="14" t="str">
        <f t="shared" si="42"/>
        <v/>
      </c>
      <c r="J180" s="17">
        <f>SUMIF('ADV - GG'!A:A,A180,'ADV - GG'!H:H)+SUMIF('ADV - FB'!A:A,$A180,'ADV - FB'!I:I)</f>
        <v>0</v>
      </c>
      <c r="K180" s="22">
        <f>SUMIF('ADV - GA4'!A:A,A180,'ADV - GA4'!C:C)</f>
        <v>0</v>
      </c>
      <c r="L180" s="19" t="str">
        <f t="shared" si="34"/>
        <v/>
      </c>
      <c r="M180" s="20">
        <f t="shared" si="43"/>
        <v>0</v>
      </c>
      <c r="N180" s="14">
        <f t="shared" si="44"/>
        <v>0</v>
      </c>
      <c r="O180" s="15" t="str">
        <f>Planejador!$I$129</f>
        <v>#DIV/0!</v>
      </c>
      <c r="P180" s="14" t="str">
        <f>Planejador!$I$120</f>
        <v/>
      </c>
      <c r="Q180" s="16" t="str">
        <f>Planejador!$I$122</f>
        <v/>
      </c>
      <c r="R180" s="14" t="str">
        <f>Planejador!$I$126</f>
        <v>#DIV/0!</v>
      </c>
      <c r="S180" s="18">
        <f t="shared" si="45"/>
        <v>0</v>
      </c>
      <c r="T180" s="14" t="str">
        <f>Planejador!$I$121</f>
        <v/>
      </c>
      <c r="U180" s="4"/>
      <c r="V180" s="4"/>
      <c r="W180" s="4"/>
      <c r="X180" s="4"/>
      <c r="Y180" s="4"/>
      <c r="Z180" s="4"/>
      <c r="AA180" s="4"/>
      <c r="AB180" s="4"/>
    </row>
    <row r="181" ht="18.75" hidden="1" customHeight="1" outlineLevel="1">
      <c r="A181" s="12">
        <v>46195.0</v>
      </c>
      <c r="B181" s="13" t="str">
        <f t="shared" si="40"/>
        <v>segunda-feira</v>
      </c>
      <c r="C181" s="13"/>
      <c r="D181" s="14">
        <f>SUMIF('ADV - GG'!A:A,A181,'ADV - GG'!C:C)+SUMIF('ADV - FB'!A:A,$A181,'ADV - FB'!E:E)</f>
        <v>0</v>
      </c>
      <c r="E181" s="19"/>
      <c r="F181" s="15" t="str">
        <f t="shared" si="32"/>
        <v/>
      </c>
      <c r="G181" s="14" t="str">
        <f t="shared" si="33"/>
        <v/>
      </c>
      <c r="H181" s="16" t="str">
        <f t="shared" si="41"/>
        <v/>
      </c>
      <c r="I181" s="14" t="str">
        <f t="shared" si="42"/>
        <v/>
      </c>
      <c r="J181" s="17">
        <f>SUMIF('ADV - GG'!A:A,A181,'ADV - GG'!H:H)+SUMIF('ADV - FB'!A:A,$A181,'ADV - FB'!I:I)</f>
        <v>0</v>
      </c>
      <c r="K181" s="22">
        <f>SUMIF('ADV - GA4'!A:A,A181,'ADV - GA4'!C:C)</f>
        <v>0</v>
      </c>
      <c r="L181" s="19" t="str">
        <f t="shared" si="34"/>
        <v/>
      </c>
      <c r="M181" s="20">
        <f t="shared" si="43"/>
        <v>0</v>
      </c>
      <c r="N181" s="14">
        <f t="shared" si="44"/>
        <v>0</v>
      </c>
      <c r="O181" s="15" t="str">
        <f>Planejador!$I$129</f>
        <v>#DIV/0!</v>
      </c>
      <c r="P181" s="14" t="str">
        <f>Planejador!$I$120</f>
        <v/>
      </c>
      <c r="Q181" s="16" t="str">
        <f>Planejador!$I$122</f>
        <v/>
      </c>
      <c r="R181" s="14" t="str">
        <f>Planejador!$I$126</f>
        <v>#DIV/0!</v>
      </c>
      <c r="S181" s="18">
        <f t="shared" si="45"/>
        <v>0</v>
      </c>
      <c r="T181" s="14" t="str">
        <f>Planejador!$I$121</f>
        <v/>
      </c>
      <c r="U181" s="4"/>
      <c r="V181" s="4"/>
      <c r="W181" s="4"/>
      <c r="X181" s="4"/>
      <c r="Y181" s="4"/>
      <c r="Z181" s="4"/>
      <c r="AA181" s="4"/>
      <c r="AB181" s="4"/>
    </row>
    <row r="182" ht="18.75" hidden="1" customHeight="1" outlineLevel="1">
      <c r="A182" s="12">
        <v>46196.0</v>
      </c>
      <c r="B182" s="13" t="str">
        <f t="shared" si="40"/>
        <v>terça-feira</v>
      </c>
      <c r="C182" s="13"/>
      <c r="D182" s="14">
        <f>SUMIF('ADV - GG'!A:A,A182,'ADV - GG'!C:C)+SUMIF('ADV - FB'!A:A,$A182,'ADV - FB'!E:E)</f>
        <v>0</v>
      </c>
      <c r="E182" s="19"/>
      <c r="F182" s="15" t="str">
        <f t="shared" si="32"/>
        <v/>
      </c>
      <c r="G182" s="14" t="str">
        <f t="shared" si="33"/>
        <v/>
      </c>
      <c r="H182" s="16" t="str">
        <f t="shared" si="41"/>
        <v/>
      </c>
      <c r="I182" s="14" t="str">
        <f t="shared" si="42"/>
        <v/>
      </c>
      <c r="J182" s="17">
        <f>SUMIF('ADV - GG'!A:A,A182,'ADV - GG'!H:H)+SUMIF('ADV - FB'!A:A,$A182,'ADV - FB'!I:I)</f>
        <v>0</v>
      </c>
      <c r="K182" s="22">
        <f>SUMIF('ADV - GA4'!A:A,A182,'ADV - GA4'!C:C)</f>
        <v>0</v>
      </c>
      <c r="L182" s="19" t="str">
        <f t="shared" si="34"/>
        <v/>
      </c>
      <c r="M182" s="20">
        <f t="shared" si="43"/>
        <v>0</v>
      </c>
      <c r="N182" s="14">
        <f t="shared" si="44"/>
        <v>0</v>
      </c>
      <c r="O182" s="15" t="str">
        <f>Planejador!$I$129</f>
        <v>#DIV/0!</v>
      </c>
      <c r="P182" s="14" t="str">
        <f>Planejador!$I$120</f>
        <v/>
      </c>
      <c r="Q182" s="16" t="str">
        <f>Planejador!$I$122</f>
        <v/>
      </c>
      <c r="R182" s="14" t="str">
        <f>Planejador!$I$126</f>
        <v>#DIV/0!</v>
      </c>
      <c r="S182" s="18">
        <f t="shared" si="45"/>
        <v>0</v>
      </c>
      <c r="T182" s="14" t="str">
        <f>Planejador!$I$121</f>
        <v/>
      </c>
      <c r="U182" s="4"/>
      <c r="V182" s="4"/>
      <c r="W182" s="4"/>
      <c r="X182" s="4"/>
      <c r="Y182" s="4"/>
      <c r="Z182" s="4"/>
      <c r="AA182" s="4"/>
      <c r="AB182" s="4"/>
    </row>
    <row r="183" ht="18.75" hidden="1" customHeight="1" outlineLevel="1">
      <c r="A183" s="12">
        <v>46197.0</v>
      </c>
      <c r="B183" s="13" t="str">
        <f t="shared" si="40"/>
        <v>quarta-feira</v>
      </c>
      <c r="C183" s="13"/>
      <c r="D183" s="14">
        <f>SUMIF('ADV - GG'!A:A,A183,'ADV - GG'!C:C)+SUMIF('ADV - FB'!A:A,$A183,'ADV - FB'!E:E)</f>
        <v>0</v>
      </c>
      <c r="E183" s="19"/>
      <c r="F183" s="15" t="str">
        <f t="shared" si="32"/>
        <v/>
      </c>
      <c r="G183" s="14" t="str">
        <f t="shared" si="33"/>
        <v/>
      </c>
      <c r="H183" s="16" t="str">
        <f t="shared" si="41"/>
        <v/>
      </c>
      <c r="I183" s="14" t="str">
        <f t="shared" si="42"/>
        <v/>
      </c>
      <c r="J183" s="17">
        <f>SUMIF('ADV - GG'!A:A,A183,'ADV - GG'!H:H)+SUMIF('ADV - FB'!A:A,$A183,'ADV - FB'!I:I)</f>
        <v>0</v>
      </c>
      <c r="K183" s="22">
        <f>SUMIF('ADV - GA4'!A:A,A183,'ADV - GA4'!C:C)</f>
        <v>0</v>
      </c>
      <c r="L183" s="19" t="str">
        <f t="shared" si="34"/>
        <v/>
      </c>
      <c r="M183" s="20">
        <f t="shared" si="43"/>
        <v>0</v>
      </c>
      <c r="N183" s="14">
        <f t="shared" si="44"/>
        <v>0</v>
      </c>
      <c r="O183" s="15" t="str">
        <f>Planejador!$I$129</f>
        <v>#DIV/0!</v>
      </c>
      <c r="P183" s="14" t="str">
        <f>Planejador!$I$120</f>
        <v/>
      </c>
      <c r="Q183" s="16" t="str">
        <f>Planejador!$I$122</f>
        <v/>
      </c>
      <c r="R183" s="14" t="str">
        <f>Planejador!$I$126</f>
        <v>#DIV/0!</v>
      </c>
      <c r="S183" s="18">
        <f t="shared" si="45"/>
        <v>0</v>
      </c>
      <c r="T183" s="14" t="str">
        <f>Planejador!$I$121</f>
        <v/>
      </c>
      <c r="U183" s="4"/>
      <c r="V183" s="4"/>
      <c r="W183" s="4"/>
      <c r="X183" s="4"/>
      <c r="Y183" s="4"/>
      <c r="Z183" s="4"/>
      <c r="AA183" s="4"/>
      <c r="AB183" s="4"/>
    </row>
    <row r="184" ht="18.75" hidden="1" customHeight="1" outlineLevel="1">
      <c r="A184" s="12">
        <v>46198.0</v>
      </c>
      <c r="B184" s="13" t="str">
        <f t="shared" si="40"/>
        <v>quinta-feira</v>
      </c>
      <c r="C184" s="13"/>
      <c r="D184" s="14">
        <f>SUMIF('ADV - GG'!A:A,A184,'ADV - GG'!C:C)+SUMIF('ADV - FB'!A:A,$A184,'ADV - FB'!E:E)</f>
        <v>0</v>
      </c>
      <c r="E184" s="19"/>
      <c r="F184" s="15" t="str">
        <f t="shared" si="32"/>
        <v/>
      </c>
      <c r="G184" s="14" t="str">
        <f t="shared" si="33"/>
        <v/>
      </c>
      <c r="H184" s="16" t="str">
        <f t="shared" si="41"/>
        <v/>
      </c>
      <c r="I184" s="14" t="str">
        <f t="shared" si="42"/>
        <v/>
      </c>
      <c r="J184" s="17">
        <f>SUMIF('ADV - GG'!A:A,A184,'ADV - GG'!H:H)+SUMIF('ADV - FB'!A:A,$A184,'ADV - FB'!I:I)</f>
        <v>0</v>
      </c>
      <c r="K184" s="22">
        <f>SUMIF('ADV - GA4'!A:A,A184,'ADV - GA4'!C:C)</f>
        <v>0</v>
      </c>
      <c r="L184" s="19" t="str">
        <f t="shared" si="34"/>
        <v/>
      </c>
      <c r="M184" s="20">
        <f t="shared" si="43"/>
        <v>0</v>
      </c>
      <c r="N184" s="14">
        <f t="shared" si="44"/>
        <v>0</v>
      </c>
      <c r="O184" s="15" t="str">
        <f>Planejador!$I$129</f>
        <v>#DIV/0!</v>
      </c>
      <c r="P184" s="14" t="str">
        <f>Planejador!$I$120</f>
        <v/>
      </c>
      <c r="Q184" s="16" t="str">
        <f>Planejador!$I$122</f>
        <v/>
      </c>
      <c r="R184" s="14" t="str">
        <f>Planejador!$I$126</f>
        <v>#DIV/0!</v>
      </c>
      <c r="S184" s="18">
        <f t="shared" si="45"/>
        <v>0</v>
      </c>
      <c r="T184" s="14" t="str">
        <f>Planejador!$I$121</f>
        <v/>
      </c>
      <c r="U184" s="4"/>
      <c r="V184" s="4"/>
      <c r="W184" s="4"/>
      <c r="X184" s="4"/>
      <c r="Y184" s="4"/>
      <c r="Z184" s="4"/>
      <c r="AA184" s="4"/>
      <c r="AB184" s="4"/>
    </row>
    <row r="185" ht="18.75" hidden="1" customHeight="1" outlineLevel="1">
      <c r="A185" s="12">
        <v>46199.0</v>
      </c>
      <c r="B185" s="13" t="str">
        <f t="shared" si="40"/>
        <v>sexta-feira</v>
      </c>
      <c r="C185" s="13"/>
      <c r="D185" s="14">
        <f>SUMIF('ADV - GG'!A:A,A185,'ADV - GG'!C:C)+SUMIF('ADV - FB'!A:A,$A185,'ADV - FB'!E:E)</f>
        <v>0</v>
      </c>
      <c r="E185" s="19"/>
      <c r="F185" s="15" t="str">
        <f t="shared" si="32"/>
        <v/>
      </c>
      <c r="G185" s="14" t="str">
        <f t="shared" si="33"/>
        <v/>
      </c>
      <c r="H185" s="16" t="str">
        <f t="shared" si="41"/>
        <v/>
      </c>
      <c r="I185" s="14" t="str">
        <f t="shared" si="42"/>
        <v/>
      </c>
      <c r="J185" s="17">
        <f>SUMIF('ADV - GG'!A:A,A185,'ADV - GG'!H:H)+SUMIF('ADV - FB'!A:A,$A185,'ADV - FB'!I:I)</f>
        <v>0</v>
      </c>
      <c r="K185" s="22">
        <f>SUMIF('ADV - GA4'!A:A,A185,'ADV - GA4'!C:C)</f>
        <v>0</v>
      </c>
      <c r="L185" s="19" t="str">
        <f t="shared" si="34"/>
        <v/>
      </c>
      <c r="M185" s="20">
        <f t="shared" si="43"/>
        <v>0</v>
      </c>
      <c r="N185" s="14">
        <f t="shared" si="44"/>
        <v>0</v>
      </c>
      <c r="O185" s="15" t="str">
        <f>Planejador!$I$129</f>
        <v>#DIV/0!</v>
      </c>
      <c r="P185" s="14" t="str">
        <f>Planejador!$I$120</f>
        <v/>
      </c>
      <c r="Q185" s="16" t="str">
        <f>Planejador!$I$122</f>
        <v/>
      </c>
      <c r="R185" s="14" t="str">
        <f>Planejador!$I$126</f>
        <v>#DIV/0!</v>
      </c>
      <c r="S185" s="18">
        <f t="shared" si="45"/>
        <v>0</v>
      </c>
      <c r="T185" s="14" t="str">
        <f>Planejador!$I$121</f>
        <v/>
      </c>
      <c r="U185" s="4"/>
      <c r="V185" s="4"/>
      <c r="W185" s="4"/>
      <c r="X185" s="4"/>
      <c r="Y185" s="4"/>
      <c r="Z185" s="4"/>
      <c r="AA185" s="4"/>
      <c r="AB185" s="4"/>
    </row>
    <row r="186" ht="18.75" hidden="1" customHeight="1" outlineLevel="1">
      <c r="A186" s="12">
        <v>46200.0</v>
      </c>
      <c r="B186" s="13" t="str">
        <f t="shared" si="40"/>
        <v>sábado</v>
      </c>
      <c r="C186" s="13"/>
      <c r="D186" s="14">
        <f>SUMIF('ADV - GG'!A:A,A186,'ADV - GG'!C:C)+SUMIF('ADV - FB'!A:A,$A186,'ADV - FB'!E:E)</f>
        <v>0</v>
      </c>
      <c r="E186" s="19"/>
      <c r="F186" s="15" t="str">
        <f t="shared" si="32"/>
        <v/>
      </c>
      <c r="G186" s="14" t="str">
        <f t="shared" si="33"/>
        <v/>
      </c>
      <c r="H186" s="16" t="str">
        <f t="shared" si="41"/>
        <v/>
      </c>
      <c r="I186" s="14" t="str">
        <f t="shared" si="42"/>
        <v/>
      </c>
      <c r="J186" s="17">
        <f>SUMIF('ADV - GG'!A:A,A186,'ADV - GG'!H:H)+SUMIF('ADV - FB'!A:A,$A186,'ADV - FB'!I:I)</f>
        <v>0</v>
      </c>
      <c r="K186" s="22">
        <f>SUMIF('ADV - GA4'!A:A,A186,'ADV - GA4'!C:C)</f>
        <v>0</v>
      </c>
      <c r="L186" s="19" t="str">
        <f t="shared" si="34"/>
        <v/>
      </c>
      <c r="M186" s="20">
        <f t="shared" si="43"/>
        <v>0</v>
      </c>
      <c r="N186" s="14">
        <f t="shared" si="44"/>
        <v>0</v>
      </c>
      <c r="O186" s="15" t="str">
        <f>Planejador!$I$129</f>
        <v>#DIV/0!</v>
      </c>
      <c r="P186" s="14" t="str">
        <f>Planejador!$I$120</f>
        <v/>
      </c>
      <c r="Q186" s="16" t="str">
        <f>Planejador!$I$122</f>
        <v/>
      </c>
      <c r="R186" s="14" t="str">
        <f>Planejador!$I$126</f>
        <v>#DIV/0!</v>
      </c>
      <c r="S186" s="18">
        <f t="shared" si="45"/>
        <v>0</v>
      </c>
      <c r="T186" s="14" t="str">
        <f>Planejador!$I$121</f>
        <v/>
      </c>
      <c r="U186" s="4"/>
      <c r="V186" s="4"/>
      <c r="W186" s="4"/>
      <c r="X186" s="4"/>
      <c r="Y186" s="4"/>
      <c r="Z186" s="4"/>
      <c r="AA186" s="4"/>
      <c r="AB186" s="4"/>
    </row>
    <row r="187" ht="18.75" hidden="1" customHeight="1" outlineLevel="1">
      <c r="A187" s="12">
        <v>46201.0</v>
      </c>
      <c r="B187" s="13" t="str">
        <f t="shared" si="40"/>
        <v>domingo</v>
      </c>
      <c r="C187" s="13"/>
      <c r="D187" s="14">
        <f>SUMIF('ADV - GG'!A:A,A187,'ADV - GG'!C:C)+SUMIF('ADV - FB'!A:A,$A187,'ADV - FB'!E:E)</f>
        <v>0</v>
      </c>
      <c r="E187" s="19"/>
      <c r="F187" s="15" t="str">
        <f t="shared" si="32"/>
        <v/>
      </c>
      <c r="G187" s="14" t="str">
        <f t="shared" si="33"/>
        <v/>
      </c>
      <c r="H187" s="16" t="str">
        <f t="shared" si="41"/>
        <v/>
      </c>
      <c r="I187" s="14" t="str">
        <f t="shared" si="42"/>
        <v/>
      </c>
      <c r="J187" s="17">
        <f>SUMIF('ADV - GG'!A:A,A187,'ADV - GG'!H:H)+SUMIF('ADV - FB'!A:A,$A187,'ADV - FB'!I:I)</f>
        <v>0</v>
      </c>
      <c r="K187" s="22">
        <f>SUMIF('ADV - GA4'!A:A,A187,'ADV - GA4'!C:C)</f>
        <v>0</v>
      </c>
      <c r="L187" s="19" t="str">
        <f t="shared" si="34"/>
        <v/>
      </c>
      <c r="M187" s="20">
        <f t="shared" si="43"/>
        <v>0</v>
      </c>
      <c r="N187" s="14">
        <f t="shared" si="44"/>
        <v>0</v>
      </c>
      <c r="O187" s="15" t="str">
        <f>Planejador!$I$129</f>
        <v>#DIV/0!</v>
      </c>
      <c r="P187" s="14" t="str">
        <f>Planejador!$I$120</f>
        <v/>
      </c>
      <c r="Q187" s="16" t="str">
        <f>Planejador!$I$122</f>
        <v/>
      </c>
      <c r="R187" s="14" t="str">
        <f>Planejador!$I$126</f>
        <v>#DIV/0!</v>
      </c>
      <c r="S187" s="18">
        <f t="shared" si="45"/>
        <v>0</v>
      </c>
      <c r="T187" s="14" t="str">
        <f>Planejador!$I$121</f>
        <v/>
      </c>
      <c r="U187" s="4"/>
      <c r="V187" s="4"/>
      <c r="W187" s="4"/>
      <c r="X187" s="4"/>
      <c r="Y187" s="4"/>
      <c r="Z187" s="4"/>
      <c r="AA187" s="4"/>
      <c r="AB187" s="4"/>
    </row>
    <row r="188" ht="18.75" hidden="1" customHeight="1" outlineLevel="1">
      <c r="A188" s="12">
        <v>46202.0</v>
      </c>
      <c r="B188" s="13" t="str">
        <f t="shared" si="40"/>
        <v>segunda-feira</v>
      </c>
      <c r="C188" s="13"/>
      <c r="D188" s="14">
        <f>SUMIF('ADV - GG'!A:A,A188,'ADV - GG'!C:C)+SUMIF('ADV - FB'!A:A,$A188,'ADV - FB'!E:E)</f>
        <v>0</v>
      </c>
      <c r="E188" s="19"/>
      <c r="F188" s="15" t="str">
        <f t="shared" si="32"/>
        <v/>
      </c>
      <c r="G188" s="14" t="str">
        <f t="shared" si="33"/>
        <v/>
      </c>
      <c r="H188" s="16" t="str">
        <f t="shared" si="41"/>
        <v/>
      </c>
      <c r="I188" s="14" t="str">
        <f t="shared" si="42"/>
        <v/>
      </c>
      <c r="J188" s="17">
        <f>SUMIF('ADV - GG'!A:A,A188,'ADV - GG'!H:H)+SUMIF('ADV - FB'!A:A,$A188,'ADV - FB'!I:I)</f>
        <v>0</v>
      </c>
      <c r="K188" s="22">
        <f>SUMIF('ADV - GA4'!A:A,A188,'ADV - GA4'!C:C)</f>
        <v>0</v>
      </c>
      <c r="L188" s="19" t="str">
        <f t="shared" si="34"/>
        <v/>
      </c>
      <c r="M188" s="20">
        <f t="shared" si="43"/>
        <v>0</v>
      </c>
      <c r="N188" s="14">
        <f t="shared" si="44"/>
        <v>0</v>
      </c>
      <c r="O188" s="15" t="str">
        <f>Planejador!$I$129</f>
        <v>#DIV/0!</v>
      </c>
      <c r="P188" s="14" t="str">
        <f>Planejador!$I$120</f>
        <v/>
      </c>
      <c r="Q188" s="16" t="str">
        <f>Planejador!$I$122</f>
        <v/>
      </c>
      <c r="R188" s="14" t="str">
        <f>Planejador!$I$126</f>
        <v>#DIV/0!</v>
      </c>
      <c r="S188" s="18">
        <f t="shared" si="45"/>
        <v>0</v>
      </c>
      <c r="T188" s="14" t="str">
        <f>Planejador!$I$121</f>
        <v/>
      </c>
      <c r="U188" s="4"/>
      <c r="V188" s="4"/>
      <c r="W188" s="4"/>
      <c r="X188" s="4"/>
      <c r="Y188" s="4"/>
      <c r="Z188" s="4"/>
      <c r="AA188" s="4"/>
      <c r="AB188" s="4"/>
    </row>
    <row r="189" ht="18.75" hidden="1" customHeight="1" outlineLevel="1">
      <c r="A189" s="12">
        <v>46203.0</v>
      </c>
      <c r="B189" s="13" t="str">
        <f t="shared" si="40"/>
        <v>terça-feira</v>
      </c>
      <c r="C189" s="13"/>
      <c r="D189" s="14">
        <f>SUMIF('ADV - GG'!A:A,A189,'ADV - GG'!C:C)+SUMIF('ADV - FB'!A:A,$A189,'ADV - FB'!E:E)</f>
        <v>0</v>
      </c>
      <c r="E189" s="19"/>
      <c r="F189" s="15" t="str">
        <f t="shared" si="32"/>
        <v/>
      </c>
      <c r="G189" s="14" t="str">
        <f t="shared" si="33"/>
        <v/>
      </c>
      <c r="H189" s="16" t="str">
        <f t="shared" si="41"/>
        <v/>
      </c>
      <c r="I189" s="14" t="str">
        <f t="shared" si="42"/>
        <v/>
      </c>
      <c r="J189" s="17">
        <f>SUMIF('ADV - GG'!A:A,A189,'ADV - GG'!H:H)+SUMIF('ADV - FB'!A:A,$A189,'ADV - FB'!I:I)</f>
        <v>0</v>
      </c>
      <c r="K189" s="22">
        <f>SUMIF('ADV - GA4'!A:A,A189,'ADV - GA4'!C:C)</f>
        <v>0</v>
      </c>
      <c r="L189" s="19" t="str">
        <f t="shared" si="34"/>
        <v/>
      </c>
      <c r="M189" s="20">
        <f t="shared" si="43"/>
        <v>0</v>
      </c>
      <c r="N189" s="14">
        <f t="shared" si="44"/>
        <v>0</v>
      </c>
      <c r="O189" s="15" t="str">
        <f>Planejador!$I$129</f>
        <v>#DIV/0!</v>
      </c>
      <c r="P189" s="14" t="str">
        <f>Planejador!$I$120</f>
        <v/>
      </c>
      <c r="Q189" s="16" t="str">
        <f>Planejador!$I$122</f>
        <v/>
      </c>
      <c r="R189" s="14" t="str">
        <f>Planejador!$I$126</f>
        <v>#DIV/0!</v>
      </c>
      <c r="S189" s="18">
        <f t="shared" si="45"/>
        <v>0</v>
      </c>
      <c r="T189" s="14" t="str">
        <f>Planejador!$I$121</f>
        <v/>
      </c>
      <c r="U189" s="4"/>
      <c r="V189" s="4"/>
      <c r="W189" s="4"/>
      <c r="X189" s="4"/>
      <c r="Y189" s="4"/>
      <c r="Z189" s="4"/>
      <c r="AA189" s="4"/>
      <c r="AB189" s="4"/>
    </row>
    <row r="190" ht="18.75" customHeight="1" collapsed="1">
      <c r="A190" s="25" t="s">
        <v>27</v>
      </c>
      <c r="B190" s="26">
        <v>31.0</v>
      </c>
      <c r="C190" s="27"/>
      <c r="D190" s="28">
        <f t="shared" ref="D190:E190" si="46">IFERROR(SUM(D191:D221),"")</f>
        <v>0</v>
      </c>
      <c r="E190" s="28">
        <f t="shared" si="46"/>
        <v>0</v>
      </c>
      <c r="F190" s="29" t="str">
        <f t="shared" si="32"/>
        <v/>
      </c>
      <c r="G190" s="30" t="str">
        <f t="shared" si="33"/>
        <v/>
      </c>
      <c r="H190" s="31" t="str">
        <f>IFERROR(J190/K190,"")</f>
        <v/>
      </c>
      <c r="I190" s="30" t="str">
        <f>IFERROR(D190/J190,"")</f>
        <v/>
      </c>
      <c r="J190" s="32">
        <f t="shared" ref="J190:K190" si="47">IFERROR(SUM(J191:J221),"")</f>
        <v>0</v>
      </c>
      <c r="K190" s="32">
        <f t="shared" si="47"/>
        <v>0</v>
      </c>
      <c r="L190" s="30" t="str">
        <f t="shared" si="34"/>
        <v/>
      </c>
      <c r="M190" s="28" t="str">
        <f>Planejador!$I$142</f>
        <v/>
      </c>
      <c r="N190" s="28" t="str">
        <f>IFERROR(Planejador!$I$151,"")</f>
        <v/>
      </c>
      <c r="O190" s="33" t="str">
        <f>IFERROR(Planejador!$I$152,"")</f>
        <v/>
      </c>
      <c r="P190" s="34" t="str">
        <f>Planejador!$I$143</f>
        <v/>
      </c>
      <c r="Q190" s="35" t="str">
        <f>Planejador!$I$145</f>
        <v/>
      </c>
      <c r="R190" s="34" t="str">
        <f>IFERROR(Planejador!$I$149,"")</f>
        <v/>
      </c>
      <c r="S190" s="32" t="str">
        <f>IFERROR(Planejador!$I$148,"")</f>
        <v/>
      </c>
      <c r="T190" s="34" t="str">
        <f>IFERROR(Planejador!$I$144,"")</f>
        <v/>
      </c>
      <c r="U190" s="4"/>
      <c r="V190" s="4"/>
      <c r="W190" s="4"/>
      <c r="X190" s="4"/>
      <c r="Y190" s="4"/>
      <c r="Z190" s="4"/>
      <c r="AA190" s="4"/>
      <c r="AB190" s="4"/>
    </row>
    <row r="191" ht="18.75" hidden="1" customHeight="1" outlineLevel="1">
      <c r="A191" s="12">
        <v>46204.0</v>
      </c>
      <c r="B191" s="13" t="str">
        <f t="shared" ref="B191:B221" si="48">TEXT(A191,"dddd")</f>
        <v>quarta-feira</v>
      </c>
      <c r="C191" s="13"/>
      <c r="D191" s="14">
        <f>SUMIF('ADV - GG'!A:A,A191,'ADV - GG'!C:C)+SUMIF('ADV - FB'!A:A,$A191,'ADV - FB'!E:E)</f>
        <v>0</v>
      </c>
      <c r="E191" s="19"/>
      <c r="F191" s="15" t="str">
        <f t="shared" si="32"/>
        <v/>
      </c>
      <c r="G191" s="14" t="str">
        <f t="shared" si="33"/>
        <v/>
      </c>
      <c r="H191" s="16" t="str">
        <f t="shared" ref="H191:H221" si="49">iferror(J191/K191,"")</f>
        <v/>
      </c>
      <c r="I191" s="14" t="str">
        <f t="shared" ref="I191:I221" si="50">iferror(D191/J191,"")</f>
        <v/>
      </c>
      <c r="J191" s="17">
        <f>SUMIF('ADV - GG'!A:A,A191,'ADV - GG'!H:H)+SUMIF('ADV - FB'!A:A,$A191,'ADV - FB'!I:I)</f>
        <v>0</v>
      </c>
      <c r="K191" s="22">
        <f>SUMIF('ADV - GA4'!A:A,A191,'ADV - GA4'!C:C)</f>
        <v>0</v>
      </c>
      <c r="L191" s="19" t="str">
        <f t="shared" si="34"/>
        <v/>
      </c>
      <c r="M191" s="20">
        <f t="shared" ref="M191:M221" si="51">$M$190/$B$190</f>
        <v>0</v>
      </c>
      <c r="N191" s="14">
        <f t="shared" ref="N191:N221" si="52">$N$190/$B$190</f>
        <v>0</v>
      </c>
      <c r="O191" s="15" t="str">
        <f>Planejador!$I$152</f>
        <v>#DIV/0!</v>
      </c>
      <c r="P191" s="14" t="str">
        <f>Planejador!$I$143</f>
        <v/>
      </c>
      <c r="Q191" s="16" t="str">
        <f>Planejador!$I$145</f>
        <v/>
      </c>
      <c r="R191" s="14" t="str">
        <f>Planejador!$I$149</f>
        <v>#DIV/0!</v>
      </c>
      <c r="S191" s="18">
        <f t="shared" ref="S191:S221" si="53">$S$190/$B$190</f>
        <v>0</v>
      </c>
      <c r="T191" s="14" t="str">
        <f>Planejador!$I$144</f>
        <v/>
      </c>
      <c r="U191" s="4"/>
      <c r="V191" s="4"/>
      <c r="W191" s="4"/>
      <c r="X191" s="4"/>
      <c r="Y191" s="4"/>
      <c r="Z191" s="4"/>
      <c r="AA191" s="4"/>
      <c r="AB191" s="4"/>
    </row>
    <row r="192" ht="18.75" hidden="1" customHeight="1" outlineLevel="1">
      <c r="A192" s="12">
        <v>46205.0</v>
      </c>
      <c r="B192" s="13" t="str">
        <f t="shared" si="48"/>
        <v>quinta-feira</v>
      </c>
      <c r="C192" s="13"/>
      <c r="D192" s="14">
        <f>SUMIF('ADV - GG'!A:A,A192,'ADV - GG'!C:C)+SUMIF('ADV - FB'!A:A,$A192,'ADV - FB'!E:E)</f>
        <v>0</v>
      </c>
      <c r="E192" s="19"/>
      <c r="F192" s="15" t="str">
        <f t="shared" si="32"/>
        <v/>
      </c>
      <c r="G192" s="14" t="str">
        <f t="shared" si="33"/>
        <v/>
      </c>
      <c r="H192" s="16" t="str">
        <f t="shared" si="49"/>
        <v/>
      </c>
      <c r="I192" s="14" t="str">
        <f t="shared" si="50"/>
        <v/>
      </c>
      <c r="J192" s="17">
        <f>SUMIF('ADV - GG'!A:A,A192,'ADV - GG'!H:H)+SUMIF('ADV - FB'!A:A,$A192,'ADV - FB'!I:I)</f>
        <v>0</v>
      </c>
      <c r="K192" s="22">
        <f>SUMIF('ADV - GA4'!A:A,A192,'ADV - GA4'!C:C)</f>
        <v>0</v>
      </c>
      <c r="L192" s="19" t="str">
        <f t="shared" si="34"/>
        <v/>
      </c>
      <c r="M192" s="20">
        <f t="shared" si="51"/>
        <v>0</v>
      </c>
      <c r="N192" s="14">
        <f t="shared" si="52"/>
        <v>0</v>
      </c>
      <c r="O192" s="15" t="str">
        <f>Planejador!$I$152</f>
        <v>#DIV/0!</v>
      </c>
      <c r="P192" s="14" t="str">
        <f>Planejador!$I$143</f>
        <v/>
      </c>
      <c r="Q192" s="16" t="str">
        <f>Planejador!$I$145</f>
        <v/>
      </c>
      <c r="R192" s="14" t="str">
        <f>Planejador!$I$149</f>
        <v>#DIV/0!</v>
      </c>
      <c r="S192" s="18">
        <f t="shared" si="53"/>
        <v>0</v>
      </c>
      <c r="T192" s="14" t="str">
        <f>Planejador!$I$144</f>
        <v/>
      </c>
      <c r="U192" s="4"/>
      <c r="V192" s="4"/>
      <c r="W192" s="4"/>
      <c r="X192" s="4"/>
      <c r="Y192" s="4"/>
      <c r="Z192" s="4"/>
      <c r="AA192" s="4"/>
      <c r="AB192" s="4"/>
    </row>
    <row r="193" ht="18.75" hidden="1" customHeight="1" outlineLevel="1">
      <c r="A193" s="12">
        <v>46206.0</v>
      </c>
      <c r="B193" s="13" t="str">
        <f t="shared" si="48"/>
        <v>sexta-feira</v>
      </c>
      <c r="C193" s="13"/>
      <c r="D193" s="14">
        <f>SUMIF('ADV - GG'!A:A,A193,'ADV - GG'!C:C)+SUMIF('ADV - FB'!A:A,$A193,'ADV - FB'!E:E)</f>
        <v>0</v>
      </c>
      <c r="E193" s="19"/>
      <c r="F193" s="15" t="str">
        <f t="shared" si="32"/>
        <v/>
      </c>
      <c r="G193" s="14" t="str">
        <f t="shared" si="33"/>
        <v/>
      </c>
      <c r="H193" s="16" t="str">
        <f t="shared" si="49"/>
        <v/>
      </c>
      <c r="I193" s="14" t="str">
        <f t="shared" si="50"/>
        <v/>
      </c>
      <c r="J193" s="17">
        <f>SUMIF('ADV - GG'!A:A,A193,'ADV - GG'!H:H)+SUMIF('ADV - FB'!A:A,$A193,'ADV - FB'!I:I)</f>
        <v>0</v>
      </c>
      <c r="K193" s="22">
        <f>SUMIF('ADV - GA4'!A:A,A193,'ADV - GA4'!C:C)</f>
        <v>0</v>
      </c>
      <c r="L193" s="19" t="str">
        <f t="shared" si="34"/>
        <v/>
      </c>
      <c r="M193" s="20">
        <f t="shared" si="51"/>
        <v>0</v>
      </c>
      <c r="N193" s="14">
        <f t="shared" si="52"/>
        <v>0</v>
      </c>
      <c r="O193" s="15" t="str">
        <f>Planejador!$I$152</f>
        <v>#DIV/0!</v>
      </c>
      <c r="P193" s="14" t="str">
        <f>Planejador!$I$143</f>
        <v/>
      </c>
      <c r="Q193" s="16" t="str">
        <f>Planejador!$I$145</f>
        <v/>
      </c>
      <c r="R193" s="14" t="str">
        <f>Planejador!$I$149</f>
        <v>#DIV/0!</v>
      </c>
      <c r="S193" s="18">
        <f t="shared" si="53"/>
        <v>0</v>
      </c>
      <c r="T193" s="14" t="str">
        <f>Planejador!$I$144</f>
        <v/>
      </c>
      <c r="U193" s="4"/>
      <c r="V193" s="4"/>
      <c r="W193" s="4"/>
      <c r="X193" s="4"/>
      <c r="Y193" s="4"/>
      <c r="Z193" s="4"/>
      <c r="AA193" s="4"/>
      <c r="AB193" s="4"/>
    </row>
    <row r="194" ht="18.75" hidden="1" customHeight="1" outlineLevel="1">
      <c r="A194" s="12">
        <v>46207.0</v>
      </c>
      <c r="B194" s="13" t="str">
        <f t="shared" si="48"/>
        <v>sábado</v>
      </c>
      <c r="C194" s="13"/>
      <c r="D194" s="14">
        <f>SUMIF('ADV - GG'!A:A,A194,'ADV - GG'!C:C)+SUMIF('ADV - FB'!A:A,$A194,'ADV - FB'!E:E)</f>
        <v>0</v>
      </c>
      <c r="E194" s="19"/>
      <c r="F194" s="15" t="str">
        <f t="shared" si="32"/>
        <v/>
      </c>
      <c r="G194" s="14" t="str">
        <f t="shared" si="33"/>
        <v/>
      </c>
      <c r="H194" s="16" t="str">
        <f t="shared" si="49"/>
        <v/>
      </c>
      <c r="I194" s="14" t="str">
        <f t="shared" si="50"/>
        <v/>
      </c>
      <c r="J194" s="17">
        <f>SUMIF('ADV - GG'!A:A,A194,'ADV - GG'!H:H)+SUMIF('ADV - FB'!A:A,$A194,'ADV - FB'!I:I)</f>
        <v>0</v>
      </c>
      <c r="K194" s="22">
        <f>SUMIF('ADV - GA4'!A:A,A194,'ADV - GA4'!C:C)</f>
        <v>0</v>
      </c>
      <c r="L194" s="19" t="str">
        <f t="shared" si="34"/>
        <v/>
      </c>
      <c r="M194" s="20">
        <f t="shared" si="51"/>
        <v>0</v>
      </c>
      <c r="N194" s="14">
        <f t="shared" si="52"/>
        <v>0</v>
      </c>
      <c r="O194" s="15" t="str">
        <f>Planejador!$I$152</f>
        <v>#DIV/0!</v>
      </c>
      <c r="P194" s="14" t="str">
        <f>Planejador!$I$143</f>
        <v/>
      </c>
      <c r="Q194" s="16" t="str">
        <f>Planejador!$I$145</f>
        <v/>
      </c>
      <c r="R194" s="14" t="str">
        <f>Planejador!$I$149</f>
        <v>#DIV/0!</v>
      </c>
      <c r="S194" s="18">
        <f t="shared" si="53"/>
        <v>0</v>
      </c>
      <c r="T194" s="14" t="str">
        <f>Planejador!$I$144</f>
        <v/>
      </c>
      <c r="U194" s="4"/>
      <c r="V194" s="4"/>
      <c r="W194" s="4"/>
      <c r="X194" s="4"/>
      <c r="Y194" s="4"/>
      <c r="Z194" s="4"/>
      <c r="AA194" s="4"/>
      <c r="AB194" s="4"/>
    </row>
    <row r="195" ht="18.75" hidden="1" customHeight="1" outlineLevel="1">
      <c r="A195" s="12">
        <v>46208.0</v>
      </c>
      <c r="B195" s="13" t="str">
        <f t="shared" si="48"/>
        <v>domingo</v>
      </c>
      <c r="C195" s="13"/>
      <c r="D195" s="14">
        <f>SUMIF('ADV - GG'!A:A,A195,'ADV - GG'!C:C)+SUMIF('ADV - FB'!A:A,$A195,'ADV - FB'!E:E)</f>
        <v>0</v>
      </c>
      <c r="E195" s="19"/>
      <c r="F195" s="15" t="str">
        <f t="shared" si="32"/>
        <v/>
      </c>
      <c r="G195" s="14" t="str">
        <f t="shared" si="33"/>
        <v/>
      </c>
      <c r="H195" s="16" t="str">
        <f t="shared" si="49"/>
        <v/>
      </c>
      <c r="I195" s="14" t="str">
        <f t="shared" si="50"/>
        <v/>
      </c>
      <c r="J195" s="17">
        <f>SUMIF('ADV - GG'!A:A,A195,'ADV - GG'!H:H)+SUMIF('ADV - FB'!A:A,$A195,'ADV - FB'!I:I)</f>
        <v>0</v>
      </c>
      <c r="K195" s="22">
        <f>SUMIF('ADV - GA4'!A:A,A195,'ADV - GA4'!C:C)</f>
        <v>0</v>
      </c>
      <c r="L195" s="19" t="str">
        <f t="shared" si="34"/>
        <v/>
      </c>
      <c r="M195" s="20">
        <f t="shared" si="51"/>
        <v>0</v>
      </c>
      <c r="N195" s="14">
        <f t="shared" si="52"/>
        <v>0</v>
      </c>
      <c r="O195" s="15" t="str">
        <f>Planejador!$I$152</f>
        <v>#DIV/0!</v>
      </c>
      <c r="P195" s="14" t="str">
        <f>Planejador!$I$143</f>
        <v/>
      </c>
      <c r="Q195" s="16" t="str">
        <f>Planejador!$I$145</f>
        <v/>
      </c>
      <c r="R195" s="14" t="str">
        <f>Planejador!$I$149</f>
        <v>#DIV/0!</v>
      </c>
      <c r="S195" s="18">
        <f t="shared" si="53"/>
        <v>0</v>
      </c>
      <c r="T195" s="14" t="str">
        <f>Planejador!$I$144</f>
        <v/>
      </c>
      <c r="U195" s="4"/>
      <c r="V195" s="4"/>
      <c r="W195" s="4"/>
      <c r="X195" s="4"/>
      <c r="Y195" s="4"/>
      <c r="Z195" s="4"/>
      <c r="AA195" s="4"/>
      <c r="AB195" s="4"/>
    </row>
    <row r="196" ht="18.75" hidden="1" customHeight="1" outlineLevel="1">
      <c r="A196" s="12">
        <v>46209.0</v>
      </c>
      <c r="B196" s="13" t="str">
        <f t="shared" si="48"/>
        <v>segunda-feira</v>
      </c>
      <c r="C196" s="13"/>
      <c r="D196" s="14">
        <f>SUMIF('ADV - GG'!A:A,A196,'ADV - GG'!C:C)+SUMIF('ADV - FB'!A:A,$A196,'ADV - FB'!E:E)</f>
        <v>0</v>
      </c>
      <c r="E196" s="19"/>
      <c r="F196" s="15" t="str">
        <f t="shared" si="32"/>
        <v/>
      </c>
      <c r="G196" s="14" t="str">
        <f t="shared" si="33"/>
        <v/>
      </c>
      <c r="H196" s="16" t="str">
        <f t="shared" si="49"/>
        <v/>
      </c>
      <c r="I196" s="14" t="str">
        <f t="shared" si="50"/>
        <v/>
      </c>
      <c r="J196" s="17">
        <f>SUMIF('ADV - GG'!A:A,A196,'ADV - GG'!H:H)+SUMIF('ADV - FB'!A:A,$A196,'ADV - FB'!I:I)</f>
        <v>0</v>
      </c>
      <c r="K196" s="22">
        <f>SUMIF('ADV - GA4'!A:A,A196,'ADV - GA4'!C:C)</f>
        <v>0</v>
      </c>
      <c r="L196" s="19" t="str">
        <f t="shared" si="34"/>
        <v/>
      </c>
      <c r="M196" s="20">
        <f t="shared" si="51"/>
        <v>0</v>
      </c>
      <c r="N196" s="14">
        <f t="shared" si="52"/>
        <v>0</v>
      </c>
      <c r="O196" s="15" t="str">
        <f>Planejador!$I$152</f>
        <v>#DIV/0!</v>
      </c>
      <c r="P196" s="14" t="str">
        <f>Planejador!$I$143</f>
        <v/>
      </c>
      <c r="Q196" s="16" t="str">
        <f>Planejador!$I$145</f>
        <v/>
      </c>
      <c r="R196" s="14" t="str">
        <f>Planejador!$I$149</f>
        <v>#DIV/0!</v>
      </c>
      <c r="S196" s="18">
        <f t="shared" si="53"/>
        <v>0</v>
      </c>
      <c r="T196" s="14" t="str">
        <f>Planejador!$I$144</f>
        <v/>
      </c>
      <c r="U196" s="4"/>
      <c r="V196" s="4"/>
      <c r="W196" s="4"/>
      <c r="X196" s="4"/>
      <c r="Y196" s="4"/>
      <c r="Z196" s="4"/>
      <c r="AA196" s="4"/>
      <c r="AB196" s="4"/>
    </row>
    <row r="197" ht="18.75" hidden="1" customHeight="1" outlineLevel="1">
      <c r="A197" s="12">
        <v>46210.0</v>
      </c>
      <c r="B197" s="13" t="str">
        <f t="shared" si="48"/>
        <v>terça-feira</v>
      </c>
      <c r="C197" s="13"/>
      <c r="D197" s="14">
        <f>SUMIF('ADV - GG'!A:A,A197,'ADV - GG'!C:C)+SUMIF('ADV - FB'!A:A,$A197,'ADV - FB'!E:E)</f>
        <v>0</v>
      </c>
      <c r="E197" s="19"/>
      <c r="F197" s="15" t="str">
        <f t="shared" si="32"/>
        <v/>
      </c>
      <c r="G197" s="14" t="str">
        <f t="shared" si="33"/>
        <v/>
      </c>
      <c r="H197" s="16" t="str">
        <f t="shared" si="49"/>
        <v/>
      </c>
      <c r="I197" s="14" t="str">
        <f t="shared" si="50"/>
        <v/>
      </c>
      <c r="J197" s="17">
        <f>SUMIF('ADV - GG'!A:A,A197,'ADV - GG'!H:H)+SUMIF('ADV - FB'!A:A,$A197,'ADV - FB'!I:I)</f>
        <v>0</v>
      </c>
      <c r="K197" s="22">
        <f>SUMIF('ADV - GA4'!A:A,A197,'ADV - GA4'!C:C)</f>
        <v>0</v>
      </c>
      <c r="L197" s="19" t="str">
        <f t="shared" si="34"/>
        <v/>
      </c>
      <c r="M197" s="20">
        <f t="shared" si="51"/>
        <v>0</v>
      </c>
      <c r="N197" s="14">
        <f t="shared" si="52"/>
        <v>0</v>
      </c>
      <c r="O197" s="15" t="str">
        <f>Planejador!$I$152</f>
        <v>#DIV/0!</v>
      </c>
      <c r="P197" s="14" t="str">
        <f>Planejador!$I$143</f>
        <v/>
      </c>
      <c r="Q197" s="16" t="str">
        <f>Planejador!$I$145</f>
        <v/>
      </c>
      <c r="R197" s="14" t="str">
        <f>Planejador!$I$149</f>
        <v>#DIV/0!</v>
      </c>
      <c r="S197" s="18">
        <f t="shared" si="53"/>
        <v>0</v>
      </c>
      <c r="T197" s="14" t="str">
        <f>Planejador!$I$144</f>
        <v/>
      </c>
      <c r="U197" s="4"/>
      <c r="V197" s="4"/>
      <c r="W197" s="4"/>
      <c r="X197" s="4"/>
      <c r="Y197" s="4"/>
      <c r="Z197" s="4"/>
      <c r="AA197" s="4"/>
      <c r="AB197" s="4"/>
    </row>
    <row r="198" ht="18.75" hidden="1" customHeight="1" outlineLevel="1">
      <c r="A198" s="12">
        <v>46211.0</v>
      </c>
      <c r="B198" s="13" t="str">
        <f t="shared" si="48"/>
        <v>quarta-feira</v>
      </c>
      <c r="C198" s="13"/>
      <c r="D198" s="14">
        <f>SUMIF('ADV - GG'!A:A,A198,'ADV - GG'!C:C)+SUMIF('ADV - FB'!A:A,$A198,'ADV - FB'!E:E)</f>
        <v>0</v>
      </c>
      <c r="E198" s="19"/>
      <c r="F198" s="15" t="str">
        <f t="shared" si="32"/>
        <v/>
      </c>
      <c r="G198" s="14" t="str">
        <f t="shared" si="33"/>
        <v/>
      </c>
      <c r="H198" s="16" t="str">
        <f t="shared" si="49"/>
        <v/>
      </c>
      <c r="I198" s="14" t="str">
        <f t="shared" si="50"/>
        <v/>
      </c>
      <c r="J198" s="17">
        <f>SUMIF('ADV - GG'!A:A,A198,'ADV - GG'!H:H)+SUMIF('ADV - FB'!A:A,$A198,'ADV - FB'!I:I)</f>
        <v>0</v>
      </c>
      <c r="K198" s="22">
        <f>SUMIF('ADV - GA4'!A:A,A198,'ADV - GA4'!C:C)</f>
        <v>0</v>
      </c>
      <c r="L198" s="19" t="str">
        <f t="shared" si="34"/>
        <v/>
      </c>
      <c r="M198" s="20">
        <f t="shared" si="51"/>
        <v>0</v>
      </c>
      <c r="N198" s="14">
        <f t="shared" si="52"/>
        <v>0</v>
      </c>
      <c r="O198" s="15" t="str">
        <f>Planejador!$I$152</f>
        <v>#DIV/0!</v>
      </c>
      <c r="P198" s="14" t="str">
        <f>Planejador!$I$143</f>
        <v/>
      </c>
      <c r="Q198" s="16" t="str">
        <f>Planejador!$I$145</f>
        <v/>
      </c>
      <c r="R198" s="14" t="str">
        <f>Planejador!$I$149</f>
        <v>#DIV/0!</v>
      </c>
      <c r="S198" s="18">
        <f t="shared" si="53"/>
        <v>0</v>
      </c>
      <c r="T198" s="14" t="str">
        <f>Planejador!$I$144</f>
        <v/>
      </c>
      <c r="U198" s="4"/>
      <c r="V198" s="4"/>
      <c r="W198" s="4"/>
      <c r="X198" s="4"/>
      <c r="Y198" s="4"/>
      <c r="Z198" s="4"/>
      <c r="AA198" s="4"/>
      <c r="AB198" s="4"/>
    </row>
    <row r="199" ht="18.75" hidden="1" customHeight="1" outlineLevel="1">
      <c r="A199" s="12">
        <v>46212.0</v>
      </c>
      <c r="B199" s="13" t="str">
        <f t="shared" si="48"/>
        <v>quinta-feira</v>
      </c>
      <c r="C199" s="13"/>
      <c r="D199" s="14">
        <f>SUMIF('ADV - GG'!A:A,A199,'ADV - GG'!C:C)+SUMIF('ADV - FB'!A:A,$A199,'ADV - FB'!E:E)</f>
        <v>0</v>
      </c>
      <c r="E199" s="19"/>
      <c r="F199" s="15" t="str">
        <f t="shared" si="32"/>
        <v/>
      </c>
      <c r="G199" s="14" t="str">
        <f t="shared" si="33"/>
        <v/>
      </c>
      <c r="H199" s="16" t="str">
        <f t="shared" si="49"/>
        <v/>
      </c>
      <c r="I199" s="14" t="str">
        <f t="shared" si="50"/>
        <v/>
      </c>
      <c r="J199" s="17">
        <f>SUMIF('ADV - GG'!A:A,A199,'ADV - GG'!H:H)+SUMIF('ADV - FB'!A:A,$A199,'ADV - FB'!I:I)</f>
        <v>0</v>
      </c>
      <c r="K199" s="22">
        <f>SUMIF('ADV - GA4'!A:A,A199,'ADV - GA4'!C:C)</f>
        <v>0</v>
      </c>
      <c r="L199" s="19" t="str">
        <f t="shared" si="34"/>
        <v/>
      </c>
      <c r="M199" s="20">
        <f t="shared" si="51"/>
        <v>0</v>
      </c>
      <c r="N199" s="14">
        <f t="shared" si="52"/>
        <v>0</v>
      </c>
      <c r="O199" s="15" t="str">
        <f>Planejador!$I$152</f>
        <v>#DIV/0!</v>
      </c>
      <c r="P199" s="14" t="str">
        <f>Planejador!$I$143</f>
        <v/>
      </c>
      <c r="Q199" s="16" t="str">
        <f>Planejador!$I$145</f>
        <v/>
      </c>
      <c r="R199" s="14" t="str">
        <f>Planejador!$I$149</f>
        <v>#DIV/0!</v>
      </c>
      <c r="S199" s="18">
        <f t="shared" si="53"/>
        <v>0</v>
      </c>
      <c r="T199" s="14" t="str">
        <f>Planejador!$I$144</f>
        <v/>
      </c>
      <c r="U199" s="4"/>
      <c r="V199" s="4"/>
      <c r="W199" s="4"/>
      <c r="X199" s="4"/>
      <c r="Y199" s="4"/>
      <c r="Z199" s="4"/>
      <c r="AA199" s="4"/>
      <c r="AB199" s="4"/>
    </row>
    <row r="200" ht="18.75" hidden="1" customHeight="1" outlineLevel="1">
      <c r="A200" s="12">
        <v>46213.0</v>
      </c>
      <c r="B200" s="13" t="str">
        <f t="shared" si="48"/>
        <v>sexta-feira</v>
      </c>
      <c r="C200" s="13"/>
      <c r="D200" s="14">
        <f>SUMIF('ADV - GG'!A:A,A200,'ADV - GG'!C:C)+SUMIF('ADV - FB'!A:A,$A200,'ADV - FB'!E:E)</f>
        <v>0</v>
      </c>
      <c r="E200" s="19"/>
      <c r="F200" s="15" t="str">
        <f t="shared" si="32"/>
        <v/>
      </c>
      <c r="G200" s="14" t="str">
        <f t="shared" si="33"/>
        <v/>
      </c>
      <c r="H200" s="16" t="str">
        <f t="shared" si="49"/>
        <v/>
      </c>
      <c r="I200" s="14" t="str">
        <f t="shared" si="50"/>
        <v/>
      </c>
      <c r="J200" s="17">
        <f>SUMIF('ADV - GG'!A:A,A200,'ADV - GG'!H:H)+SUMIF('ADV - FB'!A:A,$A200,'ADV - FB'!I:I)</f>
        <v>0</v>
      </c>
      <c r="K200" s="22">
        <f>SUMIF('ADV - GA4'!A:A,A200,'ADV - GA4'!C:C)</f>
        <v>0</v>
      </c>
      <c r="L200" s="19" t="str">
        <f t="shared" si="34"/>
        <v/>
      </c>
      <c r="M200" s="20">
        <f t="shared" si="51"/>
        <v>0</v>
      </c>
      <c r="N200" s="14">
        <f t="shared" si="52"/>
        <v>0</v>
      </c>
      <c r="O200" s="15" t="str">
        <f>Planejador!$I$152</f>
        <v>#DIV/0!</v>
      </c>
      <c r="P200" s="14" t="str">
        <f>Planejador!$I$143</f>
        <v/>
      </c>
      <c r="Q200" s="16" t="str">
        <f>Planejador!$I$145</f>
        <v/>
      </c>
      <c r="R200" s="14" t="str">
        <f>Planejador!$I$149</f>
        <v>#DIV/0!</v>
      </c>
      <c r="S200" s="18">
        <f t="shared" si="53"/>
        <v>0</v>
      </c>
      <c r="T200" s="14" t="str">
        <f>Planejador!$I$144</f>
        <v/>
      </c>
      <c r="U200" s="4"/>
      <c r="V200" s="4"/>
      <c r="W200" s="4"/>
      <c r="X200" s="4"/>
      <c r="Y200" s="4"/>
      <c r="Z200" s="4"/>
      <c r="AA200" s="4"/>
      <c r="AB200" s="4"/>
    </row>
    <row r="201" ht="18.75" hidden="1" customHeight="1" outlineLevel="1">
      <c r="A201" s="12">
        <v>46214.0</v>
      </c>
      <c r="B201" s="13" t="str">
        <f t="shared" si="48"/>
        <v>sábado</v>
      </c>
      <c r="C201" s="13"/>
      <c r="D201" s="14">
        <f>SUMIF('ADV - GG'!A:A,A201,'ADV - GG'!C:C)+SUMIF('ADV - FB'!A:A,$A201,'ADV - FB'!E:E)</f>
        <v>0</v>
      </c>
      <c r="E201" s="19"/>
      <c r="F201" s="15" t="str">
        <f t="shared" si="32"/>
        <v/>
      </c>
      <c r="G201" s="14" t="str">
        <f t="shared" si="33"/>
        <v/>
      </c>
      <c r="H201" s="16" t="str">
        <f t="shared" si="49"/>
        <v/>
      </c>
      <c r="I201" s="14" t="str">
        <f t="shared" si="50"/>
        <v/>
      </c>
      <c r="J201" s="17">
        <f>SUMIF('ADV - GG'!A:A,A201,'ADV - GG'!H:H)+SUMIF('ADV - FB'!A:A,$A201,'ADV - FB'!I:I)</f>
        <v>0</v>
      </c>
      <c r="K201" s="22">
        <f>SUMIF('ADV - GA4'!A:A,A201,'ADV - GA4'!C:C)</f>
        <v>0</v>
      </c>
      <c r="L201" s="19" t="str">
        <f t="shared" si="34"/>
        <v/>
      </c>
      <c r="M201" s="20">
        <f t="shared" si="51"/>
        <v>0</v>
      </c>
      <c r="N201" s="14">
        <f t="shared" si="52"/>
        <v>0</v>
      </c>
      <c r="O201" s="15" t="str">
        <f>Planejador!$I$152</f>
        <v>#DIV/0!</v>
      </c>
      <c r="P201" s="14" t="str">
        <f>Planejador!$I$143</f>
        <v/>
      </c>
      <c r="Q201" s="16" t="str">
        <f>Planejador!$I$145</f>
        <v/>
      </c>
      <c r="R201" s="14" t="str">
        <f>Planejador!$I$149</f>
        <v>#DIV/0!</v>
      </c>
      <c r="S201" s="18">
        <f t="shared" si="53"/>
        <v>0</v>
      </c>
      <c r="T201" s="14" t="str">
        <f>Planejador!$I$144</f>
        <v/>
      </c>
      <c r="U201" s="4"/>
      <c r="V201" s="4"/>
      <c r="W201" s="4"/>
      <c r="X201" s="4"/>
      <c r="Y201" s="4"/>
      <c r="Z201" s="4"/>
      <c r="AA201" s="4"/>
      <c r="AB201" s="4"/>
    </row>
    <row r="202" ht="18.75" hidden="1" customHeight="1" outlineLevel="1">
      <c r="A202" s="12">
        <v>46215.0</v>
      </c>
      <c r="B202" s="13" t="str">
        <f t="shared" si="48"/>
        <v>domingo</v>
      </c>
      <c r="C202" s="13"/>
      <c r="D202" s="14">
        <f>SUMIF('ADV - GG'!A:A,A202,'ADV - GG'!C:C)+SUMIF('ADV - FB'!A:A,$A202,'ADV - FB'!E:E)</f>
        <v>0</v>
      </c>
      <c r="E202" s="19"/>
      <c r="F202" s="15" t="str">
        <f t="shared" si="32"/>
        <v/>
      </c>
      <c r="G202" s="14" t="str">
        <f t="shared" si="33"/>
        <v/>
      </c>
      <c r="H202" s="16" t="str">
        <f t="shared" si="49"/>
        <v/>
      </c>
      <c r="I202" s="14" t="str">
        <f t="shared" si="50"/>
        <v/>
      </c>
      <c r="J202" s="17">
        <f>SUMIF('ADV - GG'!A:A,A202,'ADV - GG'!H:H)+SUMIF('ADV - FB'!A:A,$A202,'ADV - FB'!I:I)</f>
        <v>0</v>
      </c>
      <c r="K202" s="22">
        <f>SUMIF('ADV - GA4'!A:A,A202,'ADV - GA4'!C:C)</f>
        <v>0</v>
      </c>
      <c r="L202" s="19" t="str">
        <f t="shared" si="34"/>
        <v/>
      </c>
      <c r="M202" s="20">
        <f t="shared" si="51"/>
        <v>0</v>
      </c>
      <c r="N202" s="14">
        <f t="shared" si="52"/>
        <v>0</v>
      </c>
      <c r="O202" s="15" t="str">
        <f>Planejador!$I$152</f>
        <v>#DIV/0!</v>
      </c>
      <c r="P202" s="14" t="str">
        <f>Planejador!$I$143</f>
        <v/>
      </c>
      <c r="Q202" s="16" t="str">
        <f>Planejador!$I$145</f>
        <v/>
      </c>
      <c r="R202" s="14" t="str">
        <f>Planejador!$I$149</f>
        <v>#DIV/0!</v>
      </c>
      <c r="S202" s="18">
        <f t="shared" si="53"/>
        <v>0</v>
      </c>
      <c r="T202" s="14" t="str">
        <f>Planejador!$I$144</f>
        <v/>
      </c>
      <c r="U202" s="4"/>
      <c r="V202" s="4"/>
      <c r="W202" s="4"/>
      <c r="X202" s="4"/>
      <c r="Y202" s="4"/>
      <c r="Z202" s="4"/>
      <c r="AA202" s="4"/>
      <c r="AB202" s="4"/>
    </row>
    <row r="203" ht="18.75" hidden="1" customHeight="1" outlineLevel="1">
      <c r="A203" s="12">
        <v>46216.0</v>
      </c>
      <c r="B203" s="13" t="str">
        <f t="shared" si="48"/>
        <v>segunda-feira</v>
      </c>
      <c r="C203" s="13"/>
      <c r="D203" s="14">
        <f>SUMIF('ADV - GG'!A:A,A203,'ADV - GG'!C:C)+SUMIF('ADV - FB'!A:A,$A203,'ADV - FB'!E:E)</f>
        <v>0</v>
      </c>
      <c r="E203" s="19"/>
      <c r="F203" s="15" t="str">
        <f t="shared" si="32"/>
        <v/>
      </c>
      <c r="G203" s="14" t="str">
        <f t="shared" si="33"/>
        <v/>
      </c>
      <c r="H203" s="16" t="str">
        <f t="shared" si="49"/>
        <v/>
      </c>
      <c r="I203" s="14" t="str">
        <f t="shared" si="50"/>
        <v/>
      </c>
      <c r="J203" s="17">
        <f>SUMIF('ADV - GG'!A:A,A203,'ADV - GG'!H:H)+SUMIF('ADV - FB'!A:A,$A203,'ADV - FB'!I:I)</f>
        <v>0</v>
      </c>
      <c r="K203" s="22">
        <f>SUMIF('ADV - GA4'!A:A,A203,'ADV - GA4'!C:C)</f>
        <v>0</v>
      </c>
      <c r="L203" s="19" t="str">
        <f t="shared" si="34"/>
        <v/>
      </c>
      <c r="M203" s="20">
        <f t="shared" si="51"/>
        <v>0</v>
      </c>
      <c r="N203" s="14">
        <f t="shared" si="52"/>
        <v>0</v>
      </c>
      <c r="O203" s="15" t="str">
        <f>Planejador!$I$152</f>
        <v>#DIV/0!</v>
      </c>
      <c r="P203" s="14" t="str">
        <f>Planejador!$I$143</f>
        <v/>
      </c>
      <c r="Q203" s="16" t="str">
        <f>Planejador!$I$145</f>
        <v/>
      </c>
      <c r="R203" s="14" t="str">
        <f>Planejador!$I$149</f>
        <v>#DIV/0!</v>
      </c>
      <c r="S203" s="18">
        <f t="shared" si="53"/>
        <v>0</v>
      </c>
      <c r="T203" s="14" t="str">
        <f>Planejador!$I$144</f>
        <v/>
      </c>
      <c r="U203" s="4"/>
      <c r="V203" s="4"/>
      <c r="W203" s="4"/>
      <c r="X203" s="4"/>
      <c r="Y203" s="4"/>
      <c r="Z203" s="4"/>
      <c r="AA203" s="4"/>
      <c r="AB203" s="4"/>
    </row>
    <row r="204" ht="18.75" hidden="1" customHeight="1" outlineLevel="1">
      <c r="A204" s="12">
        <v>46217.0</v>
      </c>
      <c r="B204" s="13" t="str">
        <f t="shared" si="48"/>
        <v>terça-feira</v>
      </c>
      <c r="C204" s="13"/>
      <c r="D204" s="14">
        <f>SUMIF('ADV - GG'!A:A,A204,'ADV - GG'!C:C)+SUMIF('ADV - FB'!A:A,$A204,'ADV - FB'!E:E)</f>
        <v>0</v>
      </c>
      <c r="E204" s="19"/>
      <c r="F204" s="15" t="str">
        <f t="shared" si="32"/>
        <v/>
      </c>
      <c r="G204" s="14" t="str">
        <f t="shared" si="33"/>
        <v/>
      </c>
      <c r="H204" s="16" t="str">
        <f t="shared" si="49"/>
        <v/>
      </c>
      <c r="I204" s="14" t="str">
        <f t="shared" si="50"/>
        <v/>
      </c>
      <c r="J204" s="17">
        <f>SUMIF('ADV - GG'!A:A,A204,'ADV - GG'!H:H)+SUMIF('ADV - FB'!A:A,$A204,'ADV - FB'!I:I)</f>
        <v>0</v>
      </c>
      <c r="K204" s="22">
        <f>SUMIF('ADV - GA4'!A:A,A204,'ADV - GA4'!C:C)</f>
        <v>0</v>
      </c>
      <c r="L204" s="19" t="str">
        <f t="shared" si="34"/>
        <v/>
      </c>
      <c r="M204" s="20">
        <f t="shared" si="51"/>
        <v>0</v>
      </c>
      <c r="N204" s="14">
        <f t="shared" si="52"/>
        <v>0</v>
      </c>
      <c r="O204" s="15" t="str">
        <f>Planejador!$I$152</f>
        <v>#DIV/0!</v>
      </c>
      <c r="P204" s="14" t="str">
        <f>Planejador!$I$143</f>
        <v/>
      </c>
      <c r="Q204" s="16" t="str">
        <f>Planejador!$I$145</f>
        <v/>
      </c>
      <c r="R204" s="14" t="str">
        <f>Planejador!$I$149</f>
        <v>#DIV/0!</v>
      </c>
      <c r="S204" s="18">
        <f t="shared" si="53"/>
        <v>0</v>
      </c>
      <c r="T204" s="14" t="str">
        <f>Planejador!$I$144</f>
        <v/>
      </c>
      <c r="U204" s="4"/>
      <c r="V204" s="4"/>
      <c r="W204" s="4"/>
      <c r="X204" s="4"/>
      <c r="Y204" s="4"/>
      <c r="Z204" s="4"/>
      <c r="AA204" s="4"/>
      <c r="AB204" s="4"/>
    </row>
    <row r="205" ht="18.75" hidden="1" customHeight="1" outlineLevel="1">
      <c r="A205" s="12">
        <v>46218.0</v>
      </c>
      <c r="B205" s="13" t="str">
        <f t="shared" si="48"/>
        <v>quarta-feira</v>
      </c>
      <c r="C205" s="13"/>
      <c r="D205" s="14">
        <f>SUMIF('ADV - GG'!A:A,A205,'ADV - GG'!C:C)+SUMIF('ADV - FB'!A:A,$A205,'ADV - FB'!E:E)</f>
        <v>0</v>
      </c>
      <c r="E205" s="19"/>
      <c r="F205" s="15" t="str">
        <f t="shared" si="32"/>
        <v/>
      </c>
      <c r="G205" s="14" t="str">
        <f t="shared" si="33"/>
        <v/>
      </c>
      <c r="H205" s="16" t="str">
        <f t="shared" si="49"/>
        <v/>
      </c>
      <c r="I205" s="14" t="str">
        <f t="shared" si="50"/>
        <v/>
      </c>
      <c r="J205" s="17">
        <f>SUMIF('ADV - GG'!A:A,A205,'ADV - GG'!H:H)+SUMIF('ADV - FB'!A:A,$A205,'ADV - FB'!I:I)</f>
        <v>0</v>
      </c>
      <c r="K205" s="22">
        <f>SUMIF('ADV - GA4'!A:A,A205,'ADV - GA4'!C:C)</f>
        <v>0</v>
      </c>
      <c r="L205" s="19" t="str">
        <f t="shared" si="34"/>
        <v/>
      </c>
      <c r="M205" s="20">
        <f t="shared" si="51"/>
        <v>0</v>
      </c>
      <c r="N205" s="14">
        <f t="shared" si="52"/>
        <v>0</v>
      </c>
      <c r="O205" s="15" t="str">
        <f>Planejador!$I$152</f>
        <v>#DIV/0!</v>
      </c>
      <c r="P205" s="14" t="str">
        <f>Planejador!$I$143</f>
        <v/>
      </c>
      <c r="Q205" s="16" t="str">
        <f>Planejador!$I$145</f>
        <v/>
      </c>
      <c r="R205" s="14" t="str">
        <f>Planejador!$I$149</f>
        <v>#DIV/0!</v>
      </c>
      <c r="S205" s="18">
        <f t="shared" si="53"/>
        <v>0</v>
      </c>
      <c r="T205" s="14" t="str">
        <f>Planejador!$I$144</f>
        <v/>
      </c>
      <c r="U205" s="4"/>
      <c r="V205" s="4"/>
      <c r="W205" s="4"/>
      <c r="X205" s="4"/>
      <c r="Y205" s="4"/>
      <c r="Z205" s="4"/>
      <c r="AA205" s="4"/>
      <c r="AB205" s="4"/>
    </row>
    <row r="206" ht="18.75" hidden="1" customHeight="1" outlineLevel="1">
      <c r="A206" s="12">
        <v>46219.0</v>
      </c>
      <c r="B206" s="13" t="str">
        <f t="shared" si="48"/>
        <v>quinta-feira</v>
      </c>
      <c r="C206" s="13"/>
      <c r="D206" s="14">
        <f>SUMIF('ADV - GG'!A:A,A206,'ADV - GG'!C:C)+SUMIF('ADV - FB'!A:A,$A206,'ADV - FB'!E:E)</f>
        <v>0</v>
      </c>
      <c r="E206" s="19"/>
      <c r="F206" s="15" t="str">
        <f t="shared" si="32"/>
        <v/>
      </c>
      <c r="G206" s="14" t="str">
        <f t="shared" si="33"/>
        <v/>
      </c>
      <c r="H206" s="16" t="str">
        <f t="shared" si="49"/>
        <v/>
      </c>
      <c r="I206" s="14" t="str">
        <f t="shared" si="50"/>
        <v/>
      </c>
      <c r="J206" s="17">
        <f>SUMIF('ADV - GG'!A:A,A206,'ADV - GG'!H:H)+SUMIF('ADV - FB'!A:A,$A206,'ADV - FB'!I:I)</f>
        <v>0</v>
      </c>
      <c r="K206" s="22">
        <f>SUMIF('ADV - GA4'!A:A,A206,'ADV - GA4'!C:C)</f>
        <v>0</v>
      </c>
      <c r="L206" s="19" t="str">
        <f t="shared" si="34"/>
        <v/>
      </c>
      <c r="M206" s="20">
        <f t="shared" si="51"/>
        <v>0</v>
      </c>
      <c r="N206" s="14">
        <f t="shared" si="52"/>
        <v>0</v>
      </c>
      <c r="O206" s="15" t="str">
        <f>Planejador!$I$152</f>
        <v>#DIV/0!</v>
      </c>
      <c r="P206" s="14" t="str">
        <f>Planejador!$I$143</f>
        <v/>
      </c>
      <c r="Q206" s="16" t="str">
        <f>Planejador!$I$145</f>
        <v/>
      </c>
      <c r="R206" s="14" t="str">
        <f>Planejador!$I$149</f>
        <v>#DIV/0!</v>
      </c>
      <c r="S206" s="18">
        <f t="shared" si="53"/>
        <v>0</v>
      </c>
      <c r="T206" s="14" t="str">
        <f>Planejador!$I$144</f>
        <v/>
      </c>
      <c r="U206" s="4"/>
      <c r="V206" s="4"/>
      <c r="W206" s="4"/>
      <c r="X206" s="4"/>
      <c r="Y206" s="4"/>
      <c r="Z206" s="4"/>
      <c r="AA206" s="4"/>
      <c r="AB206" s="4"/>
    </row>
    <row r="207" ht="18.75" hidden="1" customHeight="1" outlineLevel="1">
      <c r="A207" s="12">
        <v>46220.0</v>
      </c>
      <c r="B207" s="13" t="str">
        <f t="shared" si="48"/>
        <v>sexta-feira</v>
      </c>
      <c r="C207" s="13"/>
      <c r="D207" s="14">
        <f>SUMIF('ADV - GG'!A:A,A207,'ADV - GG'!C:C)+SUMIF('ADV - FB'!A:A,$A207,'ADV - FB'!E:E)</f>
        <v>0</v>
      </c>
      <c r="E207" s="19"/>
      <c r="F207" s="15" t="str">
        <f t="shared" si="32"/>
        <v/>
      </c>
      <c r="G207" s="14" t="str">
        <f t="shared" si="33"/>
        <v/>
      </c>
      <c r="H207" s="16" t="str">
        <f t="shared" si="49"/>
        <v/>
      </c>
      <c r="I207" s="14" t="str">
        <f t="shared" si="50"/>
        <v/>
      </c>
      <c r="J207" s="17">
        <f>SUMIF('ADV - GG'!A:A,A207,'ADV - GG'!H:H)+SUMIF('ADV - FB'!A:A,$A207,'ADV - FB'!I:I)</f>
        <v>0</v>
      </c>
      <c r="K207" s="22">
        <f>SUMIF('ADV - GA4'!A:A,A207,'ADV - GA4'!C:C)</f>
        <v>0</v>
      </c>
      <c r="L207" s="19" t="str">
        <f t="shared" si="34"/>
        <v/>
      </c>
      <c r="M207" s="20">
        <f t="shared" si="51"/>
        <v>0</v>
      </c>
      <c r="N207" s="14">
        <f t="shared" si="52"/>
        <v>0</v>
      </c>
      <c r="O207" s="15" t="str">
        <f>Planejador!$I$152</f>
        <v>#DIV/0!</v>
      </c>
      <c r="P207" s="14" t="str">
        <f>Planejador!$I$143</f>
        <v/>
      </c>
      <c r="Q207" s="16" t="str">
        <f>Planejador!$I$145</f>
        <v/>
      </c>
      <c r="R207" s="14" t="str">
        <f>Planejador!$I$149</f>
        <v>#DIV/0!</v>
      </c>
      <c r="S207" s="18">
        <f t="shared" si="53"/>
        <v>0</v>
      </c>
      <c r="T207" s="14" t="str">
        <f>Planejador!$I$144</f>
        <v/>
      </c>
      <c r="U207" s="4"/>
      <c r="V207" s="4"/>
      <c r="W207" s="4"/>
      <c r="X207" s="4"/>
      <c r="Y207" s="4"/>
      <c r="Z207" s="4"/>
      <c r="AA207" s="4"/>
      <c r="AB207" s="4"/>
    </row>
    <row r="208" ht="18.75" hidden="1" customHeight="1" outlineLevel="1">
      <c r="A208" s="12">
        <v>46221.0</v>
      </c>
      <c r="B208" s="13" t="str">
        <f t="shared" si="48"/>
        <v>sábado</v>
      </c>
      <c r="C208" s="13"/>
      <c r="D208" s="14">
        <f>SUMIF('ADV - GG'!A:A,A208,'ADV - GG'!C:C)+SUMIF('ADV - FB'!A:A,$A208,'ADV - FB'!E:E)</f>
        <v>0</v>
      </c>
      <c r="E208" s="19"/>
      <c r="F208" s="15" t="str">
        <f t="shared" si="32"/>
        <v/>
      </c>
      <c r="G208" s="14" t="str">
        <f t="shared" si="33"/>
        <v/>
      </c>
      <c r="H208" s="16" t="str">
        <f t="shared" si="49"/>
        <v/>
      </c>
      <c r="I208" s="14" t="str">
        <f t="shared" si="50"/>
        <v/>
      </c>
      <c r="J208" s="17">
        <f>SUMIF('ADV - GG'!A:A,A208,'ADV - GG'!H:H)+SUMIF('ADV - FB'!A:A,$A208,'ADV - FB'!I:I)</f>
        <v>0</v>
      </c>
      <c r="K208" s="22">
        <f>SUMIF('ADV - GA4'!A:A,A208,'ADV - GA4'!C:C)</f>
        <v>0</v>
      </c>
      <c r="L208" s="19" t="str">
        <f t="shared" si="34"/>
        <v/>
      </c>
      <c r="M208" s="20">
        <f t="shared" si="51"/>
        <v>0</v>
      </c>
      <c r="N208" s="14">
        <f t="shared" si="52"/>
        <v>0</v>
      </c>
      <c r="O208" s="15" t="str">
        <f>Planejador!$I$152</f>
        <v>#DIV/0!</v>
      </c>
      <c r="P208" s="14" t="str">
        <f>Planejador!$I$143</f>
        <v/>
      </c>
      <c r="Q208" s="16" t="str">
        <f>Planejador!$I$145</f>
        <v/>
      </c>
      <c r="R208" s="14" t="str">
        <f>Planejador!$I$149</f>
        <v>#DIV/0!</v>
      </c>
      <c r="S208" s="18">
        <f t="shared" si="53"/>
        <v>0</v>
      </c>
      <c r="T208" s="14" t="str">
        <f>Planejador!$I$144</f>
        <v/>
      </c>
      <c r="U208" s="4"/>
      <c r="V208" s="4"/>
      <c r="W208" s="4"/>
      <c r="X208" s="4"/>
      <c r="Y208" s="4"/>
      <c r="Z208" s="4"/>
      <c r="AA208" s="4"/>
      <c r="AB208" s="4"/>
    </row>
    <row r="209" ht="18.75" hidden="1" customHeight="1" outlineLevel="1">
      <c r="A209" s="12">
        <v>46222.0</v>
      </c>
      <c r="B209" s="13" t="str">
        <f t="shared" si="48"/>
        <v>domingo</v>
      </c>
      <c r="C209" s="13"/>
      <c r="D209" s="14">
        <f>SUMIF('ADV - GG'!A:A,A209,'ADV - GG'!C:C)+SUMIF('ADV - FB'!A:A,$A209,'ADV - FB'!E:E)</f>
        <v>0</v>
      </c>
      <c r="E209" s="19"/>
      <c r="F209" s="15" t="str">
        <f t="shared" si="32"/>
        <v/>
      </c>
      <c r="G209" s="14" t="str">
        <f t="shared" si="33"/>
        <v/>
      </c>
      <c r="H209" s="16" t="str">
        <f t="shared" si="49"/>
        <v/>
      </c>
      <c r="I209" s="14" t="str">
        <f t="shared" si="50"/>
        <v/>
      </c>
      <c r="J209" s="17">
        <f>SUMIF('ADV - GG'!A:A,A209,'ADV - GG'!H:H)+SUMIF('ADV - FB'!A:A,$A209,'ADV - FB'!I:I)</f>
        <v>0</v>
      </c>
      <c r="K209" s="22">
        <f>SUMIF('ADV - GA4'!A:A,A209,'ADV - GA4'!C:C)</f>
        <v>0</v>
      </c>
      <c r="L209" s="19" t="str">
        <f t="shared" si="34"/>
        <v/>
      </c>
      <c r="M209" s="20">
        <f t="shared" si="51"/>
        <v>0</v>
      </c>
      <c r="N209" s="14">
        <f t="shared" si="52"/>
        <v>0</v>
      </c>
      <c r="O209" s="15" t="str">
        <f>Planejador!$I$152</f>
        <v>#DIV/0!</v>
      </c>
      <c r="P209" s="14" t="str">
        <f>Planejador!$I$143</f>
        <v/>
      </c>
      <c r="Q209" s="16" t="str">
        <f>Planejador!$I$145</f>
        <v/>
      </c>
      <c r="R209" s="14" t="str">
        <f>Planejador!$I$149</f>
        <v>#DIV/0!</v>
      </c>
      <c r="S209" s="18">
        <f t="shared" si="53"/>
        <v>0</v>
      </c>
      <c r="T209" s="14" t="str">
        <f>Planejador!$I$144</f>
        <v/>
      </c>
      <c r="U209" s="4"/>
      <c r="V209" s="4"/>
      <c r="W209" s="4"/>
      <c r="X209" s="4"/>
      <c r="Y209" s="4"/>
      <c r="Z209" s="4"/>
      <c r="AA209" s="4"/>
      <c r="AB209" s="4"/>
    </row>
    <row r="210" ht="18.75" hidden="1" customHeight="1" outlineLevel="1">
      <c r="A210" s="12">
        <v>46223.0</v>
      </c>
      <c r="B210" s="13" t="str">
        <f t="shared" si="48"/>
        <v>segunda-feira</v>
      </c>
      <c r="C210" s="13"/>
      <c r="D210" s="14">
        <f>SUMIF('ADV - GG'!A:A,A210,'ADV - GG'!C:C)+SUMIF('ADV - FB'!A:A,$A210,'ADV - FB'!E:E)</f>
        <v>0</v>
      </c>
      <c r="E210" s="19"/>
      <c r="F210" s="15" t="str">
        <f t="shared" si="32"/>
        <v/>
      </c>
      <c r="G210" s="14" t="str">
        <f t="shared" si="33"/>
        <v/>
      </c>
      <c r="H210" s="16" t="str">
        <f t="shared" si="49"/>
        <v/>
      </c>
      <c r="I210" s="14" t="str">
        <f t="shared" si="50"/>
        <v/>
      </c>
      <c r="J210" s="17">
        <f>SUMIF('ADV - GG'!A:A,A210,'ADV - GG'!H:H)+SUMIF('ADV - FB'!A:A,$A210,'ADV - FB'!I:I)</f>
        <v>0</v>
      </c>
      <c r="K210" s="22">
        <f>SUMIF('ADV - GA4'!A:A,A210,'ADV - GA4'!C:C)</f>
        <v>0</v>
      </c>
      <c r="L210" s="19" t="str">
        <f t="shared" si="34"/>
        <v/>
      </c>
      <c r="M210" s="20">
        <f t="shared" si="51"/>
        <v>0</v>
      </c>
      <c r="N210" s="14">
        <f t="shared" si="52"/>
        <v>0</v>
      </c>
      <c r="O210" s="15" t="str">
        <f>Planejador!$I$152</f>
        <v>#DIV/0!</v>
      </c>
      <c r="P210" s="14" t="str">
        <f>Planejador!$I$143</f>
        <v/>
      </c>
      <c r="Q210" s="16" t="str">
        <f>Planejador!$I$145</f>
        <v/>
      </c>
      <c r="R210" s="14" t="str">
        <f>Planejador!$I$149</f>
        <v>#DIV/0!</v>
      </c>
      <c r="S210" s="18">
        <f t="shared" si="53"/>
        <v>0</v>
      </c>
      <c r="T210" s="14" t="str">
        <f>Planejador!$I$144</f>
        <v/>
      </c>
      <c r="U210" s="4"/>
      <c r="V210" s="4"/>
      <c r="W210" s="4"/>
      <c r="X210" s="4"/>
      <c r="Y210" s="4"/>
      <c r="Z210" s="4"/>
      <c r="AA210" s="4"/>
      <c r="AB210" s="4"/>
    </row>
    <row r="211" ht="18.75" hidden="1" customHeight="1" outlineLevel="1">
      <c r="A211" s="12">
        <v>46224.0</v>
      </c>
      <c r="B211" s="13" t="str">
        <f t="shared" si="48"/>
        <v>terça-feira</v>
      </c>
      <c r="C211" s="13"/>
      <c r="D211" s="14">
        <f>SUMIF('ADV - GG'!A:A,A211,'ADV - GG'!C:C)+SUMIF('ADV - FB'!A:A,$A211,'ADV - FB'!E:E)</f>
        <v>0</v>
      </c>
      <c r="E211" s="19"/>
      <c r="F211" s="15" t="str">
        <f t="shared" si="32"/>
        <v/>
      </c>
      <c r="G211" s="14" t="str">
        <f t="shared" si="33"/>
        <v/>
      </c>
      <c r="H211" s="16" t="str">
        <f t="shared" si="49"/>
        <v/>
      </c>
      <c r="I211" s="14" t="str">
        <f t="shared" si="50"/>
        <v/>
      </c>
      <c r="J211" s="17">
        <f>SUMIF('ADV - GG'!A:A,A211,'ADV - GG'!H:H)+SUMIF('ADV - FB'!A:A,$A211,'ADV - FB'!I:I)</f>
        <v>0</v>
      </c>
      <c r="K211" s="22">
        <f>SUMIF('ADV - GA4'!A:A,A211,'ADV - GA4'!C:C)</f>
        <v>0</v>
      </c>
      <c r="L211" s="19" t="str">
        <f t="shared" si="34"/>
        <v/>
      </c>
      <c r="M211" s="20">
        <f t="shared" si="51"/>
        <v>0</v>
      </c>
      <c r="N211" s="14">
        <f t="shared" si="52"/>
        <v>0</v>
      </c>
      <c r="O211" s="15" t="str">
        <f>Planejador!$I$152</f>
        <v>#DIV/0!</v>
      </c>
      <c r="P211" s="14" t="str">
        <f>Planejador!$I$143</f>
        <v/>
      </c>
      <c r="Q211" s="16" t="str">
        <f>Planejador!$I$145</f>
        <v/>
      </c>
      <c r="R211" s="14" t="str">
        <f>Planejador!$I$149</f>
        <v>#DIV/0!</v>
      </c>
      <c r="S211" s="18">
        <f t="shared" si="53"/>
        <v>0</v>
      </c>
      <c r="T211" s="14" t="str">
        <f>Planejador!$I$144</f>
        <v/>
      </c>
      <c r="U211" s="4"/>
      <c r="V211" s="4"/>
      <c r="W211" s="4"/>
      <c r="X211" s="4"/>
      <c r="Y211" s="4"/>
      <c r="Z211" s="4"/>
      <c r="AA211" s="4"/>
      <c r="AB211" s="4"/>
    </row>
    <row r="212" ht="18.75" hidden="1" customHeight="1" outlineLevel="1">
      <c r="A212" s="12">
        <v>46225.0</v>
      </c>
      <c r="B212" s="13" t="str">
        <f t="shared" si="48"/>
        <v>quarta-feira</v>
      </c>
      <c r="C212" s="13"/>
      <c r="D212" s="14">
        <f>SUMIF('ADV - GG'!A:A,A212,'ADV - GG'!C:C)+SUMIF('ADV - FB'!A:A,$A212,'ADV - FB'!E:E)</f>
        <v>0</v>
      </c>
      <c r="E212" s="19"/>
      <c r="F212" s="15" t="str">
        <f t="shared" si="32"/>
        <v/>
      </c>
      <c r="G212" s="14" t="str">
        <f t="shared" si="33"/>
        <v/>
      </c>
      <c r="H212" s="16" t="str">
        <f t="shared" si="49"/>
        <v/>
      </c>
      <c r="I212" s="14" t="str">
        <f t="shared" si="50"/>
        <v/>
      </c>
      <c r="J212" s="17">
        <f>SUMIF('ADV - GG'!A:A,A212,'ADV - GG'!H:H)+SUMIF('ADV - FB'!A:A,$A212,'ADV - FB'!I:I)</f>
        <v>0</v>
      </c>
      <c r="K212" s="22">
        <f>SUMIF('ADV - GA4'!A:A,A212,'ADV - GA4'!C:C)</f>
        <v>0</v>
      </c>
      <c r="L212" s="19" t="str">
        <f t="shared" si="34"/>
        <v/>
      </c>
      <c r="M212" s="20">
        <f t="shared" si="51"/>
        <v>0</v>
      </c>
      <c r="N212" s="14">
        <f t="shared" si="52"/>
        <v>0</v>
      </c>
      <c r="O212" s="15" t="str">
        <f>Planejador!$I$152</f>
        <v>#DIV/0!</v>
      </c>
      <c r="P212" s="14" t="str">
        <f>Planejador!$I$143</f>
        <v/>
      </c>
      <c r="Q212" s="16" t="str">
        <f>Planejador!$I$145</f>
        <v/>
      </c>
      <c r="R212" s="14" t="str">
        <f>Planejador!$I$149</f>
        <v>#DIV/0!</v>
      </c>
      <c r="S212" s="18">
        <f t="shared" si="53"/>
        <v>0</v>
      </c>
      <c r="T212" s="14" t="str">
        <f>Planejador!$I$144</f>
        <v/>
      </c>
      <c r="U212" s="4"/>
      <c r="V212" s="4"/>
      <c r="W212" s="4"/>
      <c r="X212" s="4"/>
      <c r="Y212" s="4"/>
      <c r="Z212" s="4"/>
      <c r="AA212" s="4"/>
      <c r="AB212" s="4"/>
    </row>
    <row r="213" ht="18.75" hidden="1" customHeight="1" outlineLevel="1">
      <c r="A213" s="12">
        <v>46226.0</v>
      </c>
      <c r="B213" s="13" t="str">
        <f t="shared" si="48"/>
        <v>quinta-feira</v>
      </c>
      <c r="C213" s="13"/>
      <c r="D213" s="14">
        <f>SUMIF('ADV - GG'!A:A,A213,'ADV - GG'!C:C)+SUMIF('ADV - FB'!A:A,$A213,'ADV - FB'!E:E)</f>
        <v>0</v>
      </c>
      <c r="E213" s="19"/>
      <c r="F213" s="15" t="str">
        <f t="shared" si="32"/>
        <v/>
      </c>
      <c r="G213" s="14" t="str">
        <f t="shared" si="33"/>
        <v/>
      </c>
      <c r="H213" s="16" t="str">
        <f t="shared" si="49"/>
        <v/>
      </c>
      <c r="I213" s="14" t="str">
        <f t="shared" si="50"/>
        <v/>
      </c>
      <c r="J213" s="17">
        <f>SUMIF('ADV - GG'!A:A,A213,'ADV - GG'!H:H)+SUMIF('ADV - FB'!A:A,$A213,'ADV - FB'!I:I)</f>
        <v>0</v>
      </c>
      <c r="K213" s="22">
        <f>SUMIF('ADV - GA4'!A:A,A213,'ADV - GA4'!C:C)</f>
        <v>0</v>
      </c>
      <c r="L213" s="19" t="str">
        <f t="shared" si="34"/>
        <v/>
      </c>
      <c r="M213" s="20">
        <f t="shared" si="51"/>
        <v>0</v>
      </c>
      <c r="N213" s="14">
        <f t="shared" si="52"/>
        <v>0</v>
      </c>
      <c r="O213" s="15" t="str">
        <f>Planejador!$I$152</f>
        <v>#DIV/0!</v>
      </c>
      <c r="P213" s="14" t="str">
        <f>Planejador!$I$143</f>
        <v/>
      </c>
      <c r="Q213" s="16" t="str">
        <f>Planejador!$I$145</f>
        <v/>
      </c>
      <c r="R213" s="14" t="str">
        <f>Planejador!$I$149</f>
        <v>#DIV/0!</v>
      </c>
      <c r="S213" s="18">
        <f t="shared" si="53"/>
        <v>0</v>
      </c>
      <c r="T213" s="14" t="str">
        <f>Planejador!$I$144</f>
        <v/>
      </c>
      <c r="U213" s="4"/>
      <c r="V213" s="4"/>
      <c r="W213" s="4"/>
      <c r="X213" s="4"/>
      <c r="Y213" s="4"/>
      <c r="Z213" s="4"/>
      <c r="AA213" s="4"/>
      <c r="AB213" s="4"/>
    </row>
    <row r="214" ht="18.75" hidden="1" customHeight="1" outlineLevel="1">
      <c r="A214" s="12">
        <v>46227.0</v>
      </c>
      <c r="B214" s="13" t="str">
        <f t="shared" si="48"/>
        <v>sexta-feira</v>
      </c>
      <c r="C214" s="13"/>
      <c r="D214" s="14">
        <f>SUMIF('ADV - GG'!A:A,A214,'ADV - GG'!C:C)+SUMIF('ADV - FB'!A:A,$A214,'ADV - FB'!E:E)</f>
        <v>0</v>
      </c>
      <c r="E214" s="19"/>
      <c r="F214" s="15" t="str">
        <f t="shared" si="32"/>
        <v/>
      </c>
      <c r="G214" s="14" t="str">
        <f t="shared" si="33"/>
        <v/>
      </c>
      <c r="H214" s="16" t="str">
        <f t="shared" si="49"/>
        <v/>
      </c>
      <c r="I214" s="14" t="str">
        <f t="shared" si="50"/>
        <v/>
      </c>
      <c r="J214" s="17">
        <f>SUMIF('ADV - GG'!A:A,A214,'ADV - GG'!H:H)+SUMIF('ADV - FB'!A:A,$A214,'ADV - FB'!I:I)</f>
        <v>0</v>
      </c>
      <c r="K214" s="22">
        <f>SUMIF('ADV - GA4'!A:A,A214,'ADV - GA4'!C:C)</f>
        <v>0</v>
      </c>
      <c r="L214" s="19" t="str">
        <f t="shared" si="34"/>
        <v/>
      </c>
      <c r="M214" s="20">
        <f t="shared" si="51"/>
        <v>0</v>
      </c>
      <c r="N214" s="14">
        <f t="shared" si="52"/>
        <v>0</v>
      </c>
      <c r="O214" s="15" t="str">
        <f>Planejador!$I$152</f>
        <v>#DIV/0!</v>
      </c>
      <c r="P214" s="14" t="str">
        <f>Planejador!$I$143</f>
        <v/>
      </c>
      <c r="Q214" s="16" t="str">
        <f>Planejador!$I$145</f>
        <v/>
      </c>
      <c r="R214" s="14" t="str">
        <f>Planejador!$I$149</f>
        <v>#DIV/0!</v>
      </c>
      <c r="S214" s="18">
        <f t="shared" si="53"/>
        <v>0</v>
      </c>
      <c r="T214" s="14" t="str">
        <f>Planejador!$I$144</f>
        <v/>
      </c>
      <c r="U214" s="4"/>
      <c r="V214" s="4"/>
      <c r="W214" s="4"/>
      <c r="X214" s="4"/>
      <c r="Y214" s="4"/>
      <c r="Z214" s="4"/>
      <c r="AA214" s="4"/>
      <c r="AB214" s="4"/>
    </row>
    <row r="215" ht="18.75" hidden="1" customHeight="1" outlineLevel="1">
      <c r="A215" s="12">
        <v>46228.0</v>
      </c>
      <c r="B215" s="13" t="str">
        <f t="shared" si="48"/>
        <v>sábado</v>
      </c>
      <c r="C215" s="13"/>
      <c r="D215" s="14">
        <f>SUMIF('ADV - GG'!A:A,A215,'ADV - GG'!C:C)+SUMIF('ADV - FB'!A:A,$A215,'ADV - FB'!E:E)</f>
        <v>0</v>
      </c>
      <c r="E215" s="19"/>
      <c r="F215" s="15" t="str">
        <f t="shared" si="32"/>
        <v/>
      </c>
      <c r="G215" s="14" t="str">
        <f t="shared" si="33"/>
        <v/>
      </c>
      <c r="H215" s="16" t="str">
        <f t="shared" si="49"/>
        <v/>
      </c>
      <c r="I215" s="14" t="str">
        <f t="shared" si="50"/>
        <v/>
      </c>
      <c r="J215" s="17">
        <f>SUMIF('ADV - GG'!A:A,A215,'ADV - GG'!H:H)+SUMIF('ADV - FB'!A:A,$A215,'ADV - FB'!I:I)</f>
        <v>0</v>
      </c>
      <c r="K215" s="22">
        <f>SUMIF('ADV - GA4'!A:A,A215,'ADV - GA4'!C:C)</f>
        <v>0</v>
      </c>
      <c r="L215" s="19" t="str">
        <f t="shared" si="34"/>
        <v/>
      </c>
      <c r="M215" s="20">
        <f t="shared" si="51"/>
        <v>0</v>
      </c>
      <c r="N215" s="14">
        <f t="shared" si="52"/>
        <v>0</v>
      </c>
      <c r="O215" s="15" t="str">
        <f>Planejador!$I$152</f>
        <v>#DIV/0!</v>
      </c>
      <c r="P215" s="14" t="str">
        <f>Planejador!$I$143</f>
        <v/>
      </c>
      <c r="Q215" s="16" t="str">
        <f>Planejador!$I$145</f>
        <v/>
      </c>
      <c r="R215" s="14" t="str">
        <f>Planejador!$I$149</f>
        <v>#DIV/0!</v>
      </c>
      <c r="S215" s="18">
        <f t="shared" si="53"/>
        <v>0</v>
      </c>
      <c r="T215" s="14" t="str">
        <f>Planejador!$I$144</f>
        <v/>
      </c>
      <c r="U215" s="4"/>
      <c r="V215" s="4"/>
      <c r="W215" s="4"/>
      <c r="X215" s="4"/>
      <c r="Y215" s="4"/>
      <c r="Z215" s="4"/>
      <c r="AA215" s="4"/>
      <c r="AB215" s="4"/>
    </row>
    <row r="216" ht="18.75" hidden="1" customHeight="1" outlineLevel="1">
      <c r="A216" s="12">
        <v>46229.0</v>
      </c>
      <c r="B216" s="13" t="str">
        <f t="shared" si="48"/>
        <v>domingo</v>
      </c>
      <c r="C216" s="13"/>
      <c r="D216" s="14">
        <f>SUMIF('ADV - GG'!A:A,A216,'ADV - GG'!C:C)+SUMIF('ADV - FB'!A:A,$A216,'ADV - FB'!E:E)</f>
        <v>0</v>
      </c>
      <c r="E216" s="19"/>
      <c r="F216" s="15" t="str">
        <f t="shared" si="32"/>
        <v/>
      </c>
      <c r="G216" s="14" t="str">
        <f t="shared" si="33"/>
        <v/>
      </c>
      <c r="H216" s="16" t="str">
        <f t="shared" si="49"/>
        <v/>
      </c>
      <c r="I216" s="14" t="str">
        <f t="shared" si="50"/>
        <v/>
      </c>
      <c r="J216" s="17">
        <f>SUMIF('ADV - GG'!A:A,A216,'ADV - GG'!H:H)+SUMIF('ADV - FB'!A:A,$A216,'ADV - FB'!I:I)</f>
        <v>0</v>
      </c>
      <c r="K216" s="22">
        <f>SUMIF('ADV - GA4'!A:A,A216,'ADV - GA4'!C:C)</f>
        <v>0</v>
      </c>
      <c r="L216" s="19" t="str">
        <f t="shared" si="34"/>
        <v/>
      </c>
      <c r="M216" s="20">
        <f t="shared" si="51"/>
        <v>0</v>
      </c>
      <c r="N216" s="14">
        <f t="shared" si="52"/>
        <v>0</v>
      </c>
      <c r="O216" s="15" t="str">
        <f>Planejador!$I$152</f>
        <v>#DIV/0!</v>
      </c>
      <c r="P216" s="14" t="str">
        <f>Planejador!$I$143</f>
        <v/>
      </c>
      <c r="Q216" s="16" t="str">
        <f>Planejador!$I$145</f>
        <v/>
      </c>
      <c r="R216" s="14" t="str">
        <f>Planejador!$I$149</f>
        <v>#DIV/0!</v>
      </c>
      <c r="S216" s="18">
        <f t="shared" si="53"/>
        <v>0</v>
      </c>
      <c r="T216" s="14" t="str">
        <f>Planejador!$I$144</f>
        <v/>
      </c>
      <c r="U216" s="4"/>
      <c r="V216" s="4"/>
      <c r="W216" s="4"/>
      <c r="X216" s="4"/>
      <c r="Y216" s="4"/>
      <c r="Z216" s="4"/>
      <c r="AA216" s="4"/>
      <c r="AB216" s="4"/>
    </row>
    <row r="217" ht="18.75" hidden="1" customHeight="1" outlineLevel="1">
      <c r="A217" s="12">
        <v>46230.0</v>
      </c>
      <c r="B217" s="13" t="str">
        <f t="shared" si="48"/>
        <v>segunda-feira</v>
      </c>
      <c r="C217" s="13"/>
      <c r="D217" s="14">
        <f>SUMIF('ADV - GG'!A:A,A217,'ADV - GG'!C:C)+SUMIF('ADV - FB'!A:A,$A217,'ADV - FB'!E:E)</f>
        <v>0</v>
      </c>
      <c r="E217" s="19"/>
      <c r="F217" s="15" t="str">
        <f t="shared" si="32"/>
        <v/>
      </c>
      <c r="G217" s="14" t="str">
        <f t="shared" si="33"/>
        <v/>
      </c>
      <c r="H217" s="16" t="str">
        <f t="shared" si="49"/>
        <v/>
      </c>
      <c r="I217" s="14" t="str">
        <f t="shared" si="50"/>
        <v/>
      </c>
      <c r="J217" s="17">
        <f>SUMIF('ADV - GG'!A:A,A217,'ADV - GG'!H:H)+SUMIF('ADV - FB'!A:A,$A217,'ADV - FB'!I:I)</f>
        <v>0</v>
      </c>
      <c r="K217" s="22">
        <f>SUMIF('ADV - GA4'!A:A,A217,'ADV - GA4'!C:C)</f>
        <v>0</v>
      </c>
      <c r="L217" s="19" t="str">
        <f t="shared" si="34"/>
        <v/>
      </c>
      <c r="M217" s="20">
        <f t="shared" si="51"/>
        <v>0</v>
      </c>
      <c r="N217" s="14">
        <f t="shared" si="52"/>
        <v>0</v>
      </c>
      <c r="O217" s="15" t="str">
        <f>Planejador!$I$152</f>
        <v>#DIV/0!</v>
      </c>
      <c r="P217" s="14" t="str">
        <f>Planejador!$I$143</f>
        <v/>
      </c>
      <c r="Q217" s="16" t="str">
        <f>Planejador!$I$145</f>
        <v/>
      </c>
      <c r="R217" s="14" t="str">
        <f>Planejador!$I$149</f>
        <v>#DIV/0!</v>
      </c>
      <c r="S217" s="18">
        <f t="shared" si="53"/>
        <v>0</v>
      </c>
      <c r="T217" s="14" t="str">
        <f>Planejador!$I$144</f>
        <v/>
      </c>
      <c r="U217" s="4"/>
      <c r="V217" s="4"/>
      <c r="W217" s="4"/>
      <c r="X217" s="4"/>
      <c r="Y217" s="4"/>
      <c r="Z217" s="4"/>
      <c r="AA217" s="4"/>
      <c r="AB217" s="4"/>
    </row>
    <row r="218" ht="18.75" hidden="1" customHeight="1" outlineLevel="1">
      <c r="A218" s="12">
        <v>46231.0</v>
      </c>
      <c r="B218" s="13" t="str">
        <f t="shared" si="48"/>
        <v>terça-feira</v>
      </c>
      <c r="C218" s="13"/>
      <c r="D218" s="14">
        <f>SUMIF('ADV - GG'!A:A,A218,'ADV - GG'!C:C)+SUMIF('ADV - FB'!A:A,$A218,'ADV - FB'!E:E)</f>
        <v>0</v>
      </c>
      <c r="E218" s="19"/>
      <c r="F218" s="15" t="str">
        <f t="shared" si="32"/>
        <v/>
      </c>
      <c r="G218" s="14" t="str">
        <f t="shared" si="33"/>
        <v/>
      </c>
      <c r="H218" s="16" t="str">
        <f t="shared" si="49"/>
        <v/>
      </c>
      <c r="I218" s="14" t="str">
        <f t="shared" si="50"/>
        <v/>
      </c>
      <c r="J218" s="17">
        <f>SUMIF('ADV - GG'!A:A,A218,'ADV - GG'!H:H)+SUMIF('ADV - FB'!A:A,$A218,'ADV - FB'!I:I)</f>
        <v>0</v>
      </c>
      <c r="K218" s="22">
        <f>SUMIF('ADV - GA4'!A:A,A218,'ADV - GA4'!C:C)</f>
        <v>0</v>
      </c>
      <c r="L218" s="19" t="str">
        <f t="shared" si="34"/>
        <v/>
      </c>
      <c r="M218" s="20">
        <f t="shared" si="51"/>
        <v>0</v>
      </c>
      <c r="N218" s="14">
        <f t="shared" si="52"/>
        <v>0</v>
      </c>
      <c r="O218" s="15" t="str">
        <f>Planejador!$I$152</f>
        <v>#DIV/0!</v>
      </c>
      <c r="P218" s="14" t="str">
        <f>Planejador!$I$143</f>
        <v/>
      </c>
      <c r="Q218" s="16" t="str">
        <f>Planejador!$I$145</f>
        <v/>
      </c>
      <c r="R218" s="14" t="str">
        <f>Planejador!$I$149</f>
        <v>#DIV/0!</v>
      </c>
      <c r="S218" s="18">
        <f t="shared" si="53"/>
        <v>0</v>
      </c>
      <c r="T218" s="14" t="str">
        <f>Planejador!$I$144</f>
        <v/>
      </c>
      <c r="U218" s="4"/>
      <c r="V218" s="4"/>
      <c r="W218" s="4"/>
      <c r="X218" s="4"/>
      <c r="Y218" s="4"/>
      <c r="Z218" s="4"/>
      <c r="AA218" s="4"/>
      <c r="AB218" s="4"/>
    </row>
    <row r="219" ht="18.75" hidden="1" customHeight="1" outlineLevel="1">
      <c r="A219" s="12">
        <v>46232.0</v>
      </c>
      <c r="B219" s="13" t="str">
        <f t="shared" si="48"/>
        <v>quarta-feira</v>
      </c>
      <c r="C219" s="13"/>
      <c r="D219" s="14">
        <f>SUMIF('ADV - GG'!A:A,A219,'ADV - GG'!C:C)+SUMIF('ADV - FB'!A:A,$A219,'ADV - FB'!E:E)</f>
        <v>0</v>
      </c>
      <c r="E219" s="19"/>
      <c r="F219" s="15" t="str">
        <f t="shared" si="32"/>
        <v/>
      </c>
      <c r="G219" s="14" t="str">
        <f t="shared" si="33"/>
        <v/>
      </c>
      <c r="H219" s="16" t="str">
        <f t="shared" si="49"/>
        <v/>
      </c>
      <c r="I219" s="14" t="str">
        <f t="shared" si="50"/>
        <v/>
      </c>
      <c r="J219" s="17">
        <f>SUMIF('ADV - GG'!A:A,A219,'ADV - GG'!H:H)+SUMIF('ADV - FB'!A:A,$A219,'ADV - FB'!I:I)</f>
        <v>0</v>
      </c>
      <c r="K219" s="22">
        <f>SUMIF('ADV - GA4'!A:A,A219,'ADV - GA4'!C:C)</f>
        <v>0</v>
      </c>
      <c r="L219" s="19" t="str">
        <f t="shared" si="34"/>
        <v/>
      </c>
      <c r="M219" s="20">
        <f t="shared" si="51"/>
        <v>0</v>
      </c>
      <c r="N219" s="14">
        <f t="shared" si="52"/>
        <v>0</v>
      </c>
      <c r="O219" s="15" t="str">
        <f>Planejador!$I$152</f>
        <v>#DIV/0!</v>
      </c>
      <c r="P219" s="14" t="str">
        <f>Planejador!$I$143</f>
        <v/>
      </c>
      <c r="Q219" s="16" t="str">
        <f>Planejador!$I$145</f>
        <v/>
      </c>
      <c r="R219" s="14" t="str">
        <f>Planejador!$I$149</f>
        <v>#DIV/0!</v>
      </c>
      <c r="S219" s="18">
        <f t="shared" si="53"/>
        <v>0</v>
      </c>
      <c r="T219" s="14" t="str">
        <f>Planejador!$I$144</f>
        <v/>
      </c>
      <c r="U219" s="4"/>
      <c r="V219" s="4"/>
      <c r="W219" s="4"/>
      <c r="X219" s="4"/>
      <c r="Y219" s="4"/>
      <c r="Z219" s="4"/>
      <c r="AA219" s="4"/>
      <c r="AB219" s="4"/>
    </row>
    <row r="220" ht="18.75" hidden="1" customHeight="1" outlineLevel="1">
      <c r="A220" s="12">
        <v>46233.0</v>
      </c>
      <c r="B220" s="13" t="str">
        <f t="shared" si="48"/>
        <v>quinta-feira</v>
      </c>
      <c r="C220" s="13"/>
      <c r="D220" s="14">
        <f>SUMIF('ADV - GG'!A:A,A220,'ADV - GG'!C:C)+SUMIF('ADV - FB'!A:A,$A220,'ADV - FB'!E:E)</f>
        <v>0</v>
      </c>
      <c r="E220" s="19"/>
      <c r="F220" s="15" t="str">
        <f t="shared" si="32"/>
        <v/>
      </c>
      <c r="G220" s="14" t="str">
        <f t="shared" si="33"/>
        <v/>
      </c>
      <c r="H220" s="16" t="str">
        <f t="shared" si="49"/>
        <v/>
      </c>
      <c r="I220" s="14" t="str">
        <f t="shared" si="50"/>
        <v/>
      </c>
      <c r="J220" s="17">
        <f>SUMIF('ADV - GG'!A:A,A220,'ADV - GG'!H:H)+SUMIF('ADV - FB'!A:A,$A220,'ADV - FB'!I:I)</f>
        <v>0</v>
      </c>
      <c r="K220" s="22">
        <f>SUMIF('ADV - GA4'!A:A,A220,'ADV - GA4'!C:C)</f>
        <v>0</v>
      </c>
      <c r="L220" s="19" t="str">
        <f t="shared" si="34"/>
        <v/>
      </c>
      <c r="M220" s="20">
        <f t="shared" si="51"/>
        <v>0</v>
      </c>
      <c r="N220" s="14">
        <f t="shared" si="52"/>
        <v>0</v>
      </c>
      <c r="O220" s="15" t="str">
        <f>Planejador!$I$152</f>
        <v>#DIV/0!</v>
      </c>
      <c r="P220" s="14" t="str">
        <f>Planejador!$I$143</f>
        <v/>
      </c>
      <c r="Q220" s="16" t="str">
        <f>Planejador!$I$145</f>
        <v/>
      </c>
      <c r="R220" s="14" t="str">
        <f>Planejador!$I$149</f>
        <v>#DIV/0!</v>
      </c>
      <c r="S220" s="18">
        <f t="shared" si="53"/>
        <v>0</v>
      </c>
      <c r="T220" s="14" t="str">
        <f>Planejador!$I$144</f>
        <v/>
      </c>
      <c r="U220" s="4"/>
      <c r="V220" s="4"/>
      <c r="W220" s="4"/>
      <c r="X220" s="4"/>
      <c r="Y220" s="4"/>
      <c r="Z220" s="4"/>
      <c r="AA220" s="4"/>
      <c r="AB220" s="4"/>
    </row>
    <row r="221" ht="18.75" hidden="1" customHeight="1" outlineLevel="1">
      <c r="A221" s="12">
        <v>46234.0</v>
      </c>
      <c r="B221" s="13" t="str">
        <f t="shared" si="48"/>
        <v>sexta-feira</v>
      </c>
      <c r="C221" s="13"/>
      <c r="D221" s="14">
        <f>SUMIF('ADV - GG'!A:A,A221,'ADV - GG'!C:C)+SUMIF('ADV - FB'!A:A,$A221,'ADV - FB'!E:E)</f>
        <v>0</v>
      </c>
      <c r="E221" s="19"/>
      <c r="F221" s="15" t="str">
        <f t="shared" si="32"/>
        <v/>
      </c>
      <c r="G221" s="14" t="str">
        <f t="shared" si="33"/>
        <v/>
      </c>
      <c r="H221" s="16" t="str">
        <f t="shared" si="49"/>
        <v/>
      </c>
      <c r="I221" s="14" t="str">
        <f t="shared" si="50"/>
        <v/>
      </c>
      <c r="J221" s="17">
        <f>SUMIF('ADV - GG'!A:A,A221,'ADV - GG'!H:H)+SUMIF('ADV - FB'!A:A,$A221,'ADV - FB'!I:I)</f>
        <v>0</v>
      </c>
      <c r="K221" s="22">
        <f>SUMIF('ADV - GA4'!A:A,A221,'ADV - GA4'!C:C)</f>
        <v>0</v>
      </c>
      <c r="L221" s="19" t="str">
        <f t="shared" si="34"/>
        <v/>
      </c>
      <c r="M221" s="20">
        <f t="shared" si="51"/>
        <v>0</v>
      </c>
      <c r="N221" s="14">
        <f t="shared" si="52"/>
        <v>0</v>
      </c>
      <c r="O221" s="15" t="str">
        <f>Planejador!$I$152</f>
        <v>#DIV/0!</v>
      </c>
      <c r="P221" s="14" t="str">
        <f>Planejador!$I$143</f>
        <v/>
      </c>
      <c r="Q221" s="16" t="str">
        <f>Planejador!$I$145</f>
        <v/>
      </c>
      <c r="R221" s="14" t="str">
        <f>Planejador!$I$149</f>
        <v>#DIV/0!</v>
      </c>
      <c r="S221" s="18">
        <f t="shared" si="53"/>
        <v>0</v>
      </c>
      <c r="T221" s="14" t="str">
        <f>Planejador!$I$144</f>
        <v/>
      </c>
      <c r="U221" s="4"/>
      <c r="V221" s="4"/>
      <c r="W221" s="4"/>
      <c r="X221" s="4"/>
      <c r="Y221" s="4"/>
      <c r="Z221" s="4"/>
      <c r="AA221" s="4"/>
      <c r="AB221" s="4"/>
    </row>
    <row r="222" ht="18.75" customHeight="1" collapsed="1">
      <c r="A222" s="25" t="s">
        <v>28</v>
      </c>
      <c r="B222" s="26">
        <v>31.0</v>
      </c>
      <c r="C222" s="27"/>
      <c r="D222" s="28">
        <f t="shared" ref="D222:E222" si="54">IFERROR(SUM(D223:D253),"")</f>
        <v>0</v>
      </c>
      <c r="E222" s="28">
        <f t="shared" si="54"/>
        <v>0</v>
      </c>
      <c r="F222" s="29" t="str">
        <f t="shared" si="32"/>
        <v/>
      </c>
      <c r="G222" s="30" t="str">
        <f t="shared" si="33"/>
        <v/>
      </c>
      <c r="H222" s="31" t="str">
        <f>IFERROR(J222/K222,"")</f>
        <v/>
      </c>
      <c r="I222" s="30" t="str">
        <f>IFERROR(D222/J222,"")</f>
        <v/>
      </c>
      <c r="J222" s="32">
        <f t="shared" ref="J222:K222" si="55">IFERROR(SUM(J223:J253),"")</f>
        <v>0</v>
      </c>
      <c r="K222" s="32">
        <f t="shared" si="55"/>
        <v>0</v>
      </c>
      <c r="L222" s="30" t="str">
        <f t="shared" si="34"/>
        <v/>
      </c>
      <c r="M222" s="28" t="str">
        <f>Planejador!$I$165</f>
        <v/>
      </c>
      <c r="N222" s="28" t="str">
        <f>IFERROR(Planejador!$I$174,"")</f>
        <v/>
      </c>
      <c r="O222" s="33" t="str">
        <f>IFERROR(Planejador!$I$175,"")</f>
        <v/>
      </c>
      <c r="P222" s="34" t="str">
        <f>Planejador!$I$166</f>
        <v/>
      </c>
      <c r="Q222" s="35" t="str">
        <f>Planejador!$I$168</f>
        <v/>
      </c>
      <c r="R222" s="34" t="str">
        <f>IFERROR(Planejador!$I$172,"")</f>
        <v/>
      </c>
      <c r="S222" s="32" t="str">
        <f>IFERROR(Planejador!$I$171,"")</f>
        <v/>
      </c>
      <c r="T222" s="34" t="str">
        <f>IFERROR(Planejador!$I$167,"")</f>
        <v/>
      </c>
      <c r="U222" s="4"/>
      <c r="V222" s="4"/>
      <c r="W222" s="4"/>
      <c r="X222" s="4"/>
      <c r="Y222" s="4"/>
      <c r="Z222" s="4"/>
      <c r="AA222" s="4"/>
      <c r="AB222" s="4"/>
    </row>
    <row r="223" ht="18.75" hidden="1" customHeight="1" outlineLevel="1">
      <c r="A223" s="12">
        <v>46235.0</v>
      </c>
      <c r="B223" s="13" t="str">
        <f t="shared" ref="B223:B253" si="56">TEXT(A223,"dddd")</f>
        <v>sábado</v>
      </c>
      <c r="C223" s="13"/>
      <c r="D223" s="14">
        <f>SUMIF('ADV - GG'!A:A,A223,'ADV - GG'!C:C)+SUMIF('ADV - FB'!A:A,$A223,'ADV - FB'!E:E)</f>
        <v>0</v>
      </c>
      <c r="E223" s="19"/>
      <c r="F223" s="15" t="str">
        <f t="shared" si="32"/>
        <v/>
      </c>
      <c r="G223" s="14" t="str">
        <f t="shared" si="33"/>
        <v/>
      </c>
      <c r="H223" s="16" t="str">
        <f t="shared" ref="H223:H253" si="57">iferror(J223/K223,"")</f>
        <v/>
      </c>
      <c r="I223" s="14" t="str">
        <f t="shared" ref="I223:I253" si="58">iferror(D223/J223,"")</f>
        <v/>
      </c>
      <c r="J223" s="17"/>
      <c r="K223" s="22">
        <f>SUMIF('ADV - GA4'!A:A,A223,'ADV - GA4'!C:C)</f>
        <v>0</v>
      </c>
      <c r="L223" s="19" t="str">
        <f t="shared" si="34"/>
        <v/>
      </c>
      <c r="M223" s="20">
        <f t="shared" ref="M223:M253" si="59">$M$222/$B$222</f>
        <v>0</v>
      </c>
      <c r="N223" s="14">
        <f t="shared" ref="N223:N253" si="60">$N$222/$B$222</f>
        <v>0</v>
      </c>
      <c r="O223" s="15" t="str">
        <f>IFERROR(Planejador!$I$175,"")</f>
        <v/>
      </c>
      <c r="P223" s="14" t="str">
        <f>Planejador!$I$166</f>
        <v/>
      </c>
      <c r="Q223" s="16" t="str">
        <f>Planejador!$I$168</f>
        <v/>
      </c>
      <c r="R223" s="14" t="str">
        <f>IFERROR(Planejador!$I$172,"")</f>
        <v/>
      </c>
      <c r="S223" s="18">
        <f t="shared" ref="S223:S253" si="61">$S$222/$B$222</f>
        <v>0</v>
      </c>
      <c r="T223" s="14" t="str">
        <f>Planejador!$I$167</f>
        <v/>
      </c>
      <c r="U223" s="4"/>
      <c r="V223" s="4"/>
      <c r="W223" s="4"/>
      <c r="X223" s="4"/>
      <c r="Y223" s="4"/>
      <c r="Z223" s="4"/>
      <c r="AA223" s="4"/>
      <c r="AB223" s="4"/>
    </row>
    <row r="224" ht="18.75" hidden="1" customHeight="1" outlineLevel="1">
      <c r="A224" s="12">
        <v>46236.0</v>
      </c>
      <c r="B224" s="13" t="str">
        <f t="shared" si="56"/>
        <v>domingo</v>
      </c>
      <c r="C224" s="13"/>
      <c r="D224" s="14">
        <f>SUMIF('ADV - GG'!A:A,A224,'ADV - GG'!C:C)+SUMIF('ADV - FB'!A:A,$A224,'ADV - FB'!E:E)</f>
        <v>0</v>
      </c>
      <c r="E224" s="19"/>
      <c r="F224" s="15" t="str">
        <f t="shared" si="32"/>
        <v/>
      </c>
      <c r="G224" s="14" t="str">
        <f t="shared" si="33"/>
        <v/>
      </c>
      <c r="H224" s="16" t="str">
        <f t="shared" si="57"/>
        <v/>
      </c>
      <c r="I224" s="14" t="str">
        <f t="shared" si="58"/>
        <v/>
      </c>
      <c r="J224" s="17"/>
      <c r="K224" s="22">
        <f>SUMIF('ADV - GA4'!A:A,A224,'ADV - GA4'!C:C)</f>
        <v>0</v>
      </c>
      <c r="L224" s="19" t="str">
        <f t="shared" si="34"/>
        <v/>
      </c>
      <c r="M224" s="20">
        <f t="shared" si="59"/>
        <v>0</v>
      </c>
      <c r="N224" s="14">
        <f t="shared" si="60"/>
        <v>0</v>
      </c>
      <c r="O224" s="15" t="str">
        <f>IFERROR(Planejador!$I$175,"")</f>
        <v/>
      </c>
      <c r="P224" s="14" t="str">
        <f>Planejador!$I$166</f>
        <v/>
      </c>
      <c r="Q224" s="16" t="str">
        <f>Planejador!$I$168</f>
        <v/>
      </c>
      <c r="R224" s="14" t="str">
        <f>IFERROR(Planejador!$I$172,"")</f>
        <v/>
      </c>
      <c r="S224" s="18">
        <f t="shared" si="61"/>
        <v>0</v>
      </c>
      <c r="T224" s="14" t="str">
        <f>Planejador!$I$167</f>
        <v/>
      </c>
      <c r="U224" s="4"/>
      <c r="V224" s="4"/>
      <c r="W224" s="4"/>
      <c r="X224" s="4"/>
      <c r="Y224" s="4"/>
      <c r="Z224" s="4"/>
      <c r="AA224" s="4"/>
      <c r="AB224" s="4"/>
    </row>
    <row r="225" ht="18.75" hidden="1" customHeight="1" outlineLevel="1">
      <c r="A225" s="12">
        <v>46237.0</v>
      </c>
      <c r="B225" s="13" t="str">
        <f t="shared" si="56"/>
        <v>segunda-feira</v>
      </c>
      <c r="C225" s="13"/>
      <c r="D225" s="14">
        <f>SUMIF('ADV - GG'!A:A,A225,'ADV - GG'!C:C)+SUMIF('ADV - FB'!A:A,$A225,'ADV - FB'!E:E)</f>
        <v>0</v>
      </c>
      <c r="E225" s="19"/>
      <c r="F225" s="15" t="str">
        <f t="shared" si="32"/>
        <v/>
      </c>
      <c r="G225" s="14" t="str">
        <f t="shared" si="33"/>
        <v/>
      </c>
      <c r="H225" s="16" t="str">
        <f t="shared" si="57"/>
        <v/>
      </c>
      <c r="I225" s="14" t="str">
        <f t="shared" si="58"/>
        <v/>
      </c>
      <c r="J225" s="17"/>
      <c r="K225" s="22">
        <f>SUMIF('ADV - GA4'!A:A,A225,'ADV - GA4'!C:C)</f>
        <v>0</v>
      </c>
      <c r="L225" s="19" t="str">
        <f t="shared" si="34"/>
        <v/>
      </c>
      <c r="M225" s="20">
        <f t="shared" si="59"/>
        <v>0</v>
      </c>
      <c r="N225" s="14">
        <f t="shared" si="60"/>
        <v>0</v>
      </c>
      <c r="O225" s="15" t="str">
        <f>IFERROR(Planejador!$I$175,"")</f>
        <v/>
      </c>
      <c r="P225" s="14" t="str">
        <f>Planejador!$I$166</f>
        <v/>
      </c>
      <c r="Q225" s="16" t="str">
        <f>Planejador!$I$168</f>
        <v/>
      </c>
      <c r="R225" s="14" t="str">
        <f>IFERROR(Planejador!$I$172,"")</f>
        <v/>
      </c>
      <c r="S225" s="18">
        <f t="shared" si="61"/>
        <v>0</v>
      </c>
      <c r="T225" s="14" t="str">
        <f>Planejador!$I$167</f>
        <v/>
      </c>
      <c r="U225" s="4"/>
      <c r="V225" s="4"/>
      <c r="W225" s="4"/>
      <c r="X225" s="4"/>
      <c r="Y225" s="4"/>
      <c r="Z225" s="4"/>
      <c r="AA225" s="4"/>
      <c r="AB225" s="4"/>
    </row>
    <row r="226" ht="18.75" hidden="1" customHeight="1" outlineLevel="1">
      <c r="A226" s="12">
        <v>46238.0</v>
      </c>
      <c r="B226" s="13" t="str">
        <f t="shared" si="56"/>
        <v>terça-feira</v>
      </c>
      <c r="C226" s="13"/>
      <c r="D226" s="14">
        <f>SUMIF('ADV - GG'!A:A,A226,'ADV - GG'!C:C)+SUMIF('ADV - FB'!A:A,$A226,'ADV - FB'!E:E)</f>
        <v>0</v>
      </c>
      <c r="E226" s="19"/>
      <c r="F226" s="15" t="str">
        <f t="shared" si="32"/>
        <v/>
      </c>
      <c r="G226" s="14" t="str">
        <f t="shared" si="33"/>
        <v/>
      </c>
      <c r="H226" s="16" t="str">
        <f t="shared" si="57"/>
        <v/>
      </c>
      <c r="I226" s="14" t="str">
        <f t="shared" si="58"/>
        <v/>
      </c>
      <c r="J226" s="17"/>
      <c r="K226" s="22">
        <f>SUMIF('ADV - GA4'!A:A,A226,'ADV - GA4'!C:C)</f>
        <v>0</v>
      </c>
      <c r="L226" s="19" t="str">
        <f t="shared" si="34"/>
        <v/>
      </c>
      <c r="M226" s="20">
        <f t="shared" si="59"/>
        <v>0</v>
      </c>
      <c r="N226" s="14">
        <f t="shared" si="60"/>
        <v>0</v>
      </c>
      <c r="O226" s="15" t="str">
        <f>IFERROR(Planejador!$I$175,"")</f>
        <v/>
      </c>
      <c r="P226" s="14" t="str">
        <f>Planejador!$I$166</f>
        <v/>
      </c>
      <c r="Q226" s="16" t="str">
        <f>Planejador!$I$168</f>
        <v/>
      </c>
      <c r="R226" s="14" t="str">
        <f>IFERROR(Planejador!$I$172,"")</f>
        <v/>
      </c>
      <c r="S226" s="18">
        <f t="shared" si="61"/>
        <v>0</v>
      </c>
      <c r="T226" s="14" t="str">
        <f>Planejador!$I$167</f>
        <v/>
      </c>
      <c r="U226" s="4"/>
      <c r="V226" s="4"/>
      <c r="W226" s="4"/>
      <c r="X226" s="4"/>
      <c r="Y226" s="4"/>
      <c r="Z226" s="4"/>
      <c r="AA226" s="4"/>
      <c r="AB226" s="4"/>
    </row>
    <row r="227" ht="18.75" hidden="1" customHeight="1" outlineLevel="1">
      <c r="A227" s="12">
        <v>46239.0</v>
      </c>
      <c r="B227" s="13" t="str">
        <f t="shared" si="56"/>
        <v>quarta-feira</v>
      </c>
      <c r="C227" s="13"/>
      <c r="D227" s="14">
        <f>SUMIF('ADV - GG'!A:A,A227,'ADV - GG'!C:C)+SUMIF('ADV - FB'!A:A,$A227,'ADV - FB'!E:E)</f>
        <v>0</v>
      </c>
      <c r="E227" s="19"/>
      <c r="F227" s="15" t="str">
        <f t="shared" si="32"/>
        <v/>
      </c>
      <c r="G227" s="14" t="str">
        <f t="shared" si="33"/>
        <v/>
      </c>
      <c r="H227" s="16" t="str">
        <f t="shared" si="57"/>
        <v/>
      </c>
      <c r="I227" s="14" t="str">
        <f t="shared" si="58"/>
        <v/>
      </c>
      <c r="J227" s="17"/>
      <c r="K227" s="22">
        <f>SUMIF('ADV - GA4'!A:A,A227,'ADV - GA4'!C:C)</f>
        <v>0</v>
      </c>
      <c r="L227" s="19" t="str">
        <f t="shared" si="34"/>
        <v/>
      </c>
      <c r="M227" s="20">
        <f t="shared" si="59"/>
        <v>0</v>
      </c>
      <c r="N227" s="14">
        <f t="shared" si="60"/>
        <v>0</v>
      </c>
      <c r="O227" s="15" t="str">
        <f>IFERROR(Planejador!$I$175,"")</f>
        <v/>
      </c>
      <c r="P227" s="14" t="str">
        <f>Planejador!$I$166</f>
        <v/>
      </c>
      <c r="Q227" s="16" t="str">
        <f>Planejador!$I$168</f>
        <v/>
      </c>
      <c r="R227" s="14" t="str">
        <f>IFERROR(Planejador!$I$172,"")</f>
        <v/>
      </c>
      <c r="S227" s="18">
        <f t="shared" si="61"/>
        <v>0</v>
      </c>
      <c r="T227" s="14" t="str">
        <f>Planejador!$I$167</f>
        <v/>
      </c>
      <c r="U227" s="4"/>
      <c r="V227" s="4"/>
      <c r="W227" s="4"/>
      <c r="X227" s="4"/>
      <c r="Y227" s="4"/>
      <c r="Z227" s="4"/>
      <c r="AA227" s="4"/>
      <c r="AB227" s="4"/>
    </row>
    <row r="228" ht="18.75" hidden="1" customHeight="1" outlineLevel="1">
      <c r="A228" s="12">
        <v>46240.0</v>
      </c>
      <c r="B228" s="13" t="str">
        <f t="shared" si="56"/>
        <v>quinta-feira</v>
      </c>
      <c r="C228" s="13"/>
      <c r="D228" s="14">
        <f>SUMIF('ADV - GG'!A:A,A228,'ADV - GG'!C:C)+SUMIF('ADV - FB'!A:A,$A228,'ADV - FB'!E:E)</f>
        <v>0</v>
      </c>
      <c r="E228" s="19"/>
      <c r="F228" s="15" t="str">
        <f t="shared" si="32"/>
        <v/>
      </c>
      <c r="G228" s="14" t="str">
        <f t="shared" si="33"/>
        <v/>
      </c>
      <c r="H228" s="16" t="str">
        <f t="shared" si="57"/>
        <v/>
      </c>
      <c r="I228" s="14" t="str">
        <f t="shared" si="58"/>
        <v/>
      </c>
      <c r="J228" s="17"/>
      <c r="K228" s="22">
        <f>SUMIF('ADV - GA4'!A:A,A228,'ADV - GA4'!C:C)</f>
        <v>0</v>
      </c>
      <c r="L228" s="19" t="str">
        <f t="shared" si="34"/>
        <v/>
      </c>
      <c r="M228" s="20">
        <f t="shared" si="59"/>
        <v>0</v>
      </c>
      <c r="N228" s="14">
        <f t="shared" si="60"/>
        <v>0</v>
      </c>
      <c r="O228" s="15" t="str">
        <f>IFERROR(Planejador!$I$175,"")</f>
        <v/>
      </c>
      <c r="P228" s="14" t="str">
        <f>Planejador!$I$166</f>
        <v/>
      </c>
      <c r="Q228" s="16" t="str">
        <f>Planejador!$I$168</f>
        <v/>
      </c>
      <c r="R228" s="14" t="str">
        <f>IFERROR(Planejador!$I$172,"")</f>
        <v/>
      </c>
      <c r="S228" s="18">
        <f t="shared" si="61"/>
        <v>0</v>
      </c>
      <c r="T228" s="14" t="str">
        <f>Planejador!$I$167</f>
        <v/>
      </c>
      <c r="U228" s="4"/>
      <c r="V228" s="4"/>
      <c r="W228" s="4"/>
      <c r="X228" s="4"/>
      <c r="Y228" s="4"/>
      <c r="Z228" s="4"/>
      <c r="AA228" s="4"/>
      <c r="AB228" s="4"/>
    </row>
    <row r="229" ht="18.75" hidden="1" customHeight="1" outlineLevel="1">
      <c r="A229" s="12">
        <v>46241.0</v>
      </c>
      <c r="B229" s="13" t="str">
        <f t="shared" si="56"/>
        <v>sexta-feira</v>
      </c>
      <c r="C229" s="13"/>
      <c r="D229" s="14">
        <f>SUMIF('ADV - GG'!A:A,A229,'ADV - GG'!C:C)+SUMIF('ADV - FB'!A:A,$A229,'ADV - FB'!E:E)</f>
        <v>0</v>
      </c>
      <c r="E229" s="19"/>
      <c r="F229" s="15" t="str">
        <f t="shared" si="32"/>
        <v/>
      </c>
      <c r="G229" s="14" t="str">
        <f t="shared" si="33"/>
        <v/>
      </c>
      <c r="H229" s="16" t="str">
        <f t="shared" si="57"/>
        <v/>
      </c>
      <c r="I229" s="14" t="str">
        <f t="shared" si="58"/>
        <v/>
      </c>
      <c r="J229" s="17"/>
      <c r="K229" s="22">
        <f>SUMIF('ADV - GA4'!A:A,A229,'ADV - GA4'!C:C)</f>
        <v>0</v>
      </c>
      <c r="L229" s="19" t="str">
        <f t="shared" si="34"/>
        <v/>
      </c>
      <c r="M229" s="20">
        <f t="shared" si="59"/>
        <v>0</v>
      </c>
      <c r="N229" s="14">
        <f t="shared" si="60"/>
        <v>0</v>
      </c>
      <c r="O229" s="15" t="str">
        <f>IFERROR(Planejador!$I$175,"")</f>
        <v/>
      </c>
      <c r="P229" s="14" t="str">
        <f>Planejador!$I$166</f>
        <v/>
      </c>
      <c r="Q229" s="16" t="str">
        <f>Planejador!$I$168</f>
        <v/>
      </c>
      <c r="R229" s="14" t="str">
        <f>IFERROR(Planejador!$I$172,"")</f>
        <v/>
      </c>
      <c r="S229" s="18">
        <f t="shared" si="61"/>
        <v>0</v>
      </c>
      <c r="T229" s="14" t="str">
        <f>Planejador!$I$167</f>
        <v/>
      </c>
      <c r="U229" s="4"/>
      <c r="V229" s="4"/>
      <c r="W229" s="4"/>
      <c r="X229" s="4"/>
      <c r="Y229" s="4"/>
      <c r="Z229" s="4"/>
      <c r="AA229" s="4"/>
      <c r="AB229" s="4"/>
    </row>
    <row r="230" ht="18.75" hidden="1" customHeight="1" outlineLevel="1">
      <c r="A230" s="12">
        <v>46242.0</v>
      </c>
      <c r="B230" s="13" t="str">
        <f t="shared" si="56"/>
        <v>sábado</v>
      </c>
      <c r="C230" s="13"/>
      <c r="D230" s="14">
        <f>SUMIF('ADV - GG'!A:A,A230,'ADV - GG'!C:C)+SUMIF('ADV - FB'!A:A,$A230,'ADV - FB'!E:E)</f>
        <v>0</v>
      </c>
      <c r="E230" s="19"/>
      <c r="F230" s="15" t="str">
        <f t="shared" si="32"/>
        <v/>
      </c>
      <c r="G230" s="14" t="str">
        <f t="shared" si="33"/>
        <v/>
      </c>
      <c r="H230" s="16" t="str">
        <f t="shared" si="57"/>
        <v/>
      </c>
      <c r="I230" s="14" t="str">
        <f t="shared" si="58"/>
        <v/>
      </c>
      <c r="J230" s="17"/>
      <c r="K230" s="22">
        <f>SUMIF('ADV - GA4'!A:A,A230,'ADV - GA4'!C:C)</f>
        <v>0</v>
      </c>
      <c r="L230" s="19" t="str">
        <f t="shared" si="34"/>
        <v/>
      </c>
      <c r="M230" s="20">
        <f t="shared" si="59"/>
        <v>0</v>
      </c>
      <c r="N230" s="14">
        <f t="shared" si="60"/>
        <v>0</v>
      </c>
      <c r="O230" s="15" t="str">
        <f>IFERROR(Planejador!$I$175,"")</f>
        <v/>
      </c>
      <c r="P230" s="14" t="str">
        <f>Planejador!$I$166</f>
        <v/>
      </c>
      <c r="Q230" s="16" t="str">
        <f>Planejador!$I$168</f>
        <v/>
      </c>
      <c r="R230" s="14" t="str">
        <f>IFERROR(Planejador!$I$172,"")</f>
        <v/>
      </c>
      <c r="S230" s="18">
        <f t="shared" si="61"/>
        <v>0</v>
      </c>
      <c r="T230" s="14" t="str">
        <f>Planejador!$I$167</f>
        <v/>
      </c>
      <c r="U230" s="4"/>
      <c r="V230" s="4"/>
      <c r="W230" s="4"/>
      <c r="X230" s="4"/>
      <c r="Y230" s="4"/>
      <c r="Z230" s="4"/>
      <c r="AA230" s="4"/>
      <c r="AB230" s="4"/>
    </row>
    <row r="231" ht="18.75" hidden="1" customHeight="1" outlineLevel="1">
      <c r="A231" s="12">
        <v>46243.0</v>
      </c>
      <c r="B231" s="13" t="str">
        <f t="shared" si="56"/>
        <v>domingo</v>
      </c>
      <c r="C231" s="13"/>
      <c r="D231" s="14">
        <f>SUMIF('ADV - GG'!A:A,A231,'ADV - GG'!C:C)+SUMIF('ADV - FB'!A:A,$A231,'ADV - FB'!E:E)</f>
        <v>0</v>
      </c>
      <c r="E231" s="19"/>
      <c r="F231" s="15" t="str">
        <f t="shared" si="32"/>
        <v/>
      </c>
      <c r="G231" s="14" t="str">
        <f t="shared" si="33"/>
        <v/>
      </c>
      <c r="H231" s="16" t="str">
        <f t="shared" si="57"/>
        <v/>
      </c>
      <c r="I231" s="14" t="str">
        <f t="shared" si="58"/>
        <v/>
      </c>
      <c r="J231" s="17"/>
      <c r="K231" s="22">
        <f>SUMIF('ADV - GA4'!A:A,A231,'ADV - GA4'!C:C)</f>
        <v>0</v>
      </c>
      <c r="L231" s="19" t="str">
        <f t="shared" si="34"/>
        <v/>
      </c>
      <c r="M231" s="20">
        <f t="shared" si="59"/>
        <v>0</v>
      </c>
      <c r="N231" s="14">
        <f t="shared" si="60"/>
        <v>0</v>
      </c>
      <c r="O231" s="15" t="str">
        <f>IFERROR(Planejador!$I$175,"")</f>
        <v/>
      </c>
      <c r="P231" s="14" t="str">
        <f>Planejador!$I$166</f>
        <v/>
      </c>
      <c r="Q231" s="16" t="str">
        <f>Planejador!$I$168</f>
        <v/>
      </c>
      <c r="R231" s="14" t="str">
        <f>IFERROR(Planejador!$I$172,"")</f>
        <v/>
      </c>
      <c r="S231" s="18">
        <f t="shared" si="61"/>
        <v>0</v>
      </c>
      <c r="T231" s="14" t="str">
        <f>Planejador!$I$167</f>
        <v/>
      </c>
      <c r="U231" s="4"/>
      <c r="V231" s="4"/>
      <c r="W231" s="4"/>
      <c r="X231" s="4"/>
      <c r="Y231" s="4"/>
      <c r="Z231" s="4"/>
      <c r="AA231" s="4"/>
      <c r="AB231" s="4"/>
    </row>
    <row r="232" ht="18.75" hidden="1" customHeight="1" outlineLevel="1">
      <c r="A232" s="12">
        <v>46244.0</v>
      </c>
      <c r="B232" s="13" t="str">
        <f t="shared" si="56"/>
        <v>segunda-feira</v>
      </c>
      <c r="C232" s="13"/>
      <c r="D232" s="14">
        <f>SUMIF('ADV - GG'!A:A,A232,'ADV - GG'!C:C)+SUMIF('ADV - FB'!A:A,$A232,'ADV - FB'!E:E)</f>
        <v>0</v>
      </c>
      <c r="E232" s="19"/>
      <c r="F232" s="15" t="str">
        <f t="shared" si="32"/>
        <v/>
      </c>
      <c r="G232" s="14" t="str">
        <f t="shared" si="33"/>
        <v/>
      </c>
      <c r="H232" s="16" t="str">
        <f t="shared" si="57"/>
        <v/>
      </c>
      <c r="I232" s="14" t="str">
        <f t="shared" si="58"/>
        <v/>
      </c>
      <c r="J232" s="17"/>
      <c r="K232" s="22">
        <f>SUMIF('ADV - GA4'!A:A,A232,'ADV - GA4'!C:C)</f>
        <v>0</v>
      </c>
      <c r="L232" s="19" t="str">
        <f t="shared" si="34"/>
        <v/>
      </c>
      <c r="M232" s="20">
        <f t="shared" si="59"/>
        <v>0</v>
      </c>
      <c r="N232" s="14">
        <f t="shared" si="60"/>
        <v>0</v>
      </c>
      <c r="O232" s="15" t="str">
        <f>IFERROR(Planejador!$I$175,"")</f>
        <v/>
      </c>
      <c r="P232" s="14" t="str">
        <f>Planejador!$I$166</f>
        <v/>
      </c>
      <c r="Q232" s="16" t="str">
        <f>Planejador!$I$168</f>
        <v/>
      </c>
      <c r="R232" s="14" t="str">
        <f>IFERROR(Planejador!$I$172,"")</f>
        <v/>
      </c>
      <c r="S232" s="18">
        <f t="shared" si="61"/>
        <v>0</v>
      </c>
      <c r="T232" s="14" t="str">
        <f>Planejador!$I$167</f>
        <v/>
      </c>
      <c r="U232" s="4"/>
      <c r="V232" s="4"/>
      <c r="W232" s="4"/>
      <c r="X232" s="4"/>
      <c r="Y232" s="4"/>
      <c r="Z232" s="4"/>
      <c r="AA232" s="4"/>
      <c r="AB232" s="4"/>
    </row>
    <row r="233" ht="18.75" hidden="1" customHeight="1" outlineLevel="1">
      <c r="A233" s="12">
        <v>46245.0</v>
      </c>
      <c r="B233" s="13" t="str">
        <f t="shared" si="56"/>
        <v>terça-feira</v>
      </c>
      <c r="C233" s="13"/>
      <c r="D233" s="14">
        <f>SUMIF('ADV - GG'!A:A,A233,'ADV - GG'!C:C)+SUMIF('ADV - FB'!A:A,$A233,'ADV - FB'!E:E)</f>
        <v>0</v>
      </c>
      <c r="E233" s="19"/>
      <c r="F233" s="15" t="str">
        <f t="shared" si="32"/>
        <v/>
      </c>
      <c r="G233" s="14" t="str">
        <f t="shared" si="33"/>
        <v/>
      </c>
      <c r="H233" s="16" t="str">
        <f t="shared" si="57"/>
        <v/>
      </c>
      <c r="I233" s="14" t="str">
        <f t="shared" si="58"/>
        <v/>
      </c>
      <c r="J233" s="17"/>
      <c r="K233" s="22">
        <f>SUMIF('ADV - GA4'!A:A,A233,'ADV - GA4'!C:C)</f>
        <v>0</v>
      </c>
      <c r="L233" s="19" t="str">
        <f t="shared" si="34"/>
        <v/>
      </c>
      <c r="M233" s="20">
        <f t="shared" si="59"/>
        <v>0</v>
      </c>
      <c r="N233" s="14">
        <f t="shared" si="60"/>
        <v>0</v>
      </c>
      <c r="O233" s="15" t="str">
        <f>IFERROR(Planejador!$I$175,"")</f>
        <v/>
      </c>
      <c r="P233" s="14" t="str">
        <f>Planejador!$I$166</f>
        <v/>
      </c>
      <c r="Q233" s="16" t="str">
        <f>Planejador!$I$168</f>
        <v/>
      </c>
      <c r="R233" s="14" t="str">
        <f>IFERROR(Planejador!$I$172,"")</f>
        <v/>
      </c>
      <c r="S233" s="18">
        <f t="shared" si="61"/>
        <v>0</v>
      </c>
      <c r="T233" s="14" t="str">
        <f>Planejador!$I$167</f>
        <v/>
      </c>
      <c r="U233" s="4"/>
      <c r="V233" s="4"/>
      <c r="W233" s="4"/>
      <c r="X233" s="4"/>
      <c r="Y233" s="4"/>
      <c r="Z233" s="4"/>
      <c r="AA233" s="4"/>
      <c r="AB233" s="4"/>
    </row>
    <row r="234" ht="18.75" hidden="1" customHeight="1" outlineLevel="1">
      <c r="A234" s="12">
        <v>46246.0</v>
      </c>
      <c r="B234" s="13" t="str">
        <f t="shared" si="56"/>
        <v>quarta-feira</v>
      </c>
      <c r="C234" s="13"/>
      <c r="D234" s="14">
        <f>SUMIF('ADV - GG'!A:A,A234,'ADV - GG'!C:C)+SUMIF('ADV - FB'!A:A,$A234,'ADV - FB'!E:E)</f>
        <v>0</v>
      </c>
      <c r="E234" s="19"/>
      <c r="F234" s="15" t="str">
        <f t="shared" si="32"/>
        <v/>
      </c>
      <c r="G234" s="14" t="str">
        <f t="shared" si="33"/>
        <v/>
      </c>
      <c r="H234" s="16" t="str">
        <f t="shared" si="57"/>
        <v/>
      </c>
      <c r="I234" s="14" t="str">
        <f t="shared" si="58"/>
        <v/>
      </c>
      <c r="J234" s="17"/>
      <c r="K234" s="22">
        <f>SUMIF('ADV - GA4'!A:A,A234,'ADV - GA4'!C:C)</f>
        <v>0</v>
      </c>
      <c r="L234" s="19" t="str">
        <f t="shared" si="34"/>
        <v/>
      </c>
      <c r="M234" s="20">
        <f t="shared" si="59"/>
        <v>0</v>
      </c>
      <c r="N234" s="14">
        <f t="shared" si="60"/>
        <v>0</v>
      </c>
      <c r="O234" s="15" t="str">
        <f>IFERROR(Planejador!$I$175,"")</f>
        <v/>
      </c>
      <c r="P234" s="14" t="str">
        <f>Planejador!$I$166</f>
        <v/>
      </c>
      <c r="Q234" s="16" t="str">
        <f>Planejador!$I$168</f>
        <v/>
      </c>
      <c r="R234" s="14" t="str">
        <f>IFERROR(Planejador!$I$172,"")</f>
        <v/>
      </c>
      <c r="S234" s="18">
        <f t="shared" si="61"/>
        <v>0</v>
      </c>
      <c r="T234" s="14" t="str">
        <f>Planejador!$I$167</f>
        <v/>
      </c>
      <c r="U234" s="4"/>
      <c r="V234" s="4"/>
      <c r="W234" s="4"/>
      <c r="X234" s="4"/>
      <c r="Y234" s="4"/>
      <c r="Z234" s="4"/>
      <c r="AA234" s="4"/>
      <c r="AB234" s="4"/>
    </row>
    <row r="235" ht="18.75" hidden="1" customHeight="1" outlineLevel="1">
      <c r="A235" s="12">
        <v>46247.0</v>
      </c>
      <c r="B235" s="13" t="str">
        <f t="shared" si="56"/>
        <v>quinta-feira</v>
      </c>
      <c r="C235" s="13"/>
      <c r="D235" s="14">
        <f>SUMIF('ADV - GG'!A:A,A235,'ADV - GG'!C:C)+SUMIF('ADV - FB'!A:A,$A235,'ADV - FB'!E:E)</f>
        <v>0</v>
      </c>
      <c r="E235" s="19"/>
      <c r="F235" s="15" t="str">
        <f t="shared" si="32"/>
        <v/>
      </c>
      <c r="G235" s="14" t="str">
        <f t="shared" si="33"/>
        <v/>
      </c>
      <c r="H235" s="16" t="str">
        <f t="shared" si="57"/>
        <v/>
      </c>
      <c r="I235" s="14" t="str">
        <f t="shared" si="58"/>
        <v/>
      </c>
      <c r="J235" s="17"/>
      <c r="K235" s="22">
        <f>SUMIF('ADV - GA4'!A:A,A235,'ADV - GA4'!C:C)</f>
        <v>0</v>
      </c>
      <c r="L235" s="19" t="str">
        <f t="shared" si="34"/>
        <v/>
      </c>
      <c r="M235" s="20">
        <f t="shared" si="59"/>
        <v>0</v>
      </c>
      <c r="N235" s="14">
        <f t="shared" si="60"/>
        <v>0</v>
      </c>
      <c r="O235" s="15" t="str">
        <f>IFERROR(Planejador!$I$175,"")</f>
        <v/>
      </c>
      <c r="P235" s="14" t="str">
        <f>Planejador!$I$166</f>
        <v/>
      </c>
      <c r="Q235" s="16" t="str">
        <f>Planejador!$I$168</f>
        <v/>
      </c>
      <c r="R235" s="14" t="str">
        <f>IFERROR(Planejador!$I$172,"")</f>
        <v/>
      </c>
      <c r="S235" s="18">
        <f t="shared" si="61"/>
        <v>0</v>
      </c>
      <c r="T235" s="14" t="str">
        <f>Planejador!$I$167</f>
        <v/>
      </c>
      <c r="U235" s="4"/>
      <c r="V235" s="4"/>
      <c r="W235" s="4"/>
      <c r="X235" s="4"/>
      <c r="Y235" s="4"/>
      <c r="Z235" s="4"/>
      <c r="AA235" s="4"/>
      <c r="AB235" s="4"/>
    </row>
    <row r="236" ht="18.75" hidden="1" customHeight="1" outlineLevel="1">
      <c r="A236" s="12">
        <v>46248.0</v>
      </c>
      <c r="B236" s="13" t="str">
        <f t="shared" si="56"/>
        <v>sexta-feira</v>
      </c>
      <c r="C236" s="13"/>
      <c r="D236" s="14">
        <f>SUMIF('ADV - GG'!A:A,A236,'ADV - GG'!C:C)+SUMIF('ADV - FB'!A:A,$A236,'ADV - FB'!E:E)</f>
        <v>0</v>
      </c>
      <c r="E236" s="19"/>
      <c r="F236" s="15" t="str">
        <f t="shared" si="32"/>
        <v/>
      </c>
      <c r="G236" s="14" t="str">
        <f t="shared" si="33"/>
        <v/>
      </c>
      <c r="H236" s="16" t="str">
        <f t="shared" si="57"/>
        <v/>
      </c>
      <c r="I236" s="14" t="str">
        <f t="shared" si="58"/>
        <v/>
      </c>
      <c r="J236" s="17"/>
      <c r="K236" s="22">
        <f>SUMIF('ADV - GA4'!A:A,A236,'ADV - GA4'!C:C)</f>
        <v>0</v>
      </c>
      <c r="L236" s="19" t="str">
        <f t="shared" si="34"/>
        <v/>
      </c>
      <c r="M236" s="20">
        <f t="shared" si="59"/>
        <v>0</v>
      </c>
      <c r="N236" s="14">
        <f t="shared" si="60"/>
        <v>0</v>
      </c>
      <c r="O236" s="15" t="str">
        <f>IFERROR(Planejador!$I$175,"")</f>
        <v/>
      </c>
      <c r="P236" s="14" t="str">
        <f>Planejador!$I$166</f>
        <v/>
      </c>
      <c r="Q236" s="16" t="str">
        <f>Planejador!$I$168</f>
        <v/>
      </c>
      <c r="R236" s="14" t="str">
        <f>IFERROR(Planejador!$I$172,"")</f>
        <v/>
      </c>
      <c r="S236" s="18">
        <f t="shared" si="61"/>
        <v>0</v>
      </c>
      <c r="T236" s="14" t="str">
        <f>Planejador!$I$167</f>
        <v/>
      </c>
      <c r="U236" s="4"/>
      <c r="V236" s="4"/>
      <c r="W236" s="4"/>
      <c r="X236" s="4"/>
      <c r="Y236" s="4"/>
      <c r="Z236" s="4"/>
      <c r="AA236" s="4"/>
      <c r="AB236" s="4"/>
    </row>
    <row r="237" ht="18.75" hidden="1" customHeight="1" outlineLevel="1">
      <c r="A237" s="12">
        <v>46249.0</v>
      </c>
      <c r="B237" s="13" t="str">
        <f t="shared" si="56"/>
        <v>sábado</v>
      </c>
      <c r="C237" s="13"/>
      <c r="D237" s="14">
        <f>SUMIF('ADV - GG'!A:A,A237,'ADV - GG'!C:C)+SUMIF('ADV - FB'!A:A,$A237,'ADV - FB'!E:E)</f>
        <v>0</v>
      </c>
      <c r="E237" s="19"/>
      <c r="F237" s="15" t="str">
        <f t="shared" si="32"/>
        <v/>
      </c>
      <c r="G237" s="14" t="str">
        <f t="shared" si="33"/>
        <v/>
      </c>
      <c r="H237" s="16" t="str">
        <f t="shared" si="57"/>
        <v/>
      </c>
      <c r="I237" s="14" t="str">
        <f t="shared" si="58"/>
        <v/>
      </c>
      <c r="J237" s="17"/>
      <c r="K237" s="22">
        <f>SUMIF('ADV - GA4'!A:A,A237,'ADV - GA4'!C:C)</f>
        <v>0</v>
      </c>
      <c r="L237" s="19" t="str">
        <f t="shared" si="34"/>
        <v/>
      </c>
      <c r="M237" s="20">
        <f t="shared" si="59"/>
        <v>0</v>
      </c>
      <c r="N237" s="14">
        <f t="shared" si="60"/>
        <v>0</v>
      </c>
      <c r="O237" s="15" t="str">
        <f>IFERROR(Planejador!$I$175,"")</f>
        <v/>
      </c>
      <c r="P237" s="14" t="str">
        <f>Planejador!$I$166</f>
        <v/>
      </c>
      <c r="Q237" s="16" t="str">
        <f>Planejador!$I$168</f>
        <v/>
      </c>
      <c r="R237" s="14" t="str">
        <f>IFERROR(Planejador!$I$172,"")</f>
        <v/>
      </c>
      <c r="S237" s="18">
        <f t="shared" si="61"/>
        <v>0</v>
      </c>
      <c r="T237" s="14" t="str">
        <f>Planejador!$I$167</f>
        <v/>
      </c>
      <c r="U237" s="4"/>
      <c r="V237" s="4"/>
      <c r="W237" s="4"/>
      <c r="X237" s="4"/>
      <c r="Y237" s="4"/>
      <c r="Z237" s="4"/>
      <c r="AA237" s="4"/>
      <c r="AB237" s="4"/>
    </row>
    <row r="238" ht="18.75" hidden="1" customHeight="1" outlineLevel="1">
      <c r="A238" s="12">
        <v>46250.0</v>
      </c>
      <c r="B238" s="13" t="str">
        <f t="shared" si="56"/>
        <v>domingo</v>
      </c>
      <c r="C238" s="13"/>
      <c r="D238" s="14">
        <f>SUMIF('ADV - GG'!A:A,A238,'ADV - GG'!C:C)+SUMIF('ADV - FB'!A:A,$A238,'ADV - FB'!E:E)</f>
        <v>0</v>
      </c>
      <c r="E238" s="19"/>
      <c r="F238" s="15" t="str">
        <f t="shared" si="32"/>
        <v/>
      </c>
      <c r="G238" s="14" t="str">
        <f t="shared" si="33"/>
        <v/>
      </c>
      <c r="H238" s="16" t="str">
        <f t="shared" si="57"/>
        <v/>
      </c>
      <c r="I238" s="14" t="str">
        <f t="shared" si="58"/>
        <v/>
      </c>
      <c r="J238" s="17"/>
      <c r="K238" s="22">
        <f>SUMIF('ADV - GA4'!A:A,A238,'ADV - GA4'!C:C)</f>
        <v>0</v>
      </c>
      <c r="L238" s="19" t="str">
        <f t="shared" si="34"/>
        <v/>
      </c>
      <c r="M238" s="20">
        <f t="shared" si="59"/>
        <v>0</v>
      </c>
      <c r="N238" s="14">
        <f t="shared" si="60"/>
        <v>0</v>
      </c>
      <c r="O238" s="15" t="str">
        <f>IFERROR(Planejador!$I$175,"")</f>
        <v/>
      </c>
      <c r="P238" s="14" t="str">
        <f>Planejador!$I$166</f>
        <v/>
      </c>
      <c r="Q238" s="16" t="str">
        <f>Planejador!$I$168</f>
        <v/>
      </c>
      <c r="R238" s="14" t="str">
        <f>IFERROR(Planejador!$I$172,"")</f>
        <v/>
      </c>
      <c r="S238" s="18">
        <f t="shared" si="61"/>
        <v>0</v>
      </c>
      <c r="T238" s="14" t="str">
        <f>Planejador!$I$167</f>
        <v/>
      </c>
      <c r="U238" s="4"/>
      <c r="V238" s="4"/>
      <c r="W238" s="4"/>
      <c r="X238" s="4"/>
      <c r="Y238" s="4"/>
      <c r="Z238" s="4"/>
      <c r="AA238" s="4"/>
      <c r="AB238" s="4"/>
    </row>
    <row r="239" ht="18.75" hidden="1" customHeight="1" outlineLevel="1">
      <c r="A239" s="12">
        <v>46251.0</v>
      </c>
      <c r="B239" s="13" t="str">
        <f t="shared" si="56"/>
        <v>segunda-feira</v>
      </c>
      <c r="C239" s="13"/>
      <c r="D239" s="14">
        <f>SUMIF('ADV - GG'!A:A,A239,'ADV - GG'!C:C)+SUMIF('ADV - FB'!A:A,$A239,'ADV - FB'!E:E)</f>
        <v>0</v>
      </c>
      <c r="E239" s="19"/>
      <c r="F239" s="15" t="str">
        <f t="shared" si="32"/>
        <v/>
      </c>
      <c r="G239" s="14" t="str">
        <f t="shared" si="33"/>
        <v/>
      </c>
      <c r="H239" s="16" t="str">
        <f t="shared" si="57"/>
        <v/>
      </c>
      <c r="I239" s="14" t="str">
        <f t="shared" si="58"/>
        <v/>
      </c>
      <c r="J239" s="17"/>
      <c r="K239" s="22">
        <f>SUMIF('ADV - GA4'!A:A,A239,'ADV - GA4'!C:C)</f>
        <v>0</v>
      </c>
      <c r="L239" s="19" t="str">
        <f t="shared" si="34"/>
        <v/>
      </c>
      <c r="M239" s="20">
        <f t="shared" si="59"/>
        <v>0</v>
      </c>
      <c r="N239" s="14">
        <f t="shared" si="60"/>
        <v>0</v>
      </c>
      <c r="O239" s="15" t="str">
        <f>IFERROR(Planejador!$I$175,"")</f>
        <v/>
      </c>
      <c r="P239" s="14" t="str">
        <f>Planejador!$I$166</f>
        <v/>
      </c>
      <c r="Q239" s="16" t="str">
        <f>Planejador!$I$168</f>
        <v/>
      </c>
      <c r="R239" s="14" t="str">
        <f>IFERROR(Planejador!$I$172,"")</f>
        <v/>
      </c>
      <c r="S239" s="18">
        <f t="shared" si="61"/>
        <v>0</v>
      </c>
      <c r="T239" s="14" t="str">
        <f>Planejador!$I$167</f>
        <v/>
      </c>
      <c r="U239" s="4"/>
      <c r="V239" s="4"/>
      <c r="W239" s="4"/>
      <c r="X239" s="4"/>
      <c r="Y239" s="4"/>
      <c r="Z239" s="4"/>
      <c r="AA239" s="4"/>
      <c r="AB239" s="4"/>
    </row>
    <row r="240" ht="18.75" hidden="1" customHeight="1" outlineLevel="1">
      <c r="A240" s="12">
        <v>46252.0</v>
      </c>
      <c r="B240" s="13" t="str">
        <f t="shared" si="56"/>
        <v>terça-feira</v>
      </c>
      <c r="C240" s="13"/>
      <c r="D240" s="14">
        <f>SUMIF('ADV - GG'!A:A,A240,'ADV - GG'!C:C)+SUMIF('ADV - FB'!A:A,$A240,'ADV - FB'!E:E)</f>
        <v>0</v>
      </c>
      <c r="E240" s="19"/>
      <c r="F240" s="15" t="str">
        <f t="shared" si="32"/>
        <v/>
      </c>
      <c r="G240" s="14" t="str">
        <f t="shared" si="33"/>
        <v/>
      </c>
      <c r="H240" s="16" t="str">
        <f t="shared" si="57"/>
        <v/>
      </c>
      <c r="I240" s="14" t="str">
        <f t="shared" si="58"/>
        <v/>
      </c>
      <c r="J240" s="17"/>
      <c r="K240" s="22">
        <f>SUMIF('ADV - GA4'!A:A,A240,'ADV - GA4'!C:C)</f>
        <v>0</v>
      </c>
      <c r="L240" s="19" t="str">
        <f t="shared" si="34"/>
        <v/>
      </c>
      <c r="M240" s="20">
        <f t="shared" si="59"/>
        <v>0</v>
      </c>
      <c r="N240" s="14">
        <f t="shared" si="60"/>
        <v>0</v>
      </c>
      <c r="O240" s="15" t="str">
        <f>IFERROR(Planejador!$I$175,"")</f>
        <v/>
      </c>
      <c r="P240" s="14" t="str">
        <f>Planejador!$I$166</f>
        <v/>
      </c>
      <c r="Q240" s="16" t="str">
        <f>Planejador!$I$168</f>
        <v/>
      </c>
      <c r="R240" s="14" t="str">
        <f>IFERROR(Planejador!$I$172,"")</f>
        <v/>
      </c>
      <c r="S240" s="18">
        <f t="shared" si="61"/>
        <v>0</v>
      </c>
      <c r="T240" s="14" t="str">
        <f>Planejador!$I$167</f>
        <v/>
      </c>
      <c r="U240" s="4"/>
      <c r="V240" s="4"/>
      <c r="W240" s="4"/>
      <c r="X240" s="4"/>
      <c r="Y240" s="4"/>
      <c r="Z240" s="4"/>
      <c r="AA240" s="4"/>
      <c r="AB240" s="4"/>
    </row>
    <row r="241" ht="18.75" hidden="1" customHeight="1" outlineLevel="1">
      <c r="A241" s="12">
        <v>46253.0</v>
      </c>
      <c r="B241" s="13" t="str">
        <f t="shared" si="56"/>
        <v>quarta-feira</v>
      </c>
      <c r="C241" s="13"/>
      <c r="D241" s="14">
        <f>SUMIF('ADV - GG'!A:A,A241,'ADV - GG'!C:C)+SUMIF('ADV - FB'!A:A,$A241,'ADV - FB'!E:E)</f>
        <v>0</v>
      </c>
      <c r="E241" s="19"/>
      <c r="F241" s="15" t="str">
        <f t="shared" si="32"/>
        <v/>
      </c>
      <c r="G241" s="14" t="str">
        <f t="shared" si="33"/>
        <v/>
      </c>
      <c r="H241" s="16" t="str">
        <f t="shared" si="57"/>
        <v/>
      </c>
      <c r="I241" s="14" t="str">
        <f t="shared" si="58"/>
        <v/>
      </c>
      <c r="J241" s="17"/>
      <c r="K241" s="22">
        <f>SUMIF('ADV - GA4'!A:A,A241,'ADV - GA4'!C:C)</f>
        <v>0</v>
      </c>
      <c r="L241" s="19" t="str">
        <f t="shared" si="34"/>
        <v/>
      </c>
      <c r="M241" s="20">
        <f t="shared" si="59"/>
        <v>0</v>
      </c>
      <c r="N241" s="14">
        <f t="shared" si="60"/>
        <v>0</v>
      </c>
      <c r="O241" s="15" t="str">
        <f>IFERROR(Planejador!$I$175,"")</f>
        <v/>
      </c>
      <c r="P241" s="14" t="str">
        <f>Planejador!$I$166</f>
        <v/>
      </c>
      <c r="Q241" s="16" t="str">
        <f>Planejador!$I$168</f>
        <v/>
      </c>
      <c r="R241" s="14" t="str">
        <f>IFERROR(Planejador!$I$172,"")</f>
        <v/>
      </c>
      <c r="S241" s="18">
        <f t="shared" si="61"/>
        <v>0</v>
      </c>
      <c r="T241" s="14" t="str">
        <f>Planejador!$I$167</f>
        <v/>
      </c>
      <c r="U241" s="4"/>
      <c r="V241" s="4"/>
      <c r="W241" s="4"/>
      <c r="X241" s="4"/>
      <c r="Y241" s="4"/>
      <c r="Z241" s="4"/>
      <c r="AA241" s="4"/>
      <c r="AB241" s="4"/>
    </row>
    <row r="242" ht="18.75" hidden="1" customHeight="1" outlineLevel="1">
      <c r="A242" s="12">
        <v>46254.0</v>
      </c>
      <c r="B242" s="13" t="str">
        <f t="shared" si="56"/>
        <v>quinta-feira</v>
      </c>
      <c r="C242" s="13"/>
      <c r="D242" s="14">
        <f>SUMIF('ADV - GG'!A:A,A242,'ADV - GG'!C:C)+SUMIF('ADV - FB'!A:A,$A242,'ADV - FB'!E:E)</f>
        <v>0</v>
      </c>
      <c r="E242" s="19"/>
      <c r="F242" s="15" t="str">
        <f t="shared" si="32"/>
        <v/>
      </c>
      <c r="G242" s="14" t="str">
        <f t="shared" si="33"/>
        <v/>
      </c>
      <c r="H242" s="16" t="str">
        <f t="shared" si="57"/>
        <v/>
      </c>
      <c r="I242" s="14" t="str">
        <f t="shared" si="58"/>
        <v/>
      </c>
      <c r="J242" s="17"/>
      <c r="K242" s="22">
        <f>SUMIF('ADV - GA4'!A:A,A242,'ADV - GA4'!C:C)</f>
        <v>0</v>
      </c>
      <c r="L242" s="19" t="str">
        <f t="shared" si="34"/>
        <v/>
      </c>
      <c r="M242" s="20">
        <f t="shared" si="59"/>
        <v>0</v>
      </c>
      <c r="N242" s="14">
        <f t="shared" si="60"/>
        <v>0</v>
      </c>
      <c r="O242" s="15" t="str">
        <f>IFERROR(Planejador!$I$175,"")</f>
        <v/>
      </c>
      <c r="P242" s="14" t="str">
        <f>Planejador!$I$166</f>
        <v/>
      </c>
      <c r="Q242" s="16" t="str">
        <f>Planejador!$I$168</f>
        <v/>
      </c>
      <c r="R242" s="14" t="str">
        <f>IFERROR(Planejador!$I$172,"")</f>
        <v/>
      </c>
      <c r="S242" s="18">
        <f t="shared" si="61"/>
        <v>0</v>
      </c>
      <c r="T242" s="14" t="str">
        <f>Planejador!$I$167</f>
        <v/>
      </c>
      <c r="U242" s="4"/>
      <c r="V242" s="4"/>
      <c r="W242" s="4"/>
      <c r="X242" s="4"/>
      <c r="Y242" s="4"/>
      <c r="Z242" s="4"/>
      <c r="AA242" s="4"/>
      <c r="AB242" s="4"/>
    </row>
    <row r="243" ht="18.75" hidden="1" customHeight="1" outlineLevel="1">
      <c r="A243" s="12">
        <v>46255.0</v>
      </c>
      <c r="B243" s="13" t="str">
        <f t="shared" si="56"/>
        <v>sexta-feira</v>
      </c>
      <c r="C243" s="13"/>
      <c r="D243" s="14">
        <f>SUMIF('ADV - GG'!A:A,A243,'ADV - GG'!C:C)+SUMIF('ADV - FB'!A:A,$A243,'ADV - FB'!E:E)</f>
        <v>0</v>
      </c>
      <c r="E243" s="19"/>
      <c r="F243" s="15" t="str">
        <f t="shared" si="32"/>
        <v/>
      </c>
      <c r="G243" s="14" t="str">
        <f t="shared" si="33"/>
        <v/>
      </c>
      <c r="H243" s="16" t="str">
        <f t="shared" si="57"/>
        <v/>
      </c>
      <c r="I243" s="14" t="str">
        <f t="shared" si="58"/>
        <v/>
      </c>
      <c r="J243" s="17"/>
      <c r="K243" s="22">
        <f>SUMIF('ADV - GA4'!A:A,A243,'ADV - GA4'!C:C)</f>
        <v>0</v>
      </c>
      <c r="L243" s="19" t="str">
        <f t="shared" si="34"/>
        <v/>
      </c>
      <c r="M243" s="20">
        <f t="shared" si="59"/>
        <v>0</v>
      </c>
      <c r="N243" s="14">
        <f t="shared" si="60"/>
        <v>0</v>
      </c>
      <c r="O243" s="15" t="str">
        <f>IFERROR(Planejador!$I$175,"")</f>
        <v/>
      </c>
      <c r="P243" s="14" t="str">
        <f>Planejador!$I$166</f>
        <v/>
      </c>
      <c r="Q243" s="16" t="str">
        <f>Planejador!$I$168</f>
        <v/>
      </c>
      <c r="R243" s="14" t="str">
        <f>IFERROR(Planejador!$I$172,"")</f>
        <v/>
      </c>
      <c r="S243" s="18">
        <f t="shared" si="61"/>
        <v>0</v>
      </c>
      <c r="T243" s="14" t="str">
        <f>Planejador!$I$167</f>
        <v/>
      </c>
      <c r="U243" s="4"/>
      <c r="V243" s="4"/>
      <c r="W243" s="4"/>
      <c r="X243" s="4"/>
      <c r="Y243" s="4"/>
      <c r="Z243" s="4"/>
      <c r="AA243" s="4"/>
      <c r="AB243" s="4"/>
    </row>
    <row r="244" ht="18.75" hidden="1" customHeight="1" outlineLevel="1">
      <c r="A244" s="12">
        <v>46256.0</v>
      </c>
      <c r="B244" s="13" t="str">
        <f t="shared" si="56"/>
        <v>sábado</v>
      </c>
      <c r="C244" s="13"/>
      <c r="D244" s="14">
        <f>SUMIF('ADV - GG'!A:A,A244,'ADV - GG'!C:C)+SUMIF('ADV - FB'!A:A,$A244,'ADV - FB'!E:E)</f>
        <v>0</v>
      </c>
      <c r="E244" s="19"/>
      <c r="F244" s="15" t="str">
        <f t="shared" si="32"/>
        <v/>
      </c>
      <c r="G244" s="14" t="str">
        <f t="shared" si="33"/>
        <v/>
      </c>
      <c r="H244" s="16" t="str">
        <f t="shared" si="57"/>
        <v/>
      </c>
      <c r="I244" s="14" t="str">
        <f t="shared" si="58"/>
        <v/>
      </c>
      <c r="J244" s="17"/>
      <c r="K244" s="22">
        <f>SUMIF('ADV - GA4'!A:A,A244,'ADV - GA4'!C:C)</f>
        <v>0</v>
      </c>
      <c r="L244" s="19" t="str">
        <f t="shared" si="34"/>
        <v/>
      </c>
      <c r="M244" s="20">
        <f t="shared" si="59"/>
        <v>0</v>
      </c>
      <c r="N244" s="14">
        <f t="shared" si="60"/>
        <v>0</v>
      </c>
      <c r="O244" s="15" t="str">
        <f>IFERROR(Planejador!$I$175,"")</f>
        <v/>
      </c>
      <c r="P244" s="14" t="str">
        <f>Planejador!$I$166</f>
        <v/>
      </c>
      <c r="Q244" s="16" t="str">
        <f>Planejador!$I$168</f>
        <v/>
      </c>
      <c r="R244" s="14" t="str">
        <f>IFERROR(Planejador!$I$172,"")</f>
        <v/>
      </c>
      <c r="S244" s="18">
        <f t="shared" si="61"/>
        <v>0</v>
      </c>
      <c r="T244" s="14" t="str">
        <f>Planejador!$I$167</f>
        <v/>
      </c>
      <c r="U244" s="4"/>
      <c r="V244" s="4"/>
      <c r="W244" s="4"/>
      <c r="X244" s="4"/>
      <c r="Y244" s="4"/>
      <c r="Z244" s="4"/>
      <c r="AA244" s="4"/>
      <c r="AB244" s="4"/>
    </row>
    <row r="245" ht="18.75" hidden="1" customHeight="1" outlineLevel="1">
      <c r="A245" s="12">
        <v>46257.0</v>
      </c>
      <c r="B245" s="13" t="str">
        <f t="shared" si="56"/>
        <v>domingo</v>
      </c>
      <c r="C245" s="13"/>
      <c r="D245" s="14">
        <f>SUMIF('ADV - GG'!A:A,A245,'ADV - GG'!C:C)+SUMIF('ADV - FB'!A:A,$A245,'ADV - FB'!E:E)</f>
        <v>0</v>
      </c>
      <c r="E245" s="19"/>
      <c r="F245" s="15" t="str">
        <f t="shared" si="32"/>
        <v/>
      </c>
      <c r="G245" s="14" t="str">
        <f t="shared" si="33"/>
        <v/>
      </c>
      <c r="H245" s="16" t="str">
        <f t="shared" si="57"/>
        <v/>
      </c>
      <c r="I245" s="14" t="str">
        <f t="shared" si="58"/>
        <v/>
      </c>
      <c r="J245" s="17"/>
      <c r="K245" s="22">
        <f>SUMIF('ADV - GA4'!A:A,A245,'ADV - GA4'!C:C)</f>
        <v>0</v>
      </c>
      <c r="L245" s="19" t="str">
        <f t="shared" si="34"/>
        <v/>
      </c>
      <c r="M245" s="20">
        <f t="shared" si="59"/>
        <v>0</v>
      </c>
      <c r="N245" s="14">
        <f t="shared" si="60"/>
        <v>0</v>
      </c>
      <c r="O245" s="15" t="str">
        <f>IFERROR(Planejador!$I$175,"")</f>
        <v/>
      </c>
      <c r="P245" s="14" t="str">
        <f>Planejador!$I$166</f>
        <v/>
      </c>
      <c r="Q245" s="16" t="str">
        <f>Planejador!$I$168</f>
        <v/>
      </c>
      <c r="R245" s="14" t="str">
        <f>IFERROR(Planejador!$I$172,"")</f>
        <v/>
      </c>
      <c r="S245" s="18">
        <f t="shared" si="61"/>
        <v>0</v>
      </c>
      <c r="T245" s="14" t="str">
        <f>Planejador!$I$167</f>
        <v/>
      </c>
      <c r="U245" s="4"/>
      <c r="V245" s="4"/>
      <c r="W245" s="4"/>
      <c r="X245" s="4"/>
      <c r="Y245" s="4"/>
      <c r="Z245" s="4"/>
      <c r="AA245" s="4"/>
      <c r="AB245" s="4"/>
    </row>
    <row r="246" ht="18.75" hidden="1" customHeight="1" outlineLevel="1">
      <c r="A246" s="12">
        <v>46258.0</v>
      </c>
      <c r="B246" s="13" t="str">
        <f t="shared" si="56"/>
        <v>segunda-feira</v>
      </c>
      <c r="C246" s="13"/>
      <c r="D246" s="14">
        <f>SUMIF('ADV - GG'!A:A,A246,'ADV - GG'!C:C)+SUMIF('ADV - FB'!A:A,$A246,'ADV - FB'!E:E)</f>
        <v>0</v>
      </c>
      <c r="E246" s="19"/>
      <c r="F246" s="15" t="str">
        <f t="shared" si="32"/>
        <v/>
      </c>
      <c r="G246" s="14" t="str">
        <f t="shared" si="33"/>
        <v/>
      </c>
      <c r="H246" s="16" t="str">
        <f t="shared" si="57"/>
        <v/>
      </c>
      <c r="I246" s="14" t="str">
        <f t="shared" si="58"/>
        <v/>
      </c>
      <c r="J246" s="17"/>
      <c r="K246" s="22">
        <f>SUMIF('ADV - GA4'!A:A,A246,'ADV - GA4'!C:C)</f>
        <v>0</v>
      </c>
      <c r="L246" s="19" t="str">
        <f t="shared" si="34"/>
        <v/>
      </c>
      <c r="M246" s="20">
        <f t="shared" si="59"/>
        <v>0</v>
      </c>
      <c r="N246" s="14">
        <f t="shared" si="60"/>
        <v>0</v>
      </c>
      <c r="O246" s="15" t="str">
        <f>IFERROR(Planejador!$I$175,"")</f>
        <v/>
      </c>
      <c r="P246" s="14" t="str">
        <f>Planejador!$I$166</f>
        <v/>
      </c>
      <c r="Q246" s="16" t="str">
        <f>Planejador!$I$168</f>
        <v/>
      </c>
      <c r="R246" s="14" t="str">
        <f>IFERROR(Planejador!$I$172,"")</f>
        <v/>
      </c>
      <c r="S246" s="18">
        <f t="shared" si="61"/>
        <v>0</v>
      </c>
      <c r="T246" s="14" t="str">
        <f>Planejador!$I$167</f>
        <v/>
      </c>
      <c r="U246" s="4"/>
      <c r="V246" s="4"/>
      <c r="W246" s="4"/>
      <c r="X246" s="4"/>
      <c r="Y246" s="4"/>
      <c r="Z246" s="4"/>
      <c r="AA246" s="4"/>
      <c r="AB246" s="4"/>
    </row>
    <row r="247" ht="18.75" hidden="1" customHeight="1" outlineLevel="1">
      <c r="A247" s="12">
        <v>46259.0</v>
      </c>
      <c r="B247" s="13" t="str">
        <f t="shared" si="56"/>
        <v>terça-feira</v>
      </c>
      <c r="C247" s="13"/>
      <c r="D247" s="14">
        <f>SUMIF('ADV - GG'!A:A,A247,'ADV - GG'!C:C)+SUMIF('ADV - FB'!A:A,$A247,'ADV - FB'!E:E)</f>
        <v>0</v>
      </c>
      <c r="E247" s="19"/>
      <c r="F247" s="15" t="str">
        <f t="shared" si="32"/>
        <v/>
      </c>
      <c r="G247" s="14" t="str">
        <f t="shared" si="33"/>
        <v/>
      </c>
      <c r="H247" s="16" t="str">
        <f t="shared" si="57"/>
        <v/>
      </c>
      <c r="I247" s="14" t="str">
        <f t="shared" si="58"/>
        <v/>
      </c>
      <c r="J247" s="17"/>
      <c r="K247" s="22">
        <f>SUMIF('ADV - GA4'!A:A,A247,'ADV - GA4'!C:C)</f>
        <v>0</v>
      </c>
      <c r="L247" s="19" t="str">
        <f t="shared" si="34"/>
        <v/>
      </c>
      <c r="M247" s="20">
        <f t="shared" si="59"/>
        <v>0</v>
      </c>
      <c r="N247" s="14">
        <f t="shared" si="60"/>
        <v>0</v>
      </c>
      <c r="O247" s="15" t="str">
        <f>IFERROR(Planejador!$I$175,"")</f>
        <v/>
      </c>
      <c r="P247" s="14" t="str">
        <f>Planejador!$I$166</f>
        <v/>
      </c>
      <c r="Q247" s="16" t="str">
        <f>Planejador!$I$168</f>
        <v/>
      </c>
      <c r="R247" s="14" t="str">
        <f>IFERROR(Planejador!$I$172,"")</f>
        <v/>
      </c>
      <c r="S247" s="18">
        <f t="shared" si="61"/>
        <v>0</v>
      </c>
      <c r="T247" s="14" t="str">
        <f>Planejador!$I$167</f>
        <v/>
      </c>
      <c r="U247" s="4"/>
      <c r="V247" s="4"/>
      <c r="W247" s="4"/>
      <c r="X247" s="4"/>
      <c r="Y247" s="4"/>
      <c r="Z247" s="4"/>
      <c r="AA247" s="4"/>
      <c r="AB247" s="4"/>
    </row>
    <row r="248" ht="18.75" hidden="1" customHeight="1" outlineLevel="1">
      <c r="A248" s="12">
        <v>46260.0</v>
      </c>
      <c r="B248" s="13" t="str">
        <f t="shared" si="56"/>
        <v>quarta-feira</v>
      </c>
      <c r="C248" s="13"/>
      <c r="D248" s="14">
        <f>SUMIF('ADV - GG'!A:A,A248,'ADV - GG'!C:C)+SUMIF('ADV - FB'!A:A,$A248,'ADV - FB'!E:E)</f>
        <v>0</v>
      </c>
      <c r="E248" s="19"/>
      <c r="F248" s="15" t="str">
        <f t="shared" si="32"/>
        <v/>
      </c>
      <c r="G248" s="14" t="str">
        <f t="shared" si="33"/>
        <v/>
      </c>
      <c r="H248" s="16" t="str">
        <f t="shared" si="57"/>
        <v/>
      </c>
      <c r="I248" s="14" t="str">
        <f t="shared" si="58"/>
        <v/>
      </c>
      <c r="J248" s="17"/>
      <c r="K248" s="22">
        <f>SUMIF('ADV - GA4'!A:A,A248,'ADV - GA4'!C:C)</f>
        <v>0</v>
      </c>
      <c r="L248" s="19" t="str">
        <f t="shared" si="34"/>
        <v/>
      </c>
      <c r="M248" s="20">
        <f t="shared" si="59"/>
        <v>0</v>
      </c>
      <c r="N248" s="14">
        <f t="shared" si="60"/>
        <v>0</v>
      </c>
      <c r="O248" s="15" t="str">
        <f>IFERROR(Planejador!$I$175,"")</f>
        <v/>
      </c>
      <c r="P248" s="14" t="str">
        <f>Planejador!$I$166</f>
        <v/>
      </c>
      <c r="Q248" s="16" t="str">
        <f>Planejador!$I$168</f>
        <v/>
      </c>
      <c r="R248" s="14" t="str">
        <f>IFERROR(Planejador!$I$172,"")</f>
        <v/>
      </c>
      <c r="S248" s="18">
        <f t="shared" si="61"/>
        <v>0</v>
      </c>
      <c r="T248" s="14" t="str">
        <f>Planejador!$I$167</f>
        <v/>
      </c>
      <c r="U248" s="4"/>
      <c r="V248" s="4"/>
      <c r="W248" s="4"/>
      <c r="X248" s="4"/>
      <c r="Y248" s="4"/>
      <c r="Z248" s="4"/>
      <c r="AA248" s="4"/>
      <c r="AB248" s="4"/>
    </row>
    <row r="249" ht="18.75" hidden="1" customHeight="1" outlineLevel="1">
      <c r="A249" s="12">
        <v>46261.0</v>
      </c>
      <c r="B249" s="13" t="str">
        <f t="shared" si="56"/>
        <v>quinta-feira</v>
      </c>
      <c r="C249" s="13"/>
      <c r="D249" s="14">
        <f>SUMIF('ADV - GG'!A:A,A249,'ADV - GG'!C:C)+SUMIF('ADV - FB'!A:A,$A249,'ADV - FB'!E:E)</f>
        <v>0</v>
      </c>
      <c r="E249" s="19"/>
      <c r="F249" s="15" t="str">
        <f t="shared" si="32"/>
        <v/>
      </c>
      <c r="G249" s="14" t="str">
        <f t="shared" si="33"/>
        <v/>
      </c>
      <c r="H249" s="16" t="str">
        <f t="shared" si="57"/>
        <v/>
      </c>
      <c r="I249" s="14" t="str">
        <f t="shared" si="58"/>
        <v/>
      </c>
      <c r="J249" s="17"/>
      <c r="K249" s="22">
        <f>SUMIF('ADV - GA4'!A:A,A249,'ADV - GA4'!C:C)</f>
        <v>0</v>
      </c>
      <c r="L249" s="19" t="str">
        <f t="shared" si="34"/>
        <v/>
      </c>
      <c r="M249" s="20">
        <f t="shared" si="59"/>
        <v>0</v>
      </c>
      <c r="N249" s="14">
        <f t="shared" si="60"/>
        <v>0</v>
      </c>
      <c r="O249" s="15" t="str">
        <f>IFERROR(Planejador!$I$175,"")</f>
        <v/>
      </c>
      <c r="P249" s="14" t="str">
        <f>Planejador!$I$166</f>
        <v/>
      </c>
      <c r="Q249" s="16" t="str">
        <f>Planejador!$I$168</f>
        <v/>
      </c>
      <c r="R249" s="14" t="str">
        <f>IFERROR(Planejador!$I$172,"")</f>
        <v/>
      </c>
      <c r="S249" s="18">
        <f t="shared" si="61"/>
        <v>0</v>
      </c>
      <c r="T249" s="14" t="str">
        <f>Planejador!$I$167</f>
        <v/>
      </c>
      <c r="U249" s="4"/>
      <c r="V249" s="4"/>
      <c r="W249" s="4"/>
      <c r="X249" s="4"/>
      <c r="Y249" s="4"/>
      <c r="Z249" s="4"/>
      <c r="AA249" s="4"/>
      <c r="AB249" s="4"/>
    </row>
    <row r="250" ht="18.75" hidden="1" customHeight="1" outlineLevel="1">
      <c r="A250" s="12">
        <v>46262.0</v>
      </c>
      <c r="B250" s="13" t="str">
        <f t="shared" si="56"/>
        <v>sexta-feira</v>
      </c>
      <c r="C250" s="13"/>
      <c r="D250" s="14">
        <f>SUMIF('ADV - GG'!A:A,A250,'ADV - GG'!C:C)+SUMIF('ADV - FB'!A:A,$A250,'ADV - FB'!E:E)</f>
        <v>0</v>
      </c>
      <c r="E250" s="19"/>
      <c r="F250" s="15" t="str">
        <f t="shared" si="32"/>
        <v/>
      </c>
      <c r="G250" s="14" t="str">
        <f t="shared" si="33"/>
        <v/>
      </c>
      <c r="H250" s="16" t="str">
        <f t="shared" si="57"/>
        <v/>
      </c>
      <c r="I250" s="14" t="str">
        <f t="shared" si="58"/>
        <v/>
      </c>
      <c r="J250" s="17"/>
      <c r="K250" s="22">
        <f>SUMIF('ADV - GA4'!A:A,A250,'ADV - GA4'!C:C)</f>
        <v>0</v>
      </c>
      <c r="L250" s="19" t="str">
        <f t="shared" si="34"/>
        <v/>
      </c>
      <c r="M250" s="20">
        <f t="shared" si="59"/>
        <v>0</v>
      </c>
      <c r="N250" s="14">
        <f t="shared" si="60"/>
        <v>0</v>
      </c>
      <c r="O250" s="15" t="str">
        <f>IFERROR(Planejador!$I$175,"")</f>
        <v/>
      </c>
      <c r="P250" s="14" t="str">
        <f>Planejador!$I$166</f>
        <v/>
      </c>
      <c r="Q250" s="16" t="str">
        <f>Planejador!$I$168</f>
        <v/>
      </c>
      <c r="R250" s="14" t="str">
        <f>IFERROR(Planejador!$I$172,"")</f>
        <v/>
      </c>
      <c r="S250" s="18">
        <f t="shared" si="61"/>
        <v>0</v>
      </c>
      <c r="T250" s="14" t="str">
        <f>Planejador!$I$167</f>
        <v/>
      </c>
      <c r="U250" s="4"/>
      <c r="V250" s="4"/>
      <c r="W250" s="4"/>
      <c r="X250" s="4"/>
      <c r="Y250" s="4"/>
      <c r="Z250" s="4"/>
      <c r="AA250" s="4"/>
      <c r="AB250" s="4"/>
    </row>
    <row r="251" ht="18.75" hidden="1" customHeight="1" outlineLevel="1">
      <c r="A251" s="12">
        <v>46263.0</v>
      </c>
      <c r="B251" s="13" t="str">
        <f t="shared" si="56"/>
        <v>sábado</v>
      </c>
      <c r="C251" s="13"/>
      <c r="D251" s="14">
        <f>SUMIF('ADV - GG'!A:A,A251,'ADV - GG'!C:C)+SUMIF('ADV - FB'!A:A,$A251,'ADV - FB'!E:E)</f>
        <v>0</v>
      </c>
      <c r="E251" s="19"/>
      <c r="F251" s="15" t="str">
        <f t="shared" si="32"/>
        <v/>
      </c>
      <c r="G251" s="14" t="str">
        <f t="shared" si="33"/>
        <v/>
      </c>
      <c r="H251" s="16" t="str">
        <f t="shared" si="57"/>
        <v/>
      </c>
      <c r="I251" s="14" t="str">
        <f t="shared" si="58"/>
        <v/>
      </c>
      <c r="J251" s="17"/>
      <c r="K251" s="22">
        <f>SUMIF('ADV - GA4'!A:A,A251,'ADV - GA4'!C:C)</f>
        <v>0</v>
      </c>
      <c r="L251" s="19" t="str">
        <f t="shared" si="34"/>
        <v/>
      </c>
      <c r="M251" s="20">
        <f t="shared" si="59"/>
        <v>0</v>
      </c>
      <c r="N251" s="14">
        <f t="shared" si="60"/>
        <v>0</v>
      </c>
      <c r="O251" s="15" t="str">
        <f>IFERROR(Planejador!$I$175,"")</f>
        <v/>
      </c>
      <c r="P251" s="14" t="str">
        <f>Planejador!$I$166</f>
        <v/>
      </c>
      <c r="Q251" s="16" t="str">
        <f>Planejador!$I$168</f>
        <v/>
      </c>
      <c r="R251" s="14" t="str">
        <f>IFERROR(Planejador!$I$172,"")</f>
        <v/>
      </c>
      <c r="S251" s="18">
        <f t="shared" si="61"/>
        <v>0</v>
      </c>
      <c r="T251" s="14" t="str">
        <f>Planejador!$I$167</f>
        <v/>
      </c>
      <c r="U251" s="4"/>
      <c r="V251" s="4"/>
      <c r="W251" s="4"/>
      <c r="X251" s="4"/>
      <c r="Y251" s="4"/>
      <c r="Z251" s="4"/>
      <c r="AA251" s="4"/>
      <c r="AB251" s="4"/>
    </row>
    <row r="252" ht="18.75" hidden="1" customHeight="1" outlineLevel="1">
      <c r="A252" s="12">
        <v>46264.0</v>
      </c>
      <c r="B252" s="13" t="str">
        <f t="shared" si="56"/>
        <v>domingo</v>
      </c>
      <c r="C252" s="13"/>
      <c r="D252" s="14">
        <f>SUMIF('ADV - GG'!A:A,A252,'ADV - GG'!C:C)+SUMIF('ADV - FB'!A:A,$A252,'ADV - FB'!E:E)</f>
        <v>0</v>
      </c>
      <c r="E252" s="19"/>
      <c r="F252" s="15" t="str">
        <f t="shared" si="32"/>
        <v/>
      </c>
      <c r="G252" s="14" t="str">
        <f t="shared" si="33"/>
        <v/>
      </c>
      <c r="H252" s="16" t="str">
        <f t="shared" si="57"/>
        <v/>
      </c>
      <c r="I252" s="14" t="str">
        <f t="shared" si="58"/>
        <v/>
      </c>
      <c r="J252" s="17"/>
      <c r="K252" s="22">
        <f>SUMIF('ADV - GA4'!A:A,A252,'ADV - GA4'!C:C)</f>
        <v>0</v>
      </c>
      <c r="L252" s="19" t="str">
        <f t="shared" si="34"/>
        <v/>
      </c>
      <c r="M252" s="20">
        <f t="shared" si="59"/>
        <v>0</v>
      </c>
      <c r="N252" s="14">
        <f t="shared" si="60"/>
        <v>0</v>
      </c>
      <c r="O252" s="15" t="str">
        <f>IFERROR(Planejador!$I$175,"")</f>
        <v/>
      </c>
      <c r="P252" s="14" t="str">
        <f>Planejador!$I$166</f>
        <v/>
      </c>
      <c r="Q252" s="16" t="str">
        <f>Planejador!$I$168</f>
        <v/>
      </c>
      <c r="R252" s="14" t="str">
        <f>IFERROR(Planejador!$I$172,"")</f>
        <v/>
      </c>
      <c r="S252" s="18">
        <f t="shared" si="61"/>
        <v>0</v>
      </c>
      <c r="T252" s="14" t="str">
        <f>Planejador!$I$167</f>
        <v/>
      </c>
      <c r="U252" s="4"/>
      <c r="V252" s="4"/>
      <c r="W252" s="4"/>
      <c r="X252" s="4"/>
      <c r="Y252" s="4"/>
      <c r="Z252" s="4"/>
      <c r="AA252" s="4"/>
      <c r="AB252" s="4"/>
    </row>
    <row r="253" ht="18.75" hidden="1" customHeight="1" outlineLevel="1">
      <c r="A253" s="12">
        <v>46265.0</v>
      </c>
      <c r="B253" s="13" t="str">
        <f t="shared" si="56"/>
        <v>segunda-feira</v>
      </c>
      <c r="C253" s="13"/>
      <c r="D253" s="14">
        <f>SUMIF('ADV - GG'!A:A,A253,'ADV - GG'!C:C)+SUMIF('ADV - FB'!A:A,$A253,'ADV - FB'!E:E)</f>
        <v>0</v>
      </c>
      <c r="E253" s="19"/>
      <c r="F253" s="15" t="str">
        <f t="shared" si="32"/>
        <v/>
      </c>
      <c r="G253" s="14" t="str">
        <f t="shared" si="33"/>
        <v/>
      </c>
      <c r="H253" s="16" t="str">
        <f t="shared" si="57"/>
        <v/>
      </c>
      <c r="I253" s="14" t="str">
        <f t="shared" si="58"/>
        <v/>
      </c>
      <c r="J253" s="17"/>
      <c r="K253" s="22">
        <f>SUMIF('ADV - GA4'!A:A,A253,'ADV - GA4'!C:C)</f>
        <v>0</v>
      </c>
      <c r="L253" s="19" t="str">
        <f t="shared" si="34"/>
        <v/>
      </c>
      <c r="M253" s="20">
        <f t="shared" si="59"/>
        <v>0</v>
      </c>
      <c r="N253" s="14">
        <f t="shared" si="60"/>
        <v>0</v>
      </c>
      <c r="O253" s="15" t="str">
        <f>IFERROR(Planejador!$I$175,"")</f>
        <v/>
      </c>
      <c r="P253" s="14" t="str">
        <f>Planejador!$I$166</f>
        <v/>
      </c>
      <c r="Q253" s="16" t="str">
        <f>Planejador!$I$168</f>
        <v/>
      </c>
      <c r="R253" s="14" t="str">
        <f>IFERROR(Planejador!$I$172,"")</f>
        <v/>
      </c>
      <c r="S253" s="18">
        <f t="shared" si="61"/>
        <v>0</v>
      </c>
      <c r="T253" s="14" t="str">
        <f>Planejador!$I$167</f>
        <v/>
      </c>
      <c r="U253" s="4"/>
      <c r="V253" s="4"/>
      <c r="W253" s="4"/>
      <c r="X253" s="4"/>
      <c r="Y253" s="4"/>
      <c r="Z253" s="4"/>
      <c r="AA253" s="4"/>
      <c r="AB253" s="4"/>
    </row>
    <row r="254" ht="18.75" customHeight="1" collapsed="1">
      <c r="A254" s="25" t="s">
        <v>29</v>
      </c>
      <c r="B254" s="26">
        <v>30.0</v>
      </c>
      <c r="C254" s="27"/>
      <c r="D254" s="28">
        <f t="shared" ref="D254:E254" si="62">IFERROR(SUM(D255:D284),"")</f>
        <v>0</v>
      </c>
      <c r="E254" s="28">
        <f t="shared" si="62"/>
        <v>0</v>
      </c>
      <c r="F254" s="29" t="str">
        <f t="shared" si="32"/>
        <v/>
      </c>
      <c r="G254" s="30" t="str">
        <f t="shared" si="33"/>
        <v/>
      </c>
      <c r="H254" s="31" t="str">
        <f>IFERROR(J254/K254,"")</f>
        <v/>
      </c>
      <c r="I254" s="30" t="str">
        <f>IFERROR(D254/J254,"")</f>
        <v/>
      </c>
      <c r="J254" s="32">
        <f t="shared" ref="J254:K254" si="63">IFERROR(SUM(J255:J284),"")</f>
        <v>0</v>
      </c>
      <c r="K254" s="32">
        <f t="shared" si="63"/>
        <v>0</v>
      </c>
      <c r="L254" s="30" t="str">
        <f t="shared" si="34"/>
        <v/>
      </c>
      <c r="M254" s="28" t="str">
        <f>Planejador!$I$188</f>
        <v/>
      </c>
      <c r="N254" s="28" t="str">
        <f>IFERROR(Planejador!$I$197,"")</f>
        <v/>
      </c>
      <c r="O254" s="33" t="str">
        <f>IFERROR(Planejador!$I$198,"")</f>
        <v/>
      </c>
      <c r="P254" s="34" t="str">
        <f>Planejador!$I$189</f>
        <v/>
      </c>
      <c r="Q254" s="35" t="str">
        <f>Planejador!$I$191</f>
        <v/>
      </c>
      <c r="R254" s="34" t="str">
        <f>IFERROR(Planejador!$I$195,"")</f>
        <v/>
      </c>
      <c r="S254" s="32" t="str">
        <f>IFERROR(Planejador!$I$194,"")</f>
        <v/>
      </c>
      <c r="T254" s="34" t="str">
        <f>IFERROR(Planejador!$I$190,"")</f>
        <v/>
      </c>
      <c r="U254" s="4"/>
      <c r="V254" s="4"/>
      <c r="W254" s="4"/>
      <c r="X254" s="4"/>
      <c r="Y254" s="4"/>
      <c r="Z254" s="4"/>
      <c r="AA254" s="4"/>
      <c r="AB254" s="4"/>
    </row>
    <row r="255" ht="18.75" hidden="1" customHeight="1" outlineLevel="1">
      <c r="A255" s="12">
        <v>46266.0</v>
      </c>
      <c r="B255" s="13" t="str">
        <f t="shared" ref="B255:B284" si="64">TEXT(A255,"dddd")</f>
        <v>terça-feira</v>
      </c>
      <c r="C255" s="13"/>
      <c r="D255" s="14">
        <f>SUMIF('ADV - GG'!A:A,A255,'ADV - GG'!C:C)+SUMIF('ADV - FB'!A:A,$A255,'ADV - FB'!E:E)</f>
        <v>0</v>
      </c>
      <c r="E255" s="19"/>
      <c r="F255" s="15" t="str">
        <f t="shared" si="32"/>
        <v/>
      </c>
      <c r="G255" s="14" t="str">
        <f t="shared" si="33"/>
        <v/>
      </c>
      <c r="H255" s="16" t="str">
        <f t="shared" ref="H255:H284" si="65">iferror(J255/K255,"")</f>
        <v/>
      </c>
      <c r="I255" s="14" t="str">
        <f t="shared" ref="I255:I284" si="66">iferror(D255/J255,"")</f>
        <v/>
      </c>
      <c r="J255" s="17"/>
      <c r="K255" s="22">
        <f>SUMIF('ADV - GA4'!A:A,A255,'ADV - GA4'!C:C)</f>
        <v>0</v>
      </c>
      <c r="L255" s="19" t="str">
        <f t="shared" si="34"/>
        <v/>
      </c>
      <c r="M255" s="20">
        <f t="shared" ref="M255:M284" si="67">$M$254/$B$254</f>
        <v>0</v>
      </c>
      <c r="N255" s="14">
        <f t="shared" ref="N255:N284" si="68">$N$254/$B$254</f>
        <v>0</v>
      </c>
      <c r="O255" s="15" t="str">
        <f>IFERROR(Planejador!$I$198,"")</f>
        <v/>
      </c>
      <c r="P255" s="14" t="str">
        <f>Planejador!$I$189</f>
        <v/>
      </c>
      <c r="Q255" s="16" t="str">
        <f>Planejador!$I$191</f>
        <v/>
      </c>
      <c r="R255" s="14" t="str">
        <f>IFERROR(Planejador!$I$195,"")</f>
        <v/>
      </c>
      <c r="S255" s="18">
        <f t="shared" ref="S255:S284" si="69">$S$254/$B$254</f>
        <v>0</v>
      </c>
      <c r="T255" s="14" t="str">
        <f>Planejador!$I$190</f>
        <v/>
      </c>
      <c r="U255" s="4"/>
      <c r="V255" s="4"/>
      <c r="W255" s="4"/>
      <c r="X255" s="4"/>
      <c r="Y255" s="4"/>
      <c r="Z255" s="4"/>
      <c r="AA255" s="4"/>
      <c r="AB255" s="4"/>
    </row>
    <row r="256" ht="18.75" hidden="1" customHeight="1" outlineLevel="1">
      <c r="A256" s="12">
        <v>46267.0</v>
      </c>
      <c r="B256" s="13" t="str">
        <f t="shared" si="64"/>
        <v>quarta-feira</v>
      </c>
      <c r="C256" s="13"/>
      <c r="D256" s="14">
        <f>SUMIF('ADV - GG'!A:A,A256,'ADV - GG'!C:C)+SUMIF('ADV - FB'!A:A,$A256,'ADV - FB'!E:E)</f>
        <v>0</v>
      </c>
      <c r="E256" s="19"/>
      <c r="F256" s="15" t="str">
        <f t="shared" si="32"/>
        <v/>
      </c>
      <c r="G256" s="14" t="str">
        <f t="shared" si="33"/>
        <v/>
      </c>
      <c r="H256" s="16" t="str">
        <f t="shared" si="65"/>
        <v/>
      </c>
      <c r="I256" s="14" t="str">
        <f t="shared" si="66"/>
        <v/>
      </c>
      <c r="J256" s="17"/>
      <c r="K256" s="22">
        <f>SUMIF('ADV - GA4'!A:A,A256,'ADV - GA4'!C:C)</f>
        <v>0</v>
      </c>
      <c r="L256" s="19" t="str">
        <f t="shared" si="34"/>
        <v/>
      </c>
      <c r="M256" s="20">
        <f t="shared" si="67"/>
        <v>0</v>
      </c>
      <c r="N256" s="14">
        <f t="shared" si="68"/>
        <v>0</v>
      </c>
      <c r="O256" s="15" t="str">
        <f>IFERROR(Planejador!$I$198,"")</f>
        <v/>
      </c>
      <c r="P256" s="14" t="str">
        <f>Planejador!$I$189</f>
        <v/>
      </c>
      <c r="Q256" s="16" t="str">
        <f>Planejador!$I$191</f>
        <v/>
      </c>
      <c r="R256" s="14" t="str">
        <f>IFERROR(Planejador!$I$195,"")</f>
        <v/>
      </c>
      <c r="S256" s="18">
        <f t="shared" si="69"/>
        <v>0</v>
      </c>
      <c r="T256" s="14" t="str">
        <f>Planejador!$I$190</f>
        <v/>
      </c>
      <c r="U256" s="4"/>
      <c r="V256" s="4"/>
      <c r="W256" s="4"/>
      <c r="X256" s="4"/>
      <c r="Y256" s="4"/>
      <c r="Z256" s="4"/>
      <c r="AA256" s="4"/>
      <c r="AB256" s="4"/>
    </row>
    <row r="257" ht="18.75" hidden="1" customHeight="1" outlineLevel="1">
      <c r="A257" s="12">
        <v>46268.0</v>
      </c>
      <c r="B257" s="13" t="str">
        <f t="shared" si="64"/>
        <v>quinta-feira</v>
      </c>
      <c r="C257" s="13"/>
      <c r="D257" s="14">
        <f>SUMIF('ADV - GG'!A:A,A257,'ADV - GG'!C:C)+SUMIF('ADV - FB'!A:A,$A257,'ADV - FB'!E:E)</f>
        <v>0</v>
      </c>
      <c r="E257" s="19"/>
      <c r="F257" s="15" t="str">
        <f t="shared" si="32"/>
        <v/>
      </c>
      <c r="G257" s="14" t="str">
        <f t="shared" si="33"/>
        <v/>
      </c>
      <c r="H257" s="16" t="str">
        <f t="shared" si="65"/>
        <v/>
      </c>
      <c r="I257" s="14" t="str">
        <f t="shared" si="66"/>
        <v/>
      </c>
      <c r="J257" s="17"/>
      <c r="K257" s="22">
        <f>SUMIF('ADV - GA4'!A:A,A257,'ADV - GA4'!C:C)</f>
        <v>0</v>
      </c>
      <c r="L257" s="19" t="str">
        <f t="shared" si="34"/>
        <v/>
      </c>
      <c r="M257" s="20">
        <f t="shared" si="67"/>
        <v>0</v>
      </c>
      <c r="N257" s="14">
        <f t="shared" si="68"/>
        <v>0</v>
      </c>
      <c r="O257" s="15" t="str">
        <f>IFERROR(Planejador!$I$198,"")</f>
        <v/>
      </c>
      <c r="P257" s="14" t="str">
        <f>Planejador!$I$189</f>
        <v/>
      </c>
      <c r="Q257" s="16" t="str">
        <f>Planejador!$I$191</f>
        <v/>
      </c>
      <c r="R257" s="14" t="str">
        <f>IFERROR(Planejador!$I$195,"")</f>
        <v/>
      </c>
      <c r="S257" s="18">
        <f t="shared" si="69"/>
        <v>0</v>
      </c>
      <c r="T257" s="14" t="str">
        <f>Planejador!$I$190</f>
        <v/>
      </c>
      <c r="U257" s="4"/>
      <c r="V257" s="4"/>
      <c r="W257" s="4"/>
      <c r="X257" s="4"/>
      <c r="Y257" s="4"/>
      <c r="Z257" s="4"/>
      <c r="AA257" s="4"/>
      <c r="AB257" s="4"/>
    </row>
    <row r="258" ht="18.75" hidden="1" customHeight="1" outlineLevel="1">
      <c r="A258" s="12">
        <v>46269.0</v>
      </c>
      <c r="B258" s="13" t="str">
        <f t="shared" si="64"/>
        <v>sexta-feira</v>
      </c>
      <c r="C258" s="13"/>
      <c r="D258" s="14">
        <f>SUMIF('ADV - GG'!A:A,A258,'ADV - GG'!C:C)+SUMIF('ADV - FB'!A:A,$A258,'ADV - FB'!E:E)</f>
        <v>0</v>
      </c>
      <c r="E258" s="19"/>
      <c r="F258" s="15" t="str">
        <f t="shared" si="32"/>
        <v/>
      </c>
      <c r="G258" s="14" t="str">
        <f t="shared" si="33"/>
        <v/>
      </c>
      <c r="H258" s="16" t="str">
        <f t="shared" si="65"/>
        <v/>
      </c>
      <c r="I258" s="14" t="str">
        <f t="shared" si="66"/>
        <v/>
      </c>
      <c r="J258" s="17"/>
      <c r="K258" s="22">
        <f>SUMIF('ADV - GA4'!A:A,A258,'ADV - GA4'!C:C)</f>
        <v>0</v>
      </c>
      <c r="L258" s="19" t="str">
        <f t="shared" si="34"/>
        <v/>
      </c>
      <c r="M258" s="20">
        <f t="shared" si="67"/>
        <v>0</v>
      </c>
      <c r="N258" s="14">
        <f t="shared" si="68"/>
        <v>0</v>
      </c>
      <c r="O258" s="15" t="str">
        <f>IFERROR(Planejador!$I$198,"")</f>
        <v/>
      </c>
      <c r="P258" s="14" t="str">
        <f>Planejador!$I$189</f>
        <v/>
      </c>
      <c r="Q258" s="16" t="str">
        <f>Planejador!$I$191</f>
        <v/>
      </c>
      <c r="R258" s="14" t="str">
        <f>IFERROR(Planejador!$I$195,"")</f>
        <v/>
      </c>
      <c r="S258" s="18">
        <f t="shared" si="69"/>
        <v>0</v>
      </c>
      <c r="T258" s="14" t="str">
        <f>Planejador!$I$190</f>
        <v/>
      </c>
      <c r="U258" s="4"/>
      <c r="V258" s="4"/>
      <c r="W258" s="4"/>
      <c r="X258" s="4"/>
      <c r="Y258" s="4"/>
      <c r="Z258" s="4"/>
      <c r="AA258" s="4"/>
      <c r="AB258" s="4"/>
    </row>
    <row r="259" ht="18.75" hidden="1" customHeight="1" outlineLevel="1">
      <c r="A259" s="12">
        <v>46270.0</v>
      </c>
      <c r="B259" s="13" t="str">
        <f t="shared" si="64"/>
        <v>sábado</v>
      </c>
      <c r="C259" s="13"/>
      <c r="D259" s="14">
        <f>SUMIF('ADV - GG'!A:A,A259,'ADV - GG'!C:C)+SUMIF('ADV - FB'!A:A,$A259,'ADV - FB'!E:E)</f>
        <v>0</v>
      </c>
      <c r="E259" s="19"/>
      <c r="F259" s="15" t="str">
        <f t="shared" si="32"/>
        <v/>
      </c>
      <c r="G259" s="14" t="str">
        <f t="shared" si="33"/>
        <v/>
      </c>
      <c r="H259" s="16" t="str">
        <f t="shared" si="65"/>
        <v/>
      </c>
      <c r="I259" s="14" t="str">
        <f t="shared" si="66"/>
        <v/>
      </c>
      <c r="J259" s="17"/>
      <c r="K259" s="22">
        <f>SUMIF('ADV - GA4'!A:A,A259,'ADV - GA4'!C:C)</f>
        <v>0</v>
      </c>
      <c r="L259" s="19" t="str">
        <f t="shared" si="34"/>
        <v/>
      </c>
      <c r="M259" s="20">
        <f t="shared" si="67"/>
        <v>0</v>
      </c>
      <c r="N259" s="14">
        <f t="shared" si="68"/>
        <v>0</v>
      </c>
      <c r="O259" s="15" t="str">
        <f>IFERROR(Planejador!$I$198,"")</f>
        <v/>
      </c>
      <c r="P259" s="14" t="str">
        <f>Planejador!$I$189</f>
        <v/>
      </c>
      <c r="Q259" s="16" t="str">
        <f>Planejador!$I$191</f>
        <v/>
      </c>
      <c r="R259" s="14" t="str">
        <f>IFERROR(Planejador!$I$195,"")</f>
        <v/>
      </c>
      <c r="S259" s="18">
        <f t="shared" si="69"/>
        <v>0</v>
      </c>
      <c r="T259" s="14" t="str">
        <f>Planejador!$I$190</f>
        <v/>
      </c>
      <c r="U259" s="4"/>
      <c r="V259" s="4"/>
      <c r="W259" s="4"/>
      <c r="X259" s="4"/>
      <c r="Y259" s="4"/>
      <c r="Z259" s="4"/>
      <c r="AA259" s="4"/>
      <c r="AB259" s="4"/>
    </row>
    <row r="260" ht="18.75" hidden="1" customHeight="1" outlineLevel="1">
      <c r="A260" s="12">
        <v>46271.0</v>
      </c>
      <c r="B260" s="13" t="str">
        <f t="shared" si="64"/>
        <v>domingo</v>
      </c>
      <c r="C260" s="13"/>
      <c r="D260" s="14">
        <f>SUMIF('ADV - GG'!A:A,A260,'ADV - GG'!C:C)+SUMIF('ADV - FB'!A:A,$A260,'ADV - FB'!E:E)</f>
        <v>0</v>
      </c>
      <c r="E260" s="19"/>
      <c r="F260" s="15" t="str">
        <f t="shared" si="32"/>
        <v/>
      </c>
      <c r="G260" s="14" t="str">
        <f t="shared" si="33"/>
        <v/>
      </c>
      <c r="H260" s="16" t="str">
        <f t="shared" si="65"/>
        <v/>
      </c>
      <c r="I260" s="14" t="str">
        <f t="shared" si="66"/>
        <v/>
      </c>
      <c r="J260" s="17"/>
      <c r="K260" s="22">
        <f>SUMIF('ADV - GA4'!A:A,A260,'ADV - GA4'!C:C)</f>
        <v>0</v>
      </c>
      <c r="L260" s="19" t="str">
        <f t="shared" si="34"/>
        <v/>
      </c>
      <c r="M260" s="20">
        <f t="shared" si="67"/>
        <v>0</v>
      </c>
      <c r="N260" s="14">
        <f t="shared" si="68"/>
        <v>0</v>
      </c>
      <c r="O260" s="15" t="str">
        <f>IFERROR(Planejador!$I$198,"")</f>
        <v/>
      </c>
      <c r="P260" s="14" t="str">
        <f>Planejador!$I$189</f>
        <v/>
      </c>
      <c r="Q260" s="16" t="str">
        <f>Planejador!$I$191</f>
        <v/>
      </c>
      <c r="R260" s="14" t="str">
        <f>IFERROR(Planejador!$I$195,"")</f>
        <v/>
      </c>
      <c r="S260" s="18">
        <f t="shared" si="69"/>
        <v>0</v>
      </c>
      <c r="T260" s="14" t="str">
        <f>Planejador!$I$190</f>
        <v/>
      </c>
      <c r="U260" s="4"/>
      <c r="V260" s="4"/>
      <c r="W260" s="4"/>
      <c r="X260" s="4"/>
      <c r="Y260" s="4"/>
      <c r="Z260" s="4"/>
      <c r="AA260" s="4"/>
      <c r="AB260" s="4"/>
    </row>
    <row r="261" ht="18.75" hidden="1" customHeight="1" outlineLevel="1">
      <c r="A261" s="12">
        <v>46272.0</v>
      </c>
      <c r="B261" s="13" t="str">
        <f t="shared" si="64"/>
        <v>segunda-feira</v>
      </c>
      <c r="C261" s="13"/>
      <c r="D261" s="14">
        <f>SUMIF('ADV - GG'!A:A,A261,'ADV - GG'!C:C)+SUMIF('ADV - FB'!A:A,$A261,'ADV - FB'!E:E)</f>
        <v>0</v>
      </c>
      <c r="E261" s="19"/>
      <c r="F261" s="15" t="str">
        <f t="shared" si="32"/>
        <v/>
      </c>
      <c r="G261" s="14" t="str">
        <f t="shared" si="33"/>
        <v/>
      </c>
      <c r="H261" s="16" t="str">
        <f t="shared" si="65"/>
        <v/>
      </c>
      <c r="I261" s="14" t="str">
        <f t="shared" si="66"/>
        <v/>
      </c>
      <c r="J261" s="17"/>
      <c r="K261" s="22">
        <f>SUMIF('ADV - GA4'!A:A,A261,'ADV - GA4'!C:C)</f>
        <v>0</v>
      </c>
      <c r="L261" s="19" t="str">
        <f t="shared" si="34"/>
        <v/>
      </c>
      <c r="M261" s="20">
        <f t="shared" si="67"/>
        <v>0</v>
      </c>
      <c r="N261" s="14">
        <f t="shared" si="68"/>
        <v>0</v>
      </c>
      <c r="O261" s="15" t="str">
        <f>IFERROR(Planejador!$I$198,"")</f>
        <v/>
      </c>
      <c r="P261" s="14" t="str">
        <f>Planejador!$I$189</f>
        <v/>
      </c>
      <c r="Q261" s="16" t="str">
        <f>Planejador!$I$191</f>
        <v/>
      </c>
      <c r="R261" s="14" t="str">
        <f>IFERROR(Planejador!$I$195,"")</f>
        <v/>
      </c>
      <c r="S261" s="18">
        <f t="shared" si="69"/>
        <v>0</v>
      </c>
      <c r="T261" s="14" t="str">
        <f>Planejador!$I$190</f>
        <v/>
      </c>
      <c r="U261" s="4"/>
      <c r="V261" s="4"/>
      <c r="W261" s="4"/>
      <c r="X261" s="4"/>
      <c r="Y261" s="4"/>
      <c r="Z261" s="4"/>
      <c r="AA261" s="4"/>
      <c r="AB261" s="4"/>
    </row>
    <row r="262" ht="18.75" hidden="1" customHeight="1" outlineLevel="1">
      <c r="A262" s="12">
        <v>46273.0</v>
      </c>
      <c r="B262" s="13" t="str">
        <f t="shared" si="64"/>
        <v>terça-feira</v>
      </c>
      <c r="C262" s="13"/>
      <c r="D262" s="14">
        <f>SUMIF('ADV - GG'!A:A,A262,'ADV - GG'!C:C)+SUMIF('ADV - FB'!A:A,$A262,'ADV - FB'!E:E)</f>
        <v>0</v>
      </c>
      <c r="E262" s="19"/>
      <c r="F262" s="15" t="str">
        <f t="shared" si="32"/>
        <v/>
      </c>
      <c r="G262" s="14" t="str">
        <f t="shared" si="33"/>
        <v/>
      </c>
      <c r="H262" s="16" t="str">
        <f t="shared" si="65"/>
        <v/>
      </c>
      <c r="I262" s="14" t="str">
        <f t="shared" si="66"/>
        <v/>
      </c>
      <c r="J262" s="17"/>
      <c r="K262" s="22">
        <f>SUMIF('ADV - GA4'!A:A,A262,'ADV - GA4'!C:C)</f>
        <v>0</v>
      </c>
      <c r="L262" s="19" t="str">
        <f t="shared" si="34"/>
        <v/>
      </c>
      <c r="M262" s="20">
        <f t="shared" si="67"/>
        <v>0</v>
      </c>
      <c r="N262" s="14">
        <f t="shared" si="68"/>
        <v>0</v>
      </c>
      <c r="O262" s="15" t="str">
        <f>IFERROR(Planejador!$I$198,"")</f>
        <v/>
      </c>
      <c r="P262" s="14" t="str">
        <f>Planejador!$I$189</f>
        <v/>
      </c>
      <c r="Q262" s="16" t="str">
        <f>Planejador!$I$191</f>
        <v/>
      </c>
      <c r="R262" s="14" t="str">
        <f>IFERROR(Planejador!$I$195,"")</f>
        <v/>
      </c>
      <c r="S262" s="18">
        <f t="shared" si="69"/>
        <v>0</v>
      </c>
      <c r="T262" s="14" t="str">
        <f>Planejador!$I$190</f>
        <v/>
      </c>
      <c r="U262" s="4"/>
      <c r="V262" s="4"/>
      <c r="W262" s="4"/>
      <c r="X262" s="4"/>
      <c r="Y262" s="4"/>
      <c r="Z262" s="4"/>
      <c r="AA262" s="4"/>
      <c r="AB262" s="4"/>
    </row>
    <row r="263" ht="18.75" hidden="1" customHeight="1" outlineLevel="1">
      <c r="A263" s="12">
        <v>46274.0</v>
      </c>
      <c r="B263" s="13" t="str">
        <f t="shared" si="64"/>
        <v>quarta-feira</v>
      </c>
      <c r="C263" s="13"/>
      <c r="D263" s="14">
        <f>SUMIF('ADV - GG'!A:A,A263,'ADV - GG'!C:C)+SUMIF('ADV - FB'!A:A,$A263,'ADV - FB'!E:E)</f>
        <v>0</v>
      </c>
      <c r="E263" s="19"/>
      <c r="F263" s="15" t="str">
        <f t="shared" si="32"/>
        <v/>
      </c>
      <c r="G263" s="14" t="str">
        <f t="shared" si="33"/>
        <v/>
      </c>
      <c r="H263" s="16" t="str">
        <f t="shared" si="65"/>
        <v/>
      </c>
      <c r="I263" s="14" t="str">
        <f t="shared" si="66"/>
        <v/>
      </c>
      <c r="J263" s="17"/>
      <c r="K263" s="22">
        <f>SUMIF('ADV - GA4'!A:A,A263,'ADV - GA4'!C:C)</f>
        <v>0</v>
      </c>
      <c r="L263" s="19" t="str">
        <f t="shared" si="34"/>
        <v/>
      </c>
      <c r="M263" s="20">
        <f t="shared" si="67"/>
        <v>0</v>
      </c>
      <c r="N263" s="14">
        <f t="shared" si="68"/>
        <v>0</v>
      </c>
      <c r="O263" s="15" t="str">
        <f>IFERROR(Planejador!$I$198,"")</f>
        <v/>
      </c>
      <c r="P263" s="14" t="str">
        <f>Planejador!$I$189</f>
        <v/>
      </c>
      <c r="Q263" s="16" t="str">
        <f>Planejador!$I$191</f>
        <v/>
      </c>
      <c r="R263" s="14" t="str">
        <f>IFERROR(Planejador!$I$195,"")</f>
        <v/>
      </c>
      <c r="S263" s="18">
        <f t="shared" si="69"/>
        <v>0</v>
      </c>
      <c r="T263" s="14" t="str">
        <f>Planejador!$I$190</f>
        <v/>
      </c>
      <c r="U263" s="4"/>
      <c r="V263" s="4"/>
      <c r="W263" s="4"/>
      <c r="X263" s="4"/>
      <c r="Y263" s="4"/>
      <c r="Z263" s="4"/>
      <c r="AA263" s="4"/>
      <c r="AB263" s="4"/>
    </row>
    <row r="264" ht="18.75" hidden="1" customHeight="1" outlineLevel="1">
      <c r="A264" s="12">
        <v>46275.0</v>
      </c>
      <c r="B264" s="13" t="str">
        <f t="shared" si="64"/>
        <v>quinta-feira</v>
      </c>
      <c r="C264" s="13"/>
      <c r="D264" s="14">
        <f>SUMIF('ADV - GG'!A:A,A264,'ADV - GG'!C:C)+SUMIF('ADV - FB'!A:A,$A264,'ADV - FB'!E:E)</f>
        <v>0</v>
      </c>
      <c r="E264" s="19"/>
      <c r="F264" s="15" t="str">
        <f t="shared" si="32"/>
        <v/>
      </c>
      <c r="G264" s="14" t="str">
        <f t="shared" si="33"/>
        <v/>
      </c>
      <c r="H264" s="16" t="str">
        <f t="shared" si="65"/>
        <v/>
      </c>
      <c r="I264" s="14" t="str">
        <f t="shared" si="66"/>
        <v/>
      </c>
      <c r="J264" s="17"/>
      <c r="K264" s="22">
        <f>SUMIF('ADV - GA4'!A:A,A264,'ADV - GA4'!C:C)</f>
        <v>0</v>
      </c>
      <c r="L264" s="19" t="str">
        <f t="shared" si="34"/>
        <v/>
      </c>
      <c r="M264" s="20">
        <f t="shared" si="67"/>
        <v>0</v>
      </c>
      <c r="N264" s="14">
        <f t="shared" si="68"/>
        <v>0</v>
      </c>
      <c r="O264" s="15" t="str">
        <f>IFERROR(Planejador!$I$198,"")</f>
        <v/>
      </c>
      <c r="P264" s="14" t="str">
        <f>Planejador!$I$189</f>
        <v/>
      </c>
      <c r="Q264" s="16" t="str">
        <f>Planejador!$I$191</f>
        <v/>
      </c>
      <c r="R264" s="14" t="str">
        <f>IFERROR(Planejador!$I$195,"")</f>
        <v/>
      </c>
      <c r="S264" s="18">
        <f t="shared" si="69"/>
        <v>0</v>
      </c>
      <c r="T264" s="14" t="str">
        <f>Planejador!$I$190</f>
        <v/>
      </c>
      <c r="U264" s="4"/>
      <c r="V264" s="4"/>
      <c r="W264" s="4"/>
      <c r="X264" s="4"/>
      <c r="Y264" s="4"/>
      <c r="Z264" s="4"/>
      <c r="AA264" s="4"/>
      <c r="AB264" s="4"/>
    </row>
    <row r="265" ht="18.75" hidden="1" customHeight="1" outlineLevel="1">
      <c r="A265" s="12">
        <v>46276.0</v>
      </c>
      <c r="B265" s="13" t="str">
        <f t="shared" si="64"/>
        <v>sexta-feira</v>
      </c>
      <c r="C265" s="13"/>
      <c r="D265" s="14">
        <f>SUMIF('ADV - GG'!A:A,A265,'ADV - GG'!C:C)+SUMIF('ADV - FB'!A:A,$A265,'ADV - FB'!E:E)</f>
        <v>0</v>
      </c>
      <c r="E265" s="19"/>
      <c r="F265" s="15" t="str">
        <f t="shared" si="32"/>
        <v/>
      </c>
      <c r="G265" s="14" t="str">
        <f t="shared" si="33"/>
        <v/>
      </c>
      <c r="H265" s="16" t="str">
        <f t="shared" si="65"/>
        <v/>
      </c>
      <c r="I265" s="14" t="str">
        <f t="shared" si="66"/>
        <v/>
      </c>
      <c r="J265" s="17"/>
      <c r="K265" s="22">
        <f>SUMIF('ADV - GA4'!A:A,A265,'ADV - GA4'!C:C)</f>
        <v>0</v>
      </c>
      <c r="L265" s="19" t="str">
        <f t="shared" si="34"/>
        <v/>
      </c>
      <c r="M265" s="20">
        <f t="shared" si="67"/>
        <v>0</v>
      </c>
      <c r="N265" s="14">
        <f t="shared" si="68"/>
        <v>0</v>
      </c>
      <c r="O265" s="15" t="str">
        <f>IFERROR(Planejador!$I$198,"")</f>
        <v/>
      </c>
      <c r="P265" s="14" t="str">
        <f>Planejador!$I$189</f>
        <v/>
      </c>
      <c r="Q265" s="16" t="str">
        <f>Planejador!$I$191</f>
        <v/>
      </c>
      <c r="R265" s="14" t="str">
        <f>IFERROR(Planejador!$I$195,"")</f>
        <v/>
      </c>
      <c r="S265" s="18">
        <f t="shared" si="69"/>
        <v>0</v>
      </c>
      <c r="T265" s="14" t="str">
        <f>Planejador!$I$190</f>
        <v/>
      </c>
      <c r="U265" s="4"/>
      <c r="V265" s="4"/>
      <c r="W265" s="4"/>
      <c r="X265" s="4"/>
      <c r="Y265" s="4"/>
      <c r="Z265" s="4"/>
      <c r="AA265" s="4"/>
      <c r="AB265" s="4"/>
    </row>
    <row r="266" ht="18.75" hidden="1" customHeight="1" outlineLevel="1">
      <c r="A266" s="12">
        <v>46277.0</v>
      </c>
      <c r="B266" s="13" t="str">
        <f t="shared" si="64"/>
        <v>sábado</v>
      </c>
      <c r="C266" s="13"/>
      <c r="D266" s="14">
        <f>SUMIF('ADV - GG'!A:A,A266,'ADV - GG'!C:C)+SUMIF('ADV - FB'!A:A,$A266,'ADV - FB'!E:E)</f>
        <v>0</v>
      </c>
      <c r="E266" s="19"/>
      <c r="F266" s="15" t="str">
        <f t="shared" si="32"/>
        <v/>
      </c>
      <c r="G266" s="14" t="str">
        <f t="shared" si="33"/>
        <v/>
      </c>
      <c r="H266" s="16" t="str">
        <f t="shared" si="65"/>
        <v/>
      </c>
      <c r="I266" s="14" t="str">
        <f t="shared" si="66"/>
        <v/>
      </c>
      <c r="J266" s="17"/>
      <c r="K266" s="22">
        <f>SUMIF('ADV - GA4'!A:A,A266,'ADV - GA4'!C:C)</f>
        <v>0</v>
      </c>
      <c r="L266" s="19" t="str">
        <f t="shared" si="34"/>
        <v/>
      </c>
      <c r="M266" s="20">
        <f t="shared" si="67"/>
        <v>0</v>
      </c>
      <c r="N266" s="14">
        <f t="shared" si="68"/>
        <v>0</v>
      </c>
      <c r="O266" s="15" t="str">
        <f>IFERROR(Planejador!$I$198,"")</f>
        <v/>
      </c>
      <c r="P266" s="14" t="str">
        <f>Planejador!$I$189</f>
        <v/>
      </c>
      <c r="Q266" s="16" t="str">
        <f>Planejador!$I$191</f>
        <v/>
      </c>
      <c r="R266" s="14" t="str">
        <f>IFERROR(Planejador!$I$195,"")</f>
        <v/>
      </c>
      <c r="S266" s="18">
        <f t="shared" si="69"/>
        <v>0</v>
      </c>
      <c r="T266" s="14" t="str">
        <f>Planejador!$I$190</f>
        <v/>
      </c>
      <c r="U266" s="4"/>
      <c r="V266" s="4"/>
      <c r="W266" s="4"/>
      <c r="X266" s="4"/>
      <c r="Y266" s="4"/>
      <c r="Z266" s="4"/>
      <c r="AA266" s="4"/>
      <c r="AB266" s="4"/>
    </row>
    <row r="267" ht="18.75" hidden="1" customHeight="1" outlineLevel="1">
      <c r="A267" s="12">
        <v>46278.0</v>
      </c>
      <c r="B267" s="13" t="str">
        <f t="shared" si="64"/>
        <v>domingo</v>
      </c>
      <c r="C267" s="13"/>
      <c r="D267" s="14">
        <f>SUMIF('ADV - GG'!A:A,A267,'ADV - GG'!C:C)+SUMIF('ADV - FB'!A:A,$A267,'ADV - FB'!E:E)</f>
        <v>0</v>
      </c>
      <c r="E267" s="19"/>
      <c r="F267" s="15" t="str">
        <f t="shared" si="32"/>
        <v/>
      </c>
      <c r="G267" s="14" t="str">
        <f t="shared" si="33"/>
        <v/>
      </c>
      <c r="H267" s="16" t="str">
        <f t="shared" si="65"/>
        <v/>
      </c>
      <c r="I267" s="14" t="str">
        <f t="shared" si="66"/>
        <v/>
      </c>
      <c r="J267" s="17"/>
      <c r="K267" s="22">
        <f>SUMIF('ADV - GA4'!A:A,A267,'ADV - GA4'!C:C)</f>
        <v>0</v>
      </c>
      <c r="L267" s="19" t="str">
        <f t="shared" si="34"/>
        <v/>
      </c>
      <c r="M267" s="20">
        <f t="shared" si="67"/>
        <v>0</v>
      </c>
      <c r="N267" s="14">
        <f t="shared" si="68"/>
        <v>0</v>
      </c>
      <c r="O267" s="15" t="str">
        <f>IFERROR(Planejador!$I$198,"")</f>
        <v/>
      </c>
      <c r="P267" s="14" t="str">
        <f>Planejador!$I$189</f>
        <v/>
      </c>
      <c r="Q267" s="16" t="str">
        <f>Planejador!$I$191</f>
        <v/>
      </c>
      <c r="R267" s="14" t="str">
        <f>IFERROR(Planejador!$I$195,"")</f>
        <v/>
      </c>
      <c r="S267" s="18">
        <f t="shared" si="69"/>
        <v>0</v>
      </c>
      <c r="T267" s="14" t="str">
        <f>Planejador!$I$190</f>
        <v/>
      </c>
      <c r="U267" s="4"/>
      <c r="V267" s="4"/>
      <c r="W267" s="4"/>
      <c r="X267" s="4"/>
      <c r="Y267" s="4"/>
      <c r="Z267" s="4"/>
      <c r="AA267" s="4"/>
      <c r="AB267" s="4"/>
    </row>
    <row r="268" ht="18.75" hidden="1" customHeight="1" outlineLevel="1">
      <c r="A268" s="12">
        <v>46279.0</v>
      </c>
      <c r="B268" s="13" t="str">
        <f t="shared" si="64"/>
        <v>segunda-feira</v>
      </c>
      <c r="C268" s="13"/>
      <c r="D268" s="14">
        <f>SUMIF('ADV - GG'!A:A,A268,'ADV - GG'!C:C)+SUMIF('ADV - FB'!A:A,$A268,'ADV - FB'!E:E)</f>
        <v>0</v>
      </c>
      <c r="E268" s="19"/>
      <c r="F268" s="15" t="str">
        <f t="shared" si="32"/>
        <v/>
      </c>
      <c r="G268" s="14" t="str">
        <f t="shared" si="33"/>
        <v/>
      </c>
      <c r="H268" s="16" t="str">
        <f t="shared" si="65"/>
        <v/>
      </c>
      <c r="I268" s="14" t="str">
        <f t="shared" si="66"/>
        <v/>
      </c>
      <c r="J268" s="17"/>
      <c r="K268" s="22">
        <f>SUMIF('ADV - GA4'!A:A,A268,'ADV - GA4'!C:C)</f>
        <v>0</v>
      </c>
      <c r="L268" s="19" t="str">
        <f t="shared" si="34"/>
        <v/>
      </c>
      <c r="M268" s="20">
        <f t="shared" si="67"/>
        <v>0</v>
      </c>
      <c r="N268" s="14">
        <f t="shared" si="68"/>
        <v>0</v>
      </c>
      <c r="O268" s="15" t="str">
        <f>IFERROR(Planejador!$I$198,"")</f>
        <v/>
      </c>
      <c r="P268" s="14" t="str">
        <f>Planejador!$I$189</f>
        <v/>
      </c>
      <c r="Q268" s="16" t="str">
        <f>Planejador!$I$191</f>
        <v/>
      </c>
      <c r="R268" s="14" t="str">
        <f>IFERROR(Planejador!$I$195,"")</f>
        <v/>
      </c>
      <c r="S268" s="18">
        <f t="shared" si="69"/>
        <v>0</v>
      </c>
      <c r="T268" s="14" t="str">
        <f>Planejador!$I$190</f>
        <v/>
      </c>
      <c r="U268" s="4"/>
      <c r="V268" s="4"/>
      <c r="W268" s="4"/>
      <c r="X268" s="4"/>
      <c r="Y268" s="4"/>
      <c r="Z268" s="4"/>
      <c r="AA268" s="4"/>
      <c r="AB268" s="4"/>
    </row>
    <row r="269" ht="18.75" hidden="1" customHeight="1" outlineLevel="1">
      <c r="A269" s="12">
        <v>46280.0</v>
      </c>
      <c r="B269" s="13" t="str">
        <f t="shared" si="64"/>
        <v>terça-feira</v>
      </c>
      <c r="C269" s="13"/>
      <c r="D269" s="14">
        <f>SUMIF('ADV - GG'!A:A,A269,'ADV - GG'!C:C)+SUMIF('ADV - FB'!A:A,$A269,'ADV - FB'!E:E)</f>
        <v>0</v>
      </c>
      <c r="E269" s="19"/>
      <c r="F269" s="15" t="str">
        <f t="shared" si="32"/>
        <v/>
      </c>
      <c r="G269" s="14" t="str">
        <f t="shared" si="33"/>
        <v/>
      </c>
      <c r="H269" s="16" t="str">
        <f t="shared" si="65"/>
        <v/>
      </c>
      <c r="I269" s="14" t="str">
        <f t="shared" si="66"/>
        <v/>
      </c>
      <c r="J269" s="17"/>
      <c r="K269" s="22">
        <f>SUMIF('ADV - GA4'!A:A,A269,'ADV - GA4'!C:C)</f>
        <v>0</v>
      </c>
      <c r="L269" s="19" t="str">
        <f t="shared" si="34"/>
        <v/>
      </c>
      <c r="M269" s="20">
        <f t="shared" si="67"/>
        <v>0</v>
      </c>
      <c r="N269" s="14">
        <f t="shared" si="68"/>
        <v>0</v>
      </c>
      <c r="O269" s="15" t="str">
        <f>IFERROR(Planejador!$I$198,"")</f>
        <v/>
      </c>
      <c r="P269" s="14" t="str">
        <f>Planejador!$I$189</f>
        <v/>
      </c>
      <c r="Q269" s="16" t="str">
        <f>Planejador!$I$191</f>
        <v/>
      </c>
      <c r="R269" s="14" t="str">
        <f>IFERROR(Planejador!$I$195,"")</f>
        <v/>
      </c>
      <c r="S269" s="18">
        <f t="shared" si="69"/>
        <v>0</v>
      </c>
      <c r="T269" s="14" t="str">
        <f>Planejador!$I$190</f>
        <v/>
      </c>
      <c r="U269" s="4"/>
      <c r="V269" s="4"/>
      <c r="W269" s="4"/>
      <c r="X269" s="4"/>
      <c r="Y269" s="4"/>
      <c r="Z269" s="4"/>
      <c r="AA269" s="4"/>
      <c r="AB269" s="4"/>
    </row>
    <row r="270" ht="18.75" hidden="1" customHeight="1" outlineLevel="1">
      <c r="A270" s="12">
        <v>46281.0</v>
      </c>
      <c r="B270" s="13" t="str">
        <f t="shared" si="64"/>
        <v>quarta-feira</v>
      </c>
      <c r="C270" s="13"/>
      <c r="D270" s="14">
        <f>SUMIF('ADV - GG'!A:A,A270,'ADV - GG'!C:C)+SUMIF('ADV - FB'!A:A,$A270,'ADV - FB'!E:E)</f>
        <v>0</v>
      </c>
      <c r="E270" s="19"/>
      <c r="F270" s="15" t="str">
        <f t="shared" si="32"/>
        <v/>
      </c>
      <c r="G270" s="14" t="str">
        <f t="shared" si="33"/>
        <v/>
      </c>
      <c r="H270" s="16" t="str">
        <f t="shared" si="65"/>
        <v/>
      </c>
      <c r="I270" s="14" t="str">
        <f t="shared" si="66"/>
        <v/>
      </c>
      <c r="J270" s="17"/>
      <c r="K270" s="22">
        <f>SUMIF('ADV - GA4'!A:A,A270,'ADV - GA4'!C:C)</f>
        <v>0</v>
      </c>
      <c r="L270" s="19" t="str">
        <f t="shared" si="34"/>
        <v/>
      </c>
      <c r="M270" s="20">
        <f t="shared" si="67"/>
        <v>0</v>
      </c>
      <c r="N270" s="14">
        <f t="shared" si="68"/>
        <v>0</v>
      </c>
      <c r="O270" s="15" t="str">
        <f>IFERROR(Planejador!$I$198,"")</f>
        <v/>
      </c>
      <c r="P270" s="14" t="str">
        <f>Planejador!$I$189</f>
        <v/>
      </c>
      <c r="Q270" s="16" t="str">
        <f>Planejador!$I$191</f>
        <v/>
      </c>
      <c r="R270" s="14" t="str">
        <f>IFERROR(Planejador!$I$195,"")</f>
        <v/>
      </c>
      <c r="S270" s="18">
        <f t="shared" si="69"/>
        <v>0</v>
      </c>
      <c r="T270" s="14" t="str">
        <f>Planejador!$I$190</f>
        <v/>
      </c>
      <c r="U270" s="4"/>
      <c r="V270" s="4"/>
      <c r="W270" s="4"/>
      <c r="X270" s="4"/>
      <c r="Y270" s="4"/>
      <c r="Z270" s="4"/>
      <c r="AA270" s="4"/>
      <c r="AB270" s="4"/>
    </row>
    <row r="271" ht="18.75" hidden="1" customHeight="1" outlineLevel="1">
      <c r="A271" s="12">
        <v>46282.0</v>
      </c>
      <c r="B271" s="13" t="str">
        <f t="shared" si="64"/>
        <v>quinta-feira</v>
      </c>
      <c r="C271" s="13"/>
      <c r="D271" s="14">
        <f>SUMIF('ADV - GG'!A:A,A271,'ADV - GG'!C:C)+SUMIF('ADV - FB'!A:A,$A271,'ADV - FB'!E:E)</f>
        <v>0</v>
      </c>
      <c r="E271" s="19"/>
      <c r="F271" s="15" t="str">
        <f t="shared" si="32"/>
        <v/>
      </c>
      <c r="G271" s="14" t="str">
        <f t="shared" si="33"/>
        <v/>
      </c>
      <c r="H271" s="16" t="str">
        <f t="shared" si="65"/>
        <v/>
      </c>
      <c r="I271" s="14" t="str">
        <f t="shared" si="66"/>
        <v/>
      </c>
      <c r="J271" s="17"/>
      <c r="K271" s="22">
        <f>SUMIF('ADV - GA4'!A:A,A271,'ADV - GA4'!C:C)</f>
        <v>0</v>
      </c>
      <c r="L271" s="19" t="str">
        <f t="shared" si="34"/>
        <v/>
      </c>
      <c r="M271" s="20">
        <f t="shared" si="67"/>
        <v>0</v>
      </c>
      <c r="N271" s="14">
        <f t="shared" si="68"/>
        <v>0</v>
      </c>
      <c r="O271" s="15" t="str">
        <f>IFERROR(Planejador!$I$198,"")</f>
        <v/>
      </c>
      <c r="P271" s="14" t="str">
        <f>Planejador!$I$189</f>
        <v/>
      </c>
      <c r="Q271" s="16" t="str">
        <f>Planejador!$I$191</f>
        <v/>
      </c>
      <c r="R271" s="14" t="str">
        <f>IFERROR(Planejador!$I$195,"")</f>
        <v/>
      </c>
      <c r="S271" s="18">
        <f t="shared" si="69"/>
        <v>0</v>
      </c>
      <c r="T271" s="14" t="str">
        <f>Planejador!$I$190</f>
        <v/>
      </c>
      <c r="U271" s="4"/>
      <c r="V271" s="4"/>
      <c r="W271" s="4"/>
      <c r="X271" s="4"/>
      <c r="Y271" s="4"/>
      <c r="Z271" s="4"/>
      <c r="AA271" s="4"/>
      <c r="AB271" s="4"/>
    </row>
    <row r="272" ht="18.75" hidden="1" customHeight="1" outlineLevel="1">
      <c r="A272" s="12">
        <v>46283.0</v>
      </c>
      <c r="B272" s="13" t="str">
        <f t="shared" si="64"/>
        <v>sexta-feira</v>
      </c>
      <c r="C272" s="13"/>
      <c r="D272" s="14">
        <f>SUMIF('ADV - GG'!A:A,A272,'ADV - GG'!C:C)+SUMIF('ADV - FB'!A:A,$A272,'ADV - FB'!E:E)</f>
        <v>0</v>
      </c>
      <c r="E272" s="19"/>
      <c r="F272" s="15" t="str">
        <f t="shared" si="32"/>
        <v/>
      </c>
      <c r="G272" s="14" t="str">
        <f t="shared" si="33"/>
        <v/>
      </c>
      <c r="H272" s="16" t="str">
        <f t="shared" si="65"/>
        <v/>
      </c>
      <c r="I272" s="14" t="str">
        <f t="shared" si="66"/>
        <v/>
      </c>
      <c r="J272" s="17"/>
      <c r="K272" s="22">
        <f>SUMIF('ADV - GA4'!A:A,A272,'ADV - GA4'!C:C)</f>
        <v>0</v>
      </c>
      <c r="L272" s="19" t="str">
        <f t="shared" si="34"/>
        <v/>
      </c>
      <c r="M272" s="20">
        <f t="shared" si="67"/>
        <v>0</v>
      </c>
      <c r="N272" s="14">
        <f t="shared" si="68"/>
        <v>0</v>
      </c>
      <c r="O272" s="15" t="str">
        <f>IFERROR(Planejador!$I$198,"")</f>
        <v/>
      </c>
      <c r="P272" s="14" t="str">
        <f>Planejador!$I$189</f>
        <v/>
      </c>
      <c r="Q272" s="16" t="str">
        <f>Planejador!$I$191</f>
        <v/>
      </c>
      <c r="R272" s="14" t="str">
        <f>IFERROR(Planejador!$I$195,"")</f>
        <v/>
      </c>
      <c r="S272" s="18">
        <f t="shared" si="69"/>
        <v>0</v>
      </c>
      <c r="T272" s="14" t="str">
        <f>Planejador!$I$190</f>
        <v/>
      </c>
      <c r="U272" s="4"/>
      <c r="V272" s="4"/>
      <c r="W272" s="4"/>
      <c r="X272" s="4"/>
      <c r="Y272" s="4"/>
      <c r="Z272" s="4"/>
      <c r="AA272" s="4"/>
      <c r="AB272" s="4"/>
    </row>
    <row r="273" ht="18.75" hidden="1" customHeight="1" outlineLevel="1">
      <c r="A273" s="12">
        <v>46284.0</v>
      </c>
      <c r="B273" s="13" t="str">
        <f t="shared" si="64"/>
        <v>sábado</v>
      </c>
      <c r="C273" s="13"/>
      <c r="D273" s="14">
        <f>SUMIF('ADV - GG'!A:A,A273,'ADV - GG'!C:C)+SUMIF('ADV - FB'!A:A,$A273,'ADV - FB'!E:E)</f>
        <v>0</v>
      </c>
      <c r="E273" s="19"/>
      <c r="F273" s="15" t="str">
        <f t="shared" si="32"/>
        <v/>
      </c>
      <c r="G273" s="14" t="str">
        <f t="shared" si="33"/>
        <v/>
      </c>
      <c r="H273" s="16" t="str">
        <f t="shared" si="65"/>
        <v/>
      </c>
      <c r="I273" s="14" t="str">
        <f t="shared" si="66"/>
        <v/>
      </c>
      <c r="J273" s="17"/>
      <c r="K273" s="22">
        <f>SUMIF('ADV - GA4'!A:A,A273,'ADV - GA4'!C:C)</f>
        <v>0</v>
      </c>
      <c r="L273" s="19" t="str">
        <f t="shared" si="34"/>
        <v/>
      </c>
      <c r="M273" s="20">
        <f t="shared" si="67"/>
        <v>0</v>
      </c>
      <c r="N273" s="14">
        <f t="shared" si="68"/>
        <v>0</v>
      </c>
      <c r="O273" s="15" t="str">
        <f>IFERROR(Planejador!$I$198,"")</f>
        <v/>
      </c>
      <c r="P273" s="14" t="str">
        <f>Planejador!$I$189</f>
        <v/>
      </c>
      <c r="Q273" s="16" t="str">
        <f>Planejador!$I$191</f>
        <v/>
      </c>
      <c r="R273" s="14" t="str">
        <f>IFERROR(Planejador!$I$195,"")</f>
        <v/>
      </c>
      <c r="S273" s="18">
        <f t="shared" si="69"/>
        <v>0</v>
      </c>
      <c r="T273" s="14" t="str">
        <f>Planejador!$I$190</f>
        <v/>
      </c>
      <c r="U273" s="4"/>
      <c r="V273" s="4"/>
      <c r="W273" s="4"/>
      <c r="X273" s="4"/>
      <c r="Y273" s="4"/>
      <c r="Z273" s="4"/>
      <c r="AA273" s="4"/>
      <c r="AB273" s="4"/>
    </row>
    <row r="274" ht="18.75" hidden="1" customHeight="1" outlineLevel="1">
      <c r="A274" s="12">
        <v>46285.0</v>
      </c>
      <c r="B274" s="13" t="str">
        <f t="shared" si="64"/>
        <v>domingo</v>
      </c>
      <c r="C274" s="13"/>
      <c r="D274" s="14">
        <f>SUMIF('ADV - GG'!A:A,A274,'ADV - GG'!C:C)+SUMIF('ADV - FB'!A:A,$A274,'ADV - FB'!E:E)</f>
        <v>0</v>
      </c>
      <c r="E274" s="19"/>
      <c r="F274" s="15" t="str">
        <f t="shared" si="32"/>
        <v/>
      </c>
      <c r="G274" s="14" t="str">
        <f t="shared" si="33"/>
        <v/>
      </c>
      <c r="H274" s="16" t="str">
        <f t="shared" si="65"/>
        <v/>
      </c>
      <c r="I274" s="14" t="str">
        <f t="shared" si="66"/>
        <v/>
      </c>
      <c r="J274" s="17"/>
      <c r="K274" s="22">
        <f>SUMIF('ADV - GA4'!A:A,A274,'ADV - GA4'!C:C)</f>
        <v>0</v>
      </c>
      <c r="L274" s="19" t="str">
        <f t="shared" si="34"/>
        <v/>
      </c>
      <c r="M274" s="20">
        <f t="shared" si="67"/>
        <v>0</v>
      </c>
      <c r="N274" s="14">
        <f t="shared" si="68"/>
        <v>0</v>
      </c>
      <c r="O274" s="15" t="str">
        <f>IFERROR(Planejador!$I$198,"")</f>
        <v/>
      </c>
      <c r="P274" s="14" t="str">
        <f>Planejador!$I$189</f>
        <v/>
      </c>
      <c r="Q274" s="16" t="str">
        <f>Planejador!$I$191</f>
        <v/>
      </c>
      <c r="R274" s="14" t="str">
        <f>IFERROR(Planejador!$I$195,"")</f>
        <v/>
      </c>
      <c r="S274" s="18">
        <f t="shared" si="69"/>
        <v>0</v>
      </c>
      <c r="T274" s="14" t="str">
        <f>Planejador!$I$190</f>
        <v/>
      </c>
      <c r="U274" s="4"/>
      <c r="V274" s="4"/>
      <c r="W274" s="4"/>
      <c r="X274" s="4"/>
      <c r="Y274" s="4"/>
      <c r="Z274" s="4"/>
      <c r="AA274" s="4"/>
      <c r="AB274" s="4"/>
    </row>
    <row r="275" ht="18.75" hidden="1" customHeight="1" outlineLevel="1">
      <c r="A275" s="12">
        <v>46286.0</v>
      </c>
      <c r="B275" s="13" t="str">
        <f t="shared" si="64"/>
        <v>segunda-feira</v>
      </c>
      <c r="C275" s="13"/>
      <c r="D275" s="14">
        <f>SUMIF('ADV - GG'!A:A,A275,'ADV - GG'!C:C)+SUMIF('ADV - FB'!A:A,$A275,'ADV - FB'!E:E)</f>
        <v>0</v>
      </c>
      <c r="E275" s="19"/>
      <c r="F275" s="15" t="str">
        <f t="shared" si="32"/>
        <v/>
      </c>
      <c r="G275" s="14" t="str">
        <f t="shared" si="33"/>
        <v/>
      </c>
      <c r="H275" s="16" t="str">
        <f t="shared" si="65"/>
        <v/>
      </c>
      <c r="I275" s="14" t="str">
        <f t="shared" si="66"/>
        <v/>
      </c>
      <c r="J275" s="17"/>
      <c r="K275" s="22">
        <f>SUMIF('ADV - GA4'!A:A,A275,'ADV - GA4'!C:C)</f>
        <v>0</v>
      </c>
      <c r="L275" s="19" t="str">
        <f t="shared" si="34"/>
        <v/>
      </c>
      <c r="M275" s="20">
        <f t="shared" si="67"/>
        <v>0</v>
      </c>
      <c r="N275" s="14">
        <f t="shared" si="68"/>
        <v>0</v>
      </c>
      <c r="O275" s="15" t="str">
        <f>IFERROR(Planejador!$I$198,"")</f>
        <v/>
      </c>
      <c r="P275" s="14" t="str">
        <f>Planejador!$I$189</f>
        <v/>
      </c>
      <c r="Q275" s="16" t="str">
        <f>Planejador!$I$191</f>
        <v/>
      </c>
      <c r="R275" s="14" t="str">
        <f>IFERROR(Planejador!$I$195,"")</f>
        <v/>
      </c>
      <c r="S275" s="18">
        <f t="shared" si="69"/>
        <v>0</v>
      </c>
      <c r="T275" s="14" t="str">
        <f>Planejador!$I$190</f>
        <v/>
      </c>
      <c r="U275" s="4"/>
      <c r="V275" s="4"/>
      <c r="W275" s="4"/>
      <c r="X275" s="4"/>
      <c r="Y275" s="4"/>
      <c r="Z275" s="4"/>
      <c r="AA275" s="4"/>
      <c r="AB275" s="4"/>
    </row>
    <row r="276" ht="18.75" hidden="1" customHeight="1" outlineLevel="1">
      <c r="A276" s="12">
        <v>46287.0</v>
      </c>
      <c r="B276" s="13" t="str">
        <f t="shared" si="64"/>
        <v>terça-feira</v>
      </c>
      <c r="C276" s="13"/>
      <c r="D276" s="14">
        <f>SUMIF('ADV - GG'!A:A,A276,'ADV - GG'!C:C)+SUMIF('ADV - FB'!A:A,$A276,'ADV - FB'!E:E)</f>
        <v>0</v>
      </c>
      <c r="E276" s="19"/>
      <c r="F276" s="15" t="str">
        <f t="shared" si="32"/>
        <v/>
      </c>
      <c r="G276" s="14" t="str">
        <f t="shared" si="33"/>
        <v/>
      </c>
      <c r="H276" s="16" t="str">
        <f t="shared" si="65"/>
        <v/>
      </c>
      <c r="I276" s="14" t="str">
        <f t="shared" si="66"/>
        <v/>
      </c>
      <c r="J276" s="17"/>
      <c r="K276" s="22">
        <f>SUMIF('ADV - GA4'!A:A,A276,'ADV - GA4'!C:C)</f>
        <v>0</v>
      </c>
      <c r="L276" s="19" t="str">
        <f t="shared" si="34"/>
        <v/>
      </c>
      <c r="M276" s="20">
        <f t="shared" si="67"/>
        <v>0</v>
      </c>
      <c r="N276" s="14">
        <f t="shared" si="68"/>
        <v>0</v>
      </c>
      <c r="O276" s="15" t="str">
        <f>IFERROR(Planejador!$I$198,"")</f>
        <v/>
      </c>
      <c r="P276" s="14" t="str">
        <f>Planejador!$I$189</f>
        <v/>
      </c>
      <c r="Q276" s="16" t="str">
        <f>Planejador!$I$191</f>
        <v/>
      </c>
      <c r="R276" s="14" t="str">
        <f>IFERROR(Planejador!$I$195,"")</f>
        <v/>
      </c>
      <c r="S276" s="18">
        <f t="shared" si="69"/>
        <v>0</v>
      </c>
      <c r="T276" s="14" t="str">
        <f>Planejador!$I$190</f>
        <v/>
      </c>
      <c r="U276" s="4"/>
      <c r="V276" s="4"/>
      <c r="W276" s="4"/>
      <c r="X276" s="4"/>
      <c r="Y276" s="4"/>
      <c r="Z276" s="4"/>
      <c r="AA276" s="4"/>
      <c r="AB276" s="4"/>
    </row>
    <row r="277" ht="18.75" hidden="1" customHeight="1" outlineLevel="1">
      <c r="A277" s="12">
        <v>46288.0</v>
      </c>
      <c r="B277" s="13" t="str">
        <f t="shared" si="64"/>
        <v>quarta-feira</v>
      </c>
      <c r="C277" s="13"/>
      <c r="D277" s="14">
        <f>SUMIF('ADV - GG'!A:A,A277,'ADV - GG'!C:C)+SUMIF('ADV - FB'!A:A,$A277,'ADV - FB'!E:E)</f>
        <v>0</v>
      </c>
      <c r="E277" s="19"/>
      <c r="F277" s="15" t="str">
        <f t="shared" si="32"/>
        <v/>
      </c>
      <c r="G277" s="14" t="str">
        <f t="shared" si="33"/>
        <v/>
      </c>
      <c r="H277" s="16" t="str">
        <f t="shared" si="65"/>
        <v/>
      </c>
      <c r="I277" s="14" t="str">
        <f t="shared" si="66"/>
        <v/>
      </c>
      <c r="J277" s="17"/>
      <c r="K277" s="22">
        <f>SUMIF('ADV - GA4'!A:A,A277,'ADV - GA4'!C:C)</f>
        <v>0</v>
      </c>
      <c r="L277" s="19" t="str">
        <f t="shared" si="34"/>
        <v/>
      </c>
      <c r="M277" s="20">
        <f t="shared" si="67"/>
        <v>0</v>
      </c>
      <c r="N277" s="14">
        <f t="shared" si="68"/>
        <v>0</v>
      </c>
      <c r="O277" s="15" t="str">
        <f>IFERROR(Planejador!$I$198,"")</f>
        <v/>
      </c>
      <c r="P277" s="14" t="str">
        <f>Planejador!$I$189</f>
        <v/>
      </c>
      <c r="Q277" s="16" t="str">
        <f>Planejador!$I$191</f>
        <v/>
      </c>
      <c r="R277" s="14" t="str">
        <f>IFERROR(Planejador!$I$195,"")</f>
        <v/>
      </c>
      <c r="S277" s="18">
        <f t="shared" si="69"/>
        <v>0</v>
      </c>
      <c r="T277" s="14" t="str">
        <f>Planejador!$I$190</f>
        <v/>
      </c>
      <c r="U277" s="4"/>
      <c r="V277" s="4"/>
      <c r="W277" s="4"/>
      <c r="X277" s="4"/>
      <c r="Y277" s="4"/>
      <c r="Z277" s="4"/>
      <c r="AA277" s="4"/>
      <c r="AB277" s="4"/>
    </row>
    <row r="278" ht="18.75" hidden="1" customHeight="1" outlineLevel="1">
      <c r="A278" s="12">
        <v>46289.0</v>
      </c>
      <c r="B278" s="13" t="str">
        <f t="shared" si="64"/>
        <v>quinta-feira</v>
      </c>
      <c r="C278" s="13"/>
      <c r="D278" s="14">
        <f>SUMIF('ADV - GG'!A:A,A278,'ADV - GG'!C:C)+SUMIF('ADV - FB'!A:A,$A278,'ADV - FB'!E:E)</f>
        <v>0</v>
      </c>
      <c r="E278" s="19"/>
      <c r="F278" s="15" t="str">
        <f t="shared" si="32"/>
        <v/>
      </c>
      <c r="G278" s="14" t="str">
        <f t="shared" si="33"/>
        <v/>
      </c>
      <c r="H278" s="16" t="str">
        <f t="shared" si="65"/>
        <v/>
      </c>
      <c r="I278" s="14" t="str">
        <f t="shared" si="66"/>
        <v/>
      </c>
      <c r="J278" s="17"/>
      <c r="K278" s="22">
        <f>SUMIF('ADV - GA4'!A:A,A278,'ADV - GA4'!C:C)</f>
        <v>0</v>
      </c>
      <c r="L278" s="19" t="str">
        <f t="shared" si="34"/>
        <v/>
      </c>
      <c r="M278" s="20">
        <f t="shared" si="67"/>
        <v>0</v>
      </c>
      <c r="N278" s="14">
        <f t="shared" si="68"/>
        <v>0</v>
      </c>
      <c r="O278" s="15" t="str">
        <f>IFERROR(Planejador!$I$198,"")</f>
        <v/>
      </c>
      <c r="P278" s="14" t="str">
        <f>Planejador!$I$189</f>
        <v/>
      </c>
      <c r="Q278" s="16" t="str">
        <f>Planejador!$I$191</f>
        <v/>
      </c>
      <c r="R278" s="14" t="str">
        <f>IFERROR(Planejador!$I$195,"")</f>
        <v/>
      </c>
      <c r="S278" s="18">
        <f t="shared" si="69"/>
        <v>0</v>
      </c>
      <c r="T278" s="14" t="str">
        <f>Planejador!$I$190</f>
        <v/>
      </c>
      <c r="U278" s="4"/>
      <c r="V278" s="4"/>
      <c r="W278" s="4"/>
      <c r="X278" s="4"/>
      <c r="Y278" s="4"/>
      <c r="Z278" s="4"/>
      <c r="AA278" s="4"/>
      <c r="AB278" s="4"/>
    </row>
    <row r="279" ht="18.75" hidden="1" customHeight="1" outlineLevel="1">
      <c r="A279" s="12">
        <v>46290.0</v>
      </c>
      <c r="B279" s="13" t="str">
        <f t="shared" si="64"/>
        <v>sexta-feira</v>
      </c>
      <c r="C279" s="13"/>
      <c r="D279" s="14">
        <f>SUMIF('ADV - GG'!A:A,A279,'ADV - GG'!C:C)+SUMIF('ADV - FB'!A:A,$A279,'ADV - FB'!E:E)</f>
        <v>0</v>
      </c>
      <c r="E279" s="19"/>
      <c r="F279" s="15" t="str">
        <f t="shared" si="32"/>
        <v/>
      </c>
      <c r="G279" s="14" t="str">
        <f t="shared" si="33"/>
        <v/>
      </c>
      <c r="H279" s="16" t="str">
        <f t="shared" si="65"/>
        <v/>
      </c>
      <c r="I279" s="14" t="str">
        <f t="shared" si="66"/>
        <v/>
      </c>
      <c r="J279" s="17"/>
      <c r="K279" s="22">
        <f>SUMIF('ADV - GA4'!A:A,A279,'ADV - GA4'!C:C)</f>
        <v>0</v>
      </c>
      <c r="L279" s="19" t="str">
        <f t="shared" si="34"/>
        <v/>
      </c>
      <c r="M279" s="20">
        <f t="shared" si="67"/>
        <v>0</v>
      </c>
      <c r="N279" s="14">
        <f t="shared" si="68"/>
        <v>0</v>
      </c>
      <c r="O279" s="15" t="str">
        <f>IFERROR(Planejador!$I$198,"")</f>
        <v/>
      </c>
      <c r="P279" s="14" t="str">
        <f>Planejador!$I$189</f>
        <v/>
      </c>
      <c r="Q279" s="16" t="str">
        <f>Planejador!$I$191</f>
        <v/>
      </c>
      <c r="R279" s="14" t="str">
        <f>IFERROR(Planejador!$I$195,"")</f>
        <v/>
      </c>
      <c r="S279" s="18">
        <f t="shared" si="69"/>
        <v>0</v>
      </c>
      <c r="T279" s="14" t="str">
        <f>Planejador!$I$190</f>
        <v/>
      </c>
      <c r="U279" s="4"/>
      <c r="V279" s="4"/>
      <c r="W279" s="4"/>
      <c r="X279" s="4"/>
      <c r="Y279" s="4"/>
      <c r="Z279" s="4"/>
      <c r="AA279" s="4"/>
      <c r="AB279" s="4"/>
    </row>
    <row r="280" ht="18.75" hidden="1" customHeight="1" outlineLevel="1">
      <c r="A280" s="12">
        <v>46291.0</v>
      </c>
      <c r="B280" s="13" t="str">
        <f t="shared" si="64"/>
        <v>sábado</v>
      </c>
      <c r="C280" s="13"/>
      <c r="D280" s="14">
        <f>SUMIF('ADV - GG'!A:A,A280,'ADV - GG'!C:C)+SUMIF('ADV - FB'!A:A,$A280,'ADV - FB'!E:E)</f>
        <v>0</v>
      </c>
      <c r="E280" s="19"/>
      <c r="F280" s="15" t="str">
        <f t="shared" si="32"/>
        <v/>
      </c>
      <c r="G280" s="14" t="str">
        <f t="shared" si="33"/>
        <v/>
      </c>
      <c r="H280" s="16" t="str">
        <f t="shared" si="65"/>
        <v/>
      </c>
      <c r="I280" s="14" t="str">
        <f t="shared" si="66"/>
        <v/>
      </c>
      <c r="J280" s="17"/>
      <c r="K280" s="22">
        <f>SUMIF('ADV - GA4'!A:A,A280,'ADV - GA4'!C:C)</f>
        <v>0</v>
      </c>
      <c r="L280" s="19" t="str">
        <f t="shared" si="34"/>
        <v/>
      </c>
      <c r="M280" s="20">
        <f t="shared" si="67"/>
        <v>0</v>
      </c>
      <c r="N280" s="14">
        <f t="shared" si="68"/>
        <v>0</v>
      </c>
      <c r="O280" s="15" t="str">
        <f>IFERROR(Planejador!$I$198,"")</f>
        <v/>
      </c>
      <c r="P280" s="14" t="str">
        <f>Planejador!$I$189</f>
        <v/>
      </c>
      <c r="Q280" s="16" t="str">
        <f>Planejador!$I$191</f>
        <v/>
      </c>
      <c r="R280" s="14" t="str">
        <f>IFERROR(Planejador!$I$195,"")</f>
        <v/>
      </c>
      <c r="S280" s="18">
        <f t="shared" si="69"/>
        <v>0</v>
      </c>
      <c r="T280" s="14" t="str">
        <f>Planejador!$I$190</f>
        <v/>
      </c>
      <c r="U280" s="4"/>
      <c r="V280" s="4"/>
      <c r="W280" s="4"/>
      <c r="X280" s="4"/>
      <c r="Y280" s="4"/>
      <c r="Z280" s="4"/>
      <c r="AA280" s="4"/>
      <c r="AB280" s="4"/>
    </row>
    <row r="281" ht="18.75" hidden="1" customHeight="1" outlineLevel="1">
      <c r="A281" s="12">
        <v>46292.0</v>
      </c>
      <c r="B281" s="13" t="str">
        <f t="shared" si="64"/>
        <v>domingo</v>
      </c>
      <c r="C281" s="13"/>
      <c r="D281" s="14">
        <f>SUMIF('ADV - GG'!A:A,A281,'ADV - GG'!C:C)+SUMIF('ADV - FB'!A:A,$A281,'ADV - FB'!E:E)</f>
        <v>0</v>
      </c>
      <c r="E281" s="19"/>
      <c r="F281" s="15" t="str">
        <f t="shared" si="32"/>
        <v/>
      </c>
      <c r="G281" s="14" t="str">
        <f t="shared" si="33"/>
        <v/>
      </c>
      <c r="H281" s="16" t="str">
        <f t="shared" si="65"/>
        <v/>
      </c>
      <c r="I281" s="14" t="str">
        <f t="shared" si="66"/>
        <v/>
      </c>
      <c r="J281" s="17"/>
      <c r="K281" s="22">
        <f>SUMIF('ADV - GA4'!A:A,A281,'ADV - GA4'!C:C)</f>
        <v>0</v>
      </c>
      <c r="L281" s="19" t="str">
        <f t="shared" si="34"/>
        <v/>
      </c>
      <c r="M281" s="20">
        <f t="shared" si="67"/>
        <v>0</v>
      </c>
      <c r="N281" s="14">
        <f t="shared" si="68"/>
        <v>0</v>
      </c>
      <c r="O281" s="15" t="str">
        <f>IFERROR(Planejador!$I$198,"")</f>
        <v/>
      </c>
      <c r="P281" s="14" t="str">
        <f>Planejador!$I$189</f>
        <v/>
      </c>
      <c r="Q281" s="16" t="str">
        <f>Planejador!$I$191</f>
        <v/>
      </c>
      <c r="R281" s="14" t="str">
        <f>IFERROR(Planejador!$I$195,"")</f>
        <v/>
      </c>
      <c r="S281" s="18">
        <f t="shared" si="69"/>
        <v>0</v>
      </c>
      <c r="T281" s="14" t="str">
        <f>Planejador!$I$190</f>
        <v/>
      </c>
      <c r="U281" s="4"/>
      <c r="V281" s="4"/>
      <c r="W281" s="4"/>
      <c r="X281" s="4"/>
      <c r="Y281" s="4"/>
      <c r="Z281" s="4"/>
      <c r="AA281" s="4"/>
      <c r="AB281" s="4"/>
    </row>
    <row r="282" ht="18.75" hidden="1" customHeight="1" outlineLevel="1">
      <c r="A282" s="12">
        <v>46293.0</v>
      </c>
      <c r="B282" s="13" t="str">
        <f t="shared" si="64"/>
        <v>segunda-feira</v>
      </c>
      <c r="C282" s="13"/>
      <c r="D282" s="14">
        <f>SUMIF('ADV - GG'!A:A,A282,'ADV - GG'!C:C)+SUMIF('ADV - FB'!A:A,$A282,'ADV - FB'!E:E)</f>
        <v>0</v>
      </c>
      <c r="E282" s="19"/>
      <c r="F282" s="15" t="str">
        <f t="shared" si="32"/>
        <v/>
      </c>
      <c r="G282" s="14" t="str">
        <f t="shared" si="33"/>
        <v/>
      </c>
      <c r="H282" s="16" t="str">
        <f t="shared" si="65"/>
        <v/>
      </c>
      <c r="I282" s="14" t="str">
        <f t="shared" si="66"/>
        <v/>
      </c>
      <c r="J282" s="17"/>
      <c r="K282" s="22">
        <f>SUMIF('ADV - GA4'!A:A,A282,'ADV - GA4'!C:C)</f>
        <v>0</v>
      </c>
      <c r="L282" s="19" t="str">
        <f t="shared" si="34"/>
        <v/>
      </c>
      <c r="M282" s="20">
        <f t="shared" si="67"/>
        <v>0</v>
      </c>
      <c r="N282" s="14">
        <f t="shared" si="68"/>
        <v>0</v>
      </c>
      <c r="O282" s="15" t="str">
        <f>IFERROR(Planejador!$I$198,"")</f>
        <v/>
      </c>
      <c r="P282" s="14" t="str">
        <f>Planejador!$I$189</f>
        <v/>
      </c>
      <c r="Q282" s="16" t="str">
        <f>Planejador!$I$191</f>
        <v/>
      </c>
      <c r="R282" s="14" t="str">
        <f>IFERROR(Planejador!$I$195,"")</f>
        <v/>
      </c>
      <c r="S282" s="18">
        <f t="shared" si="69"/>
        <v>0</v>
      </c>
      <c r="T282" s="14" t="str">
        <f>Planejador!$I$190</f>
        <v/>
      </c>
      <c r="U282" s="4"/>
      <c r="V282" s="4"/>
      <c r="W282" s="4"/>
      <c r="X282" s="4"/>
      <c r="Y282" s="4"/>
      <c r="Z282" s="4"/>
      <c r="AA282" s="4"/>
      <c r="AB282" s="4"/>
    </row>
    <row r="283" ht="18.75" hidden="1" customHeight="1" outlineLevel="1">
      <c r="A283" s="12">
        <v>46294.0</v>
      </c>
      <c r="B283" s="13" t="str">
        <f t="shared" si="64"/>
        <v>terça-feira</v>
      </c>
      <c r="C283" s="13"/>
      <c r="D283" s="14">
        <f>SUMIF('ADV - GG'!A:A,A283,'ADV - GG'!C:C)+SUMIF('ADV - FB'!A:A,$A283,'ADV - FB'!E:E)</f>
        <v>0</v>
      </c>
      <c r="E283" s="19"/>
      <c r="F283" s="15" t="str">
        <f t="shared" si="32"/>
        <v/>
      </c>
      <c r="G283" s="14" t="str">
        <f t="shared" si="33"/>
        <v/>
      </c>
      <c r="H283" s="16" t="str">
        <f t="shared" si="65"/>
        <v/>
      </c>
      <c r="I283" s="14" t="str">
        <f t="shared" si="66"/>
        <v/>
      </c>
      <c r="J283" s="17"/>
      <c r="K283" s="22">
        <f>SUMIF('ADV - GA4'!A:A,A283,'ADV - GA4'!C:C)</f>
        <v>0</v>
      </c>
      <c r="L283" s="19" t="str">
        <f t="shared" si="34"/>
        <v/>
      </c>
      <c r="M283" s="20">
        <f t="shared" si="67"/>
        <v>0</v>
      </c>
      <c r="N283" s="14">
        <f t="shared" si="68"/>
        <v>0</v>
      </c>
      <c r="O283" s="15" t="str">
        <f>IFERROR(Planejador!$I$198,"")</f>
        <v/>
      </c>
      <c r="P283" s="14" t="str">
        <f>Planejador!$I$189</f>
        <v/>
      </c>
      <c r="Q283" s="16" t="str">
        <f>Planejador!$I$191</f>
        <v/>
      </c>
      <c r="R283" s="14" t="str">
        <f>IFERROR(Planejador!$I$195,"")</f>
        <v/>
      </c>
      <c r="S283" s="18">
        <f t="shared" si="69"/>
        <v>0</v>
      </c>
      <c r="T283" s="14" t="str">
        <f>Planejador!$I$190</f>
        <v/>
      </c>
      <c r="U283" s="4"/>
      <c r="V283" s="4"/>
      <c r="W283" s="4"/>
      <c r="X283" s="4"/>
      <c r="Y283" s="4"/>
      <c r="Z283" s="4"/>
      <c r="AA283" s="4"/>
      <c r="AB283" s="4"/>
    </row>
    <row r="284" ht="18.75" hidden="1" customHeight="1" outlineLevel="1">
      <c r="A284" s="12">
        <v>46295.0</v>
      </c>
      <c r="B284" s="13" t="str">
        <f t="shared" si="64"/>
        <v>quarta-feira</v>
      </c>
      <c r="C284" s="13"/>
      <c r="D284" s="14">
        <f>SUMIF('ADV - GG'!A:A,A284,'ADV - GG'!C:C)+SUMIF('ADV - FB'!A:A,$A284,'ADV - FB'!E:E)</f>
        <v>0</v>
      </c>
      <c r="E284" s="19"/>
      <c r="F284" s="15" t="str">
        <f t="shared" si="32"/>
        <v/>
      </c>
      <c r="G284" s="14" t="str">
        <f t="shared" si="33"/>
        <v/>
      </c>
      <c r="H284" s="16" t="str">
        <f t="shared" si="65"/>
        <v/>
      </c>
      <c r="I284" s="14" t="str">
        <f t="shared" si="66"/>
        <v/>
      </c>
      <c r="J284" s="17"/>
      <c r="K284" s="22">
        <f>SUMIF('ADV - GA4'!A:A,A284,'ADV - GA4'!C:C)</f>
        <v>0</v>
      </c>
      <c r="L284" s="19" t="str">
        <f t="shared" si="34"/>
        <v/>
      </c>
      <c r="M284" s="20">
        <f t="shared" si="67"/>
        <v>0</v>
      </c>
      <c r="N284" s="14">
        <f t="shared" si="68"/>
        <v>0</v>
      </c>
      <c r="O284" s="15" t="str">
        <f>IFERROR(Planejador!$I$198,"")</f>
        <v/>
      </c>
      <c r="P284" s="14" t="str">
        <f>Planejador!$I$189</f>
        <v/>
      </c>
      <c r="Q284" s="16" t="str">
        <f>Planejador!$I$191</f>
        <v/>
      </c>
      <c r="R284" s="14" t="str">
        <f>IFERROR(Planejador!$I$195,"")</f>
        <v/>
      </c>
      <c r="S284" s="18">
        <f t="shared" si="69"/>
        <v>0</v>
      </c>
      <c r="T284" s="14" t="str">
        <f>Planejador!$I$190</f>
        <v/>
      </c>
      <c r="U284" s="4"/>
      <c r="V284" s="4"/>
      <c r="W284" s="4"/>
      <c r="X284" s="4"/>
      <c r="Y284" s="4"/>
      <c r="Z284" s="4"/>
      <c r="AA284" s="4"/>
      <c r="AB284" s="4"/>
    </row>
    <row r="285" ht="18.75" customHeight="1" collapsed="1">
      <c r="A285" s="25" t="s">
        <v>30</v>
      </c>
      <c r="B285" s="26">
        <v>31.0</v>
      </c>
      <c r="C285" s="27"/>
      <c r="D285" s="28">
        <f t="shared" ref="D285:E285" si="70">IFERROR(SUM(D286:D316),"")</f>
        <v>0</v>
      </c>
      <c r="E285" s="28">
        <f t="shared" si="70"/>
        <v>153.57</v>
      </c>
      <c r="F285" s="33" t="str">
        <f t="shared" si="32"/>
        <v/>
      </c>
      <c r="G285" s="34">
        <f t="shared" si="33"/>
        <v>0</v>
      </c>
      <c r="H285" s="35">
        <f>IFERROR(J285/K285,"")</f>
        <v>0.01492537313</v>
      </c>
      <c r="I285" s="34">
        <f>IFERROR(D285/J285,"")</f>
        <v>0</v>
      </c>
      <c r="J285" s="32">
        <f t="shared" ref="J285:K285" si="71">IFERROR(SUM(J286:J316),"")</f>
        <v>1</v>
      </c>
      <c r="K285" s="32">
        <f t="shared" si="71"/>
        <v>67</v>
      </c>
      <c r="L285" s="34">
        <f t="shared" si="34"/>
        <v>153.57</v>
      </c>
      <c r="M285" s="36">
        <v>350.0</v>
      </c>
      <c r="N285" s="36">
        <v>350.0</v>
      </c>
      <c r="O285" s="33" t="str">
        <f>IFERROR(Planejador!$I$221,"")</f>
        <v/>
      </c>
      <c r="P285" s="34" t="str">
        <f>Planejador!$I$212</f>
        <v/>
      </c>
      <c r="Q285" s="35" t="str">
        <f>Planejador!$I$214</f>
        <v/>
      </c>
      <c r="R285" s="34" t="str">
        <f>IFERROR(Planejador!$I$218,"")</f>
        <v/>
      </c>
      <c r="S285" s="32" t="str">
        <f>IFERROR(Planejador!$I$217,"")</f>
        <v/>
      </c>
      <c r="T285" s="34" t="str">
        <f>IFERROR(Planejador!$I$213,"")</f>
        <v/>
      </c>
      <c r="U285" s="4"/>
      <c r="V285" s="4"/>
      <c r="W285" s="4"/>
      <c r="X285" s="4"/>
      <c r="Y285" s="4"/>
      <c r="Z285" s="4"/>
      <c r="AA285" s="4"/>
      <c r="AB285" s="4"/>
    </row>
    <row r="286" ht="18.75" hidden="1" customHeight="1" outlineLevel="1">
      <c r="A286" s="12">
        <v>46296.0</v>
      </c>
      <c r="B286" s="13" t="str">
        <f t="shared" ref="B286:B316" si="72">TEXT(A286,"dddd")</f>
        <v>quinta-feira</v>
      </c>
      <c r="C286" s="13"/>
      <c r="D286" s="14">
        <f>SUMIF('ADV - GG'!A:A,A286,'ADV - GG'!C:C)+SUMIF('ADV - FB'!A:A,$A286,'ADV - FB'!E:E)</f>
        <v>0</v>
      </c>
      <c r="E286" s="19"/>
      <c r="F286" s="15" t="str">
        <f t="shared" si="32"/>
        <v/>
      </c>
      <c r="G286" s="14" t="str">
        <f t="shared" si="33"/>
        <v/>
      </c>
      <c r="H286" s="16" t="str">
        <f t="shared" ref="H286:H316" si="73">iferror(J286/K286,"")</f>
        <v/>
      </c>
      <c r="I286" s="14" t="str">
        <f t="shared" ref="I286:I316" si="74">iferror(D286/J286,"")</f>
        <v/>
      </c>
      <c r="J286" s="17"/>
      <c r="K286" s="22">
        <f>SUMIF('ADV - GA4'!A:A,A286,'ADV - GA4'!C:C)</f>
        <v>0</v>
      </c>
      <c r="L286" s="19" t="str">
        <f t="shared" si="34"/>
        <v/>
      </c>
      <c r="M286" s="20">
        <f t="shared" ref="M286:M316" si="75">$M$285/$B$285</f>
        <v>11.29032258</v>
      </c>
      <c r="N286" s="14">
        <f t="shared" ref="N286:N316" si="76">$N$285/$B$285</f>
        <v>11.29032258</v>
      </c>
      <c r="O286" s="15" t="str">
        <f>Planejador!$I$221</f>
        <v>#DIV/0!</v>
      </c>
      <c r="P286" s="14" t="str">
        <f>Planejador!$I$212</f>
        <v/>
      </c>
      <c r="Q286" s="16" t="str">
        <f>Planejador!$I$214</f>
        <v/>
      </c>
      <c r="R286" s="14" t="str">
        <f>Planejador!$I$218</f>
        <v>#DIV/0!</v>
      </c>
      <c r="S286" s="18">
        <f t="shared" ref="S286:S316" si="77">$S$285/$B$285</f>
        <v>0</v>
      </c>
      <c r="T286" s="14" t="str">
        <f>Planejador!$I$213</f>
        <v/>
      </c>
      <c r="U286" s="4"/>
      <c r="V286" s="4"/>
      <c r="W286" s="4"/>
      <c r="X286" s="4"/>
      <c r="Y286" s="4"/>
      <c r="Z286" s="4"/>
      <c r="AA286" s="4"/>
      <c r="AB286" s="4"/>
    </row>
    <row r="287" ht="18.75" hidden="1" customHeight="1" outlineLevel="1">
      <c r="A287" s="12">
        <v>46297.0</v>
      </c>
      <c r="B287" s="13" t="str">
        <f t="shared" si="72"/>
        <v>sexta-feira</v>
      </c>
      <c r="C287" s="13"/>
      <c r="D287" s="14">
        <f>SUMIF('ADV - GG'!A:A,A287,'ADV - GG'!C:C)+SUMIF('ADV - FB'!A:A,$A287,'ADV - FB'!E:E)</f>
        <v>0</v>
      </c>
      <c r="E287" s="19"/>
      <c r="F287" s="15" t="str">
        <f t="shared" si="32"/>
        <v/>
      </c>
      <c r="G287" s="14" t="str">
        <f t="shared" si="33"/>
        <v/>
      </c>
      <c r="H287" s="16" t="str">
        <f t="shared" si="73"/>
        <v/>
      </c>
      <c r="I287" s="14" t="str">
        <f t="shared" si="74"/>
        <v/>
      </c>
      <c r="J287" s="17"/>
      <c r="K287" s="22">
        <f>SUMIF('ADV - GA4'!A:A,A287,'ADV - GA4'!C:C)</f>
        <v>0</v>
      </c>
      <c r="L287" s="19" t="str">
        <f t="shared" si="34"/>
        <v/>
      </c>
      <c r="M287" s="20">
        <f t="shared" si="75"/>
        <v>11.29032258</v>
      </c>
      <c r="N287" s="14">
        <f t="shared" si="76"/>
        <v>11.29032258</v>
      </c>
      <c r="O287" s="15" t="str">
        <f>Planejador!$I$221</f>
        <v>#DIV/0!</v>
      </c>
      <c r="P287" s="14" t="str">
        <f>Planejador!$I$212</f>
        <v/>
      </c>
      <c r="Q287" s="16" t="str">
        <f>Planejador!$I$214</f>
        <v/>
      </c>
      <c r="R287" s="14" t="str">
        <f>Planejador!$I$218</f>
        <v>#DIV/0!</v>
      </c>
      <c r="S287" s="18">
        <f t="shared" si="77"/>
        <v>0</v>
      </c>
      <c r="T287" s="14" t="str">
        <f>Planejador!$I$213</f>
        <v/>
      </c>
      <c r="U287" s="4"/>
      <c r="V287" s="4"/>
      <c r="W287" s="4"/>
      <c r="X287" s="4"/>
      <c r="Y287" s="4"/>
      <c r="Z287" s="4"/>
      <c r="AA287" s="4"/>
      <c r="AB287" s="4"/>
    </row>
    <row r="288" ht="18.75" hidden="1" customHeight="1" outlineLevel="1">
      <c r="A288" s="12">
        <v>46298.0</v>
      </c>
      <c r="B288" s="13" t="str">
        <f t="shared" si="72"/>
        <v>sábado</v>
      </c>
      <c r="C288" s="13"/>
      <c r="D288" s="14">
        <f>SUMIF('ADV - GG'!A:A,A288,'ADV - GG'!C:C)+SUMIF('ADV - FB'!A:A,$A288,'ADV - FB'!E:E)</f>
        <v>0</v>
      </c>
      <c r="E288" s="19"/>
      <c r="F288" s="15" t="str">
        <f t="shared" si="32"/>
        <v/>
      </c>
      <c r="G288" s="14" t="str">
        <f t="shared" si="33"/>
        <v/>
      </c>
      <c r="H288" s="16" t="str">
        <f t="shared" si="73"/>
        <v/>
      </c>
      <c r="I288" s="14" t="str">
        <f t="shared" si="74"/>
        <v/>
      </c>
      <c r="J288" s="17"/>
      <c r="K288" s="22">
        <f>SUMIF('ADV - GA4'!A:A,A288,'ADV - GA4'!C:C)</f>
        <v>0</v>
      </c>
      <c r="L288" s="19" t="str">
        <f t="shared" si="34"/>
        <v/>
      </c>
      <c r="M288" s="20">
        <f t="shared" si="75"/>
        <v>11.29032258</v>
      </c>
      <c r="N288" s="14">
        <f t="shared" si="76"/>
        <v>11.29032258</v>
      </c>
      <c r="O288" s="15" t="str">
        <f>Planejador!$I$221</f>
        <v>#DIV/0!</v>
      </c>
      <c r="P288" s="14" t="str">
        <f>Planejador!$I$212</f>
        <v/>
      </c>
      <c r="Q288" s="16" t="str">
        <f>Planejador!$I$214</f>
        <v/>
      </c>
      <c r="R288" s="14" t="str">
        <f>Planejador!$I$218</f>
        <v>#DIV/0!</v>
      </c>
      <c r="S288" s="18">
        <f t="shared" si="77"/>
        <v>0</v>
      </c>
      <c r="T288" s="14" t="str">
        <f>Planejador!$I$213</f>
        <v/>
      </c>
      <c r="U288" s="4"/>
      <c r="V288" s="4"/>
      <c r="W288" s="4"/>
      <c r="X288" s="4"/>
      <c r="Y288" s="4"/>
      <c r="Z288" s="4"/>
      <c r="AA288" s="4"/>
      <c r="AB288" s="4"/>
    </row>
    <row r="289" ht="18.75" hidden="1" customHeight="1" outlineLevel="1">
      <c r="A289" s="12">
        <v>46299.0</v>
      </c>
      <c r="B289" s="13" t="str">
        <f t="shared" si="72"/>
        <v>domingo</v>
      </c>
      <c r="C289" s="13"/>
      <c r="D289" s="14">
        <f>SUMIF('ADV - GG'!A:A,A289,'ADV - GG'!C:C)+SUMIF('ADV - FB'!A:A,$A289,'ADV - FB'!E:E)</f>
        <v>0</v>
      </c>
      <c r="E289" s="19"/>
      <c r="F289" s="15" t="str">
        <f t="shared" si="32"/>
        <v/>
      </c>
      <c r="G289" s="14" t="str">
        <f t="shared" si="33"/>
        <v/>
      </c>
      <c r="H289" s="16" t="str">
        <f t="shared" si="73"/>
        <v/>
      </c>
      <c r="I289" s="14" t="str">
        <f t="shared" si="74"/>
        <v/>
      </c>
      <c r="J289" s="17"/>
      <c r="K289" s="22">
        <f>SUMIF('ADV - GA4'!A:A,A289,'ADV - GA4'!C:C)</f>
        <v>0</v>
      </c>
      <c r="L289" s="19" t="str">
        <f t="shared" si="34"/>
        <v/>
      </c>
      <c r="M289" s="20">
        <f t="shared" si="75"/>
        <v>11.29032258</v>
      </c>
      <c r="N289" s="14">
        <f t="shared" si="76"/>
        <v>11.29032258</v>
      </c>
      <c r="O289" s="15" t="str">
        <f>Planejador!$I$221</f>
        <v>#DIV/0!</v>
      </c>
      <c r="P289" s="14" t="str">
        <f>Planejador!$I$212</f>
        <v/>
      </c>
      <c r="Q289" s="16" t="str">
        <f>Planejador!$I$214</f>
        <v/>
      </c>
      <c r="R289" s="14" t="str">
        <f>Planejador!$I$218</f>
        <v>#DIV/0!</v>
      </c>
      <c r="S289" s="18">
        <f t="shared" si="77"/>
        <v>0</v>
      </c>
      <c r="T289" s="14" t="str">
        <f>Planejador!$I$213</f>
        <v/>
      </c>
      <c r="U289" s="4"/>
      <c r="V289" s="4"/>
      <c r="W289" s="4"/>
      <c r="X289" s="4"/>
      <c r="Y289" s="4"/>
      <c r="Z289" s="4"/>
      <c r="AA289" s="4"/>
      <c r="AB289" s="4"/>
    </row>
    <row r="290" ht="18.75" hidden="1" customHeight="1" outlineLevel="1">
      <c r="A290" s="12">
        <v>46300.0</v>
      </c>
      <c r="B290" s="13" t="str">
        <f t="shared" si="72"/>
        <v>segunda-feira</v>
      </c>
      <c r="C290" s="13"/>
      <c r="D290" s="14">
        <f>SUMIF('ADV - GG'!A:A,A290,'ADV - GG'!C:C)+SUMIF('ADV - FB'!A:A,$A290,'ADV - FB'!E:E)</f>
        <v>0</v>
      </c>
      <c r="E290" s="19"/>
      <c r="F290" s="15" t="str">
        <f t="shared" si="32"/>
        <v/>
      </c>
      <c r="G290" s="14" t="str">
        <f t="shared" si="33"/>
        <v/>
      </c>
      <c r="H290" s="16" t="str">
        <f t="shared" si="73"/>
        <v/>
      </c>
      <c r="I290" s="14" t="str">
        <f t="shared" si="74"/>
        <v/>
      </c>
      <c r="J290" s="17"/>
      <c r="K290" s="22">
        <f>SUMIF('ADV - GA4'!A:A,A290,'ADV - GA4'!C:C)</f>
        <v>0</v>
      </c>
      <c r="L290" s="19" t="str">
        <f t="shared" si="34"/>
        <v/>
      </c>
      <c r="M290" s="20">
        <f t="shared" si="75"/>
        <v>11.29032258</v>
      </c>
      <c r="N290" s="14">
        <f t="shared" si="76"/>
        <v>11.29032258</v>
      </c>
      <c r="O290" s="15" t="str">
        <f>Planejador!$I$221</f>
        <v>#DIV/0!</v>
      </c>
      <c r="P290" s="14" t="str">
        <f>Planejador!$I$212</f>
        <v/>
      </c>
      <c r="Q290" s="16" t="str">
        <f>Planejador!$I$214</f>
        <v/>
      </c>
      <c r="R290" s="14" t="str">
        <f>Planejador!$I$218</f>
        <v>#DIV/0!</v>
      </c>
      <c r="S290" s="18">
        <f t="shared" si="77"/>
        <v>0</v>
      </c>
      <c r="T290" s="14" t="str">
        <f>Planejador!$I$213</f>
        <v/>
      </c>
      <c r="U290" s="4"/>
      <c r="V290" s="4"/>
      <c r="W290" s="4"/>
      <c r="X290" s="4"/>
      <c r="Y290" s="4"/>
      <c r="Z290" s="4"/>
      <c r="AA290" s="4"/>
      <c r="AB290" s="4"/>
    </row>
    <row r="291" ht="18.75" hidden="1" customHeight="1" outlineLevel="1">
      <c r="A291" s="12">
        <v>46301.0</v>
      </c>
      <c r="B291" s="13" t="str">
        <f t="shared" si="72"/>
        <v>terça-feira</v>
      </c>
      <c r="C291" s="13"/>
      <c r="D291" s="14">
        <f>SUMIF('ADV - GG'!A:A,A291,'ADV - GG'!C:C)+SUMIF('ADV - FB'!A:A,$A291,'ADV - FB'!E:E)</f>
        <v>0</v>
      </c>
      <c r="E291" s="19"/>
      <c r="F291" s="15" t="str">
        <f t="shared" si="32"/>
        <v/>
      </c>
      <c r="G291" s="14" t="str">
        <f t="shared" si="33"/>
        <v/>
      </c>
      <c r="H291" s="16" t="str">
        <f t="shared" si="73"/>
        <v/>
      </c>
      <c r="I291" s="14" t="str">
        <f t="shared" si="74"/>
        <v/>
      </c>
      <c r="J291" s="17"/>
      <c r="K291" s="22">
        <f>SUMIF('ADV - GA4'!A:A,A291,'ADV - GA4'!C:C)</f>
        <v>0</v>
      </c>
      <c r="L291" s="19" t="str">
        <f t="shared" si="34"/>
        <v/>
      </c>
      <c r="M291" s="20">
        <f t="shared" si="75"/>
        <v>11.29032258</v>
      </c>
      <c r="N291" s="14">
        <f t="shared" si="76"/>
        <v>11.29032258</v>
      </c>
      <c r="O291" s="15" t="str">
        <f>Planejador!$I$221</f>
        <v>#DIV/0!</v>
      </c>
      <c r="P291" s="14" t="str">
        <f>Planejador!$I$212</f>
        <v/>
      </c>
      <c r="Q291" s="16" t="str">
        <f>Planejador!$I$214</f>
        <v/>
      </c>
      <c r="R291" s="14" t="str">
        <f>Planejador!$I$218</f>
        <v>#DIV/0!</v>
      </c>
      <c r="S291" s="18">
        <f t="shared" si="77"/>
        <v>0</v>
      </c>
      <c r="T291" s="14" t="str">
        <f>Planejador!$I$213</f>
        <v/>
      </c>
      <c r="U291" s="4"/>
      <c r="V291" s="4"/>
      <c r="W291" s="4"/>
      <c r="X291" s="4"/>
      <c r="Y291" s="4"/>
      <c r="Z291" s="4"/>
      <c r="AA291" s="4"/>
      <c r="AB291" s="4"/>
    </row>
    <row r="292" ht="18.75" hidden="1" customHeight="1" outlineLevel="1">
      <c r="A292" s="12">
        <v>46302.0</v>
      </c>
      <c r="B292" s="13" t="str">
        <f t="shared" si="72"/>
        <v>quarta-feira</v>
      </c>
      <c r="C292" s="13"/>
      <c r="D292" s="14">
        <f>SUMIF('ADV - GG'!A:A,A292,'ADV - GG'!C:C)+SUMIF('ADV - FB'!A:A,$A292,'ADV - FB'!E:E)</f>
        <v>0</v>
      </c>
      <c r="E292" s="19"/>
      <c r="F292" s="15" t="str">
        <f t="shared" si="32"/>
        <v/>
      </c>
      <c r="G292" s="14" t="str">
        <f t="shared" si="33"/>
        <v/>
      </c>
      <c r="H292" s="16" t="str">
        <f t="shared" si="73"/>
        <v/>
      </c>
      <c r="I292" s="14" t="str">
        <f t="shared" si="74"/>
        <v/>
      </c>
      <c r="J292" s="17"/>
      <c r="K292" s="22">
        <f>SUMIF('ADV - GA4'!A:A,A292,'ADV - GA4'!C:C)</f>
        <v>0</v>
      </c>
      <c r="L292" s="19" t="str">
        <f t="shared" si="34"/>
        <v/>
      </c>
      <c r="M292" s="20">
        <f t="shared" si="75"/>
        <v>11.29032258</v>
      </c>
      <c r="N292" s="14">
        <f t="shared" si="76"/>
        <v>11.29032258</v>
      </c>
      <c r="O292" s="15" t="str">
        <f>Planejador!$I$221</f>
        <v>#DIV/0!</v>
      </c>
      <c r="P292" s="14" t="str">
        <f>Planejador!$I$212</f>
        <v/>
      </c>
      <c r="Q292" s="16" t="str">
        <f>Planejador!$I$214</f>
        <v/>
      </c>
      <c r="R292" s="14" t="str">
        <f>Planejador!$I$218</f>
        <v>#DIV/0!</v>
      </c>
      <c r="S292" s="18">
        <f t="shared" si="77"/>
        <v>0</v>
      </c>
      <c r="T292" s="14" t="str">
        <f>Planejador!$I$213</f>
        <v/>
      </c>
      <c r="U292" s="4"/>
      <c r="V292" s="4"/>
      <c r="W292" s="4"/>
      <c r="X292" s="4"/>
      <c r="Y292" s="4"/>
      <c r="Z292" s="4"/>
      <c r="AA292" s="4"/>
      <c r="AB292" s="4"/>
    </row>
    <row r="293" ht="18.75" hidden="1" customHeight="1" outlineLevel="1">
      <c r="A293" s="12">
        <v>46303.0</v>
      </c>
      <c r="B293" s="13" t="str">
        <f t="shared" si="72"/>
        <v>quinta-feira</v>
      </c>
      <c r="C293" s="13"/>
      <c r="D293" s="14">
        <f>SUMIF('ADV - GG'!A:A,A293,'ADV - GG'!C:C)+SUMIF('ADV - FB'!A:A,$A293,'ADV - FB'!E:E)</f>
        <v>0</v>
      </c>
      <c r="E293" s="19"/>
      <c r="F293" s="15" t="str">
        <f t="shared" si="32"/>
        <v/>
      </c>
      <c r="G293" s="14" t="str">
        <f t="shared" si="33"/>
        <v/>
      </c>
      <c r="H293" s="16" t="str">
        <f t="shared" si="73"/>
        <v/>
      </c>
      <c r="I293" s="14" t="str">
        <f t="shared" si="74"/>
        <v/>
      </c>
      <c r="J293" s="17"/>
      <c r="K293" s="22">
        <f>SUMIF('ADV - GA4'!A:A,A293,'ADV - GA4'!C:C)</f>
        <v>0</v>
      </c>
      <c r="L293" s="19" t="str">
        <f t="shared" si="34"/>
        <v/>
      </c>
      <c r="M293" s="20">
        <f t="shared" si="75"/>
        <v>11.29032258</v>
      </c>
      <c r="N293" s="14">
        <f t="shared" si="76"/>
        <v>11.29032258</v>
      </c>
      <c r="O293" s="15" t="str">
        <f>Planejador!$I$221</f>
        <v>#DIV/0!</v>
      </c>
      <c r="P293" s="14" t="str">
        <f>Planejador!$I$212</f>
        <v/>
      </c>
      <c r="Q293" s="16" t="str">
        <f>Planejador!$I$214</f>
        <v/>
      </c>
      <c r="R293" s="14" t="str">
        <f>Planejador!$I$218</f>
        <v>#DIV/0!</v>
      </c>
      <c r="S293" s="18">
        <f t="shared" si="77"/>
        <v>0</v>
      </c>
      <c r="T293" s="14" t="str">
        <f>Planejador!$I$213</f>
        <v/>
      </c>
      <c r="U293" s="4"/>
      <c r="V293" s="4"/>
      <c r="W293" s="4"/>
      <c r="X293" s="4"/>
      <c r="Y293" s="4"/>
      <c r="Z293" s="4"/>
      <c r="AA293" s="4"/>
      <c r="AB293" s="4"/>
    </row>
    <row r="294" ht="18.75" hidden="1" customHeight="1" outlineLevel="1">
      <c r="A294" s="12">
        <v>46304.0</v>
      </c>
      <c r="B294" s="13" t="str">
        <f t="shared" si="72"/>
        <v>sexta-feira</v>
      </c>
      <c r="C294" s="13"/>
      <c r="D294" s="14">
        <f>SUMIF('ADV - GG'!A:A,A294,'ADV - GG'!C:C)+SUMIF('ADV - FB'!A:A,$A294,'ADV - FB'!E:E)</f>
        <v>0</v>
      </c>
      <c r="E294" s="19"/>
      <c r="F294" s="15" t="str">
        <f t="shared" si="32"/>
        <v/>
      </c>
      <c r="G294" s="14" t="str">
        <f t="shared" si="33"/>
        <v/>
      </c>
      <c r="H294" s="16" t="str">
        <f t="shared" si="73"/>
        <v/>
      </c>
      <c r="I294" s="14" t="str">
        <f t="shared" si="74"/>
        <v/>
      </c>
      <c r="J294" s="17"/>
      <c r="K294" s="22">
        <f>SUMIF('ADV - GA4'!A:A,A294,'ADV - GA4'!C:C)</f>
        <v>0</v>
      </c>
      <c r="L294" s="19" t="str">
        <f t="shared" si="34"/>
        <v/>
      </c>
      <c r="M294" s="20">
        <f t="shared" si="75"/>
        <v>11.29032258</v>
      </c>
      <c r="N294" s="14">
        <f t="shared" si="76"/>
        <v>11.29032258</v>
      </c>
      <c r="O294" s="15" t="str">
        <f>Planejador!$I$221</f>
        <v>#DIV/0!</v>
      </c>
      <c r="P294" s="14" t="str">
        <f>Planejador!$I$212</f>
        <v/>
      </c>
      <c r="Q294" s="16" t="str">
        <f>Planejador!$I$214</f>
        <v/>
      </c>
      <c r="R294" s="14" t="str">
        <f>Planejador!$I$218</f>
        <v>#DIV/0!</v>
      </c>
      <c r="S294" s="18">
        <f t="shared" si="77"/>
        <v>0</v>
      </c>
      <c r="T294" s="14" t="str">
        <f>Planejador!$I$213</f>
        <v/>
      </c>
      <c r="U294" s="4"/>
      <c r="V294" s="4"/>
      <c r="W294" s="4"/>
      <c r="X294" s="4"/>
      <c r="Y294" s="4"/>
      <c r="Z294" s="4"/>
      <c r="AA294" s="4"/>
      <c r="AB294" s="4"/>
    </row>
    <row r="295" ht="18.75" hidden="1" customHeight="1" outlineLevel="1">
      <c r="A295" s="12">
        <v>46305.0</v>
      </c>
      <c r="B295" s="13" t="str">
        <f t="shared" si="72"/>
        <v>sábado</v>
      </c>
      <c r="C295" s="13"/>
      <c r="D295" s="14">
        <f>SUMIF('ADV - GG'!A:A,A295,'ADV - GG'!C:C)+SUMIF('ADV - FB'!A:A,$A295,'ADV - FB'!E:E)</f>
        <v>0</v>
      </c>
      <c r="E295" s="19"/>
      <c r="F295" s="15" t="str">
        <f t="shared" si="32"/>
        <v/>
      </c>
      <c r="G295" s="14" t="str">
        <f t="shared" si="33"/>
        <v/>
      </c>
      <c r="H295" s="16" t="str">
        <f t="shared" si="73"/>
        <v/>
      </c>
      <c r="I295" s="14" t="str">
        <f t="shared" si="74"/>
        <v/>
      </c>
      <c r="J295" s="17"/>
      <c r="K295" s="22">
        <f>SUMIF('ADV - GA4'!A:A,A295,'ADV - GA4'!C:C)</f>
        <v>0</v>
      </c>
      <c r="L295" s="19" t="str">
        <f t="shared" si="34"/>
        <v/>
      </c>
      <c r="M295" s="20">
        <f t="shared" si="75"/>
        <v>11.29032258</v>
      </c>
      <c r="N295" s="14">
        <f t="shared" si="76"/>
        <v>11.29032258</v>
      </c>
      <c r="O295" s="15" t="str">
        <f>Planejador!$I$221</f>
        <v>#DIV/0!</v>
      </c>
      <c r="P295" s="14" t="str">
        <f>Planejador!$I$212</f>
        <v/>
      </c>
      <c r="Q295" s="16" t="str">
        <f>Planejador!$I$214</f>
        <v/>
      </c>
      <c r="R295" s="14" t="str">
        <f>Planejador!$I$218</f>
        <v>#DIV/0!</v>
      </c>
      <c r="S295" s="18">
        <f t="shared" si="77"/>
        <v>0</v>
      </c>
      <c r="T295" s="14" t="str">
        <f>Planejador!$I$213</f>
        <v/>
      </c>
      <c r="U295" s="4"/>
      <c r="V295" s="4"/>
      <c r="W295" s="4"/>
      <c r="X295" s="4"/>
      <c r="Y295" s="4"/>
      <c r="Z295" s="4"/>
      <c r="AA295" s="4"/>
      <c r="AB295" s="4"/>
    </row>
    <row r="296" ht="18.75" hidden="1" customHeight="1" outlineLevel="1">
      <c r="A296" s="12">
        <v>46306.0</v>
      </c>
      <c r="B296" s="13" t="str">
        <f t="shared" si="72"/>
        <v>domingo</v>
      </c>
      <c r="C296" s="13"/>
      <c r="D296" s="14">
        <f>SUMIF('ADV - GG'!A:A,A296,'ADV - GG'!C:C)+SUMIF('ADV - FB'!A:A,$A296,'ADV - FB'!E:E)</f>
        <v>0</v>
      </c>
      <c r="E296" s="19"/>
      <c r="F296" s="15" t="str">
        <f t="shared" si="32"/>
        <v/>
      </c>
      <c r="G296" s="14" t="str">
        <f t="shared" si="33"/>
        <v/>
      </c>
      <c r="H296" s="16" t="str">
        <f t="shared" si="73"/>
        <v/>
      </c>
      <c r="I296" s="14" t="str">
        <f t="shared" si="74"/>
        <v/>
      </c>
      <c r="J296" s="17"/>
      <c r="K296" s="22">
        <f>SUMIF('ADV - GA4'!A:A,A296,'ADV - GA4'!C:C)</f>
        <v>0</v>
      </c>
      <c r="L296" s="19" t="str">
        <f t="shared" si="34"/>
        <v/>
      </c>
      <c r="M296" s="20">
        <f t="shared" si="75"/>
        <v>11.29032258</v>
      </c>
      <c r="N296" s="14">
        <f t="shared" si="76"/>
        <v>11.29032258</v>
      </c>
      <c r="O296" s="15" t="str">
        <f>Planejador!$I$221</f>
        <v>#DIV/0!</v>
      </c>
      <c r="P296" s="14" t="str">
        <f>Planejador!$I$212</f>
        <v/>
      </c>
      <c r="Q296" s="16" t="str">
        <f>Planejador!$I$214</f>
        <v/>
      </c>
      <c r="R296" s="14" t="str">
        <f>Planejador!$I$218</f>
        <v>#DIV/0!</v>
      </c>
      <c r="S296" s="18">
        <f t="shared" si="77"/>
        <v>0</v>
      </c>
      <c r="T296" s="14" t="str">
        <f>Planejador!$I$213</f>
        <v/>
      </c>
      <c r="U296" s="4"/>
      <c r="V296" s="4"/>
      <c r="W296" s="4"/>
      <c r="X296" s="4"/>
      <c r="Y296" s="4"/>
      <c r="Z296" s="4"/>
      <c r="AA296" s="4"/>
      <c r="AB296" s="4"/>
    </row>
    <row r="297" ht="18.75" hidden="1" customHeight="1" outlineLevel="1">
      <c r="A297" s="12">
        <v>46307.0</v>
      </c>
      <c r="B297" s="13" t="str">
        <f t="shared" si="72"/>
        <v>segunda-feira</v>
      </c>
      <c r="C297" s="13"/>
      <c r="D297" s="14">
        <f>SUMIF('ADV - GG'!A:A,A297,'ADV - GG'!C:C)+SUMIF('ADV - FB'!A:A,$A297,'ADV - FB'!E:E)</f>
        <v>0</v>
      </c>
      <c r="E297" s="19"/>
      <c r="F297" s="15" t="str">
        <f t="shared" si="32"/>
        <v/>
      </c>
      <c r="G297" s="14" t="str">
        <f t="shared" si="33"/>
        <v/>
      </c>
      <c r="H297" s="16" t="str">
        <f t="shared" si="73"/>
        <v/>
      </c>
      <c r="I297" s="14" t="str">
        <f t="shared" si="74"/>
        <v/>
      </c>
      <c r="J297" s="17"/>
      <c r="K297" s="22">
        <f>SUMIF('ADV - GA4'!A:A,A297,'ADV - GA4'!C:C)</f>
        <v>0</v>
      </c>
      <c r="L297" s="19" t="str">
        <f t="shared" si="34"/>
        <v/>
      </c>
      <c r="M297" s="20">
        <f t="shared" si="75"/>
        <v>11.29032258</v>
      </c>
      <c r="N297" s="14">
        <f t="shared" si="76"/>
        <v>11.29032258</v>
      </c>
      <c r="O297" s="15" t="str">
        <f>Planejador!$I$221</f>
        <v>#DIV/0!</v>
      </c>
      <c r="P297" s="14" t="str">
        <f>Planejador!$I$212</f>
        <v/>
      </c>
      <c r="Q297" s="16" t="str">
        <f>Planejador!$I$214</f>
        <v/>
      </c>
      <c r="R297" s="14" t="str">
        <f>Planejador!$I$218</f>
        <v>#DIV/0!</v>
      </c>
      <c r="S297" s="18">
        <f t="shared" si="77"/>
        <v>0</v>
      </c>
      <c r="T297" s="14" t="str">
        <f>Planejador!$I$213</f>
        <v/>
      </c>
      <c r="U297" s="4"/>
      <c r="V297" s="4"/>
      <c r="W297" s="4"/>
      <c r="X297" s="4"/>
      <c r="Y297" s="4"/>
      <c r="Z297" s="4"/>
      <c r="AA297" s="4"/>
      <c r="AB297" s="4"/>
    </row>
    <row r="298" ht="18.75" hidden="1" customHeight="1" outlineLevel="1">
      <c r="A298" s="12">
        <v>46308.0</v>
      </c>
      <c r="B298" s="13" t="str">
        <f t="shared" si="72"/>
        <v>terça-feira</v>
      </c>
      <c r="C298" s="13"/>
      <c r="D298" s="14">
        <f>SUMIF('ADV - GG'!A:A,A298,'ADV - GG'!C:C)+SUMIF('ADV - FB'!A:A,$A298,'ADV - FB'!E:E)</f>
        <v>0</v>
      </c>
      <c r="E298" s="19"/>
      <c r="F298" s="15" t="str">
        <f t="shared" si="32"/>
        <v/>
      </c>
      <c r="G298" s="14" t="str">
        <f t="shared" si="33"/>
        <v/>
      </c>
      <c r="H298" s="16" t="str">
        <f t="shared" si="73"/>
        <v/>
      </c>
      <c r="I298" s="14" t="str">
        <f t="shared" si="74"/>
        <v/>
      </c>
      <c r="J298" s="17"/>
      <c r="K298" s="22">
        <f>SUMIF('ADV - GA4'!A:A,A298,'ADV - GA4'!C:C)</f>
        <v>0</v>
      </c>
      <c r="L298" s="19" t="str">
        <f t="shared" si="34"/>
        <v/>
      </c>
      <c r="M298" s="20">
        <f t="shared" si="75"/>
        <v>11.29032258</v>
      </c>
      <c r="N298" s="14">
        <f t="shared" si="76"/>
        <v>11.29032258</v>
      </c>
      <c r="O298" s="15" t="str">
        <f>Planejador!$I$221</f>
        <v>#DIV/0!</v>
      </c>
      <c r="P298" s="14" t="str">
        <f>Planejador!$I$212</f>
        <v/>
      </c>
      <c r="Q298" s="16" t="str">
        <f>Planejador!$I$214</f>
        <v/>
      </c>
      <c r="R298" s="14" t="str">
        <f>Planejador!$I$218</f>
        <v>#DIV/0!</v>
      </c>
      <c r="S298" s="18">
        <f t="shared" si="77"/>
        <v>0</v>
      </c>
      <c r="T298" s="14" t="str">
        <f>Planejador!$I$213</f>
        <v/>
      </c>
      <c r="U298" s="4"/>
      <c r="V298" s="4"/>
      <c r="W298" s="4"/>
      <c r="X298" s="4"/>
      <c r="Y298" s="4"/>
      <c r="Z298" s="4"/>
      <c r="AA298" s="4"/>
      <c r="AB298" s="4"/>
    </row>
    <row r="299" ht="18.75" hidden="1" customHeight="1" outlineLevel="1">
      <c r="A299" s="12">
        <v>46309.0</v>
      </c>
      <c r="B299" s="13" t="str">
        <f t="shared" si="72"/>
        <v>quarta-feira</v>
      </c>
      <c r="C299" s="13"/>
      <c r="D299" s="14">
        <f>SUMIF('ADV - GG'!A:A,A299,'ADV - GG'!C:C)+SUMIF('ADV - FB'!A:A,$A299,'ADV - FB'!E:E)</f>
        <v>0</v>
      </c>
      <c r="E299" s="19"/>
      <c r="F299" s="15" t="str">
        <f t="shared" si="32"/>
        <v/>
      </c>
      <c r="G299" s="14" t="str">
        <f t="shared" si="33"/>
        <v/>
      </c>
      <c r="H299" s="16" t="str">
        <f t="shared" si="73"/>
        <v/>
      </c>
      <c r="I299" s="14" t="str">
        <f t="shared" si="74"/>
        <v/>
      </c>
      <c r="J299" s="17"/>
      <c r="K299" s="22">
        <f>SUMIF('ADV - GA4'!A:A,A299,'ADV - GA4'!C:C)</f>
        <v>0</v>
      </c>
      <c r="L299" s="19" t="str">
        <f t="shared" si="34"/>
        <v/>
      </c>
      <c r="M299" s="20">
        <f t="shared" si="75"/>
        <v>11.29032258</v>
      </c>
      <c r="N299" s="14">
        <f t="shared" si="76"/>
        <v>11.29032258</v>
      </c>
      <c r="O299" s="15" t="str">
        <f>Planejador!$I$221</f>
        <v>#DIV/0!</v>
      </c>
      <c r="P299" s="14" t="str">
        <f>Planejador!$I$212</f>
        <v/>
      </c>
      <c r="Q299" s="16" t="str">
        <f>Planejador!$I$214</f>
        <v/>
      </c>
      <c r="R299" s="14" t="str">
        <f>Planejador!$I$218</f>
        <v>#DIV/0!</v>
      </c>
      <c r="S299" s="18">
        <f t="shared" si="77"/>
        <v>0</v>
      </c>
      <c r="T299" s="14" t="str">
        <f>Planejador!$I$213</f>
        <v/>
      </c>
      <c r="U299" s="4"/>
      <c r="V299" s="4"/>
      <c r="W299" s="4"/>
      <c r="X299" s="4"/>
      <c r="Y299" s="4"/>
      <c r="Z299" s="4"/>
      <c r="AA299" s="4"/>
      <c r="AB299" s="4"/>
    </row>
    <row r="300" ht="18.75" hidden="1" customHeight="1" outlineLevel="1">
      <c r="A300" s="12">
        <v>46310.0</v>
      </c>
      <c r="B300" s="13" t="str">
        <f t="shared" si="72"/>
        <v>quinta-feira</v>
      </c>
      <c r="C300" s="13"/>
      <c r="D300" s="14">
        <f>SUMIF('ADV - GG'!A:A,A300,'ADV - GG'!C:C)+SUMIF('ADV - FB'!A:A,$A300,'ADV - FB'!E:E)</f>
        <v>0</v>
      </c>
      <c r="E300" s="19"/>
      <c r="F300" s="15" t="str">
        <f t="shared" si="32"/>
        <v/>
      </c>
      <c r="G300" s="14" t="str">
        <f t="shared" si="33"/>
        <v/>
      </c>
      <c r="H300" s="16" t="str">
        <f t="shared" si="73"/>
        <v/>
      </c>
      <c r="I300" s="14" t="str">
        <f t="shared" si="74"/>
        <v/>
      </c>
      <c r="J300" s="17"/>
      <c r="K300" s="22">
        <f>SUMIF('ADV - GA4'!A:A,A300,'ADV - GA4'!C:C)</f>
        <v>0</v>
      </c>
      <c r="L300" s="19" t="str">
        <f t="shared" si="34"/>
        <v/>
      </c>
      <c r="M300" s="20">
        <f t="shared" si="75"/>
        <v>11.29032258</v>
      </c>
      <c r="N300" s="14">
        <f t="shared" si="76"/>
        <v>11.29032258</v>
      </c>
      <c r="O300" s="15" t="str">
        <f>Planejador!$I$221</f>
        <v>#DIV/0!</v>
      </c>
      <c r="P300" s="14" t="str">
        <f>Planejador!$I$212</f>
        <v/>
      </c>
      <c r="Q300" s="16" t="str">
        <f>Planejador!$I$214</f>
        <v/>
      </c>
      <c r="R300" s="14" t="str">
        <f>Planejador!$I$218</f>
        <v>#DIV/0!</v>
      </c>
      <c r="S300" s="18">
        <f t="shared" si="77"/>
        <v>0</v>
      </c>
      <c r="T300" s="14" t="str">
        <f>Planejador!$I$213</f>
        <v/>
      </c>
      <c r="U300" s="4"/>
      <c r="V300" s="4"/>
      <c r="W300" s="4"/>
      <c r="X300" s="4"/>
      <c r="Y300" s="4"/>
      <c r="Z300" s="4"/>
      <c r="AA300" s="4"/>
      <c r="AB300" s="4"/>
    </row>
    <row r="301" ht="18.75" hidden="1" customHeight="1" outlineLevel="1">
      <c r="A301" s="12">
        <v>46311.0</v>
      </c>
      <c r="B301" s="13" t="str">
        <f t="shared" si="72"/>
        <v>sexta-feira</v>
      </c>
      <c r="C301" s="13"/>
      <c r="D301" s="14">
        <f>SUMIF('ADV - GG'!A:A,A301,'ADV - GG'!C:C)+SUMIF('ADV - FB'!A:A,$A301,'ADV - FB'!E:E)</f>
        <v>0</v>
      </c>
      <c r="E301" s="19"/>
      <c r="F301" s="15" t="str">
        <f t="shared" si="32"/>
        <v/>
      </c>
      <c r="G301" s="14" t="str">
        <f t="shared" si="33"/>
        <v/>
      </c>
      <c r="H301" s="16" t="str">
        <f t="shared" si="73"/>
        <v/>
      </c>
      <c r="I301" s="14" t="str">
        <f t="shared" si="74"/>
        <v/>
      </c>
      <c r="J301" s="17"/>
      <c r="K301" s="22">
        <f>SUMIF('ADV - GA4'!A:A,A301,'ADV - GA4'!C:C)</f>
        <v>0</v>
      </c>
      <c r="L301" s="19" t="str">
        <f t="shared" si="34"/>
        <v/>
      </c>
      <c r="M301" s="20">
        <f t="shared" si="75"/>
        <v>11.29032258</v>
      </c>
      <c r="N301" s="14">
        <f t="shared" si="76"/>
        <v>11.29032258</v>
      </c>
      <c r="O301" s="15" t="str">
        <f>Planejador!$I$221</f>
        <v>#DIV/0!</v>
      </c>
      <c r="P301" s="14" t="str">
        <f>Planejador!$I$212</f>
        <v/>
      </c>
      <c r="Q301" s="16" t="str">
        <f>Planejador!$I$214</f>
        <v/>
      </c>
      <c r="R301" s="14" t="str">
        <f>Planejador!$I$218</f>
        <v>#DIV/0!</v>
      </c>
      <c r="S301" s="18">
        <f t="shared" si="77"/>
        <v>0</v>
      </c>
      <c r="T301" s="14" t="str">
        <f>Planejador!$I$213</f>
        <v/>
      </c>
      <c r="U301" s="4"/>
      <c r="V301" s="4"/>
      <c r="W301" s="4"/>
      <c r="X301" s="4"/>
      <c r="Y301" s="4"/>
      <c r="Z301" s="4"/>
      <c r="AA301" s="4"/>
      <c r="AB301" s="4"/>
    </row>
    <row r="302" ht="18.75" hidden="1" customHeight="1" outlineLevel="1">
      <c r="A302" s="12">
        <v>46312.0</v>
      </c>
      <c r="B302" s="13" t="str">
        <f t="shared" si="72"/>
        <v>sábado</v>
      </c>
      <c r="C302" s="13"/>
      <c r="D302" s="14">
        <f>SUMIF('ADV - GG'!A:A,A302,'ADV - GG'!C:C)+SUMIF('ADV - FB'!A:A,$A302,'ADV - FB'!E:E)</f>
        <v>0</v>
      </c>
      <c r="E302" s="19"/>
      <c r="F302" s="15" t="str">
        <f t="shared" si="32"/>
        <v/>
      </c>
      <c r="G302" s="14" t="str">
        <f t="shared" si="33"/>
        <v/>
      </c>
      <c r="H302" s="16" t="str">
        <f t="shared" si="73"/>
        <v/>
      </c>
      <c r="I302" s="14" t="str">
        <f t="shared" si="74"/>
        <v/>
      </c>
      <c r="J302" s="17"/>
      <c r="K302" s="22">
        <f>SUMIF('ADV - GA4'!A:A,A302,'ADV - GA4'!C:C)</f>
        <v>0</v>
      </c>
      <c r="L302" s="19" t="str">
        <f t="shared" si="34"/>
        <v/>
      </c>
      <c r="M302" s="20">
        <f t="shared" si="75"/>
        <v>11.29032258</v>
      </c>
      <c r="N302" s="14">
        <f t="shared" si="76"/>
        <v>11.29032258</v>
      </c>
      <c r="O302" s="15" t="str">
        <f>Planejador!$I$221</f>
        <v>#DIV/0!</v>
      </c>
      <c r="P302" s="14" t="str">
        <f>Planejador!$I$212</f>
        <v/>
      </c>
      <c r="Q302" s="16" t="str">
        <f>Planejador!$I$214</f>
        <v/>
      </c>
      <c r="R302" s="14" t="str">
        <f>Planejador!$I$218</f>
        <v>#DIV/0!</v>
      </c>
      <c r="S302" s="18">
        <f t="shared" si="77"/>
        <v>0</v>
      </c>
      <c r="T302" s="14" t="str">
        <f>Planejador!$I$213</f>
        <v/>
      </c>
      <c r="U302" s="4"/>
      <c r="V302" s="4"/>
      <c r="W302" s="4"/>
      <c r="X302" s="4"/>
      <c r="Y302" s="4"/>
      <c r="Z302" s="4"/>
      <c r="AA302" s="4"/>
      <c r="AB302" s="4"/>
    </row>
    <row r="303" ht="18.75" hidden="1" customHeight="1" outlineLevel="1">
      <c r="A303" s="12">
        <v>46313.0</v>
      </c>
      <c r="B303" s="13" t="str">
        <f t="shared" si="72"/>
        <v>domingo</v>
      </c>
      <c r="C303" s="13"/>
      <c r="D303" s="14">
        <f>SUMIF('ADV - GG'!A:A,A303,'ADV - GG'!C:C)+SUMIF('ADV - FB'!A:A,$A303,'ADV - FB'!E:E)</f>
        <v>0</v>
      </c>
      <c r="E303" s="19"/>
      <c r="F303" s="15" t="str">
        <f t="shared" si="32"/>
        <v/>
      </c>
      <c r="G303" s="14" t="str">
        <f t="shared" si="33"/>
        <v/>
      </c>
      <c r="H303" s="16" t="str">
        <f t="shared" si="73"/>
        <v/>
      </c>
      <c r="I303" s="14" t="str">
        <f t="shared" si="74"/>
        <v/>
      </c>
      <c r="J303" s="17"/>
      <c r="K303" s="22">
        <f>SUMIF('ADV - GA4'!A:A,A303,'ADV - GA4'!C:C)</f>
        <v>0</v>
      </c>
      <c r="L303" s="19" t="str">
        <f t="shared" si="34"/>
        <v/>
      </c>
      <c r="M303" s="20">
        <f t="shared" si="75"/>
        <v>11.29032258</v>
      </c>
      <c r="N303" s="14">
        <f t="shared" si="76"/>
        <v>11.29032258</v>
      </c>
      <c r="O303" s="15" t="str">
        <f>Planejador!$I$221</f>
        <v>#DIV/0!</v>
      </c>
      <c r="P303" s="14" t="str">
        <f>Planejador!$I$212</f>
        <v/>
      </c>
      <c r="Q303" s="16" t="str">
        <f>Planejador!$I$214</f>
        <v/>
      </c>
      <c r="R303" s="14" t="str">
        <f>Planejador!$I$218</f>
        <v>#DIV/0!</v>
      </c>
      <c r="S303" s="18">
        <f t="shared" si="77"/>
        <v>0</v>
      </c>
      <c r="T303" s="14" t="str">
        <f>Planejador!$I$213</f>
        <v/>
      </c>
      <c r="U303" s="4"/>
      <c r="V303" s="4"/>
      <c r="W303" s="4"/>
      <c r="X303" s="4"/>
      <c r="Y303" s="4"/>
      <c r="Z303" s="4"/>
      <c r="AA303" s="4"/>
      <c r="AB303" s="4"/>
    </row>
    <row r="304" ht="18.75" hidden="1" customHeight="1" outlineLevel="1">
      <c r="A304" s="12">
        <v>46314.0</v>
      </c>
      <c r="B304" s="13" t="str">
        <f t="shared" si="72"/>
        <v>segunda-feira</v>
      </c>
      <c r="C304" s="13"/>
      <c r="D304" s="14">
        <f>SUMIF('ADV - GG'!A:A,A304,'ADV - GG'!C:C)+SUMIF('ADV - FB'!A:A,$A304,'ADV - FB'!E:E)</f>
        <v>0</v>
      </c>
      <c r="E304" s="19"/>
      <c r="F304" s="15" t="str">
        <f t="shared" si="32"/>
        <v/>
      </c>
      <c r="G304" s="14" t="str">
        <f t="shared" si="33"/>
        <v/>
      </c>
      <c r="H304" s="16" t="str">
        <f t="shared" si="73"/>
        <v/>
      </c>
      <c r="I304" s="14" t="str">
        <f t="shared" si="74"/>
        <v/>
      </c>
      <c r="J304" s="17"/>
      <c r="K304" s="22">
        <f>SUMIF('ADV - GA4'!A:A,A304,'ADV - GA4'!C:C)</f>
        <v>0</v>
      </c>
      <c r="L304" s="19" t="str">
        <f t="shared" si="34"/>
        <v/>
      </c>
      <c r="M304" s="20">
        <f t="shared" si="75"/>
        <v>11.29032258</v>
      </c>
      <c r="N304" s="14">
        <f t="shared" si="76"/>
        <v>11.29032258</v>
      </c>
      <c r="O304" s="15" t="str">
        <f>Planejador!$I$221</f>
        <v>#DIV/0!</v>
      </c>
      <c r="P304" s="14" t="str">
        <f>Planejador!$I$212</f>
        <v/>
      </c>
      <c r="Q304" s="16" t="str">
        <f>Planejador!$I$214</f>
        <v/>
      </c>
      <c r="R304" s="14" t="str">
        <f>Planejador!$I$218</f>
        <v>#DIV/0!</v>
      </c>
      <c r="S304" s="18">
        <f t="shared" si="77"/>
        <v>0</v>
      </c>
      <c r="T304" s="14" t="str">
        <f>Planejador!$I$213</f>
        <v/>
      </c>
      <c r="U304" s="4"/>
      <c r="V304" s="4"/>
      <c r="W304" s="4"/>
      <c r="X304" s="4"/>
      <c r="Y304" s="4"/>
      <c r="Z304" s="4"/>
      <c r="AA304" s="4"/>
      <c r="AB304" s="4"/>
    </row>
    <row r="305" ht="18.75" hidden="1" customHeight="1" outlineLevel="1">
      <c r="A305" s="12">
        <v>46315.0</v>
      </c>
      <c r="B305" s="13" t="str">
        <f t="shared" si="72"/>
        <v>terça-feira</v>
      </c>
      <c r="C305" s="13"/>
      <c r="D305" s="14">
        <f>SUMIF('ADV - GG'!A:A,A305,'ADV - GG'!C:C)+SUMIF('ADV - FB'!A:A,$A305,'ADV - FB'!E:E)</f>
        <v>0</v>
      </c>
      <c r="E305" s="19"/>
      <c r="F305" s="15" t="str">
        <f t="shared" si="32"/>
        <v/>
      </c>
      <c r="G305" s="14" t="str">
        <f t="shared" si="33"/>
        <v/>
      </c>
      <c r="H305" s="16" t="str">
        <f t="shared" si="73"/>
        <v/>
      </c>
      <c r="I305" s="14" t="str">
        <f t="shared" si="74"/>
        <v/>
      </c>
      <c r="J305" s="17"/>
      <c r="K305" s="22">
        <f>SUMIF('ADV - GA4'!A:A,A305,'ADV - GA4'!C:C)</f>
        <v>0</v>
      </c>
      <c r="L305" s="19" t="str">
        <f t="shared" si="34"/>
        <v/>
      </c>
      <c r="M305" s="20">
        <f t="shared" si="75"/>
        <v>11.29032258</v>
      </c>
      <c r="N305" s="14">
        <f t="shared" si="76"/>
        <v>11.29032258</v>
      </c>
      <c r="O305" s="15" t="str">
        <f>Planejador!$I$221</f>
        <v>#DIV/0!</v>
      </c>
      <c r="P305" s="14" t="str">
        <f>Planejador!$I$212</f>
        <v/>
      </c>
      <c r="Q305" s="16" t="str">
        <f>Planejador!$I$214</f>
        <v/>
      </c>
      <c r="R305" s="14" t="str">
        <f>Planejador!$I$218</f>
        <v>#DIV/0!</v>
      </c>
      <c r="S305" s="18">
        <f t="shared" si="77"/>
        <v>0</v>
      </c>
      <c r="T305" s="14" t="str">
        <f>Planejador!$I$213</f>
        <v/>
      </c>
      <c r="U305" s="4"/>
      <c r="V305" s="4"/>
      <c r="W305" s="4"/>
      <c r="X305" s="4"/>
      <c r="Y305" s="4"/>
      <c r="Z305" s="4"/>
      <c r="AA305" s="4"/>
      <c r="AB305" s="4"/>
    </row>
    <row r="306" ht="18.75" hidden="1" customHeight="1" outlineLevel="1">
      <c r="A306" s="12">
        <v>46316.0</v>
      </c>
      <c r="B306" s="13" t="str">
        <f t="shared" si="72"/>
        <v>quarta-feira</v>
      </c>
      <c r="C306" s="13"/>
      <c r="D306" s="14">
        <f>SUMIF('ADV - GG'!A:A,A306,'ADV - GG'!C:C)+SUMIF('ADV - FB'!A:A,$A306,'ADV - FB'!E:E)</f>
        <v>0</v>
      </c>
      <c r="E306" s="19"/>
      <c r="F306" s="15" t="str">
        <f t="shared" si="32"/>
        <v/>
      </c>
      <c r="G306" s="14" t="str">
        <f t="shared" si="33"/>
        <v/>
      </c>
      <c r="H306" s="16" t="str">
        <f t="shared" si="73"/>
        <v/>
      </c>
      <c r="I306" s="14" t="str">
        <f t="shared" si="74"/>
        <v/>
      </c>
      <c r="J306" s="17"/>
      <c r="K306" s="22">
        <f>SUMIF('ADV - GA4'!A:A,A306,'ADV - GA4'!C:C)</f>
        <v>0</v>
      </c>
      <c r="L306" s="19" t="str">
        <f t="shared" si="34"/>
        <v/>
      </c>
      <c r="M306" s="20">
        <f t="shared" si="75"/>
        <v>11.29032258</v>
      </c>
      <c r="N306" s="14">
        <f t="shared" si="76"/>
        <v>11.29032258</v>
      </c>
      <c r="O306" s="15" t="str">
        <f>Planejador!$I$221</f>
        <v>#DIV/0!</v>
      </c>
      <c r="P306" s="14" t="str">
        <f>Planejador!$I$212</f>
        <v/>
      </c>
      <c r="Q306" s="16" t="str">
        <f>Planejador!$I$214</f>
        <v/>
      </c>
      <c r="R306" s="14" t="str">
        <f>Planejador!$I$218</f>
        <v>#DIV/0!</v>
      </c>
      <c r="S306" s="18">
        <f t="shared" si="77"/>
        <v>0</v>
      </c>
      <c r="T306" s="14" t="str">
        <f>Planejador!$I$213</f>
        <v/>
      </c>
      <c r="U306" s="4"/>
      <c r="V306" s="4"/>
      <c r="W306" s="4"/>
      <c r="X306" s="4"/>
      <c r="Y306" s="4"/>
      <c r="Z306" s="4"/>
      <c r="AA306" s="4"/>
      <c r="AB306" s="4"/>
    </row>
    <row r="307" ht="18.75" hidden="1" customHeight="1" outlineLevel="1">
      <c r="A307" s="12">
        <v>46317.0</v>
      </c>
      <c r="B307" s="13" t="str">
        <f t="shared" si="72"/>
        <v>quinta-feira</v>
      </c>
      <c r="C307" s="13"/>
      <c r="D307" s="14">
        <f>SUMIF('ADV - GG'!A:A,A307,'ADV - GG'!C:C)+SUMIF('ADV - FB'!A:A,$A307,'ADV - FB'!E:E)</f>
        <v>0</v>
      </c>
      <c r="E307" s="19"/>
      <c r="F307" s="15" t="str">
        <f t="shared" si="32"/>
        <v/>
      </c>
      <c r="G307" s="14">
        <f t="shared" si="33"/>
        <v>0</v>
      </c>
      <c r="H307" s="16">
        <f t="shared" si="73"/>
        <v>0</v>
      </c>
      <c r="I307" s="14" t="str">
        <f t="shared" si="74"/>
        <v/>
      </c>
      <c r="J307" s="17"/>
      <c r="K307" s="37">
        <v>13.0</v>
      </c>
      <c r="L307" s="19" t="str">
        <f t="shared" si="34"/>
        <v/>
      </c>
      <c r="M307" s="20">
        <f t="shared" si="75"/>
        <v>11.29032258</v>
      </c>
      <c r="N307" s="14">
        <f t="shared" si="76"/>
        <v>11.29032258</v>
      </c>
      <c r="O307" s="15" t="str">
        <f>Planejador!$I$221</f>
        <v>#DIV/0!</v>
      </c>
      <c r="P307" s="14" t="str">
        <f>Planejador!$I$212</f>
        <v/>
      </c>
      <c r="Q307" s="16" t="str">
        <f>Planejador!$I$214</f>
        <v/>
      </c>
      <c r="R307" s="14" t="str">
        <f>Planejador!$I$218</f>
        <v>#DIV/0!</v>
      </c>
      <c r="S307" s="18">
        <f t="shared" si="77"/>
        <v>0</v>
      </c>
      <c r="T307" s="14" t="str">
        <f>Planejador!$I$213</f>
        <v/>
      </c>
      <c r="U307" s="4"/>
      <c r="V307" s="4"/>
      <c r="W307" s="4"/>
      <c r="X307" s="4"/>
      <c r="Y307" s="4"/>
      <c r="Z307" s="4"/>
      <c r="AA307" s="4"/>
      <c r="AB307" s="4"/>
    </row>
    <row r="308" ht="18.75" hidden="1" customHeight="1" outlineLevel="1">
      <c r="A308" s="12">
        <v>46318.0</v>
      </c>
      <c r="B308" s="13" t="str">
        <f t="shared" si="72"/>
        <v>sexta-feira</v>
      </c>
      <c r="C308" s="13"/>
      <c r="D308" s="14">
        <f>SUMIF('ADV - GG'!A:A,A308,'ADV - GG'!C:C)+SUMIF('ADV - FB'!A:A,$A308,'ADV - FB'!E:E)</f>
        <v>0</v>
      </c>
      <c r="E308" s="19"/>
      <c r="F308" s="15" t="str">
        <f t="shared" si="32"/>
        <v/>
      </c>
      <c r="G308" s="14">
        <f t="shared" si="33"/>
        <v>0</v>
      </c>
      <c r="H308" s="16">
        <f t="shared" si="73"/>
        <v>0</v>
      </c>
      <c r="I308" s="14" t="str">
        <f t="shared" si="74"/>
        <v/>
      </c>
      <c r="J308" s="17"/>
      <c r="K308" s="37">
        <v>12.0</v>
      </c>
      <c r="L308" s="19" t="str">
        <f t="shared" si="34"/>
        <v/>
      </c>
      <c r="M308" s="20">
        <f t="shared" si="75"/>
        <v>11.29032258</v>
      </c>
      <c r="N308" s="14">
        <f t="shared" si="76"/>
        <v>11.29032258</v>
      </c>
      <c r="O308" s="15" t="str">
        <f>Planejador!$I$221</f>
        <v>#DIV/0!</v>
      </c>
      <c r="P308" s="14" t="str">
        <f>Planejador!$I$212</f>
        <v/>
      </c>
      <c r="Q308" s="16" t="str">
        <f>Planejador!$I$214</f>
        <v/>
      </c>
      <c r="R308" s="14" t="str">
        <f>Planejador!$I$218</f>
        <v>#DIV/0!</v>
      </c>
      <c r="S308" s="18">
        <f t="shared" si="77"/>
        <v>0</v>
      </c>
      <c r="T308" s="14" t="str">
        <f>Planejador!$I$213</f>
        <v/>
      </c>
      <c r="U308" s="4"/>
      <c r="V308" s="4"/>
      <c r="W308" s="4"/>
      <c r="X308" s="4"/>
      <c r="Y308" s="4"/>
      <c r="Z308" s="4"/>
      <c r="AA308" s="4"/>
      <c r="AB308" s="4"/>
    </row>
    <row r="309" ht="18.75" hidden="1" customHeight="1" outlineLevel="1">
      <c r="A309" s="12">
        <v>46319.0</v>
      </c>
      <c r="B309" s="13" t="str">
        <f t="shared" si="72"/>
        <v>sábado</v>
      </c>
      <c r="C309" s="13"/>
      <c r="D309" s="14">
        <f>SUMIF('ADV - GG'!A:A,A309,'ADV - GG'!C:C)+SUMIF('ADV - FB'!A:A,$A309,'ADV - FB'!E:E)</f>
        <v>0</v>
      </c>
      <c r="E309" s="19"/>
      <c r="F309" s="15" t="str">
        <f t="shared" si="32"/>
        <v/>
      </c>
      <c r="G309" s="14">
        <f t="shared" si="33"/>
        <v>0</v>
      </c>
      <c r="H309" s="16">
        <f t="shared" si="73"/>
        <v>0</v>
      </c>
      <c r="I309" s="14" t="str">
        <f t="shared" si="74"/>
        <v/>
      </c>
      <c r="J309" s="17"/>
      <c r="K309" s="37">
        <v>10.0</v>
      </c>
      <c r="L309" s="19" t="str">
        <f t="shared" si="34"/>
        <v/>
      </c>
      <c r="M309" s="20">
        <f t="shared" si="75"/>
        <v>11.29032258</v>
      </c>
      <c r="N309" s="14">
        <f t="shared" si="76"/>
        <v>11.29032258</v>
      </c>
      <c r="O309" s="15" t="str">
        <f>Planejador!$I$221</f>
        <v>#DIV/0!</v>
      </c>
      <c r="P309" s="14" t="str">
        <f>Planejador!$I$212</f>
        <v/>
      </c>
      <c r="Q309" s="16" t="str">
        <f>Planejador!$I$214</f>
        <v/>
      </c>
      <c r="R309" s="14" t="str">
        <f>Planejador!$I$218</f>
        <v>#DIV/0!</v>
      </c>
      <c r="S309" s="18">
        <f t="shared" si="77"/>
        <v>0</v>
      </c>
      <c r="T309" s="14" t="str">
        <f>Planejador!$I$213</f>
        <v/>
      </c>
      <c r="U309" s="4"/>
      <c r="V309" s="4"/>
      <c r="W309" s="4"/>
      <c r="X309" s="4"/>
      <c r="Y309" s="4"/>
      <c r="Z309" s="4"/>
      <c r="AA309" s="4"/>
      <c r="AB309" s="4"/>
    </row>
    <row r="310" ht="18.75" hidden="1" customHeight="1" outlineLevel="1">
      <c r="A310" s="12">
        <v>46320.0</v>
      </c>
      <c r="B310" s="13" t="str">
        <f t="shared" si="72"/>
        <v>domingo</v>
      </c>
      <c r="C310" s="13"/>
      <c r="D310" s="14">
        <f>SUMIF('ADV - GG'!A:A,A310,'ADV - GG'!C:C)+SUMIF('ADV - FB'!A:A,$A310,'ADV - FB'!E:E)</f>
        <v>0</v>
      </c>
      <c r="E310" s="19"/>
      <c r="F310" s="15" t="str">
        <f t="shared" si="32"/>
        <v/>
      </c>
      <c r="G310" s="14">
        <f t="shared" si="33"/>
        <v>0</v>
      </c>
      <c r="H310" s="16">
        <f t="shared" si="73"/>
        <v>0</v>
      </c>
      <c r="I310" s="14" t="str">
        <f t="shared" si="74"/>
        <v/>
      </c>
      <c r="J310" s="17"/>
      <c r="K310" s="37">
        <v>15.0</v>
      </c>
      <c r="L310" s="19" t="str">
        <f t="shared" si="34"/>
        <v/>
      </c>
      <c r="M310" s="20">
        <f t="shared" si="75"/>
        <v>11.29032258</v>
      </c>
      <c r="N310" s="14">
        <f t="shared" si="76"/>
        <v>11.29032258</v>
      </c>
      <c r="O310" s="15" t="str">
        <f>Planejador!$I$221</f>
        <v>#DIV/0!</v>
      </c>
      <c r="P310" s="14" t="str">
        <f>Planejador!$I$212</f>
        <v/>
      </c>
      <c r="Q310" s="16" t="str">
        <f>Planejador!$I$214</f>
        <v/>
      </c>
      <c r="R310" s="14" t="str">
        <f>Planejador!$I$218</f>
        <v>#DIV/0!</v>
      </c>
      <c r="S310" s="18">
        <f t="shared" si="77"/>
        <v>0</v>
      </c>
      <c r="T310" s="14" t="str">
        <f>Planejador!$I$213</f>
        <v/>
      </c>
      <c r="U310" s="4"/>
      <c r="V310" s="4"/>
      <c r="W310" s="4"/>
      <c r="X310" s="4"/>
      <c r="Y310" s="4"/>
      <c r="Z310" s="4"/>
      <c r="AA310" s="4"/>
      <c r="AB310" s="4"/>
    </row>
    <row r="311" ht="18.75" hidden="1" customHeight="1" outlineLevel="1">
      <c r="A311" s="12">
        <v>46321.0</v>
      </c>
      <c r="B311" s="13" t="str">
        <f t="shared" si="72"/>
        <v>segunda-feira</v>
      </c>
      <c r="C311" s="13"/>
      <c r="D311" s="14">
        <f>SUMIF('ADV - GG'!A:A,A311,'ADV - GG'!C:C)+SUMIF('ADV - FB'!A:A,$A311,'ADV - FB'!E:E)</f>
        <v>0</v>
      </c>
      <c r="E311" s="24">
        <v>153.57</v>
      </c>
      <c r="F311" s="15" t="str">
        <f t="shared" si="32"/>
        <v/>
      </c>
      <c r="G311" s="14">
        <f t="shared" si="33"/>
        <v>0</v>
      </c>
      <c r="H311" s="16">
        <f t="shared" si="73"/>
        <v>0.05882352941</v>
      </c>
      <c r="I311" s="14">
        <f t="shared" si="74"/>
        <v>0</v>
      </c>
      <c r="J311" s="38">
        <v>1.0</v>
      </c>
      <c r="K311" s="37">
        <v>17.0</v>
      </c>
      <c r="L311" s="19">
        <f t="shared" si="34"/>
        <v>153.57</v>
      </c>
      <c r="M311" s="20">
        <f t="shared" si="75"/>
        <v>11.29032258</v>
      </c>
      <c r="N311" s="14">
        <f t="shared" si="76"/>
        <v>11.29032258</v>
      </c>
      <c r="O311" s="15" t="str">
        <f>Planejador!$I$221</f>
        <v>#DIV/0!</v>
      </c>
      <c r="P311" s="14" t="str">
        <f>Planejador!$I$212</f>
        <v/>
      </c>
      <c r="Q311" s="16" t="str">
        <f>Planejador!$I$214</f>
        <v/>
      </c>
      <c r="R311" s="14" t="str">
        <f>Planejador!$I$218</f>
        <v>#DIV/0!</v>
      </c>
      <c r="S311" s="18">
        <f t="shared" si="77"/>
        <v>0</v>
      </c>
      <c r="T311" s="14" t="str">
        <f>Planejador!$I$213</f>
        <v/>
      </c>
      <c r="U311" s="4"/>
      <c r="V311" s="4"/>
      <c r="W311" s="4"/>
      <c r="X311" s="4"/>
      <c r="Y311" s="4"/>
      <c r="Z311" s="4"/>
      <c r="AA311" s="4"/>
      <c r="AB311" s="4"/>
    </row>
    <row r="312" ht="18.75" hidden="1" customHeight="1" outlineLevel="1">
      <c r="A312" s="12">
        <v>46322.0</v>
      </c>
      <c r="B312" s="13" t="str">
        <f t="shared" si="72"/>
        <v>terça-feira</v>
      </c>
      <c r="C312" s="13"/>
      <c r="D312" s="14">
        <f>SUMIF('ADV - GG'!A:A,A312,'ADV - GG'!C:C)+SUMIF('ADV - FB'!A:A,$A312,'ADV - FB'!E:E)</f>
        <v>0</v>
      </c>
      <c r="E312" s="19"/>
      <c r="F312" s="15" t="str">
        <f t="shared" si="32"/>
        <v/>
      </c>
      <c r="G312" s="14" t="str">
        <f t="shared" si="33"/>
        <v/>
      </c>
      <c r="H312" s="16" t="str">
        <f t="shared" si="73"/>
        <v/>
      </c>
      <c r="I312" s="14" t="str">
        <f t="shared" si="74"/>
        <v/>
      </c>
      <c r="J312" s="17"/>
      <c r="K312" s="22">
        <f>SUMIF('ADV - GA4'!A:A,A312,'ADV - GA4'!C:C)</f>
        <v>0</v>
      </c>
      <c r="L312" s="19" t="str">
        <f t="shared" si="34"/>
        <v/>
      </c>
      <c r="M312" s="20">
        <f t="shared" si="75"/>
        <v>11.29032258</v>
      </c>
      <c r="N312" s="14">
        <f t="shared" si="76"/>
        <v>11.29032258</v>
      </c>
      <c r="O312" s="15" t="str">
        <f>Planejador!$I$221</f>
        <v>#DIV/0!</v>
      </c>
      <c r="P312" s="14" t="str">
        <f>Planejador!$I$212</f>
        <v/>
      </c>
      <c r="Q312" s="16" t="str">
        <f>Planejador!$I$214</f>
        <v/>
      </c>
      <c r="R312" s="14" t="str">
        <f>Planejador!$I$218</f>
        <v>#DIV/0!</v>
      </c>
      <c r="S312" s="18">
        <f t="shared" si="77"/>
        <v>0</v>
      </c>
      <c r="T312" s="14" t="str">
        <f>Planejador!$I$213</f>
        <v/>
      </c>
      <c r="U312" s="4"/>
      <c r="V312" s="4"/>
      <c r="W312" s="4"/>
      <c r="X312" s="4"/>
      <c r="Y312" s="4"/>
      <c r="Z312" s="4"/>
      <c r="AA312" s="4"/>
      <c r="AB312" s="4"/>
    </row>
    <row r="313" ht="18.75" hidden="1" customHeight="1" outlineLevel="1">
      <c r="A313" s="12">
        <v>46323.0</v>
      </c>
      <c r="B313" s="13" t="str">
        <f t="shared" si="72"/>
        <v>quarta-feira</v>
      </c>
      <c r="C313" s="13"/>
      <c r="D313" s="14">
        <f>SUMIF('ADV - GG'!A:A,A313,'ADV - GG'!C:C)+SUMIF('ADV - FB'!A:A,$A313,'ADV - FB'!E:E)</f>
        <v>0</v>
      </c>
      <c r="E313" s="19"/>
      <c r="F313" s="15" t="str">
        <f t="shared" si="32"/>
        <v/>
      </c>
      <c r="G313" s="14" t="str">
        <f t="shared" si="33"/>
        <v/>
      </c>
      <c r="H313" s="16" t="str">
        <f t="shared" si="73"/>
        <v/>
      </c>
      <c r="I313" s="14" t="str">
        <f t="shared" si="74"/>
        <v/>
      </c>
      <c r="J313" s="17"/>
      <c r="K313" s="22">
        <f>SUMIF('ADV - GA4'!A:A,A313,'ADV - GA4'!C:C)</f>
        <v>0</v>
      </c>
      <c r="L313" s="19" t="str">
        <f t="shared" si="34"/>
        <v/>
      </c>
      <c r="M313" s="20">
        <f t="shared" si="75"/>
        <v>11.29032258</v>
      </c>
      <c r="N313" s="14">
        <f t="shared" si="76"/>
        <v>11.29032258</v>
      </c>
      <c r="O313" s="15" t="str">
        <f>Planejador!$I$221</f>
        <v>#DIV/0!</v>
      </c>
      <c r="P313" s="14" t="str">
        <f>Planejador!$I$212</f>
        <v/>
      </c>
      <c r="Q313" s="16" t="str">
        <f>Planejador!$I$214</f>
        <v/>
      </c>
      <c r="R313" s="14" t="str">
        <f>Planejador!$I$218</f>
        <v>#DIV/0!</v>
      </c>
      <c r="S313" s="18">
        <f t="shared" si="77"/>
        <v>0</v>
      </c>
      <c r="T313" s="14" t="str">
        <f>Planejador!$I$213</f>
        <v/>
      </c>
      <c r="U313" s="4"/>
      <c r="V313" s="4"/>
      <c r="W313" s="4"/>
      <c r="X313" s="4"/>
      <c r="Y313" s="4"/>
      <c r="Z313" s="4"/>
      <c r="AA313" s="4"/>
      <c r="AB313" s="4"/>
    </row>
    <row r="314" ht="18.75" hidden="1" customHeight="1" outlineLevel="1">
      <c r="A314" s="12">
        <v>46324.0</v>
      </c>
      <c r="B314" s="13" t="str">
        <f t="shared" si="72"/>
        <v>quinta-feira</v>
      </c>
      <c r="C314" s="13"/>
      <c r="D314" s="14">
        <f>SUMIF('ADV - GG'!A:A,A314,'ADV - GG'!C:C)+SUMIF('ADV - FB'!A:A,$A314,'ADV - FB'!E:E)</f>
        <v>0</v>
      </c>
      <c r="E314" s="19"/>
      <c r="F314" s="15" t="str">
        <f t="shared" si="32"/>
        <v/>
      </c>
      <c r="G314" s="14" t="str">
        <f t="shared" si="33"/>
        <v/>
      </c>
      <c r="H314" s="16" t="str">
        <f t="shared" si="73"/>
        <v/>
      </c>
      <c r="I314" s="14" t="str">
        <f t="shared" si="74"/>
        <v/>
      </c>
      <c r="J314" s="17"/>
      <c r="K314" s="22">
        <f>SUMIF('ADV - GA4'!A:A,A314,'ADV - GA4'!C:C)</f>
        <v>0</v>
      </c>
      <c r="L314" s="19" t="str">
        <f t="shared" si="34"/>
        <v/>
      </c>
      <c r="M314" s="20">
        <f t="shared" si="75"/>
        <v>11.29032258</v>
      </c>
      <c r="N314" s="14">
        <f t="shared" si="76"/>
        <v>11.29032258</v>
      </c>
      <c r="O314" s="15" t="str">
        <f>Planejador!$I$221</f>
        <v>#DIV/0!</v>
      </c>
      <c r="P314" s="14" t="str">
        <f>Planejador!$I$212</f>
        <v/>
      </c>
      <c r="Q314" s="16" t="str">
        <f>Planejador!$I$214</f>
        <v/>
      </c>
      <c r="R314" s="14" t="str">
        <f>Planejador!$I$218</f>
        <v>#DIV/0!</v>
      </c>
      <c r="S314" s="18">
        <f t="shared" si="77"/>
        <v>0</v>
      </c>
      <c r="T314" s="14" t="str">
        <f>Planejador!$I$213</f>
        <v/>
      </c>
      <c r="U314" s="4"/>
      <c r="V314" s="4"/>
      <c r="W314" s="4"/>
      <c r="X314" s="4"/>
      <c r="Y314" s="4"/>
      <c r="Z314" s="4"/>
      <c r="AA314" s="4"/>
      <c r="AB314" s="4"/>
    </row>
    <row r="315" ht="18.75" hidden="1" customHeight="1" outlineLevel="1">
      <c r="A315" s="12">
        <v>46325.0</v>
      </c>
      <c r="B315" s="13" t="str">
        <f t="shared" si="72"/>
        <v>sexta-feira</v>
      </c>
      <c r="C315" s="13"/>
      <c r="D315" s="14">
        <f>SUMIF('ADV - GG'!A:A,A315,'ADV - GG'!C:C)+SUMIF('ADV - FB'!A:A,$A315,'ADV - FB'!E:E)</f>
        <v>0</v>
      </c>
      <c r="E315" s="19"/>
      <c r="F315" s="15" t="str">
        <f t="shared" si="32"/>
        <v/>
      </c>
      <c r="G315" s="14" t="str">
        <f t="shared" si="33"/>
        <v/>
      </c>
      <c r="H315" s="16" t="str">
        <f t="shared" si="73"/>
        <v/>
      </c>
      <c r="I315" s="14" t="str">
        <f t="shared" si="74"/>
        <v/>
      </c>
      <c r="J315" s="17"/>
      <c r="K315" s="22">
        <f>SUMIF('ADV - GA4'!A:A,A315,'ADV - GA4'!C:C)</f>
        <v>0</v>
      </c>
      <c r="L315" s="19" t="str">
        <f t="shared" si="34"/>
        <v/>
      </c>
      <c r="M315" s="20">
        <f t="shared" si="75"/>
        <v>11.29032258</v>
      </c>
      <c r="N315" s="14">
        <f t="shared" si="76"/>
        <v>11.29032258</v>
      </c>
      <c r="O315" s="15" t="str">
        <f>Planejador!$I$221</f>
        <v>#DIV/0!</v>
      </c>
      <c r="P315" s="14" t="str">
        <f>Planejador!$I$212</f>
        <v/>
      </c>
      <c r="Q315" s="16" t="str">
        <f>Planejador!$I$214</f>
        <v/>
      </c>
      <c r="R315" s="14" t="str">
        <f>Planejador!$I$218</f>
        <v>#DIV/0!</v>
      </c>
      <c r="S315" s="18">
        <f t="shared" si="77"/>
        <v>0</v>
      </c>
      <c r="T315" s="14" t="str">
        <f>Planejador!$I$213</f>
        <v/>
      </c>
      <c r="U315" s="4"/>
      <c r="V315" s="4"/>
      <c r="W315" s="4"/>
      <c r="X315" s="4"/>
      <c r="Y315" s="4"/>
      <c r="Z315" s="4"/>
      <c r="AA315" s="4"/>
      <c r="AB315" s="4"/>
    </row>
    <row r="316" ht="18.75" hidden="1" customHeight="1" outlineLevel="1">
      <c r="A316" s="12">
        <v>46326.0</v>
      </c>
      <c r="B316" s="13" t="str">
        <f t="shared" si="72"/>
        <v>sábado</v>
      </c>
      <c r="C316" s="13"/>
      <c r="D316" s="14">
        <f>SUMIF('ADV - GG'!A:A,A316,'ADV - GG'!C:C)+SUMIF('ADV - FB'!A:A,$A316,'ADV - FB'!E:E)</f>
        <v>0</v>
      </c>
      <c r="E316" s="19"/>
      <c r="F316" s="15" t="str">
        <f t="shared" si="32"/>
        <v/>
      </c>
      <c r="G316" s="14" t="str">
        <f t="shared" si="33"/>
        <v/>
      </c>
      <c r="H316" s="16" t="str">
        <f t="shared" si="73"/>
        <v/>
      </c>
      <c r="I316" s="14" t="str">
        <f t="shared" si="74"/>
        <v/>
      </c>
      <c r="J316" s="17"/>
      <c r="K316" s="22">
        <f>SUMIF('ADV - GA4'!A:A,A316,'ADV - GA4'!C:C)</f>
        <v>0</v>
      </c>
      <c r="L316" s="19" t="str">
        <f t="shared" si="34"/>
        <v/>
      </c>
      <c r="M316" s="20">
        <f t="shared" si="75"/>
        <v>11.29032258</v>
      </c>
      <c r="N316" s="14">
        <f t="shared" si="76"/>
        <v>11.29032258</v>
      </c>
      <c r="O316" s="15" t="str">
        <f>Planejador!$I$221</f>
        <v>#DIV/0!</v>
      </c>
      <c r="P316" s="14" t="str">
        <f>Planejador!$I$212</f>
        <v/>
      </c>
      <c r="Q316" s="16" t="str">
        <f>Planejador!$I$214</f>
        <v/>
      </c>
      <c r="R316" s="14" t="str">
        <f>Planejador!$I$218</f>
        <v>#DIV/0!</v>
      </c>
      <c r="S316" s="18">
        <f t="shared" si="77"/>
        <v>0</v>
      </c>
      <c r="T316" s="14" t="str">
        <f>Planejador!$I$213</f>
        <v/>
      </c>
      <c r="U316" s="4"/>
      <c r="V316" s="4"/>
      <c r="W316" s="4"/>
      <c r="X316" s="4"/>
      <c r="Y316" s="4"/>
      <c r="Z316" s="4"/>
      <c r="AA316" s="4"/>
      <c r="AB316" s="4"/>
    </row>
    <row r="317" ht="18.75" customHeight="1" collapsed="1">
      <c r="A317" s="25" t="s">
        <v>31</v>
      </c>
      <c r="B317" s="26">
        <v>30.0</v>
      </c>
      <c r="C317" s="27"/>
      <c r="D317" s="28">
        <f t="shared" ref="D317:E317" si="78">IFERROR(SUM(D318:D347),"")</f>
        <v>0</v>
      </c>
      <c r="E317" s="28">
        <f t="shared" si="78"/>
        <v>146.99</v>
      </c>
      <c r="F317" s="33" t="str">
        <f t="shared" si="32"/>
        <v/>
      </c>
      <c r="G317" s="34" t="str">
        <f t="shared" si="33"/>
        <v/>
      </c>
      <c r="H317" s="35" t="str">
        <f>IFERROR(J317/K317,"")</f>
        <v/>
      </c>
      <c r="I317" s="34">
        <f>IFERROR(D317/J317,"")</f>
        <v>0</v>
      </c>
      <c r="J317" s="32">
        <f t="shared" ref="J317:K317" si="79">IFERROR(SUM(J318:J347),"")</f>
        <v>1</v>
      </c>
      <c r="K317" s="32">
        <f t="shared" si="79"/>
        <v>0</v>
      </c>
      <c r="L317" s="34">
        <f t="shared" si="34"/>
        <v>146.99</v>
      </c>
      <c r="M317" s="36">
        <v>2000.0</v>
      </c>
      <c r="N317" s="36">
        <v>5000.0</v>
      </c>
      <c r="O317" s="33" t="str">
        <f>IFERROR(Planejador!$I$244,"")</f>
        <v/>
      </c>
      <c r="P317" s="34" t="str">
        <f>Planejador!$I$235</f>
        <v/>
      </c>
      <c r="Q317" s="35" t="str">
        <f>Planejador!$I$237</f>
        <v/>
      </c>
      <c r="R317" s="34" t="str">
        <f>IFERROR(Planejador!$I$241,"")</f>
        <v/>
      </c>
      <c r="S317" s="32" t="str">
        <f>IFERROR(Planejador!$I$240,"")</f>
        <v/>
      </c>
      <c r="T317" s="34" t="str">
        <f>IFERROR(Planejador!$I$236,"")</f>
        <v/>
      </c>
      <c r="U317" s="4"/>
      <c r="V317" s="4"/>
      <c r="W317" s="4"/>
      <c r="X317" s="4"/>
      <c r="Y317" s="4"/>
      <c r="Z317" s="4"/>
      <c r="AA317" s="4"/>
      <c r="AB317" s="4"/>
    </row>
    <row r="318" ht="18.75" hidden="1" customHeight="1" outlineLevel="1">
      <c r="A318" s="12">
        <v>46327.0</v>
      </c>
      <c r="B318" s="13" t="str">
        <f t="shared" ref="B318:B347" si="80">TEXT(A318,"dddd")</f>
        <v>domingo</v>
      </c>
      <c r="C318" s="13"/>
      <c r="D318" s="14">
        <f>SUMIF('ADV - GG'!A:A,A318,'ADV - GG'!C:C)+SUMIF('ADV - FB'!A:A,$A318,'ADV - FB'!E:E)</f>
        <v>0</v>
      </c>
      <c r="E318" s="19"/>
      <c r="F318" s="15" t="str">
        <f t="shared" si="32"/>
        <v/>
      </c>
      <c r="G318" s="14" t="str">
        <f t="shared" si="33"/>
        <v/>
      </c>
      <c r="H318" s="16" t="str">
        <f t="shared" ref="H318:H347" si="81">iferror(J318/K318,"")</f>
        <v/>
      </c>
      <c r="I318" s="14" t="str">
        <f t="shared" ref="I318:I347" si="82">iferror(D318/J318,"")</f>
        <v/>
      </c>
      <c r="J318" s="17"/>
      <c r="K318" s="22">
        <f>SUMIF('ADV - GA4'!A:A,A318,'ADV - GA4'!C:C)</f>
        <v>0</v>
      </c>
      <c r="L318" s="19" t="str">
        <f t="shared" si="34"/>
        <v/>
      </c>
      <c r="M318" s="20">
        <f t="shared" ref="M318:M347" si="83">$M$317/$B$317</f>
        <v>66.66666667</v>
      </c>
      <c r="N318" s="14">
        <f t="shared" ref="N318:N347" si="84">$N$317/$B$317</f>
        <v>166.6666667</v>
      </c>
      <c r="O318" s="15" t="str">
        <f>IFERROR(Planejador!$I$244,"")</f>
        <v/>
      </c>
      <c r="P318" s="14" t="str">
        <f>Planejador!$I$235</f>
        <v/>
      </c>
      <c r="Q318" s="16" t="str">
        <f>Planejador!$I$237</f>
        <v/>
      </c>
      <c r="R318" s="14" t="str">
        <f>IFERROR(Planejador!$I$241,"")</f>
        <v/>
      </c>
      <c r="S318" s="18">
        <f t="shared" ref="S318:S347" si="85">$S$317/$B$317</f>
        <v>0</v>
      </c>
      <c r="T318" s="14" t="str">
        <f>Planejador!$I$236</f>
        <v/>
      </c>
      <c r="U318" s="4"/>
      <c r="V318" s="4"/>
      <c r="W318" s="4"/>
      <c r="X318" s="4"/>
      <c r="Y318" s="4"/>
      <c r="Z318" s="4"/>
      <c r="AA318" s="4"/>
      <c r="AB318" s="4"/>
    </row>
    <row r="319" ht="18.75" hidden="1" customHeight="1" outlineLevel="1">
      <c r="A319" s="12">
        <v>46328.0</v>
      </c>
      <c r="B319" s="13" t="str">
        <f t="shared" si="80"/>
        <v>segunda-feira</v>
      </c>
      <c r="C319" s="13"/>
      <c r="D319" s="14">
        <f>SUMIF('ADV - GG'!A:A,A319,'ADV - GG'!C:C)+SUMIF('ADV - FB'!A:A,$A319,'ADV - FB'!E:E)</f>
        <v>0</v>
      </c>
      <c r="E319" s="19"/>
      <c r="F319" s="15" t="str">
        <f t="shared" si="32"/>
        <v/>
      </c>
      <c r="G319" s="14" t="str">
        <f t="shared" si="33"/>
        <v/>
      </c>
      <c r="H319" s="16" t="str">
        <f t="shared" si="81"/>
        <v/>
      </c>
      <c r="I319" s="14" t="str">
        <f t="shared" si="82"/>
        <v/>
      </c>
      <c r="J319" s="17"/>
      <c r="K319" s="22">
        <f>SUMIF('ADV - GA4'!A:A,A319,'ADV - GA4'!C:C)</f>
        <v>0</v>
      </c>
      <c r="L319" s="19" t="str">
        <f t="shared" si="34"/>
        <v/>
      </c>
      <c r="M319" s="20">
        <f t="shared" si="83"/>
        <v>66.66666667</v>
      </c>
      <c r="N319" s="14">
        <f t="shared" si="84"/>
        <v>166.6666667</v>
      </c>
      <c r="O319" s="15" t="str">
        <f>IFERROR(Planejador!$I$244,"")</f>
        <v/>
      </c>
      <c r="P319" s="14" t="str">
        <f>Planejador!$I$235</f>
        <v/>
      </c>
      <c r="Q319" s="16" t="str">
        <f>Planejador!$I$237</f>
        <v/>
      </c>
      <c r="R319" s="14" t="str">
        <f>IFERROR(Planejador!$I$241,"")</f>
        <v/>
      </c>
      <c r="S319" s="18">
        <f t="shared" si="85"/>
        <v>0</v>
      </c>
      <c r="T319" s="14" t="str">
        <f>Planejador!$I$236</f>
        <v/>
      </c>
      <c r="U319" s="4"/>
      <c r="V319" s="4"/>
      <c r="W319" s="4"/>
      <c r="X319" s="4"/>
      <c r="Y319" s="4"/>
      <c r="Z319" s="4"/>
      <c r="AA319" s="4"/>
      <c r="AB319" s="4"/>
    </row>
    <row r="320" ht="18.75" hidden="1" customHeight="1" outlineLevel="1">
      <c r="A320" s="12">
        <v>46329.0</v>
      </c>
      <c r="B320" s="13" t="str">
        <f t="shared" si="80"/>
        <v>terça-feira</v>
      </c>
      <c r="C320" s="13"/>
      <c r="D320" s="14">
        <f>SUMIF('ADV - GG'!A:A,A320,'ADV - GG'!C:C)+SUMIF('ADV - FB'!A:A,$A320,'ADV - FB'!E:E)</f>
        <v>0</v>
      </c>
      <c r="E320" s="19"/>
      <c r="F320" s="15" t="str">
        <f t="shared" si="32"/>
        <v/>
      </c>
      <c r="G320" s="14" t="str">
        <f t="shared" si="33"/>
        <v/>
      </c>
      <c r="H320" s="16" t="str">
        <f t="shared" si="81"/>
        <v/>
      </c>
      <c r="I320" s="14" t="str">
        <f t="shared" si="82"/>
        <v/>
      </c>
      <c r="J320" s="17"/>
      <c r="K320" s="22">
        <f>SUMIF('ADV - GA4'!A:A,A320,'ADV - GA4'!C:C)</f>
        <v>0</v>
      </c>
      <c r="L320" s="19" t="str">
        <f t="shared" si="34"/>
        <v/>
      </c>
      <c r="M320" s="20">
        <f t="shared" si="83"/>
        <v>66.66666667</v>
      </c>
      <c r="N320" s="14">
        <f t="shared" si="84"/>
        <v>166.6666667</v>
      </c>
      <c r="O320" s="15" t="str">
        <f>IFERROR(Planejador!$I$244,"")</f>
        <v/>
      </c>
      <c r="P320" s="14" t="str">
        <f>Planejador!$I$235</f>
        <v/>
      </c>
      <c r="Q320" s="16" t="str">
        <f>Planejador!$I$237</f>
        <v/>
      </c>
      <c r="R320" s="14" t="str">
        <f>IFERROR(Planejador!$I$241,"")</f>
        <v/>
      </c>
      <c r="S320" s="18">
        <f t="shared" si="85"/>
        <v>0</v>
      </c>
      <c r="T320" s="14" t="str">
        <f>Planejador!$I$236</f>
        <v/>
      </c>
      <c r="U320" s="4"/>
      <c r="V320" s="4"/>
      <c r="W320" s="4"/>
      <c r="X320" s="4"/>
      <c r="Y320" s="4"/>
      <c r="Z320" s="4"/>
      <c r="AA320" s="4"/>
      <c r="AB320" s="4"/>
    </row>
    <row r="321" ht="18.75" hidden="1" customHeight="1" outlineLevel="1">
      <c r="A321" s="12">
        <v>46330.0</v>
      </c>
      <c r="B321" s="13" t="str">
        <f t="shared" si="80"/>
        <v>quarta-feira</v>
      </c>
      <c r="C321" s="13"/>
      <c r="D321" s="14">
        <f>SUMIF('ADV - GG'!A:A,A321,'ADV - GG'!C:C)+SUMIF('ADV - FB'!A:A,$A321,'ADV - FB'!E:E)</f>
        <v>0</v>
      </c>
      <c r="E321" s="24">
        <v>146.99</v>
      </c>
      <c r="F321" s="15" t="str">
        <f t="shared" si="32"/>
        <v/>
      </c>
      <c r="G321" s="14" t="str">
        <f t="shared" si="33"/>
        <v/>
      </c>
      <c r="H321" s="16" t="str">
        <f t="shared" si="81"/>
        <v/>
      </c>
      <c r="I321" s="14">
        <f t="shared" si="82"/>
        <v>0</v>
      </c>
      <c r="J321" s="38">
        <v>1.0</v>
      </c>
      <c r="K321" s="22">
        <f>SUMIF('ADV - GA4'!A:A,A321,'ADV - GA4'!C:C)</f>
        <v>0</v>
      </c>
      <c r="L321" s="19">
        <f t="shared" si="34"/>
        <v>146.99</v>
      </c>
      <c r="M321" s="20">
        <f t="shared" si="83"/>
        <v>66.66666667</v>
      </c>
      <c r="N321" s="14">
        <f t="shared" si="84"/>
        <v>166.6666667</v>
      </c>
      <c r="O321" s="15" t="str">
        <f>IFERROR(Planejador!$I$244,"")</f>
        <v/>
      </c>
      <c r="P321" s="14" t="str">
        <f>Planejador!$I$235</f>
        <v/>
      </c>
      <c r="Q321" s="16" t="str">
        <f>Planejador!$I$237</f>
        <v/>
      </c>
      <c r="R321" s="14" t="str">
        <f>IFERROR(Planejador!$I$241,"")</f>
        <v/>
      </c>
      <c r="S321" s="18">
        <f t="shared" si="85"/>
        <v>0</v>
      </c>
      <c r="T321" s="14" t="str">
        <f>Planejador!$I$236</f>
        <v/>
      </c>
      <c r="U321" s="4"/>
      <c r="V321" s="4"/>
      <c r="W321" s="4"/>
      <c r="X321" s="4"/>
      <c r="Y321" s="4"/>
      <c r="Z321" s="4"/>
      <c r="AA321" s="4"/>
      <c r="AB321" s="4"/>
    </row>
    <row r="322" ht="18.75" hidden="1" customHeight="1" outlineLevel="1">
      <c r="A322" s="12">
        <v>46331.0</v>
      </c>
      <c r="B322" s="13" t="str">
        <f t="shared" si="80"/>
        <v>quinta-feira</v>
      </c>
      <c r="C322" s="13"/>
      <c r="D322" s="14">
        <f>SUMIF('ADV - GG'!A:A,A322,'ADV - GG'!C:C)+SUMIF('ADV - FB'!A:A,$A322,'ADV - FB'!E:E)</f>
        <v>0</v>
      </c>
      <c r="E322" s="19"/>
      <c r="F322" s="15" t="str">
        <f t="shared" si="32"/>
        <v/>
      </c>
      <c r="G322" s="14" t="str">
        <f t="shared" si="33"/>
        <v/>
      </c>
      <c r="H322" s="16" t="str">
        <f t="shared" si="81"/>
        <v/>
      </c>
      <c r="I322" s="14" t="str">
        <f t="shared" si="82"/>
        <v/>
      </c>
      <c r="J322" s="17"/>
      <c r="K322" s="22">
        <f>SUMIF('ADV - GA4'!A:A,A322,'ADV - GA4'!C:C)</f>
        <v>0</v>
      </c>
      <c r="L322" s="19" t="str">
        <f t="shared" si="34"/>
        <v/>
      </c>
      <c r="M322" s="20">
        <f t="shared" si="83"/>
        <v>66.66666667</v>
      </c>
      <c r="N322" s="14">
        <f t="shared" si="84"/>
        <v>166.6666667</v>
      </c>
      <c r="O322" s="15" t="str">
        <f>IFERROR(Planejador!$I$244,"")</f>
        <v/>
      </c>
      <c r="P322" s="14" t="str">
        <f>Planejador!$I$235</f>
        <v/>
      </c>
      <c r="Q322" s="16" t="str">
        <f>Planejador!$I$237</f>
        <v/>
      </c>
      <c r="R322" s="14" t="str">
        <f>IFERROR(Planejador!$I$241,"")</f>
        <v/>
      </c>
      <c r="S322" s="18">
        <f t="shared" si="85"/>
        <v>0</v>
      </c>
      <c r="T322" s="14" t="str">
        <f>Planejador!$I$236</f>
        <v/>
      </c>
      <c r="U322" s="4"/>
      <c r="V322" s="4"/>
      <c r="W322" s="4"/>
      <c r="X322" s="4"/>
      <c r="Y322" s="4"/>
      <c r="Z322" s="4"/>
      <c r="AA322" s="4"/>
      <c r="AB322" s="4"/>
    </row>
    <row r="323" ht="18.75" hidden="1" customHeight="1" outlineLevel="1">
      <c r="A323" s="12">
        <v>46332.0</v>
      </c>
      <c r="B323" s="13" t="str">
        <f t="shared" si="80"/>
        <v>sexta-feira</v>
      </c>
      <c r="C323" s="13"/>
      <c r="D323" s="14">
        <f>SUMIF('ADV - GG'!A:A,A323,'ADV - GG'!C:C)+SUMIF('ADV - FB'!A:A,$A323,'ADV - FB'!E:E)</f>
        <v>0</v>
      </c>
      <c r="E323" s="19"/>
      <c r="F323" s="15" t="str">
        <f t="shared" si="32"/>
        <v/>
      </c>
      <c r="G323" s="14" t="str">
        <f t="shared" si="33"/>
        <v/>
      </c>
      <c r="H323" s="16" t="str">
        <f t="shared" si="81"/>
        <v/>
      </c>
      <c r="I323" s="14" t="str">
        <f t="shared" si="82"/>
        <v/>
      </c>
      <c r="J323" s="17"/>
      <c r="K323" s="22">
        <f>SUMIF('ADV - GA4'!A:A,A323,'ADV - GA4'!C:C)</f>
        <v>0</v>
      </c>
      <c r="L323" s="19" t="str">
        <f t="shared" si="34"/>
        <v/>
      </c>
      <c r="M323" s="20">
        <f t="shared" si="83"/>
        <v>66.66666667</v>
      </c>
      <c r="N323" s="14">
        <f t="shared" si="84"/>
        <v>166.6666667</v>
      </c>
      <c r="O323" s="15" t="str">
        <f>IFERROR(Planejador!$I$244,"")</f>
        <v/>
      </c>
      <c r="P323" s="14" t="str">
        <f>Planejador!$I$235</f>
        <v/>
      </c>
      <c r="Q323" s="16" t="str">
        <f>Planejador!$I$237</f>
        <v/>
      </c>
      <c r="R323" s="14" t="str">
        <f>IFERROR(Planejador!$I$241,"")</f>
        <v/>
      </c>
      <c r="S323" s="18">
        <f t="shared" si="85"/>
        <v>0</v>
      </c>
      <c r="T323" s="14" t="str">
        <f>Planejador!$I$236</f>
        <v/>
      </c>
      <c r="U323" s="4"/>
      <c r="V323" s="4"/>
      <c r="W323" s="4"/>
      <c r="X323" s="4"/>
      <c r="Y323" s="4"/>
      <c r="Z323" s="4"/>
      <c r="AA323" s="4"/>
      <c r="AB323" s="4"/>
    </row>
    <row r="324" ht="18.75" hidden="1" customHeight="1" outlineLevel="1">
      <c r="A324" s="12">
        <v>46333.0</v>
      </c>
      <c r="B324" s="13" t="str">
        <f t="shared" si="80"/>
        <v>sábado</v>
      </c>
      <c r="C324" s="13"/>
      <c r="D324" s="14">
        <f>SUMIF('ADV - GG'!A:A,A324,'ADV - GG'!C:C)+SUMIF('ADV - FB'!A:A,$A324,'ADV - FB'!E:E)</f>
        <v>0</v>
      </c>
      <c r="E324" s="19"/>
      <c r="F324" s="15" t="str">
        <f t="shared" si="32"/>
        <v/>
      </c>
      <c r="G324" s="14" t="str">
        <f t="shared" si="33"/>
        <v/>
      </c>
      <c r="H324" s="16" t="str">
        <f t="shared" si="81"/>
        <v/>
      </c>
      <c r="I324" s="14" t="str">
        <f t="shared" si="82"/>
        <v/>
      </c>
      <c r="J324" s="17"/>
      <c r="K324" s="22">
        <f>SUMIF('ADV - GA4'!A:A,A324,'ADV - GA4'!C:C)</f>
        <v>0</v>
      </c>
      <c r="L324" s="19" t="str">
        <f t="shared" si="34"/>
        <v/>
      </c>
      <c r="M324" s="20">
        <f t="shared" si="83"/>
        <v>66.66666667</v>
      </c>
      <c r="N324" s="14">
        <f t="shared" si="84"/>
        <v>166.6666667</v>
      </c>
      <c r="O324" s="15" t="str">
        <f>IFERROR(Planejador!$I$244,"")</f>
        <v/>
      </c>
      <c r="P324" s="14" t="str">
        <f>Planejador!$I$235</f>
        <v/>
      </c>
      <c r="Q324" s="16" t="str">
        <f>Planejador!$I$237</f>
        <v/>
      </c>
      <c r="R324" s="14" t="str">
        <f>IFERROR(Planejador!$I$241,"")</f>
        <v/>
      </c>
      <c r="S324" s="18">
        <f t="shared" si="85"/>
        <v>0</v>
      </c>
      <c r="T324" s="14" t="str">
        <f>Planejador!$I$236</f>
        <v/>
      </c>
      <c r="U324" s="4"/>
      <c r="V324" s="4"/>
      <c r="W324" s="4"/>
      <c r="X324" s="4"/>
      <c r="Y324" s="4"/>
      <c r="Z324" s="4"/>
      <c r="AA324" s="4"/>
      <c r="AB324" s="4"/>
    </row>
    <row r="325" ht="18.75" hidden="1" customHeight="1" outlineLevel="1">
      <c r="A325" s="12">
        <v>46334.0</v>
      </c>
      <c r="B325" s="13" t="str">
        <f t="shared" si="80"/>
        <v>domingo</v>
      </c>
      <c r="C325" s="13"/>
      <c r="D325" s="14">
        <f>SUMIF('ADV - GG'!A:A,A325,'ADV - GG'!C:C)+SUMIF('ADV - FB'!A:A,$A325,'ADV - FB'!E:E)</f>
        <v>0</v>
      </c>
      <c r="E325" s="19"/>
      <c r="F325" s="15" t="str">
        <f t="shared" si="32"/>
        <v/>
      </c>
      <c r="G325" s="14" t="str">
        <f t="shared" si="33"/>
        <v/>
      </c>
      <c r="H325" s="16" t="str">
        <f t="shared" si="81"/>
        <v/>
      </c>
      <c r="I325" s="14" t="str">
        <f t="shared" si="82"/>
        <v/>
      </c>
      <c r="J325" s="17"/>
      <c r="K325" s="22">
        <f>SUMIF('ADV - GA4'!A:A,A325,'ADV - GA4'!C:C)</f>
        <v>0</v>
      </c>
      <c r="L325" s="19" t="str">
        <f t="shared" si="34"/>
        <v/>
      </c>
      <c r="M325" s="20">
        <f t="shared" si="83"/>
        <v>66.66666667</v>
      </c>
      <c r="N325" s="14">
        <f t="shared" si="84"/>
        <v>166.6666667</v>
      </c>
      <c r="O325" s="15" t="str">
        <f>IFERROR(Planejador!$I$244,"")</f>
        <v/>
      </c>
      <c r="P325" s="14" t="str">
        <f>Planejador!$I$235</f>
        <v/>
      </c>
      <c r="Q325" s="16" t="str">
        <f>Planejador!$I$237</f>
        <v/>
      </c>
      <c r="R325" s="14" t="str">
        <f>IFERROR(Planejador!$I$241,"")</f>
        <v/>
      </c>
      <c r="S325" s="18">
        <f t="shared" si="85"/>
        <v>0</v>
      </c>
      <c r="T325" s="14" t="str">
        <f>Planejador!$I$236</f>
        <v/>
      </c>
      <c r="U325" s="4"/>
      <c r="V325" s="4"/>
      <c r="W325" s="4"/>
      <c r="X325" s="4"/>
      <c r="Y325" s="4"/>
      <c r="Z325" s="4"/>
      <c r="AA325" s="4"/>
      <c r="AB325" s="4"/>
    </row>
    <row r="326" ht="18.75" hidden="1" customHeight="1" outlineLevel="1">
      <c r="A326" s="12">
        <v>46335.0</v>
      </c>
      <c r="B326" s="13" t="str">
        <f t="shared" si="80"/>
        <v>segunda-feira</v>
      </c>
      <c r="C326" s="13"/>
      <c r="D326" s="14">
        <f>SUMIF('ADV - GG'!A:A,A326,'ADV - GG'!C:C)+SUMIF('ADV - FB'!A:A,$A326,'ADV - FB'!E:E)</f>
        <v>0</v>
      </c>
      <c r="E326" s="19"/>
      <c r="F326" s="15" t="str">
        <f t="shared" si="32"/>
        <v/>
      </c>
      <c r="G326" s="14" t="str">
        <f t="shared" si="33"/>
        <v/>
      </c>
      <c r="H326" s="16" t="str">
        <f t="shared" si="81"/>
        <v/>
      </c>
      <c r="I326" s="14" t="str">
        <f t="shared" si="82"/>
        <v/>
      </c>
      <c r="J326" s="17"/>
      <c r="K326" s="22">
        <f>SUMIF('ADV - GA4'!A:A,A326,'ADV - GA4'!C:C)</f>
        <v>0</v>
      </c>
      <c r="L326" s="19" t="str">
        <f t="shared" si="34"/>
        <v/>
      </c>
      <c r="M326" s="20">
        <f t="shared" si="83"/>
        <v>66.66666667</v>
      </c>
      <c r="N326" s="14">
        <f t="shared" si="84"/>
        <v>166.6666667</v>
      </c>
      <c r="O326" s="15" t="str">
        <f>IFERROR(Planejador!$I$244,"")</f>
        <v/>
      </c>
      <c r="P326" s="14" t="str">
        <f>Planejador!$I$235</f>
        <v/>
      </c>
      <c r="Q326" s="16" t="str">
        <f>Planejador!$I$237</f>
        <v/>
      </c>
      <c r="R326" s="14" t="str">
        <f>IFERROR(Planejador!$I$241,"")</f>
        <v/>
      </c>
      <c r="S326" s="18">
        <f t="shared" si="85"/>
        <v>0</v>
      </c>
      <c r="T326" s="14" t="str">
        <f>Planejador!$I$236</f>
        <v/>
      </c>
      <c r="U326" s="4"/>
      <c r="V326" s="4"/>
      <c r="W326" s="4"/>
      <c r="X326" s="4"/>
      <c r="Y326" s="4"/>
      <c r="Z326" s="4"/>
      <c r="AA326" s="4"/>
      <c r="AB326" s="4"/>
    </row>
    <row r="327" ht="18.75" hidden="1" customHeight="1" outlineLevel="1">
      <c r="A327" s="12">
        <v>46336.0</v>
      </c>
      <c r="B327" s="13" t="str">
        <f t="shared" si="80"/>
        <v>terça-feira</v>
      </c>
      <c r="C327" s="13"/>
      <c r="D327" s="14">
        <f>SUMIF('ADV - GG'!A:A,A327,'ADV - GG'!C:C)+SUMIF('ADV - FB'!A:A,$A327,'ADV - FB'!E:E)</f>
        <v>0</v>
      </c>
      <c r="E327" s="19"/>
      <c r="F327" s="15" t="str">
        <f t="shared" si="32"/>
        <v/>
      </c>
      <c r="G327" s="14" t="str">
        <f t="shared" si="33"/>
        <v/>
      </c>
      <c r="H327" s="16" t="str">
        <f t="shared" si="81"/>
        <v/>
      </c>
      <c r="I327" s="14" t="str">
        <f t="shared" si="82"/>
        <v/>
      </c>
      <c r="J327" s="17"/>
      <c r="K327" s="22">
        <f>SUMIF('ADV - GA4'!A:A,A327,'ADV - GA4'!C:C)</f>
        <v>0</v>
      </c>
      <c r="L327" s="19" t="str">
        <f t="shared" si="34"/>
        <v/>
      </c>
      <c r="M327" s="20">
        <f t="shared" si="83"/>
        <v>66.66666667</v>
      </c>
      <c r="N327" s="14">
        <f t="shared" si="84"/>
        <v>166.6666667</v>
      </c>
      <c r="O327" s="15" t="str">
        <f>IFERROR(Planejador!$I$244,"")</f>
        <v/>
      </c>
      <c r="P327" s="14" t="str">
        <f>Planejador!$I$235</f>
        <v/>
      </c>
      <c r="Q327" s="16" t="str">
        <f>Planejador!$I$237</f>
        <v/>
      </c>
      <c r="R327" s="14" t="str">
        <f>IFERROR(Planejador!$I$241,"")</f>
        <v/>
      </c>
      <c r="S327" s="18">
        <f t="shared" si="85"/>
        <v>0</v>
      </c>
      <c r="T327" s="14" t="str">
        <f>Planejador!$I$236</f>
        <v/>
      </c>
      <c r="U327" s="4"/>
      <c r="V327" s="4"/>
      <c r="W327" s="4"/>
      <c r="X327" s="4"/>
      <c r="Y327" s="4"/>
      <c r="Z327" s="4"/>
      <c r="AA327" s="4"/>
      <c r="AB327" s="4"/>
    </row>
    <row r="328" ht="18.75" hidden="1" customHeight="1" outlineLevel="1">
      <c r="A328" s="12">
        <v>46337.0</v>
      </c>
      <c r="B328" s="13" t="str">
        <f t="shared" si="80"/>
        <v>quarta-feira</v>
      </c>
      <c r="C328" s="13"/>
      <c r="D328" s="14">
        <f>SUMIF('ADV - GG'!A:A,A328,'ADV - GG'!C:C)+SUMIF('ADV - FB'!A:A,$A328,'ADV - FB'!E:E)</f>
        <v>0</v>
      </c>
      <c r="E328" s="19"/>
      <c r="F328" s="15" t="str">
        <f t="shared" si="32"/>
        <v/>
      </c>
      <c r="G328" s="14" t="str">
        <f t="shared" si="33"/>
        <v/>
      </c>
      <c r="H328" s="16" t="str">
        <f t="shared" si="81"/>
        <v/>
      </c>
      <c r="I328" s="14" t="str">
        <f t="shared" si="82"/>
        <v/>
      </c>
      <c r="J328" s="17"/>
      <c r="K328" s="22">
        <f>SUMIF('ADV - GA4'!A:A,A328,'ADV - GA4'!C:C)</f>
        <v>0</v>
      </c>
      <c r="L328" s="19" t="str">
        <f t="shared" si="34"/>
        <v/>
      </c>
      <c r="M328" s="20">
        <f t="shared" si="83"/>
        <v>66.66666667</v>
      </c>
      <c r="N328" s="14">
        <f t="shared" si="84"/>
        <v>166.6666667</v>
      </c>
      <c r="O328" s="15" t="str">
        <f>IFERROR(Planejador!$I$244,"")</f>
        <v/>
      </c>
      <c r="P328" s="14" t="str">
        <f>Planejador!$I$235</f>
        <v/>
      </c>
      <c r="Q328" s="16" t="str">
        <f>Planejador!$I$237</f>
        <v/>
      </c>
      <c r="R328" s="14" t="str">
        <f>IFERROR(Planejador!$I$241,"")</f>
        <v/>
      </c>
      <c r="S328" s="18">
        <f t="shared" si="85"/>
        <v>0</v>
      </c>
      <c r="T328" s="14" t="str">
        <f>Planejador!$I$236</f>
        <v/>
      </c>
      <c r="U328" s="4"/>
      <c r="V328" s="4"/>
      <c r="W328" s="4"/>
      <c r="X328" s="4"/>
      <c r="Y328" s="4"/>
      <c r="Z328" s="4"/>
      <c r="AA328" s="4"/>
      <c r="AB328" s="4"/>
    </row>
    <row r="329" ht="18.75" hidden="1" customHeight="1" outlineLevel="1">
      <c r="A329" s="12">
        <v>46338.0</v>
      </c>
      <c r="B329" s="13" t="str">
        <f t="shared" si="80"/>
        <v>quinta-feira</v>
      </c>
      <c r="C329" s="13"/>
      <c r="D329" s="14">
        <f>SUMIF('ADV - GG'!A:A,A329,'ADV - GG'!C:C)+SUMIF('ADV - FB'!A:A,$A329,'ADV - FB'!E:E)</f>
        <v>0</v>
      </c>
      <c r="E329" s="19"/>
      <c r="F329" s="15" t="str">
        <f t="shared" si="32"/>
        <v/>
      </c>
      <c r="G329" s="14" t="str">
        <f t="shared" si="33"/>
        <v/>
      </c>
      <c r="H329" s="16" t="str">
        <f t="shared" si="81"/>
        <v/>
      </c>
      <c r="I329" s="14" t="str">
        <f t="shared" si="82"/>
        <v/>
      </c>
      <c r="J329" s="17"/>
      <c r="K329" s="22">
        <f>SUMIF('ADV - GA4'!A:A,A329,'ADV - GA4'!C:C)</f>
        <v>0</v>
      </c>
      <c r="L329" s="19" t="str">
        <f t="shared" si="34"/>
        <v/>
      </c>
      <c r="M329" s="20">
        <f t="shared" si="83"/>
        <v>66.66666667</v>
      </c>
      <c r="N329" s="14">
        <f t="shared" si="84"/>
        <v>166.6666667</v>
      </c>
      <c r="O329" s="15" t="str">
        <f>IFERROR(Planejador!$I$244,"")</f>
        <v/>
      </c>
      <c r="P329" s="14" t="str">
        <f>Planejador!$I$235</f>
        <v/>
      </c>
      <c r="Q329" s="16" t="str">
        <f>Planejador!$I$237</f>
        <v/>
      </c>
      <c r="R329" s="14" t="str">
        <f>IFERROR(Planejador!$I$241,"")</f>
        <v/>
      </c>
      <c r="S329" s="18">
        <f t="shared" si="85"/>
        <v>0</v>
      </c>
      <c r="T329" s="14" t="str">
        <f>Planejador!$I$236</f>
        <v/>
      </c>
      <c r="U329" s="4"/>
      <c r="V329" s="4"/>
      <c r="W329" s="4"/>
      <c r="X329" s="4"/>
      <c r="Y329" s="4"/>
      <c r="Z329" s="4"/>
      <c r="AA329" s="4"/>
      <c r="AB329" s="4"/>
    </row>
    <row r="330" ht="18.75" hidden="1" customHeight="1" outlineLevel="1">
      <c r="A330" s="12">
        <v>46339.0</v>
      </c>
      <c r="B330" s="13" t="str">
        <f t="shared" si="80"/>
        <v>sexta-feira</v>
      </c>
      <c r="C330" s="13"/>
      <c r="D330" s="14">
        <f>SUMIF('ADV - GG'!A:A,A330,'ADV - GG'!C:C)+SUMIF('ADV - FB'!A:A,$A330,'ADV - FB'!E:E)</f>
        <v>0</v>
      </c>
      <c r="E330" s="19"/>
      <c r="F330" s="15" t="str">
        <f t="shared" si="32"/>
        <v/>
      </c>
      <c r="G330" s="14" t="str">
        <f t="shared" si="33"/>
        <v/>
      </c>
      <c r="H330" s="16" t="str">
        <f t="shared" si="81"/>
        <v/>
      </c>
      <c r="I330" s="14" t="str">
        <f t="shared" si="82"/>
        <v/>
      </c>
      <c r="J330" s="17"/>
      <c r="K330" s="22">
        <f>SUMIF('ADV - GA4'!A:A,A330,'ADV - GA4'!C:C)</f>
        <v>0</v>
      </c>
      <c r="L330" s="19" t="str">
        <f t="shared" si="34"/>
        <v/>
      </c>
      <c r="M330" s="20">
        <f t="shared" si="83"/>
        <v>66.66666667</v>
      </c>
      <c r="N330" s="14">
        <f t="shared" si="84"/>
        <v>166.6666667</v>
      </c>
      <c r="O330" s="15" t="str">
        <f>IFERROR(Planejador!$I$244,"")</f>
        <v/>
      </c>
      <c r="P330" s="14" t="str">
        <f>Planejador!$I$235</f>
        <v/>
      </c>
      <c r="Q330" s="16" t="str">
        <f>Planejador!$I$237</f>
        <v/>
      </c>
      <c r="R330" s="14" t="str">
        <f>IFERROR(Planejador!$I$241,"")</f>
        <v/>
      </c>
      <c r="S330" s="18">
        <f t="shared" si="85"/>
        <v>0</v>
      </c>
      <c r="T330" s="14" t="str">
        <f>Planejador!$I$236</f>
        <v/>
      </c>
      <c r="U330" s="4"/>
      <c r="V330" s="4"/>
      <c r="W330" s="4"/>
      <c r="X330" s="4"/>
      <c r="Y330" s="4"/>
      <c r="Z330" s="4"/>
      <c r="AA330" s="4"/>
      <c r="AB330" s="4"/>
    </row>
    <row r="331" ht="18.75" hidden="1" customHeight="1" outlineLevel="1">
      <c r="A331" s="12">
        <v>46340.0</v>
      </c>
      <c r="B331" s="13" t="str">
        <f t="shared" si="80"/>
        <v>sábado</v>
      </c>
      <c r="C331" s="13"/>
      <c r="D331" s="14">
        <f>SUMIF('ADV - GG'!A:A,A331,'ADV - GG'!C:C)+SUMIF('ADV - FB'!A:A,$A331,'ADV - FB'!E:E)</f>
        <v>0</v>
      </c>
      <c r="E331" s="19"/>
      <c r="F331" s="15" t="str">
        <f t="shared" si="32"/>
        <v/>
      </c>
      <c r="G331" s="14" t="str">
        <f t="shared" si="33"/>
        <v/>
      </c>
      <c r="H331" s="16" t="str">
        <f t="shared" si="81"/>
        <v/>
      </c>
      <c r="I331" s="14" t="str">
        <f t="shared" si="82"/>
        <v/>
      </c>
      <c r="J331" s="17"/>
      <c r="K331" s="22">
        <f>SUMIF('ADV - GA4'!A:A,A331,'ADV - GA4'!C:C)</f>
        <v>0</v>
      </c>
      <c r="L331" s="19" t="str">
        <f t="shared" si="34"/>
        <v/>
      </c>
      <c r="M331" s="20">
        <f t="shared" si="83"/>
        <v>66.66666667</v>
      </c>
      <c r="N331" s="14">
        <f t="shared" si="84"/>
        <v>166.6666667</v>
      </c>
      <c r="O331" s="15" t="str">
        <f>IFERROR(Planejador!$I$244,"")</f>
        <v/>
      </c>
      <c r="P331" s="14" t="str">
        <f>Planejador!$I$235</f>
        <v/>
      </c>
      <c r="Q331" s="16" t="str">
        <f>Planejador!$I$237</f>
        <v/>
      </c>
      <c r="R331" s="14" t="str">
        <f>IFERROR(Planejador!$I$241,"")</f>
        <v/>
      </c>
      <c r="S331" s="18">
        <f t="shared" si="85"/>
        <v>0</v>
      </c>
      <c r="T331" s="14" t="str">
        <f>Planejador!$I$236</f>
        <v/>
      </c>
      <c r="U331" s="4"/>
      <c r="V331" s="4"/>
      <c r="W331" s="4"/>
      <c r="X331" s="4"/>
      <c r="Y331" s="4"/>
      <c r="Z331" s="4"/>
      <c r="AA331" s="4"/>
      <c r="AB331" s="4"/>
    </row>
    <row r="332" ht="18.75" hidden="1" customHeight="1" outlineLevel="1">
      <c r="A332" s="12">
        <v>46341.0</v>
      </c>
      <c r="B332" s="13" t="str">
        <f t="shared" si="80"/>
        <v>domingo</v>
      </c>
      <c r="C332" s="13"/>
      <c r="D332" s="14">
        <f>SUMIF('ADV - GG'!A:A,A332,'ADV - GG'!C:C)+SUMIF('ADV - FB'!A:A,$A332,'ADV - FB'!E:E)</f>
        <v>0</v>
      </c>
      <c r="E332" s="19"/>
      <c r="F332" s="15" t="str">
        <f t="shared" si="32"/>
        <v/>
      </c>
      <c r="G332" s="14" t="str">
        <f t="shared" si="33"/>
        <v/>
      </c>
      <c r="H332" s="16" t="str">
        <f t="shared" si="81"/>
        <v/>
      </c>
      <c r="I332" s="14" t="str">
        <f t="shared" si="82"/>
        <v/>
      </c>
      <c r="J332" s="17"/>
      <c r="K332" s="22">
        <f>SUMIF('ADV - GA4'!A:A,A332,'ADV - GA4'!C:C)</f>
        <v>0</v>
      </c>
      <c r="L332" s="19" t="str">
        <f t="shared" si="34"/>
        <v/>
      </c>
      <c r="M332" s="20">
        <f t="shared" si="83"/>
        <v>66.66666667</v>
      </c>
      <c r="N332" s="14">
        <f t="shared" si="84"/>
        <v>166.6666667</v>
      </c>
      <c r="O332" s="15" t="str">
        <f>IFERROR(Planejador!$I$244,"")</f>
        <v/>
      </c>
      <c r="P332" s="14" t="str">
        <f>Planejador!$I$235</f>
        <v/>
      </c>
      <c r="Q332" s="16" t="str">
        <f>Planejador!$I$237</f>
        <v/>
      </c>
      <c r="R332" s="14" t="str">
        <f>IFERROR(Planejador!$I$241,"")</f>
        <v/>
      </c>
      <c r="S332" s="18">
        <f t="shared" si="85"/>
        <v>0</v>
      </c>
      <c r="T332" s="14" t="str">
        <f>Planejador!$I$236</f>
        <v/>
      </c>
      <c r="U332" s="4"/>
      <c r="V332" s="4"/>
      <c r="W332" s="4"/>
      <c r="X332" s="4"/>
      <c r="Y332" s="4"/>
      <c r="Z332" s="4"/>
      <c r="AA332" s="4"/>
      <c r="AB332" s="4"/>
    </row>
    <row r="333" ht="18.75" hidden="1" customHeight="1" outlineLevel="1">
      <c r="A333" s="12">
        <v>46342.0</v>
      </c>
      <c r="B333" s="13" t="str">
        <f t="shared" si="80"/>
        <v>segunda-feira</v>
      </c>
      <c r="C333" s="13"/>
      <c r="D333" s="14">
        <f>SUMIF('ADV - GG'!A:A,A333,'ADV - GG'!C:C)+SUMIF('ADV - FB'!A:A,$A333,'ADV - FB'!E:E)</f>
        <v>0</v>
      </c>
      <c r="E333" s="19"/>
      <c r="F333" s="15" t="str">
        <f t="shared" si="32"/>
        <v/>
      </c>
      <c r="G333" s="14" t="str">
        <f t="shared" si="33"/>
        <v/>
      </c>
      <c r="H333" s="16" t="str">
        <f t="shared" si="81"/>
        <v/>
      </c>
      <c r="I333" s="14" t="str">
        <f t="shared" si="82"/>
        <v/>
      </c>
      <c r="J333" s="17"/>
      <c r="K333" s="22">
        <f>SUMIF('ADV - GA4'!A:A,A333,'ADV - GA4'!C:C)</f>
        <v>0</v>
      </c>
      <c r="L333" s="19" t="str">
        <f t="shared" si="34"/>
        <v/>
      </c>
      <c r="M333" s="20">
        <f t="shared" si="83"/>
        <v>66.66666667</v>
      </c>
      <c r="N333" s="14">
        <f t="shared" si="84"/>
        <v>166.6666667</v>
      </c>
      <c r="O333" s="15" t="str">
        <f>IFERROR(Planejador!$I$244,"")</f>
        <v/>
      </c>
      <c r="P333" s="14" t="str">
        <f>Planejador!$I$235</f>
        <v/>
      </c>
      <c r="Q333" s="16" t="str">
        <f>Planejador!$I$237</f>
        <v/>
      </c>
      <c r="R333" s="14" t="str">
        <f>IFERROR(Planejador!$I$241,"")</f>
        <v/>
      </c>
      <c r="S333" s="18">
        <f t="shared" si="85"/>
        <v>0</v>
      </c>
      <c r="T333" s="14" t="str">
        <f>Planejador!$I$236</f>
        <v/>
      </c>
      <c r="U333" s="4"/>
      <c r="V333" s="4"/>
      <c r="W333" s="4"/>
      <c r="X333" s="4"/>
      <c r="Y333" s="4"/>
      <c r="Z333" s="4"/>
      <c r="AA333" s="4"/>
      <c r="AB333" s="4"/>
    </row>
    <row r="334" ht="18.75" hidden="1" customHeight="1" outlineLevel="1">
      <c r="A334" s="12">
        <v>46343.0</v>
      </c>
      <c r="B334" s="13" t="str">
        <f t="shared" si="80"/>
        <v>terça-feira</v>
      </c>
      <c r="C334" s="13"/>
      <c r="D334" s="14">
        <f>SUMIF('ADV - GG'!A:A,A334,'ADV - GG'!C:C)+SUMIF('ADV - FB'!A:A,$A334,'ADV - FB'!E:E)</f>
        <v>0</v>
      </c>
      <c r="E334" s="19"/>
      <c r="F334" s="15" t="str">
        <f t="shared" si="32"/>
        <v/>
      </c>
      <c r="G334" s="14" t="str">
        <f t="shared" si="33"/>
        <v/>
      </c>
      <c r="H334" s="16" t="str">
        <f t="shared" si="81"/>
        <v/>
      </c>
      <c r="I334" s="14" t="str">
        <f t="shared" si="82"/>
        <v/>
      </c>
      <c r="J334" s="17"/>
      <c r="K334" s="22">
        <f>SUMIF('ADV - GA4'!A:A,A334,'ADV - GA4'!C:C)</f>
        <v>0</v>
      </c>
      <c r="L334" s="19" t="str">
        <f t="shared" si="34"/>
        <v/>
      </c>
      <c r="M334" s="20">
        <f t="shared" si="83"/>
        <v>66.66666667</v>
      </c>
      <c r="N334" s="14">
        <f t="shared" si="84"/>
        <v>166.6666667</v>
      </c>
      <c r="O334" s="15" t="str">
        <f>IFERROR(Planejador!$I$244,"")</f>
        <v/>
      </c>
      <c r="P334" s="14" t="str">
        <f>Planejador!$I$235</f>
        <v/>
      </c>
      <c r="Q334" s="16" t="str">
        <f>Planejador!$I$237</f>
        <v/>
      </c>
      <c r="R334" s="14" t="str">
        <f>IFERROR(Planejador!$I$241,"")</f>
        <v/>
      </c>
      <c r="S334" s="18">
        <f t="shared" si="85"/>
        <v>0</v>
      </c>
      <c r="T334" s="14" t="str">
        <f>Planejador!$I$236</f>
        <v/>
      </c>
      <c r="U334" s="4"/>
      <c r="V334" s="4"/>
      <c r="W334" s="4"/>
      <c r="X334" s="4"/>
      <c r="Y334" s="4"/>
      <c r="Z334" s="4"/>
      <c r="AA334" s="4"/>
      <c r="AB334" s="4"/>
    </row>
    <row r="335" ht="18.75" hidden="1" customHeight="1" outlineLevel="1">
      <c r="A335" s="12">
        <v>46344.0</v>
      </c>
      <c r="B335" s="13" t="str">
        <f t="shared" si="80"/>
        <v>quarta-feira</v>
      </c>
      <c r="C335" s="13"/>
      <c r="D335" s="14">
        <f>SUMIF('ADV - GG'!A:A,A335,'ADV - GG'!C:C)+SUMIF('ADV - FB'!A:A,$A335,'ADV - FB'!E:E)</f>
        <v>0</v>
      </c>
      <c r="E335" s="19"/>
      <c r="F335" s="15" t="str">
        <f t="shared" si="32"/>
        <v/>
      </c>
      <c r="G335" s="14" t="str">
        <f t="shared" si="33"/>
        <v/>
      </c>
      <c r="H335" s="16" t="str">
        <f t="shared" si="81"/>
        <v/>
      </c>
      <c r="I335" s="14" t="str">
        <f t="shared" si="82"/>
        <v/>
      </c>
      <c r="J335" s="17"/>
      <c r="K335" s="22">
        <f>SUMIF('ADV - GA4'!A:A,A335,'ADV - GA4'!C:C)</f>
        <v>0</v>
      </c>
      <c r="L335" s="19" t="str">
        <f t="shared" si="34"/>
        <v/>
      </c>
      <c r="M335" s="20">
        <f t="shared" si="83"/>
        <v>66.66666667</v>
      </c>
      <c r="N335" s="14">
        <f t="shared" si="84"/>
        <v>166.6666667</v>
      </c>
      <c r="O335" s="15" t="str">
        <f>IFERROR(Planejador!$I$244,"")</f>
        <v/>
      </c>
      <c r="P335" s="14" t="str">
        <f>Planejador!$I$235</f>
        <v/>
      </c>
      <c r="Q335" s="16" t="str">
        <f>Planejador!$I$237</f>
        <v/>
      </c>
      <c r="R335" s="14" t="str">
        <f>IFERROR(Planejador!$I$241,"")</f>
        <v/>
      </c>
      <c r="S335" s="18">
        <f t="shared" si="85"/>
        <v>0</v>
      </c>
      <c r="T335" s="14" t="str">
        <f>Planejador!$I$236</f>
        <v/>
      </c>
      <c r="U335" s="4"/>
      <c r="V335" s="4"/>
      <c r="W335" s="4"/>
      <c r="X335" s="4"/>
      <c r="Y335" s="4"/>
      <c r="Z335" s="4"/>
      <c r="AA335" s="4"/>
      <c r="AB335" s="4"/>
    </row>
    <row r="336" ht="18.75" hidden="1" customHeight="1" outlineLevel="1">
      <c r="A336" s="12">
        <v>46345.0</v>
      </c>
      <c r="B336" s="13" t="str">
        <f t="shared" si="80"/>
        <v>quinta-feira</v>
      </c>
      <c r="C336" s="13"/>
      <c r="D336" s="14">
        <f>SUMIF('ADV - GG'!A:A,A336,'ADV - GG'!C:C)+SUMIF('ADV - FB'!A:A,$A336,'ADV - FB'!E:E)</f>
        <v>0</v>
      </c>
      <c r="E336" s="19"/>
      <c r="F336" s="15" t="str">
        <f t="shared" si="32"/>
        <v/>
      </c>
      <c r="G336" s="14" t="str">
        <f t="shared" si="33"/>
        <v/>
      </c>
      <c r="H336" s="16" t="str">
        <f t="shared" si="81"/>
        <v/>
      </c>
      <c r="I336" s="14" t="str">
        <f t="shared" si="82"/>
        <v/>
      </c>
      <c r="J336" s="17"/>
      <c r="K336" s="22">
        <f>SUMIF('ADV - GA4'!A:A,A336,'ADV - GA4'!C:C)</f>
        <v>0</v>
      </c>
      <c r="L336" s="19" t="str">
        <f t="shared" si="34"/>
        <v/>
      </c>
      <c r="M336" s="20">
        <f t="shared" si="83"/>
        <v>66.66666667</v>
      </c>
      <c r="N336" s="14">
        <f t="shared" si="84"/>
        <v>166.6666667</v>
      </c>
      <c r="O336" s="15" t="str">
        <f>IFERROR(Planejador!$I$244,"")</f>
        <v/>
      </c>
      <c r="P336" s="14" t="str">
        <f>Planejador!$I$235</f>
        <v/>
      </c>
      <c r="Q336" s="16" t="str">
        <f>Planejador!$I$237</f>
        <v/>
      </c>
      <c r="R336" s="14" t="str">
        <f>IFERROR(Planejador!$I$241,"")</f>
        <v/>
      </c>
      <c r="S336" s="18">
        <f t="shared" si="85"/>
        <v>0</v>
      </c>
      <c r="T336" s="14" t="str">
        <f>Planejador!$I$236</f>
        <v/>
      </c>
      <c r="U336" s="4"/>
      <c r="V336" s="4"/>
      <c r="W336" s="4"/>
      <c r="X336" s="4"/>
      <c r="Y336" s="4"/>
      <c r="Z336" s="4"/>
      <c r="AA336" s="4"/>
      <c r="AB336" s="4"/>
    </row>
    <row r="337" ht="18.75" hidden="1" customHeight="1" outlineLevel="1">
      <c r="A337" s="12">
        <v>46346.0</v>
      </c>
      <c r="B337" s="13" t="str">
        <f t="shared" si="80"/>
        <v>sexta-feira</v>
      </c>
      <c r="C337" s="13"/>
      <c r="D337" s="14">
        <f>SUMIF('ADV - GG'!A:A,A337,'ADV - GG'!C:C)+SUMIF('ADV - FB'!A:A,$A337,'ADV - FB'!E:E)</f>
        <v>0</v>
      </c>
      <c r="E337" s="19"/>
      <c r="F337" s="15" t="str">
        <f t="shared" si="32"/>
        <v/>
      </c>
      <c r="G337" s="14" t="str">
        <f t="shared" si="33"/>
        <v/>
      </c>
      <c r="H337" s="16" t="str">
        <f t="shared" si="81"/>
        <v/>
      </c>
      <c r="I337" s="14" t="str">
        <f t="shared" si="82"/>
        <v/>
      </c>
      <c r="J337" s="17"/>
      <c r="K337" s="22">
        <f>SUMIF('ADV - GA4'!A:A,A337,'ADV - GA4'!C:C)</f>
        <v>0</v>
      </c>
      <c r="L337" s="19" t="str">
        <f t="shared" si="34"/>
        <v/>
      </c>
      <c r="M337" s="20">
        <f t="shared" si="83"/>
        <v>66.66666667</v>
      </c>
      <c r="N337" s="14">
        <f t="shared" si="84"/>
        <v>166.6666667</v>
      </c>
      <c r="O337" s="15" t="str">
        <f>IFERROR(Planejador!$I$244,"")</f>
        <v/>
      </c>
      <c r="P337" s="14" t="str">
        <f>Planejador!$I$235</f>
        <v/>
      </c>
      <c r="Q337" s="16" t="str">
        <f>Planejador!$I$237</f>
        <v/>
      </c>
      <c r="R337" s="14" t="str">
        <f>IFERROR(Planejador!$I$241,"")</f>
        <v/>
      </c>
      <c r="S337" s="18">
        <f t="shared" si="85"/>
        <v>0</v>
      </c>
      <c r="T337" s="14" t="str">
        <f>Planejador!$I$236</f>
        <v/>
      </c>
      <c r="U337" s="4"/>
      <c r="V337" s="4"/>
      <c r="W337" s="4"/>
      <c r="X337" s="4"/>
      <c r="Y337" s="4"/>
      <c r="Z337" s="4"/>
      <c r="AA337" s="4"/>
      <c r="AB337" s="4"/>
    </row>
    <row r="338" ht="18.75" hidden="1" customHeight="1" outlineLevel="1">
      <c r="A338" s="12">
        <v>46347.0</v>
      </c>
      <c r="B338" s="13" t="str">
        <f t="shared" si="80"/>
        <v>sábado</v>
      </c>
      <c r="C338" s="13"/>
      <c r="D338" s="14">
        <f>SUMIF('ADV - GG'!A:A,A338,'ADV - GG'!C:C)+SUMIF('ADV - FB'!A:A,$A338,'ADV - FB'!E:E)</f>
        <v>0</v>
      </c>
      <c r="E338" s="19"/>
      <c r="F338" s="15" t="str">
        <f t="shared" si="32"/>
        <v/>
      </c>
      <c r="G338" s="14" t="str">
        <f t="shared" si="33"/>
        <v/>
      </c>
      <c r="H338" s="16" t="str">
        <f t="shared" si="81"/>
        <v/>
      </c>
      <c r="I338" s="14" t="str">
        <f t="shared" si="82"/>
        <v/>
      </c>
      <c r="J338" s="17"/>
      <c r="K338" s="22">
        <f>SUMIF('ADV - GA4'!A:A,A338,'ADV - GA4'!C:C)</f>
        <v>0</v>
      </c>
      <c r="L338" s="19" t="str">
        <f t="shared" si="34"/>
        <v/>
      </c>
      <c r="M338" s="20">
        <f t="shared" si="83"/>
        <v>66.66666667</v>
      </c>
      <c r="N338" s="14">
        <f t="shared" si="84"/>
        <v>166.6666667</v>
      </c>
      <c r="O338" s="15" t="str">
        <f>IFERROR(Planejador!$I$244,"")</f>
        <v/>
      </c>
      <c r="P338" s="14" t="str">
        <f>Planejador!$I$235</f>
        <v/>
      </c>
      <c r="Q338" s="16" t="str">
        <f>Planejador!$I$237</f>
        <v/>
      </c>
      <c r="R338" s="14" t="str">
        <f>IFERROR(Planejador!$I$241,"")</f>
        <v/>
      </c>
      <c r="S338" s="18">
        <f t="shared" si="85"/>
        <v>0</v>
      </c>
      <c r="T338" s="14" t="str">
        <f>Planejador!$I$236</f>
        <v/>
      </c>
      <c r="U338" s="4"/>
      <c r="V338" s="4"/>
      <c r="W338" s="4"/>
      <c r="X338" s="4"/>
      <c r="Y338" s="4"/>
      <c r="Z338" s="4"/>
      <c r="AA338" s="4"/>
      <c r="AB338" s="4"/>
    </row>
    <row r="339" ht="18.75" hidden="1" customHeight="1" outlineLevel="1">
      <c r="A339" s="12">
        <v>46348.0</v>
      </c>
      <c r="B339" s="13" t="str">
        <f t="shared" si="80"/>
        <v>domingo</v>
      </c>
      <c r="C339" s="13"/>
      <c r="D339" s="14">
        <f>SUMIF('ADV - GG'!A:A,A339,'ADV - GG'!C:C)+SUMIF('ADV - FB'!A:A,$A339,'ADV - FB'!E:E)</f>
        <v>0</v>
      </c>
      <c r="E339" s="19"/>
      <c r="F339" s="15" t="str">
        <f t="shared" si="32"/>
        <v/>
      </c>
      <c r="G339" s="14" t="str">
        <f t="shared" si="33"/>
        <v/>
      </c>
      <c r="H339" s="16" t="str">
        <f t="shared" si="81"/>
        <v/>
      </c>
      <c r="I339" s="14" t="str">
        <f t="shared" si="82"/>
        <v/>
      </c>
      <c r="J339" s="17"/>
      <c r="K339" s="22">
        <f>SUMIF('ADV - GA4'!A:A,A339,'ADV - GA4'!C:C)</f>
        <v>0</v>
      </c>
      <c r="L339" s="19" t="str">
        <f t="shared" si="34"/>
        <v/>
      </c>
      <c r="M339" s="20">
        <f t="shared" si="83"/>
        <v>66.66666667</v>
      </c>
      <c r="N339" s="14">
        <f t="shared" si="84"/>
        <v>166.6666667</v>
      </c>
      <c r="O339" s="15" t="str">
        <f>IFERROR(Planejador!$I$244,"")</f>
        <v/>
      </c>
      <c r="P339" s="14" t="str">
        <f>Planejador!$I$235</f>
        <v/>
      </c>
      <c r="Q339" s="16" t="str">
        <f>Planejador!$I$237</f>
        <v/>
      </c>
      <c r="R339" s="14" t="str">
        <f>IFERROR(Planejador!$I$241,"")</f>
        <v/>
      </c>
      <c r="S339" s="18">
        <f t="shared" si="85"/>
        <v>0</v>
      </c>
      <c r="T339" s="14" t="str">
        <f>Planejador!$I$236</f>
        <v/>
      </c>
      <c r="U339" s="4"/>
      <c r="V339" s="4"/>
      <c r="W339" s="4"/>
      <c r="X339" s="4"/>
      <c r="Y339" s="4"/>
      <c r="Z339" s="4"/>
      <c r="AA339" s="4"/>
      <c r="AB339" s="4"/>
    </row>
    <row r="340" ht="18.75" hidden="1" customHeight="1" outlineLevel="1">
      <c r="A340" s="12">
        <v>46349.0</v>
      </c>
      <c r="B340" s="13" t="str">
        <f t="shared" si="80"/>
        <v>segunda-feira</v>
      </c>
      <c r="C340" s="13"/>
      <c r="D340" s="14">
        <f>SUMIF('ADV - GG'!A:A,A340,'ADV - GG'!C:C)+SUMIF('ADV - FB'!A:A,$A340,'ADV - FB'!E:E)</f>
        <v>0</v>
      </c>
      <c r="E340" s="19"/>
      <c r="F340" s="15" t="str">
        <f t="shared" si="32"/>
        <v/>
      </c>
      <c r="G340" s="14" t="str">
        <f t="shared" si="33"/>
        <v/>
      </c>
      <c r="H340" s="16" t="str">
        <f t="shared" si="81"/>
        <v/>
      </c>
      <c r="I340" s="14" t="str">
        <f t="shared" si="82"/>
        <v/>
      </c>
      <c r="J340" s="17"/>
      <c r="K340" s="22">
        <f>SUMIF('ADV - GA4'!A:A,A340,'ADV - GA4'!C:C)</f>
        <v>0</v>
      </c>
      <c r="L340" s="19" t="str">
        <f t="shared" si="34"/>
        <v/>
      </c>
      <c r="M340" s="20">
        <f t="shared" si="83"/>
        <v>66.66666667</v>
      </c>
      <c r="N340" s="14">
        <f t="shared" si="84"/>
        <v>166.6666667</v>
      </c>
      <c r="O340" s="15" t="str">
        <f>IFERROR(Planejador!$I$244,"")</f>
        <v/>
      </c>
      <c r="P340" s="14" t="str">
        <f>Planejador!$I$235</f>
        <v/>
      </c>
      <c r="Q340" s="16" t="str">
        <f>Planejador!$I$237</f>
        <v/>
      </c>
      <c r="R340" s="14" t="str">
        <f>IFERROR(Planejador!$I$241,"")</f>
        <v/>
      </c>
      <c r="S340" s="18">
        <f t="shared" si="85"/>
        <v>0</v>
      </c>
      <c r="T340" s="14" t="str">
        <f>Planejador!$I$236</f>
        <v/>
      </c>
      <c r="U340" s="4"/>
      <c r="V340" s="4"/>
      <c r="W340" s="4"/>
      <c r="X340" s="4"/>
      <c r="Y340" s="4"/>
      <c r="Z340" s="4"/>
      <c r="AA340" s="4"/>
      <c r="AB340" s="4"/>
    </row>
    <row r="341" ht="18.75" hidden="1" customHeight="1" outlineLevel="1">
      <c r="A341" s="12">
        <v>46350.0</v>
      </c>
      <c r="B341" s="13" t="str">
        <f t="shared" si="80"/>
        <v>terça-feira</v>
      </c>
      <c r="C341" s="13"/>
      <c r="D341" s="14">
        <f>SUMIF('ADV - GG'!A:A,A341,'ADV - GG'!C:C)+SUMIF('ADV - FB'!A:A,$A341,'ADV - FB'!E:E)</f>
        <v>0</v>
      </c>
      <c r="E341" s="19"/>
      <c r="F341" s="15" t="str">
        <f t="shared" si="32"/>
        <v/>
      </c>
      <c r="G341" s="14" t="str">
        <f t="shared" si="33"/>
        <v/>
      </c>
      <c r="H341" s="16" t="str">
        <f t="shared" si="81"/>
        <v/>
      </c>
      <c r="I341" s="14" t="str">
        <f t="shared" si="82"/>
        <v/>
      </c>
      <c r="J341" s="17"/>
      <c r="K341" s="22">
        <f>SUMIF('ADV - GA4'!A:A,A341,'ADV - GA4'!C:C)</f>
        <v>0</v>
      </c>
      <c r="L341" s="19" t="str">
        <f t="shared" si="34"/>
        <v/>
      </c>
      <c r="M341" s="20">
        <f t="shared" si="83"/>
        <v>66.66666667</v>
      </c>
      <c r="N341" s="14">
        <f t="shared" si="84"/>
        <v>166.6666667</v>
      </c>
      <c r="O341" s="15" t="str">
        <f>IFERROR(Planejador!$I$244,"")</f>
        <v/>
      </c>
      <c r="P341" s="14" t="str">
        <f>Planejador!$I$235</f>
        <v/>
      </c>
      <c r="Q341" s="16" t="str">
        <f>Planejador!$I$237</f>
        <v/>
      </c>
      <c r="R341" s="14" t="str">
        <f>IFERROR(Planejador!$I$241,"")</f>
        <v/>
      </c>
      <c r="S341" s="18">
        <f t="shared" si="85"/>
        <v>0</v>
      </c>
      <c r="T341" s="14" t="str">
        <f>Planejador!$I$236</f>
        <v/>
      </c>
      <c r="U341" s="4"/>
      <c r="V341" s="4"/>
      <c r="W341" s="4"/>
      <c r="X341" s="4"/>
      <c r="Y341" s="4"/>
      <c r="Z341" s="4"/>
      <c r="AA341" s="4"/>
      <c r="AB341" s="4"/>
    </row>
    <row r="342" ht="18.75" hidden="1" customHeight="1" outlineLevel="1">
      <c r="A342" s="12">
        <v>46351.0</v>
      </c>
      <c r="B342" s="13" t="str">
        <f t="shared" si="80"/>
        <v>quarta-feira</v>
      </c>
      <c r="C342" s="13"/>
      <c r="D342" s="14">
        <f>SUMIF('ADV - GG'!A:A,A342,'ADV - GG'!C:C)+SUMIF('ADV - FB'!A:A,$A342,'ADV - FB'!E:E)</f>
        <v>0</v>
      </c>
      <c r="E342" s="19"/>
      <c r="F342" s="15" t="str">
        <f t="shared" si="32"/>
        <v/>
      </c>
      <c r="G342" s="14" t="str">
        <f t="shared" si="33"/>
        <v/>
      </c>
      <c r="H342" s="16" t="str">
        <f t="shared" si="81"/>
        <v/>
      </c>
      <c r="I342" s="14" t="str">
        <f t="shared" si="82"/>
        <v/>
      </c>
      <c r="J342" s="17"/>
      <c r="K342" s="22">
        <f>SUMIF('ADV - GA4'!A:A,A342,'ADV - GA4'!C:C)</f>
        <v>0</v>
      </c>
      <c r="L342" s="19" t="str">
        <f t="shared" si="34"/>
        <v/>
      </c>
      <c r="M342" s="20">
        <f t="shared" si="83"/>
        <v>66.66666667</v>
      </c>
      <c r="N342" s="14">
        <f t="shared" si="84"/>
        <v>166.6666667</v>
      </c>
      <c r="O342" s="15" t="str">
        <f>IFERROR(Planejador!$I$244,"")</f>
        <v/>
      </c>
      <c r="P342" s="14" t="str">
        <f>Planejador!$I$235</f>
        <v/>
      </c>
      <c r="Q342" s="16" t="str">
        <f>Planejador!$I$237</f>
        <v/>
      </c>
      <c r="R342" s="14" t="str">
        <f>IFERROR(Planejador!$I$241,"")</f>
        <v/>
      </c>
      <c r="S342" s="18">
        <f t="shared" si="85"/>
        <v>0</v>
      </c>
      <c r="T342" s="14" t="str">
        <f>Planejador!$I$236</f>
        <v/>
      </c>
      <c r="U342" s="4"/>
      <c r="V342" s="4"/>
      <c r="W342" s="4"/>
      <c r="X342" s="4"/>
      <c r="Y342" s="4"/>
      <c r="Z342" s="4"/>
      <c r="AA342" s="4"/>
      <c r="AB342" s="4"/>
    </row>
    <row r="343" ht="18.75" hidden="1" customHeight="1" outlineLevel="1">
      <c r="A343" s="12">
        <v>46352.0</v>
      </c>
      <c r="B343" s="13" t="str">
        <f t="shared" si="80"/>
        <v>quinta-feira</v>
      </c>
      <c r="C343" s="13"/>
      <c r="D343" s="14">
        <f>SUMIF('ADV - GG'!A:A,A343,'ADV - GG'!C:C)+SUMIF('ADV - FB'!A:A,$A343,'ADV - FB'!E:E)</f>
        <v>0</v>
      </c>
      <c r="E343" s="19"/>
      <c r="F343" s="15" t="str">
        <f t="shared" si="32"/>
        <v/>
      </c>
      <c r="G343" s="14" t="str">
        <f t="shared" si="33"/>
        <v/>
      </c>
      <c r="H343" s="16" t="str">
        <f t="shared" si="81"/>
        <v/>
      </c>
      <c r="I343" s="14" t="str">
        <f t="shared" si="82"/>
        <v/>
      </c>
      <c r="J343" s="17"/>
      <c r="K343" s="22">
        <f>SUMIF('ADV - GA4'!A:A,A343,'ADV - GA4'!C:C)</f>
        <v>0</v>
      </c>
      <c r="L343" s="19" t="str">
        <f t="shared" si="34"/>
        <v/>
      </c>
      <c r="M343" s="20">
        <f t="shared" si="83"/>
        <v>66.66666667</v>
      </c>
      <c r="N343" s="14">
        <f t="shared" si="84"/>
        <v>166.6666667</v>
      </c>
      <c r="O343" s="15" t="str">
        <f>IFERROR(Planejador!$I$244,"")</f>
        <v/>
      </c>
      <c r="P343" s="14" t="str">
        <f>Planejador!$I$235</f>
        <v/>
      </c>
      <c r="Q343" s="16" t="str">
        <f>Planejador!$I$237</f>
        <v/>
      </c>
      <c r="R343" s="14" t="str">
        <f>IFERROR(Planejador!$I$241,"")</f>
        <v/>
      </c>
      <c r="S343" s="18">
        <f t="shared" si="85"/>
        <v>0</v>
      </c>
      <c r="T343" s="14" t="str">
        <f>Planejador!$I$236</f>
        <v/>
      </c>
      <c r="U343" s="4"/>
      <c r="V343" s="4"/>
      <c r="W343" s="4"/>
      <c r="X343" s="4"/>
      <c r="Y343" s="4"/>
      <c r="Z343" s="4"/>
      <c r="AA343" s="4"/>
      <c r="AB343" s="4"/>
    </row>
    <row r="344" ht="18.75" hidden="1" customHeight="1" outlineLevel="1">
      <c r="A344" s="12">
        <v>46353.0</v>
      </c>
      <c r="B344" s="13" t="str">
        <f t="shared" si="80"/>
        <v>sexta-feira</v>
      </c>
      <c r="C344" s="13"/>
      <c r="D344" s="14">
        <f>SUMIF('ADV - GG'!A:A,A344,'ADV - GG'!C:C)+SUMIF('ADV - FB'!A:A,$A344,'ADV - FB'!E:E)</f>
        <v>0</v>
      </c>
      <c r="E344" s="19"/>
      <c r="F344" s="15" t="str">
        <f t="shared" si="32"/>
        <v/>
      </c>
      <c r="G344" s="14" t="str">
        <f t="shared" si="33"/>
        <v/>
      </c>
      <c r="H344" s="16" t="str">
        <f t="shared" si="81"/>
        <v/>
      </c>
      <c r="I344" s="14" t="str">
        <f t="shared" si="82"/>
        <v/>
      </c>
      <c r="J344" s="17"/>
      <c r="K344" s="22">
        <f>SUMIF('ADV - GA4'!A:A,A344,'ADV - GA4'!C:C)</f>
        <v>0</v>
      </c>
      <c r="L344" s="19" t="str">
        <f t="shared" si="34"/>
        <v/>
      </c>
      <c r="M344" s="20">
        <f t="shared" si="83"/>
        <v>66.66666667</v>
      </c>
      <c r="N344" s="14">
        <f t="shared" si="84"/>
        <v>166.6666667</v>
      </c>
      <c r="O344" s="15" t="str">
        <f>IFERROR(Planejador!$I$244,"")</f>
        <v/>
      </c>
      <c r="P344" s="14" t="str">
        <f>Planejador!$I$235</f>
        <v/>
      </c>
      <c r="Q344" s="16" t="str">
        <f>Planejador!$I$237</f>
        <v/>
      </c>
      <c r="R344" s="14" t="str">
        <f>IFERROR(Planejador!$I$241,"")</f>
        <v/>
      </c>
      <c r="S344" s="18">
        <f t="shared" si="85"/>
        <v>0</v>
      </c>
      <c r="T344" s="14" t="str">
        <f>Planejador!$I$236</f>
        <v/>
      </c>
      <c r="U344" s="4"/>
      <c r="V344" s="4"/>
      <c r="W344" s="4"/>
      <c r="X344" s="4"/>
      <c r="Y344" s="4"/>
      <c r="Z344" s="4"/>
      <c r="AA344" s="4"/>
      <c r="AB344" s="4"/>
    </row>
    <row r="345" ht="18.75" hidden="1" customHeight="1" outlineLevel="1">
      <c r="A345" s="12">
        <v>46354.0</v>
      </c>
      <c r="B345" s="13" t="str">
        <f t="shared" si="80"/>
        <v>sábado</v>
      </c>
      <c r="C345" s="13"/>
      <c r="D345" s="14">
        <f>SUMIF('ADV - GG'!A:A,A345,'ADV - GG'!C:C)+SUMIF('ADV - FB'!A:A,$A345,'ADV - FB'!E:E)</f>
        <v>0</v>
      </c>
      <c r="E345" s="19"/>
      <c r="F345" s="15" t="str">
        <f t="shared" si="32"/>
        <v/>
      </c>
      <c r="G345" s="14" t="str">
        <f t="shared" si="33"/>
        <v/>
      </c>
      <c r="H345" s="16" t="str">
        <f t="shared" si="81"/>
        <v/>
      </c>
      <c r="I345" s="14" t="str">
        <f t="shared" si="82"/>
        <v/>
      </c>
      <c r="J345" s="17"/>
      <c r="K345" s="22">
        <f>SUMIF('ADV - GA4'!A:A,A345,'ADV - GA4'!C:C)</f>
        <v>0</v>
      </c>
      <c r="L345" s="19" t="str">
        <f t="shared" si="34"/>
        <v/>
      </c>
      <c r="M345" s="20">
        <f t="shared" si="83"/>
        <v>66.66666667</v>
      </c>
      <c r="N345" s="14">
        <f t="shared" si="84"/>
        <v>166.6666667</v>
      </c>
      <c r="O345" s="15" t="str">
        <f>IFERROR(Planejador!$I$244,"")</f>
        <v/>
      </c>
      <c r="P345" s="14" t="str">
        <f>Planejador!$I$235</f>
        <v/>
      </c>
      <c r="Q345" s="16" t="str">
        <f>Planejador!$I$237</f>
        <v/>
      </c>
      <c r="R345" s="14" t="str">
        <f>IFERROR(Planejador!$I$241,"")</f>
        <v/>
      </c>
      <c r="S345" s="18">
        <f t="shared" si="85"/>
        <v>0</v>
      </c>
      <c r="T345" s="14" t="str">
        <f>Planejador!$I$236</f>
        <v/>
      </c>
      <c r="U345" s="4"/>
      <c r="V345" s="4"/>
      <c r="W345" s="4"/>
      <c r="X345" s="4"/>
      <c r="Y345" s="4"/>
      <c r="Z345" s="4"/>
      <c r="AA345" s="4"/>
      <c r="AB345" s="4"/>
    </row>
    <row r="346" ht="18.75" hidden="1" customHeight="1" outlineLevel="1">
      <c r="A346" s="12">
        <v>46355.0</v>
      </c>
      <c r="B346" s="13" t="str">
        <f t="shared" si="80"/>
        <v>domingo</v>
      </c>
      <c r="C346" s="13"/>
      <c r="D346" s="14">
        <f>SUMIF('ADV - GG'!A:A,A346,'ADV - GG'!C:C)+SUMIF('ADV - FB'!A:A,$A346,'ADV - FB'!E:E)</f>
        <v>0</v>
      </c>
      <c r="E346" s="19"/>
      <c r="F346" s="15" t="str">
        <f t="shared" si="32"/>
        <v/>
      </c>
      <c r="G346" s="14" t="str">
        <f t="shared" si="33"/>
        <v/>
      </c>
      <c r="H346" s="16" t="str">
        <f t="shared" si="81"/>
        <v/>
      </c>
      <c r="I346" s="14" t="str">
        <f t="shared" si="82"/>
        <v/>
      </c>
      <c r="J346" s="17"/>
      <c r="K346" s="22">
        <f>SUMIF('ADV - GA4'!A:A,A346,'ADV - GA4'!C:C)</f>
        <v>0</v>
      </c>
      <c r="L346" s="19" t="str">
        <f t="shared" si="34"/>
        <v/>
      </c>
      <c r="M346" s="20">
        <f t="shared" si="83"/>
        <v>66.66666667</v>
      </c>
      <c r="N346" s="14">
        <f t="shared" si="84"/>
        <v>166.6666667</v>
      </c>
      <c r="O346" s="15" t="str">
        <f>IFERROR(Planejador!$I$244,"")</f>
        <v/>
      </c>
      <c r="P346" s="14" t="str">
        <f>Planejador!$I$235</f>
        <v/>
      </c>
      <c r="Q346" s="16" t="str">
        <f>Planejador!$I$237</f>
        <v/>
      </c>
      <c r="R346" s="14" t="str">
        <f>IFERROR(Planejador!$I$241,"")</f>
        <v/>
      </c>
      <c r="S346" s="18">
        <f t="shared" si="85"/>
        <v>0</v>
      </c>
      <c r="T346" s="14" t="str">
        <f>Planejador!$I$236</f>
        <v/>
      </c>
      <c r="U346" s="4"/>
      <c r="V346" s="4"/>
      <c r="W346" s="4"/>
      <c r="X346" s="4"/>
      <c r="Y346" s="4"/>
      <c r="Z346" s="4"/>
      <c r="AA346" s="4"/>
      <c r="AB346" s="4"/>
    </row>
    <row r="347" ht="18.75" hidden="1" customHeight="1" outlineLevel="1">
      <c r="A347" s="12">
        <v>46356.0</v>
      </c>
      <c r="B347" s="13" t="str">
        <f t="shared" si="80"/>
        <v>segunda-feira</v>
      </c>
      <c r="C347" s="13"/>
      <c r="D347" s="14">
        <f>SUMIF('ADV - GG'!A:A,A347,'ADV - GG'!C:C)+SUMIF('ADV - FB'!A:A,$A347,'ADV - FB'!E:E)</f>
        <v>0</v>
      </c>
      <c r="E347" s="19"/>
      <c r="F347" s="15" t="str">
        <f t="shared" si="32"/>
        <v/>
      </c>
      <c r="G347" s="14" t="str">
        <f t="shared" si="33"/>
        <v/>
      </c>
      <c r="H347" s="16" t="str">
        <f t="shared" si="81"/>
        <v/>
      </c>
      <c r="I347" s="14" t="str">
        <f t="shared" si="82"/>
        <v/>
      </c>
      <c r="J347" s="17"/>
      <c r="K347" s="22">
        <f>SUMIF('ADV - GA4'!A:A,A347,'ADV - GA4'!C:C)</f>
        <v>0</v>
      </c>
      <c r="L347" s="19" t="str">
        <f t="shared" si="34"/>
        <v/>
      </c>
      <c r="M347" s="20">
        <f t="shared" si="83"/>
        <v>66.66666667</v>
      </c>
      <c r="N347" s="14">
        <f t="shared" si="84"/>
        <v>166.6666667</v>
      </c>
      <c r="O347" s="15" t="str">
        <f>IFERROR(Planejador!$I$244,"")</f>
        <v/>
      </c>
      <c r="P347" s="14" t="str">
        <f>Planejador!$I$235</f>
        <v/>
      </c>
      <c r="Q347" s="16" t="str">
        <f>Planejador!$I$237</f>
        <v/>
      </c>
      <c r="R347" s="14" t="str">
        <f>IFERROR(Planejador!$I$241,"")</f>
        <v/>
      </c>
      <c r="S347" s="18">
        <f t="shared" si="85"/>
        <v>0</v>
      </c>
      <c r="T347" s="14" t="str">
        <f>Planejador!$I$236</f>
        <v/>
      </c>
      <c r="U347" s="4"/>
      <c r="V347" s="4"/>
      <c r="W347" s="4"/>
      <c r="X347" s="4"/>
      <c r="Y347" s="4"/>
      <c r="Z347" s="4"/>
      <c r="AA347" s="4"/>
      <c r="AB347" s="4"/>
    </row>
    <row r="348" ht="18.75" customHeight="1" collapsed="1">
      <c r="A348" s="25" t="s">
        <v>32</v>
      </c>
      <c r="B348" s="26">
        <v>31.0</v>
      </c>
      <c r="C348" s="27"/>
      <c r="D348" s="28">
        <f t="shared" ref="D348:E348" si="86">IFERROR(SUM(D349:D379),"")</f>
        <v>0</v>
      </c>
      <c r="E348" s="28">
        <f t="shared" si="86"/>
        <v>0</v>
      </c>
      <c r="F348" s="29" t="str">
        <f t="shared" si="32"/>
        <v/>
      </c>
      <c r="G348" s="30" t="str">
        <f t="shared" si="33"/>
        <v/>
      </c>
      <c r="H348" s="31" t="str">
        <f>IFERROR(J348/K348,"")</f>
        <v/>
      </c>
      <c r="I348" s="30" t="str">
        <f>IFERROR(D348/J348,"")</f>
        <v/>
      </c>
      <c r="J348" s="32">
        <f t="shared" ref="J348:K348" si="87">IFERROR(SUM(J349:J379),"")</f>
        <v>0</v>
      </c>
      <c r="K348" s="32">
        <f t="shared" si="87"/>
        <v>0</v>
      </c>
      <c r="L348" s="30" t="str">
        <f t="shared" si="34"/>
        <v/>
      </c>
      <c r="M348" s="28" t="str">
        <f>Planejador!$I$257</f>
        <v/>
      </c>
      <c r="N348" s="28" t="str">
        <f>IFERROR(Planejador!$I$266,"")</f>
        <v/>
      </c>
      <c r="O348" s="33" t="str">
        <f>IFERROR(Planejador!$I$267,"")</f>
        <v/>
      </c>
      <c r="P348" s="34" t="str">
        <f>Planejador!$I$258</f>
        <v/>
      </c>
      <c r="Q348" s="35" t="str">
        <f>Planejador!$I$260</f>
        <v/>
      </c>
      <c r="R348" s="34" t="str">
        <f>IFERROR(Planejador!$I$264,"")</f>
        <v/>
      </c>
      <c r="S348" s="32" t="str">
        <f>IFERROR(Planejador!$I$263,"")</f>
        <v/>
      </c>
      <c r="T348" s="34" t="str">
        <f>IFERROR(Planejador!$I$259,"")</f>
        <v/>
      </c>
      <c r="U348" s="4"/>
      <c r="V348" s="4"/>
      <c r="W348" s="4"/>
      <c r="X348" s="4"/>
      <c r="Y348" s="4"/>
      <c r="Z348" s="4"/>
      <c r="AA348" s="4"/>
      <c r="AB348" s="4"/>
    </row>
    <row r="349" ht="15.75" hidden="1" customHeight="1" outlineLevel="1">
      <c r="A349" s="12">
        <v>46357.0</v>
      </c>
      <c r="B349" s="13" t="str">
        <f t="shared" ref="B349:B379" si="88">TEXT(A349,"dddd")</f>
        <v>terça-feira</v>
      </c>
      <c r="C349" s="39"/>
      <c r="D349" s="14">
        <f>SUMIF('ADV - GG'!A:A,A349,'ADV - GG'!C:C)+SUMIF('ADV - FB'!A:A,$A349,'ADV - FB'!E:E)</f>
        <v>0</v>
      </c>
      <c r="E349" s="19"/>
      <c r="F349" s="15" t="str">
        <f t="shared" si="32"/>
        <v/>
      </c>
      <c r="G349" s="14" t="str">
        <f t="shared" si="33"/>
        <v/>
      </c>
      <c r="H349" s="16" t="str">
        <f t="shared" ref="H349:H379" si="89">iferror(J349/K349,"")</f>
        <v/>
      </c>
      <c r="I349" s="14" t="str">
        <f t="shared" ref="I349:I379" si="90">iferror(D349/J349,"")</f>
        <v/>
      </c>
      <c r="J349" s="17"/>
      <c r="K349" s="22">
        <f>SUMIF('ADV - GA4'!A:A,A349,'ADV - GA4'!C:C)</f>
        <v>0</v>
      </c>
      <c r="L349" s="19" t="str">
        <f t="shared" si="34"/>
        <v/>
      </c>
      <c r="M349" s="20">
        <f t="shared" ref="M349:M379" si="91">$M$348/$B$348</f>
        <v>0</v>
      </c>
      <c r="N349" s="14">
        <f t="shared" ref="N349:N379" si="92">$N$348/$B$348</f>
        <v>0</v>
      </c>
      <c r="O349" s="15" t="str">
        <f>IFERROR(Planejador!$I$267,"")</f>
        <v/>
      </c>
      <c r="P349" s="14" t="str">
        <f>Planejador!$I$258</f>
        <v/>
      </c>
      <c r="Q349" s="16" t="str">
        <f>Planejador!$I$260</f>
        <v/>
      </c>
      <c r="R349" s="14" t="str">
        <f>IFERROR(Planejador!$I$264,"")</f>
        <v/>
      </c>
      <c r="S349" s="18">
        <f t="shared" ref="S349:S379" si="93">$S$348/$B$348</f>
        <v>0</v>
      </c>
      <c r="T349" s="14" t="str">
        <f>Planejador!$I$259</f>
        <v/>
      </c>
      <c r="U349" s="4"/>
      <c r="V349" s="4"/>
      <c r="W349" s="4"/>
      <c r="X349" s="4"/>
      <c r="Y349" s="4"/>
      <c r="Z349" s="4"/>
      <c r="AA349" s="4"/>
      <c r="AB349" s="4"/>
    </row>
    <row r="350" ht="15.75" hidden="1" customHeight="1" outlineLevel="1">
      <c r="A350" s="12">
        <v>46358.0</v>
      </c>
      <c r="B350" s="13" t="str">
        <f t="shared" si="88"/>
        <v>quarta-feira</v>
      </c>
      <c r="C350" s="39"/>
      <c r="D350" s="14">
        <f>SUMIF('ADV - GG'!A:A,A350,'ADV - GG'!C:C)+SUMIF('ADV - FB'!A:A,$A350,'ADV - FB'!E:E)</f>
        <v>0</v>
      </c>
      <c r="E350" s="19"/>
      <c r="F350" s="15" t="str">
        <f t="shared" si="32"/>
        <v/>
      </c>
      <c r="G350" s="14" t="str">
        <f t="shared" si="33"/>
        <v/>
      </c>
      <c r="H350" s="16" t="str">
        <f t="shared" si="89"/>
        <v/>
      </c>
      <c r="I350" s="14" t="str">
        <f t="shared" si="90"/>
        <v/>
      </c>
      <c r="J350" s="17"/>
      <c r="K350" s="22">
        <f>SUMIF('ADV - GA4'!A:A,A350,'ADV - GA4'!C:C)</f>
        <v>0</v>
      </c>
      <c r="L350" s="19" t="str">
        <f t="shared" si="34"/>
        <v/>
      </c>
      <c r="M350" s="20">
        <f t="shared" si="91"/>
        <v>0</v>
      </c>
      <c r="N350" s="14">
        <f t="shared" si="92"/>
        <v>0</v>
      </c>
      <c r="O350" s="15" t="str">
        <f>IFERROR(Planejador!$I$267,"")</f>
        <v/>
      </c>
      <c r="P350" s="14" t="str">
        <f>Planejador!$I$258</f>
        <v/>
      </c>
      <c r="Q350" s="16" t="str">
        <f>Planejador!$I$260</f>
        <v/>
      </c>
      <c r="R350" s="14" t="str">
        <f>IFERROR(Planejador!$I$264,"")</f>
        <v/>
      </c>
      <c r="S350" s="18">
        <f t="shared" si="93"/>
        <v>0</v>
      </c>
      <c r="T350" s="14" t="str">
        <f>Planejador!$I$259</f>
        <v/>
      </c>
      <c r="U350" s="4"/>
      <c r="V350" s="4"/>
      <c r="W350" s="4"/>
      <c r="X350" s="4"/>
      <c r="Y350" s="4"/>
      <c r="Z350" s="4"/>
      <c r="AA350" s="4"/>
      <c r="AB350" s="4"/>
    </row>
    <row r="351" ht="15.75" hidden="1" customHeight="1" outlineLevel="1">
      <c r="A351" s="12">
        <v>46359.0</v>
      </c>
      <c r="B351" s="13" t="str">
        <f t="shared" si="88"/>
        <v>quinta-feira</v>
      </c>
      <c r="C351" s="39"/>
      <c r="D351" s="14">
        <f>SUMIF('ADV - GG'!A:A,A351,'ADV - GG'!C:C)+SUMIF('ADV - FB'!A:A,$A351,'ADV - FB'!E:E)</f>
        <v>0</v>
      </c>
      <c r="E351" s="19"/>
      <c r="F351" s="15" t="str">
        <f t="shared" si="32"/>
        <v/>
      </c>
      <c r="G351" s="14" t="str">
        <f t="shared" si="33"/>
        <v/>
      </c>
      <c r="H351" s="16" t="str">
        <f t="shared" si="89"/>
        <v/>
      </c>
      <c r="I351" s="14" t="str">
        <f t="shared" si="90"/>
        <v/>
      </c>
      <c r="J351" s="17"/>
      <c r="K351" s="22">
        <f>SUMIF('ADV - GA4'!A:A,A351,'ADV - GA4'!C:C)</f>
        <v>0</v>
      </c>
      <c r="L351" s="19" t="str">
        <f t="shared" si="34"/>
        <v/>
      </c>
      <c r="M351" s="20">
        <f t="shared" si="91"/>
        <v>0</v>
      </c>
      <c r="N351" s="14">
        <f t="shared" si="92"/>
        <v>0</v>
      </c>
      <c r="O351" s="15" t="str">
        <f>IFERROR(Planejador!$I$267,"")</f>
        <v/>
      </c>
      <c r="P351" s="14" t="str">
        <f>Planejador!$I$258</f>
        <v/>
      </c>
      <c r="Q351" s="16" t="str">
        <f>Planejador!$I$260</f>
        <v/>
      </c>
      <c r="R351" s="14" t="str">
        <f>IFERROR(Planejador!$I$264,"")</f>
        <v/>
      </c>
      <c r="S351" s="18">
        <f t="shared" si="93"/>
        <v>0</v>
      </c>
      <c r="T351" s="14" t="str">
        <f>Planejador!$I$259</f>
        <v/>
      </c>
      <c r="U351" s="4"/>
      <c r="V351" s="4"/>
      <c r="W351" s="4"/>
      <c r="X351" s="4"/>
      <c r="Y351" s="4"/>
      <c r="Z351" s="4"/>
      <c r="AA351" s="4"/>
      <c r="AB351" s="4"/>
    </row>
    <row r="352" ht="15.75" hidden="1" customHeight="1" outlineLevel="1">
      <c r="A352" s="12">
        <v>46360.0</v>
      </c>
      <c r="B352" s="13" t="str">
        <f t="shared" si="88"/>
        <v>sexta-feira</v>
      </c>
      <c r="C352" s="39"/>
      <c r="D352" s="14">
        <f>SUMIF('ADV - GG'!A:A,A352,'ADV - GG'!C:C)+SUMIF('ADV - FB'!A:A,$A352,'ADV - FB'!E:E)</f>
        <v>0</v>
      </c>
      <c r="E352" s="19"/>
      <c r="F352" s="15" t="str">
        <f t="shared" si="32"/>
        <v/>
      </c>
      <c r="G352" s="14" t="str">
        <f t="shared" si="33"/>
        <v/>
      </c>
      <c r="H352" s="16" t="str">
        <f t="shared" si="89"/>
        <v/>
      </c>
      <c r="I352" s="14" t="str">
        <f t="shared" si="90"/>
        <v/>
      </c>
      <c r="J352" s="17"/>
      <c r="K352" s="22">
        <f>SUMIF('ADV - GA4'!A:A,A352,'ADV - GA4'!C:C)</f>
        <v>0</v>
      </c>
      <c r="L352" s="19" t="str">
        <f t="shared" si="34"/>
        <v/>
      </c>
      <c r="M352" s="20">
        <f t="shared" si="91"/>
        <v>0</v>
      </c>
      <c r="N352" s="14">
        <f t="shared" si="92"/>
        <v>0</v>
      </c>
      <c r="O352" s="15" t="str">
        <f>IFERROR(Planejador!$I$267,"")</f>
        <v/>
      </c>
      <c r="P352" s="14" t="str">
        <f>Planejador!$I$258</f>
        <v/>
      </c>
      <c r="Q352" s="16" t="str">
        <f>Planejador!$I$260</f>
        <v/>
      </c>
      <c r="R352" s="14" t="str">
        <f>IFERROR(Planejador!$I$264,"")</f>
        <v/>
      </c>
      <c r="S352" s="18">
        <f t="shared" si="93"/>
        <v>0</v>
      </c>
      <c r="T352" s="14" t="str">
        <f>Planejador!$I$259</f>
        <v/>
      </c>
      <c r="U352" s="4"/>
      <c r="V352" s="4"/>
      <c r="W352" s="4"/>
      <c r="X352" s="4"/>
      <c r="Y352" s="4"/>
      <c r="Z352" s="4"/>
      <c r="AA352" s="4"/>
      <c r="AB352" s="4"/>
    </row>
    <row r="353" ht="15.75" hidden="1" customHeight="1" outlineLevel="1">
      <c r="A353" s="12">
        <v>46361.0</v>
      </c>
      <c r="B353" s="13" t="str">
        <f t="shared" si="88"/>
        <v>sábado</v>
      </c>
      <c r="C353" s="39"/>
      <c r="D353" s="14">
        <f>SUMIF('ADV - GG'!A:A,A353,'ADV - GG'!C:C)+SUMIF('ADV - FB'!A:A,$A353,'ADV - FB'!E:E)</f>
        <v>0</v>
      </c>
      <c r="E353" s="19"/>
      <c r="F353" s="15" t="str">
        <f t="shared" si="32"/>
        <v/>
      </c>
      <c r="G353" s="14" t="str">
        <f t="shared" si="33"/>
        <v/>
      </c>
      <c r="H353" s="16" t="str">
        <f t="shared" si="89"/>
        <v/>
      </c>
      <c r="I353" s="14" t="str">
        <f t="shared" si="90"/>
        <v/>
      </c>
      <c r="J353" s="17"/>
      <c r="K353" s="22">
        <f>SUMIF('ADV - GA4'!A:A,A353,'ADV - GA4'!C:C)</f>
        <v>0</v>
      </c>
      <c r="L353" s="19" t="str">
        <f t="shared" si="34"/>
        <v/>
      </c>
      <c r="M353" s="20">
        <f t="shared" si="91"/>
        <v>0</v>
      </c>
      <c r="N353" s="14">
        <f t="shared" si="92"/>
        <v>0</v>
      </c>
      <c r="O353" s="15" t="str">
        <f>IFERROR(Planejador!$I$267,"")</f>
        <v/>
      </c>
      <c r="P353" s="14" t="str">
        <f>Planejador!$I$258</f>
        <v/>
      </c>
      <c r="Q353" s="16" t="str">
        <f>Planejador!$I$260</f>
        <v/>
      </c>
      <c r="R353" s="14" t="str">
        <f>IFERROR(Planejador!$I$264,"")</f>
        <v/>
      </c>
      <c r="S353" s="18">
        <f t="shared" si="93"/>
        <v>0</v>
      </c>
      <c r="T353" s="14" t="str">
        <f>Planejador!$I$259</f>
        <v/>
      </c>
      <c r="U353" s="4"/>
      <c r="V353" s="4"/>
      <c r="W353" s="4"/>
      <c r="X353" s="4"/>
      <c r="Y353" s="4"/>
      <c r="Z353" s="4"/>
      <c r="AA353" s="4"/>
      <c r="AB353" s="4"/>
    </row>
    <row r="354" ht="15.75" hidden="1" customHeight="1" outlineLevel="1">
      <c r="A354" s="12">
        <v>46362.0</v>
      </c>
      <c r="B354" s="13" t="str">
        <f t="shared" si="88"/>
        <v>domingo</v>
      </c>
      <c r="C354" s="39"/>
      <c r="D354" s="14">
        <f>SUMIF('ADV - GG'!A:A,A354,'ADV - GG'!C:C)+SUMIF('ADV - FB'!A:A,$A354,'ADV - FB'!E:E)</f>
        <v>0</v>
      </c>
      <c r="E354" s="19"/>
      <c r="F354" s="15" t="str">
        <f t="shared" si="32"/>
        <v/>
      </c>
      <c r="G354" s="14" t="str">
        <f t="shared" si="33"/>
        <v/>
      </c>
      <c r="H354" s="16" t="str">
        <f t="shared" si="89"/>
        <v/>
      </c>
      <c r="I354" s="14" t="str">
        <f t="shared" si="90"/>
        <v/>
      </c>
      <c r="J354" s="17"/>
      <c r="K354" s="22">
        <f>SUMIF('ADV - GA4'!A:A,A354,'ADV - GA4'!C:C)</f>
        <v>0</v>
      </c>
      <c r="L354" s="19" t="str">
        <f t="shared" si="34"/>
        <v/>
      </c>
      <c r="M354" s="20">
        <f t="shared" si="91"/>
        <v>0</v>
      </c>
      <c r="N354" s="14">
        <f t="shared" si="92"/>
        <v>0</v>
      </c>
      <c r="O354" s="15" t="str">
        <f>IFERROR(Planejador!$I$267,"")</f>
        <v/>
      </c>
      <c r="P354" s="14" t="str">
        <f>Planejador!$I$258</f>
        <v/>
      </c>
      <c r="Q354" s="16" t="str">
        <f>Planejador!$I$260</f>
        <v/>
      </c>
      <c r="R354" s="14" t="str">
        <f>IFERROR(Planejador!$I$264,"")</f>
        <v/>
      </c>
      <c r="S354" s="18">
        <f t="shared" si="93"/>
        <v>0</v>
      </c>
      <c r="T354" s="14" t="str">
        <f>Planejador!$I$259</f>
        <v/>
      </c>
      <c r="U354" s="4"/>
      <c r="V354" s="4"/>
      <c r="W354" s="4"/>
      <c r="X354" s="4"/>
      <c r="Y354" s="4"/>
      <c r="Z354" s="4"/>
      <c r="AA354" s="4"/>
      <c r="AB354" s="4"/>
    </row>
    <row r="355" ht="15.75" hidden="1" customHeight="1" outlineLevel="1">
      <c r="A355" s="12">
        <v>46363.0</v>
      </c>
      <c r="B355" s="13" t="str">
        <f t="shared" si="88"/>
        <v>segunda-feira</v>
      </c>
      <c r="C355" s="39"/>
      <c r="D355" s="14">
        <f>SUMIF('ADV - GG'!A:A,A355,'ADV - GG'!C:C)+SUMIF('ADV - FB'!A:A,$A355,'ADV - FB'!E:E)</f>
        <v>0</v>
      </c>
      <c r="E355" s="19"/>
      <c r="F355" s="15" t="str">
        <f t="shared" si="32"/>
        <v/>
      </c>
      <c r="G355" s="14" t="str">
        <f t="shared" si="33"/>
        <v/>
      </c>
      <c r="H355" s="16" t="str">
        <f t="shared" si="89"/>
        <v/>
      </c>
      <c r="I355" s="14" t="str">
        <f t="shared" si="90"/>
        <v/>
      </c>
      <c r="J355" s="17"/>
      <c r="K355" s="22">
        <f>SUMIF('ADV - GA4'!A:A,A355,'ADV - GA4'!C:C)</f>
        <v>0</v>
      </c>
      <c r="L355" s="19" t="str">
        <f t="shared" si="34"/>
        <v/>
      </c>
      <c r="M355" s="20">
        <f t="shared" si="91"/>
        <v>0</v>
      </c>
      <c r="N355" s="14">
        <f t="shared" si="92"/>
        <v>0</v>
      </c>
      <c r="O355" s="15" t="str">
        <f>IFERROR(Planejador!$I$267,"")</f>
        <v/>
      </c>
      <c r="P355" s="14" t="str">
        <f>Planejador!$I$258</f>
        <v/>
      </c>
      <c r="Q355" s="16" t="str">
        <f>Planejador!$I$260</f>
        <v/>
      </c>
      <c r="R355" s="14" t="str">
        <f>IFERROR(Planejador!$I$264,"")</f>
        <v/>
      </c>
      <c r="S355" s="18">
        <f t="shared" si="93"/>
        <v>0</v>
      </c>
      <c r="T355" s="14" t="str">
        <f>Planejador!$I$259</f>
        <v/>
      </c>
      <c r="U355" s="4"/>
      <c r="V355" s="4"/>
      <c r="W355" s="4"/>
      <c r="X355" s="4"/>
      <c r="Y355" s="4"/>
      <c r="Z355" s="4"/>
      <c r="AA355" s="4"/>
      <c r="AB355" s="4"/>
    </row>
    <row r="356" ht="15.75" hidden="1" customHeight="1" outlineLevel="1">
      <c r="A356" s="12">
        <v>46364.0</v>
      </c>
      <c r="B356" s="13" t="str">
        <f t="shared" si="88"/>
        <v>terça-feira</v>
      </c>
      <c r="C356" s="39"/>
      <c r="D356" s="14">
        <f>SUMIF('ADV - GG'!A:A,A356,'ADV - GG'!C:C)+SUMIF('ADV - FB'!A:A,$A356,'ADV - FB'!E:E)</f>
        <v>0</v>
      </c>
      <c r="E356" s="19"/>
      <c r="F356" s="15" t="str">
        <f t="shared" si="32"/>
        <v/>
      </c>
      <c r="G356" s="14" t="str">
        <f t="shared" si="33"/>
        <v/>
      </c>
      <c r="H356" s="16" t="str">
        <f t="shared" si="89"/>
        <v/>
      </c>
      <c r="I356" s="14" t="str">
        <f t="shared" si="90"/>
        <v/>
      </c>
      <c r="J356" s="17"/>
      <c r="K356" s="22">
        <f>SUMIF('ADV - GA4'!A:A,A356,'ADV - GA4'!C:C)</f>
        <v>0</v>
      </c>
      <c r="L356" s="19" t="str">
        <f t="shared" si="34"/>
        <v/>
      </c>
      <c r="M356" s="20">
        <f t="shared" si="91"/>
        <v>0</v>
      </c>
      <c r="N356" s="14">
        <f t="shared" si="92"/>
        <v>0</v>
      </c>
      <c r="O356" s="15" t="str">
        <f>IFERROR(Planejador!$I$267,"")</f>
        <v/>
      </c>
      <c r="P356" s="14" t="str">
        <f>Planejador!$I$258</f>
        <v/>
      </c>
      <c r="Q356" s="16" t="str">
        <f>Planejador!$I$260</f>
        <v/>
      </c>
      <c r="R356" s="14" t="str">
        <f>IFERROR(Planejador!$I$264,"")</f>
        <v/>
      </c>
      <c r="S356" s="18">
        <f t="shared" si="93"/>
        <v>0</v>
      </c>
      <c r="T356" s="14" t="str">
        <f>Planejador!$I$259</f>
        <v/>
      </c>
      <c r="U356" s="4"/>
      <c r="V356" s="4"/>
      <c r="W356" s="4"/>
      <c r="X356" s="4"/>
      <c r="Y356" s="4"/>
      <c r="Z356" s="4"/>
      <c r="AA356" s="4"/>
      <c r="AB356" s="4"/>
    </row>
    <row r="357" ht="15.75" hidden="1" customHeight="1" outlineLevel="1">
      <c r="A357" s="12">
        <v>46365.0</v>
      </c>
      <c r="B357" s="13" t="str">
        <f t="shared" si="88"/>
        <v>quarta-feira</v>
      </c>
      <c r="C357" s="39"/>
      <c r="D357" s="14">
        <f>SUMIF('ADV - GG'!A:A,A357,'ADV - GG'!C:C)+SUMIF('ADV - FB'!A:A,$A357,'ADV - FB'!E:E)</f>
        <v>0</v>
      </c>
      <c r="E357" s="19"/>
      <c r="F357" s="15" t="str">
        <f t="shared" si="32"/>
        <v/>
      </c>
      <c r="G357" s="14" t="str">
        <f t="shared" si="33"/>
        <v/>
      </c>
      <c r="H357" s="16" t="str">
        <f t="shared" si="89"/>
        <v/>
      </c>
      <c r="I357" s="14" t="str">
        <f t="shared" si="90"/>
        <v/>
      </c>
      <c r="J357" s="17"/>
      <c r="K357" s="22">
        <f>SUMIF('ADV - GA4'!A:A,A357,'ADV - GA4'!C:C)</f>
        <v>0</v>
      </c>
      <c r="L357" s="19" t="str">
        <f t="shared" si="34"/>
        <v/>
      </c>
      <c r="M357" s="20">
        <f t="shared" si="91"/>
        <v>0</v>
      </c>
      <c r="N357" s="14">
        <f t="shared" si="92"/>
        <v>0</v>
      </c>
      <c r="O357" s="15" t="str">
        <f>IFERROR(Planejador!$I$267,"")</f>
        <v/>
      </c>
      <c r="P357" s="14" t="str">
        <f>Planejador!$I$258</f>
        <v/>
      </c>
      <c r="Q357" s="16" t="str">
        <f>Planejador!$I$260</f>
        <v/>
      </c>
      <c r="R357" s="14" t="str">
        <f>IFERROR(Planejador!$I$264,"")</f>
        <v/>
      </c>
      <c r="S357" s="18">
        <f t="shared" si="93"/>
        <v>0</v>
      </c>
      <c r="T357" s="14" t="str">
        <f>Planejador!$I$259</f>
        <v/>
      </c>
      <c r="U357" s="4"/>
      <c r="V357" s="4"/>
      <c r="W357" s="4"/>
      <c r="X357" s="4"/>
      <c r="Y357" s="4"/>
      <c r="Z357" s="4"/>
      <c r="AA357" s="4"/>
      <c r="AB357" s="4"/>
    </row>
    <row r="358" ht="15.75" hidden="1" customHeight="1" outlineLevel="1">
      <c r="A358" s="12">
        <v>46366.0</v>
      </c>
      <c r="B358" s="13" t="str">
        <f t="shared" si="88"/>
        <v>quinta-feira</v>
      </c>
      <c r="C358" s="39"/>
      <c r="D358" s="14">
        <f>SUMIF('ADV - GG'!A:A,A358,'ADV - GG'!C:C)+SUMIF('ADV - FB'!A:A,$A358,'ADV - FB'!E:E)</f>
        <v>0</v>
      </c>
      <c r="E358" s="19"/>
      <c r="F358" s="15" t="str">
        <f t="shared" si="32"/>
        <v/>
      </c>
      <c r="G358" s="14" t="str">
        <f t="shared" si="33"/>
        <v/>
      </c>
      <c r="H358" s="16" t="str">
        <f t="shared" si="89"/>
        <v/>
      </c>
      <c r="I358" s="14" t="str">
        <f t="shared" si="90"/>
        <v/>
      </c>
      <c r="J358" s="17"/>
      <c r="K358" s="22">
        <f>SUMIF('ADV - GA4'!A:A,A358,'ADV - GA4'!C:C)</f>
        <v>0</v>
      </c>
      <c r="L358" s="19" t="str">
        <f t="shared" si="34"/>
        <v/>
      </c>
      <c r="M358" s="20">
        <f t="shared" si="91"/>
        <v>0</v>
      </c>
      <c r="N358" s="14">
        <f t="shared" si="92"/>
        <v>0</v>
      </c>
      <c r="O358" s="15" t="str">
        <f>IFERROR(Planejador!$I$267,"")</f>
        <v/>
      </c>
      <c r="P358" s="14" t="str">
        <f>Planejador!$I$258</f>
        <v/>
      </c>
      <c r="Q358" s="16" t="str">
        <f>Planejador!$I$260</f>
        <v/>
      </c>
      <c r="R358" s="14" t="str">
        <f>IFERROR(Planejador!$I$264,"")</f>
        <v/>
      </c>
      <c r="S358" s="18">
        <f t="shared" si="93"/>
        <v>0</v>
      </c>
      <c r="T358" s="14" t="str">
        <f>Planejador!$I$259</f>
        <v/>
      </c>
      <c r="U358" s="4"/>
      <c r="V358" s="4"/>
      <c r="W358" s="4"/>
      <c r="X358" s="4"/>
      <c r="Y358" s="4"/>
      <c r="Z358" s="4"/>
      <c r="AA358" s="4"/>
      <c r="AB358" s="4"/>
    </row>
    <row r="359" ht="15.75" hidden="1" customHeight="1" outlineLevel="1">
      <c r="A359" s="12">
        <v>46367.0</v>
      </c>
      <c r="B359" s="13" t="str">
        <f t="shared" si="88"/>
        <v>sexta-feira</v>
      </c>
      <c r="C359" s="39"/>
      <c r="D359" s="14">
        <f>SUMIF('ADV - GG'!A:A,A359,'ADV - GG'!C:C)+SUMIF('ADV - FB'!A:A,$A359,'ADV - FB'!E:E)</f>
        <v>0</v>
      </c>
      <c r="E359" s="19"/>
      <c r="F359" s="15" t="str">
        <f t="shared" si="32"/>
        <v/>
      </c>
      <c r="G359" s="14" t="str">
        <f t="shared" si="33"/>
        <v/>
      </c>
      <c r="H359" s="16" t="str">
        <f t="shared" si="89"/>
        <v/>
      </c>
      <c r="I359" s="14" t="str">
        <f t="shared" si="90"/>
        <v/>
      </c>
      <c r="J359" s="17"/>
      <c r="K359" s="22">
        <f>SUMIF('ADV - GA4'!A:A,A359,'ADV - GA4'!C:C)</f>
        <v>0</v>
      </c>
      <c r="L359" s="19" t="str">
        <f t="shared" si="34"/>
        <v/>
      </c>
      <c r="M359" s="20">
        <f t="shared" si="91"/>
        <v>0</v>
      </c>
      <c r="N359" s="14">
        <f t="shared" si="92"/>
        <v>0</v>
      </c>
      <c r="O359" s="15" t="str">
        <f>IFERROR(Planejador!$I$267,"")</f>
        <v/>
      </c>
      <c r="P359" s="14" t="str">
        <f>Planejador!$I$258</f>
        <v/>
      </c>
      <c r="Q359" s="16" t="str">
        <f>Planejador!$I$260</f>
        <v/>
      </c>
      <c r="R359" s="14" t="str">
        <f>IFERROR(Planejador!$I$264,"")</f>
        <v/>
      </c>
      <c r="S359" s="18">
        <f t="shared" si="93"/>
        <v>0</v>
      </c>
      <c r="T359" s="14" t="str">
        <f>Planejador!$I$259</f>
        <v/>
      </c>
      <c r="U359" s="4"/>
      <c r="V359" s="4"/>
      <c r="W359" s="4"/>
      <c r="X359" s="4"/>
      <c r="Y359" s="4"/>
      <c r="Z359" s="4"/>
      <c r="AA359" s="4"/>
      <c r="AB359" s="4"/>
    </row>
    <row r="360" ht="15.75" hidden="1" customHeight="1" outlineLevel="1">
      <c r="A360" s="12">
        <v>46368.0</v>
      </c>
      <c r="B360" s="13" t="str">
        <f t="shared" si="88"/>
        <v>sábado</v>
      </c>
      <c r="C360" s="39"/>
      <c r="D360" s="14">
        <f>SUMIF('ADV - GG'!A:A,A360,'ADV - GG'!C:C)+SUMIF('ADV - FB'!A:A,$A360,'ADV - FB'!E:E)</f>
        <v>0</v>
      </c>
      <c r="E360" s="19"/>
      <c r="F360" s="15" t="str">
        <f t="shared" si="32"/>
        <v/>
      </c>
      <c r="G360" s="14" t="str">
        <f t="shared" si="33"/>
        <v/>
      </c>
      <c r="H360" s="16" t="str">
        <f t="shared" si="89"/>
        <v/>
      </c>
      <c r="I360" s="14" t="str">
        <f t="shared" si="90"/>
        <v/>
      </c>
      <c r="J360" s="17"/>
      <c r="K360" s="22">
        <f>SUMIF('ADV - GA4'!A:A,A360,'ADV - GA4'!C:C)</f>
        <v>0</v>
      </c>
      <c r="L360" s="19" t="str">
        <f t="shared" si="34"/>
        <v/>
      </c>
      <c r="M360" s="20">
        <f t="shared" si="91"/>
        <v>0</v>
      </c>
      <c r="N360" s="14">
        <f t="shared" si="92"/>
        <v>0</v>
      </c>
      <c r="O360" s="15" t="str">
        <f>IFERROR(Planejador!$I$267,"")</f>
        <v/>
      </c>
      <c r="P360" s="14" t="str">
        <f>Planejador!$I$258</f>
        <v/>
      </c>
      <c r="Q360" s="16" t="str">
        <f>Planejador!$I$260</f>
        <v/>
      </c>
      <c r="R360" s="14" t="str">
        <f>IFERROR(Planejador!$I$264,"")</f>
        <v/>
      </c>
      <c r="S360" s="18">
        <f t="shared" si="93"/>
        <v>0</v>
      </c>
      <c r="T360" s="14" t="str">
        <f>Planejador!$I$259</f>
        <v/>
      </c>
      <c r="U360" s="4"/>
      <c r="V360" s="4"/>
      <c r="W360" s="4"/>
      <c r="X360" s="4"/>
      <c r="Y360" s="4"/>
      <c r="Z360" s="4"/>
      <c r="AA360" s="4"/>
      <c r="AB360" s="4"/>
    </row>
    <row r="361" ht="15.75" hidden="1" customHeight="1" outlineLevel="1">
      <c r="A361" s="12">
        <v>46369.0</v>
      </c>
      <c r="B361" s="13" t="str">
        <f t="shared" si="88"/>
        <v>domingo</v>
      </c>
      <c r="C361" s="39"/>
      <c r="D361" s="14">
        <f>SUMIF('ADV - GG'!A:A,A361,'ADV - GG'!C:C)+SUMIF('ADV - FB'!A:A,$A361,'ADV - FB'!E:E)</f>
        <v>0</v>
      </c>
      <c r="E361" s="19"/>
      <c r="F361" s="15" t="str">
        <f t="shared" si="32"/>
        <v/>
      </c>
      <c r="G361" s="14" t="str">
        <f t="shared" si="33"/>
        <v/>
      </c>
      <c r="H361" s="16" t="str">
        <f t="shared" si="89"/>
        <v/>
      </c>
      <c r="I361" s="14" t="str">
        <f t="shared" si="90"/>
        <v/>
      </c>
      <c r="J361" s="17"/>
      <c r="K361" s="22">
        <f>SUMIF('ADV - GA4'!A:A,A361,'ADV - GA4'!C:C)</f>
        <v>0</v>
      </c>
      <c r="L361" s="19" t="str">
        <f t="shared" si="34"/>
        <v/>
      </c>
      <c r="M361" s="20">
        <f t="shared" si="91"/>
        <v>0</v>
      </c>
      <c r="N361" s="14">
        <f t="shared" si="92"/>
        <v>0</v>
      </c>
      <c r="O361" s="15" t="str">
        <f>IFERROR(Planejador!$I$267,"")</f>
        <v/>
      </c>
      <c r="P361" s="14" t="str">
        <f>Planejador!$I$258</f>
        <v/>
      </c>
      <c r="Q361" s="16" t="str">
        <f>Planejador!$I$260</f>
        <v/>
      </c>
      <c r="R361" s="14" t="str">
        <f>IFERROR(Planejador!$I$264,"")</f>
        <v/>
      </c>
      <c r="S361" s="18">
        <f t="shared" si="93"/>
        <v>0</v>
      </c>
      <c r="T361" s="14" t="str">
        <f>Planejador!$I$259</f>
        <v/>
      </c>
      <c r="U361" s="4"/>
      <c r="V361" s="4"/>
      <c r="W361" s="4"/>
      <c r="X361" s="4"/>
      <c r="Y361" s="4"/>
      <c r="Z361" s="4"/>
      <c r="AA361" s="4"/>
      <c r="AB361" s="4"/>
    </row>
    <row r="362" ht="15.75" hidden="1" customHeight="1" outlineLevel="1">
      <c r="A362" s="12">
        <v>46370.0</v>
      </c>
      <c r="B362" s="13" t="str">
        <f t="shared" si="88"/>
        <v>segunda-feira</v>
      </c>
      <c r="C362" s="39"/>
      <c r="D362" s="14">
        <f>SUMIF('ADV - GG'!A:A,A362,'ADV - GG'!C:C)+SUMIF('ADV - FB'!A:A,$A362,'ADV - FB'!E:E)</f>
        <v>0</v>
      </c>
      <c r="E362" s="19"/>
      <c r="F362" s="15" t="str">
        <f t="shared" si="32"/>
        <v/>
      </c>
      <c r="G362" s="14" t="str">
        <f t="shared" si="33"/>
        <v/>
      </c>
      <c r="H362" s="16" t="str">
        <f t="shared" si="89"/>
        <v/>
      </c>
      <c r="I362" s="14" t="str">
        <f t="shared" si="90"/>
        <v/>
      </c>
      <c r="J362" s="17"/>
      <c r="K362" s="22">
        <f>SUMIF('ADV - GA4'!A:A,A362,'ADV - GA4'!C:C)</f>
        <v>0</v>
      </c>
      <c r="L362" s="19" t="str">
        <f t="shared" si="34"/>
        <v/>
      </c>
      <c r="M362" s="20">
        <f t="shared" si="91"/>
        <v>0</v>
      </c>
      <c r="N362" s="14">
        <f t="shared" si="92"/>
        <v>0</v>
      </c>
      <c r="O362" s="15" t="str">
        <f>IFERROR(Planejador!$I$267,"")</f>
        <v/>
      </c>
      <c r="P362" s="14" t="str">
        <f>Planejador!$I$258</f>
        <v/>
      </c>
      <c r="Q362" s="16" t="str">
        <f>Planejador!$I$260</f>
        <v/>
      </c>
      <c r="R362" s="14" t="str">
        <f>IFERROR(Planejador!$I$264,"")</f>
        <v/>
      </c>
      <c r="S362" s="18">
        <f t="shared" si="93"/>
        <v>0</v>
      </c>
      <c r="T362" s="14" t="str">
        <f>Planejador!$I$259</f>
        <v/>
      </c>
      <c r="U362" s="4"/>
      <c r="V362" s="4"/>
      <c r="W362" s="4"/>
      <c r="X362" s="4"/>
      <c r="Y362" s="4"/>
      <c r="Z362" s="4"/>
      <c r="AA362" s="4"/>
      <c r="AB362" s="4"/>
    </row>
    <row r="363" ht="15.75" hidden="1" customHeight="1" outlineLevel="1">
      <c r="A363" s="12">
        <v>46371.0</v>
      </c>
      <c r="B363" s="13" t="str">
        <f t="shared" si="88"/>
        <v>terça-feira</v>
      </c>
      <c r="C363" s="39"/>
      <c r="D363" s="14">
        <f>SUMIF('ADV - GG'!A:A,A363,'ADV - GG'!C:C)+SUMIF('ADV - FB'!A:A,$A363,'ADV - FB'!E:E)</f>
        <v>0</v>
      </c>
      <c r="E363" s="19"/>
      <c r="F363" s="15" t="str">
        <f t="shared" si="32"/>
        <v/>
      </c>
      <c r="G363" s="14" t="str">
        <f t="shared" si="33"/>
        <v/>
      </c>
      <c r="H363" s="16" t="str">
        <f t="shared" si="89"/>
        <v/>
      </c>
      <c r="I363" s="14" t="str">
        <f t="shared" si="90"/>
        <v/>
      </c>
      <c r="J363" s="17"/>
      <c r="K363" s="22">
        <f>SUMIF('ADV - GA4'!A:A,A363,'ADV - GA4'!C:C)</f>
        <v>0</v>
      </c>
      <c r="L363" s="19" t="str">
        <f t="shared" si="34"/>
        <v/>
      </c>
      <c r="M363" s="20">
        <f t="shared" si="91"/>
        <v>0</v>
      </c>
      <c r="N363" s="14">
        <f t="shared" si="92"/>
        <v>0</v>
      </c>
      <c r="O363" s="15" t="str">
        <f>IFERROR(Planejador!$I$267,"")</f>
        <v/>
      </c>
      <c r="P363" s="14" t="str">
        <f>Planejador!$I$258</f>
        <v/>
      </c>
      <c r="Q363" s="16" t="str">
        <f>Planejador!$I$260</f>
        <v/>
      </c>
      <c r="R363" s="14" t="str">
        <f>IFERROR(Planejador!$I$264,"")</f>
        <v/>
      </c>
      <c r="S363" s="18">
        <f t="shared" si="93"/>
        <v>0</v>
      </c>
      <c r="T363" s="14" t="str">
        <f>Planejador!$I$259</f>
        <v/>
      </c>
      <c r="U363" s="4"/>
      <c r="V363" s="4"/>
      <c r="W363" s="4"/>
      <c r="X363" s="4"/>
      <c r="Y363" s="4"/>
      <c r="Z363" s="4"/>
      <c r="AA363" s="4"/>
      <c r="AB363" s="4"/>
    </row>
    <row r="364" ht="15.75" hidden="1" customHeight="1" outlineLevel="1">
      <c r="A364" s="12">
        <v>46372.0</v>
      </c>
      <c r="B364" s="13" t="str">
        <f t="shared" si="88"/>
        <v>quarta-feira</v>
      </c>
      <c r="C364" s="39"/>
      <c r="D364" s="14">
        <f>SUMIF('ADV - GG'!A:A,A364,'ADV - GG'!C:C)+SUMIF('ADV - FB'!A:A,$A364,'ADV - FB'!E:E)</f>
        <v>0</v>
      </c>
      <c r="E364" s="19"/>
      <c r="F364" s="15" t="str">
        <f t="shared" si="32"/>
        <v/>
      </c>
      <c r="G364" s="14" t="str">
        <f t="shared" si="33"/>
        <v/>
      </c>
      <c r="H364" s="16" t="str">
        <f t="shared" si="89"/>
        <v/>
      </c>
      <c r="I364" s="14" t="str">
        <f t="shared" si="90"/>
        <v/>
      </c>
      <c r="J364" s="17"/>
      <c r="K364" s="22">
        <f>SUMIF('ADV - GA4'!A:A,A364,'ADV - GA4'!C:C)</f>
        <v>0</v>
      </c>
      <c r="L364" s="19" t="str">
        <f t="shared" si="34"/>
        <v/>
      </c>
      <c r="M364" s="20">
        <f t="shared" si="91"/>
        <v>0</v>
      </c>
      <c r="N364" s="14">
        <f t="shared" si="92"/>
        <v>0</v>
      </c>
      <c r="O364" s="15" t="str">
        <f>IFERROR(Planejador!$I$267,"")</f>
        <v/>
      </c>
      <c r="P364" s="14" t="str">
        <f>Planejador!$I$258</f>
        <v/>
      </c>
      <c r="Q364" s="16" t="str">
        <f>Planejador!$I$260</f>
        <v/>
      </c>
      <c r="R364" s="14" t="str">
        <f>IFERROR(Planejador!$I$264,"")</f>
        <v/>
      </c>
      <c r="S364" s="18">
        <f t="shared" si="93"/>
        <v>0</v>
      </c>
      <c r="T364" s="14" t="str">
        <f>Planejador!$I$259</f>
        <v/>
      </c>
      <c r="U364" s="4"/>
      <c r="V364" s="4"/>
      <c r="W364" s="4"/>
      <c r="X364" s="4"/>
      <c r="Y364" s="4"/>
      <c r="Z364" s="4"/>
      <c r="AA364" s="4"/>
      <c r="AB364" s="4"/>
    </row>
    <row r="365" ht="15.75" hidden="1" customHeight="1" outlineLevel="1">
      <c r="A365" s="12">
        <v>46373.0</v>
      </c>
      <c r="B365" s="13" t="str">
        <f t="shared" si="88"/>
        <v>quinta-feira</v>
      </c>
      <c r="C365" s="39"/>
      <c r="D365" s="14">
        <f>SUMIF('ADV - GG'!A:A,A365,'ADV - GG'!C:C)+SUMIF('ADV - FB'!A:A,$A365,'ADV - FB'!E:E)</f>
        <v>0</v>
      </c>
      <c r="E365" s="19"/>
      <c r="F365" s="15" t="str">
        <f t="shared" si="32"/>
        <v/>
      </c>
      <c r="G365" s="14" t="str">
        <f t="shared" si="33"/>
        <v/>
      </c>
      <c r="H365" s="16" t="str">
        <f t="shared" si="89"/>
        <v/>
      </c>
      <c r="I365" s="14" t="str">
        <f t="shared" si="90"/>
        <v/>
      </c>
      <c r="J365" s="17"/>
      <c r="K365" s="22">
        <f>SUMIF('ADV - GA4'!A:A,A365,'ADV - GA4'!C:C)</f>
        <v>0</v>
      </c>
      <c r="L365" s="19" t="str">
        <f t="shared" si="34"/>
        <v/>
      </c>
      <c r="M365" s="20">
        <f t="shared" si="91"/>
        <v>0</v>
      </c>
      <c r="N365" s="14">
        <f t="shared" si="92"/>
        <v>0</v>
      </c>
      <c r="O365" s="15" t="str">
        <f>IFERROR(Planejador!$I$267,"")</f>
        <v/>
      </c>
      <c r="P365" s="14" t="str">
        <f>Planejador!$I$258</f>
        <v/>
      </c>
      <c r="Q365" s="16" t="str">
        <f>Planejador!$I$260</f>
        <v/>
      </c>
      <c r="R365" s="14" t="str">
        <f>IFERROR(Planejador!$I$264,"")</f>
        <v/>
      </c>
      <c r="S365" s="18">
        <f t="shared" si="93"/>
        <v>0</v>
      </c>
      <c r="T365" s="14" t="str">
        <f>Planejador!$I$259</f>
        <v/>
      </c>
      <c r="U365" s="4"/>
      <c r="V365" s="4"/>
      <c r="W365" s="4"/>
      <c r="X365" s="4"/>
      <c r="Y365" s="4"/>
      <c r="Z365" s="4"/>
      <c r="AA365" s="4"/>
      <c r="AB365" s="4"/>
    </row>
    <row r="366" ht="15.75" hidden="1" customHeight="1" outlineLevel="1">
      <c r="A366" s="12">
        <v>46374.0</v>
      </c>
      <c r="B366" s="13" t="str">
        <f t="shared" si="88"/>
        <v>sexta-feira</v>
      </c>
      <c r="C366" s="39"/>
      <c r="D366" s="14">
        <f>SUMIF('ADV - GG'!A:A,A366,'ADV - GG'!C:C)+SUMIF('ADV - FB'!A:A,$A366,'ADV - FB'!E:E)</f>
        <v>0</v>
      </c>
      <c r="E366" s="19"/>
      <c r="F366" s="15" t="str">
        <f t="shared" si="32"/>
        <v/>
      </c>
      <c r="G366" s="14" t="str">
        <f t="shared" si="33"/>
        <v/>
      </c>
      <c r="H366" s="16" t="str">
        <f t="shared" si="89"/>
        <v/>
      </c>
      <c r="I366" s="14" t="str">
        <f t="shared" si="90"/>
        <v/>
      </c>
      <c r="J366" s="17"/>
      <c r="K366" s="22">
        <f>SUMIF('ADV - GA4'!A:A,A366,'ADV - GA4'!C:C)</f>
        <v>0</v>
      </c>
      <c r="L366" s="19" t="str">
        <f t="shared" si="34"/>
        <v/>
      </c>
      <c r="M366" s="20">
        <f t="shared" si="91"/>
        <v>0</v>
      </c>
      <c r="N366" s="14">
        <f t="shared" si="92"/>
        <v>0</v>
      </c>
      <c r="O366" s="15" t="str">
        <f>IFERROR(Planejador!$I$267,"")</f>
        <v/>
      </c>
      <c r="P366" s="14" t="str">
        <f>Planejador!$I$258</f>
        <v/>
      </c>
      <c r="Q366" s="16" t="str">
        <f>Planejador!$I$260</f>
        <v/>
      </c>
      <c r="R366" s="14" t="str">
        <f>IFERROR(Planejador!$I$264,"")</f>
        <v/>
      </c>
      <c r="S366" s="18">
        <f t="shared" si="93"/>
        <v>0</v>
      </c>
      <c r="T366" s="14" t="str">
        <f>Planejador!$I$259</f>
        <v/>
      </c>
      <c r="U366" s="4"/>
      <c r="V366" s="4"/>
      <c r="W366" s="4"/>
      <c r="X366" s="4"/>
      <c r="Y366" s="4"/>
      <c r="Z366" s="4"/>
      <c r="AA366" s="4"/>
      <c r="AB366" s="4"/>
    </row>
    <row r="367" ht="15.75" hidden="1" customHeight="1" outlineLevel="1">
      <c r="A367" s="12">
        <v>46375.0</v>
      </c>
      <c r="B367" s="13" t="str">
        <f t="shared" si="88"/>
        <v>sábado</v>
      </c>
      <c r="C367" s="39"/>
      <c r="D367" s="14">
        <f>SUMIF('ADV - GG'!A:A,A367,'ADV - GG'!C:C)+SUMIF('ADV - FB'!A:A,$A367,'ADV - FB'!E:E)</f>
        <v>0</v>
      </c>
      <c r="E367" s="19"/>
      <c r="F367" s="15" t="str">
        <f t="shared" si="32"/>
        <v/>
      </c>
      <c r="G367" s="14" t="str">
        <f t="shared" si="33"/>
        <v/>
      </c>
      <c r="H367" s="16" t="str">
        <f t="shared" si="89"/>
        <v/>
      </c>
      <c r="I367" s="14" t="str">
        <f t="shared" si="90"/>
        <v/>
      </c>
      <c r="J367" s="17"/>
      <c r="K367" s="22">
        <f>SUMIF('ADV - GA4'!A:A,A367,'ADV - GA4'!C:C)</f>
        <v>0</v>
      </c>
      <c r="L367" s="19" t="str">
        <f t="shared" si="34"/>
        <v/>
      </c>
      <c r="M367" s="20">
        <f t="shared" si="91"/>
        <v>0</v>
      </c>
      <c r="N367" s="14">
        <f t="shared" si="92"/>
        <v>0</v>
      </c>
      <c r="O367" s="15" t="str">
        <f>IFERROR(Planejador!$I$267,"")</f>
        <v/>
      </c>
      <c r="P367" s="14" t="str">
        <f>Planejador!$I$258</f>
        <v/>
      </c>
      <c r="Q367" s="16" t="str">
        <f>Planejador!$I$260</f>
        <v/>
      </c>
      <c r="R367" s="14" t="str">
        <f>IFERROR(Planejador!$I$264,"")</f>
        <v/>
      </c>
      <c r="S367" s="18">
        <f t="shared" si="93"/>
        <v>0</v>
      </c>
      <c r="T367" s="14" t="str">
        <f>Planejador!$I$259</f>
        <v/>
      </c>
      <c r="U367" s="4"/>
      <c r="V367" s="4"/>
      <c r="W367" s="4"/>
      <c r="X367" s="4"/>
      <c r="Y367" s="4"/>
      <c r="Z367" s="4"/>
      <c r="AA367" s="4"/>
      <c r="AB367" s="4"/>
    </row>
    <row r="368" ht="15.75" hidden="1" customHeight="1" outlineLevel="1">
      <c r="A368" s="12">
        <v>46376.0</v>
      </c>
      <c r="B368" s="13" t="str">
        <f t="shared" si="88"/>
        <v>domingo</v>
      </c>
      <c r="C368" s="39"/>
      <c r="D368" s="14">
        <f>SUMIF('ADV - GG'!A:A,A368,'ADV - GG'!C:C)+SUMIF('ADV - FB'!A:A,$A368,'ADV - FB'!E:E)</f>
        <v>0</v>
      </c>
      <c r="E368" s="19"/>
      <c r="F368" s="15" t="str">
        <f t="shared" si="32"/>
        <v/>
      </c>
      <c r="G368" s="14" t="str">
        <f t="shared" si="33"/>
        <v/>
      </c>
      <c r="H368" s="16" t="str">
        <f t="shared" si="89"/>
        <v/>
      </c>
      <c r="I368" s="14" t="str">
        <f t="shared" si="90"/>
        <v/>
      </c>
      <c r="J368" s="17"/>
      <c r="K368" s="22">
        <f>SUMIF('ADV - GA4'!A:A,A368,'ADV - GA4'!C:C)</f>
        <v>0</v>
      </c>
      <c r="L368" s="19" t="str">
        <f t="shared" si="34"/>
        <v/>
      </c>
      <c r="M368" s="20">
        <f t="shared" si="91"/>
        <v>0</v>
      </c>
      <c r="N368" s="14">
        <f t="shared" si="92"/>
        <v>0</v>
      </c>
      <c r="O368" s="15" t="str">
        <f>IFERROR(Planejador!$I$267,"")</f>
        <v/>
      </c>
      <c r="P368" s="14" t="str">
        <f>Planejador!$I$258</f>
        <v/>
      </c>
      <c r="Q368" s="16" t="str">
        <f>Planejador!$I$260</f>
        <v/>
      </c>
      <c r="R368" s="14" t="str">
        <f>IFERROR(Planejador!$I$264,"")</f>
        <v/>
      </c>
      <c r="S368" s="18">
        <f t="shared" si="93"/>
        <v>0</v>
      </c>
      <c r="T368" s="14" t="str">
        <f>Planejador!$I$259</f>
        <v/>
      </c>
      <c r="U368" s="4"/>
      <c r="V368" s="4"/>
      <c r="W368" s="4"/>
      <c r="X368" s="4"/>
      <c r="Y368" s="4"/>
      <c r="Z368" s="4"/>
      <c r="AA368" s="4"/>
      <c r="AB368" s="4"/>
    </row>
    <row r="369" ht="15.75" hidden="1" customHeight="1" outlineLevel="1">
      <c r="A369" s="12">
        <v>46377.0</v>
      </c>
      <c r="B369" s="13" t="str">
        <f t="shared" si="88"/>
        <v>segunda-feira</v>
      </c>
      <c r="C369" s="39"/>
      <c r="D369" s="14">
        <f>SUMIF('ADV - GG'!A:A,A369,'ADV - GG'!C:C)+SUMIF('ADV - FB'!A:A,$A369,'ADV - FB'!E:E)</f>
        <v>0</v>
      </c>
      <c r="E369" s="19"/>
      <c r="F369" s="15" t="str">
        <f t="shared" si="32"/>
        <v/>
      </c>
      <c r="G369" s="14" t="str">
        <f t="shared" si="33"/>
        <v/>
      </c>
      <c r="H369" s="16" t="str">
        <f t="shared" si="89"/>
        <v/>
      </c>
      <c r="I369" s="14" t="str">
        <f t="shared" si="90"/>
        <v/>
      </c>
      <c r="J369" s="17"/>
      <c r="K369" s="22">
        <f>SUMIF('ADV - GA4'!A:A,A369,'ADV - GA4'!C:C)</f>
        <v>0</v>
      </c>
      <c r="L369" s="19" t="str">
        <f t="shared" si="34"/>
        <v/>
      </c>
      <c r="M369" s="20">
        <f t="shared" si="91"/>
        <v>0</v>
      </c>
      <c r="N369" s="14">
        <f t="shared" si="92"/>
        <v>0</v>
      </c>
      <c r="O369" s="15" t="str">
        <f>IFERROR(Planejador!$I$267,"")</f>
        <v/>
      </c>
      <c r="P369" s="14" t="str">
        <f>Planejador!$I$258</f>
        <v/>
      </c>
      <c r="Q369" s="16" t="str">
        <f>Planejador!$I$260</f>
        <v/>
      </c>
      <c r="R369" s="14" t="str">
        <f>IFERROR(Planejador!$I$264,"")</f>
        <v/>
      </c>
      <c r="S369" s="18">
        <f t="shared" si="93"/>
        <v>0</v>
      </c>
      <c r="T369" s="14" t="str">
        <f>Planejador!$I$259</f>
        <v/>
      </c>
      <c r="U369" s="4"/>
      <c r="V369" s="4"/>
      <c r="W369" s="4"/>
      <c r="X369" s="4"/>
      <c r="Y369" s="4"/>
      <c r="Z369" s="4"/>
      <c r="AA369" s="4"/>
      <c r="AB369" s="4"/>
    </row>
    <row r="370" ht="15.75" hidden="1" customHeight="1" outlineLevel="1">
      <c r="A370" s="12">
        <v>46378.0</v>
      </c>
      <c r="B370" s="13" t="str">
        <f t="shared" si="88"/>
        <v>terça-feira</v>
      </c>
      <c r="C370" s="39"/>
      <c r="D370" s="14">
        <f>SUMIF('ADV - GG'!A:A,A370,'ADV - GG'!C:C)+SUMIF('ADV - FB'!A:A,$A370,'ADV - FB'!E:E)</f>
        <v>0</v>
      </c>
      <c r="E370" s="19"/>
      <c r="F370" s="15" t="str">
        <f t="shared" si="32"/>
        <v/>
      </c>
      <c r="G370" s="14" t="str">
        <f t="shared" si="33"/>
        <v/>
      </c>
      <c r="H370" s="16" t="str">
        <f t="shared" si="89"/>
        <v/>
      </c>
      <c r="I370" s="14" t="str">
        <f t="shared" si="90"/>
        <v/>
      </c>
      <c r="J370" s="17"/>
      <c r="K370" s="22">
        <f>SUMIF('ADV - GA4'!A:A,A370,'ADV - GA4'!C:C)</f>
        <v>0</v>
      </c>
      <c r="L370" s="19" t="str">
        <f t="shared" si="34"/>
        <v/>
      </c>
      <c r="M370" s="20">
        <f t="shared" si="91"/>
        <v>0</v>
      </c>
      <c r="N370" s="14">
        <f t="shared" si="92"/>
        <v>0</v>
      </c>
      <c r="O370" s="15" t="str">
        <f>IFERROR(Planejador!$I$267,"")</f>
        <v/>
      </c>
      <c r="P370" s="14" t="str">
        <f>Planejador!$I$258</f>
        <v/>
      </c>
      <c r="Q370" s="16" t="str">
        <f>Planejador!$I$260</f>
        <v/>
      </c>
      <c r="R370" s="14" t="str">
        <f>IFERROR(Planejador!$I$264,"")</f>
        <v/>
      </c>
      <c r="S370" s="18">
        <f t="shared" si="93"/>
        <v>0</v>
      </c>
      <c r="T370" s="14" t="str">
        <f>Planejador!$I$259</f>
        <v/>
      </c>
      <c r="U370" s="4"/>
      <c r="V370" s="4"/>
      <c r="W370" s="4"/>
      <c r="X370" s="4"/>
      <c r="Y370" s="4"/>
      <c r="Z370" s="4"/>
      <c r="AA370" s="4"/>
      <c r="AB370" s="4"/>
    </row>
    <row r="371" ht="15.75" hidden="1" customHeight="1" outlineLevel="1">
      <c r="A371" s="12">
        <v>46379.0</v>
      </c>
      <c r="B371" s="13" t="str">
        <f t="shared" si="88"/>
        <v>quarta-feira</v>
      </c>
      <c r="C371" s="39"/>
      <c r="D371" s="14">
        <f>SUMIF('ADV - GG'!A:A,A371,'ADV - GG'!C:C)+SUMIF('ADV - FB'!A:A,$A371,'ADV - FB'!E:E)</f>
        <v>0</v>
      </c>
      <c r="E371" s="19"/>
      <c r="F371" s="15" t="str">
        <f t="shared" si="32"/>
        <v/>
      </c>
      <c r="G371" s="14" t="str">
        <f t="shared" si="33"/>
        <v/>
      </c>
      <c r="H371" s="16" t="str">
        <f t="shared" si="89"/>
        <v/>
      </c>
      <c r="I371" s="14" t="str">
        <f t="shared" si="90"/>
        <v/>
      </c>
      <c r="J371" s="17"/>
      <c r="K371" s="22">
        <f>SUMIF('ADV - GA4'!A:A,A371,'ADV - GA4'!C:C)</f>
        <v>0</v>
      </c>
      <c r="L371" s="19" t="str">
        <f t="shared" si="34"/>
        <v/>
      </c>
      <c r="M371" s="20">
        <f t="shared" si="91"/>
        <v>0</v>
      </c>
      <c r="N371" s="14">
        <f t="shared" si="92"/>
        <v>0</v>
      </c>
      <c r="O371" s="15" t="str">
        <f>IFERROR(Planejador!$I$267,"")</f>
        <v/>
      </c>
      <c r="P371" s="14" t="str">
        <f>Planejador!$I$258</f>
        <v/>
      </c>
      <c r="Q371" s="16" t="str">
        <f>Planejador!$I$260</f>
        <v/>
      </c>
      <c r="R371" s="14" t="str">
        <f>IFERROR(Planejador!$I$264,"")</f>
        <v/>
      </c>
      <c r="S371" s="18">
        <f t="shared" si="93"/>
        <v>0</v>
      </c>
      <c r="T371" s="14" t="str">
        <f>Planejador!$I$259</f>
        <v/>
      </c>
      <c r="U371" s="4"/>
      <c r="V371" s="4"/>
      <c r="W371" s="4"/>
      <c r="X371" s="4"/>
      <c r="Y371" s="4"/>
      <c r="Z371" s="4"/>
      <c r="AA371" s="4"/>
      <c r="AB371" s="4"/>
    </row>
    <row r="372" ht="15.75" hidden="1" customHeight="1" outlineLevel="1">
      <c r="A372" s="12">
        <v>46380.0</v>
      </c>
      <c r="B372" s="13" t="str">
        <f t="shared" si="88"/>
        <v>quinta-feira</v>
      </c>
      <c r="C372" s="39"/>
      <c r="D372" s="14">
        <f>SUMIF('ADV - GG'!A:A,A372,'ADV - GG'!C:C)+SUMIF('ADV - FB'!A:A,$A372,'ADV - FB'!E:E)</f>
        <v>0</v>
      </c>
      <c r="E372" s="19"/>
      <c r="F372" s="15" t="str">
        <f t="shared" si="32"/>
        <v/>
      </c>
      <c r="G372" s="14" t="str">
        <f t="shared" si="33"/>
        <v/>
      </c>
      <c r="H372" s="16" t="str">
        <f t="shared" si="89"/>
        <v/>
      </c>
      <c r="I372" s="14" t="str">
        <f t="shared" si="90"/>
        <v/>
      </c>
      <c r="J372" s="17"/>
      <c r="K372" s="22">
        <f>SUMIF('ADV - GA4'!A:A,A372,'ADV - GA4'!C:C)</f>
        <v>0</v>
      </c>
      <c r="L372" s="19" t="str">
        <f t="shared" si="34"/>
        <v/>
      </c>
      <c r="M372" s="20">
        <f t="shared" si="91"/>
        <v>0</v>
      </c>
      <c r="N372" s="14">
        <f t="shared" si="92"/>
        <v>0</v>
      </c>
      <c r="O372" s="15" t="str">
        <f>IFERROR(Planejador!$I$267,"")</f>
        <v/>
      </c>
      <c r="P372" s="14" t="str">
        <f>Planejador!$I$258</f>
        <v/>
      </c>
      <c r="Q372" s="16" t="str">
        <f>Planejador!$I$260</f>
        <v/>
      </c>
      <c r="R372" s="14" t="str">
        <f>IFERROR(Planejador!$I$264,"")</f>
        <v/>
      </c>
      <c r="S372" s="18">
        <f t="shared" si="93"/>
        <v>0</v>
      </c>
      <c r="T372" s="14" t="str">
        <f>Planejador!$I$259</f>
        <v/>
      </c>
      <c r="U372" s="4"/>
      <c r="V372" s="4"/>
      <c r="W372" s="4"/>
      <c r="X372" s="4"/>
      <c r="Y372" s="4"/>
      <c r="Z372" s="4"/>
      <c r="AA372" s="4"/>
      <c r="AB372" s="4"/>
    </row>
    <row r="373" ht="15.75" hidden="1" customHeight="1" outlineLevel="1">
      <c r="A373" s="12">
        <v>46381.0</v>
      </c>
      <c r="B373" s="13" t="str">
        <f t="shared" si="88"/>
        <v>sexta-feira</v>
      </c>
      <c r="C373" s="39"/>
      <c r="D373" s="14">
        <f>SUMIF('ADV - GG'!A:A,A373,'ADV - GG'!C:C)+SUMIF('ADV - FB'!A:A,$A373,'ADV - FB'!E:E)</f>
        <v>0</v>
      </c>
      <c r="E373" s="19"/>
      <c r="F373" s="15" t="str">
        <f t="shared" si="32"/>
        <v/>
      </c>
      <c r="G373" s="14" t="str">
        <f t="shared" si="33"/>
        <v/>
      </c>
      <c r="H373" s="16" t="str">
        <f t="shared" si="89"/>
        <v/>
      </c>
      <c r="I373" s="14" t="str">
        <f t="shared" si="90"/>
        <v/>
      </c>
      <c r="J373" s="17"/>
      <c r="K373" s="22">
        <f>SUMIF('ADV - GA4'!A:A,A373,'ADV - GA4'!C:C)</f>
        <v>0</v>
      </c>
      <c r="L373" s="19" t="str">
        <f t="shared" si="34"/>
        <v/>
      </c>
      <c r="M373" s="20">
        <f t="shared" si="91"/>
        <v>0</v>
      </c>
      <c r="N373" s="14">
        <f t="shared" si="92"/>
        <v>0</v>
      </c>
      <c r="O373" s="15" t="str">
        <f>IFERROR(Planejador!$I$267,"")</f>
        <v/>
      </c>
      <c r="P373" s="14" t="str">
        <f>Planejador!$I$258</f>
        <v/>
      </c>
      <c r="Q373" s="16" t="str">
        <f>Planejador!$I$260</f>
        <v/>
      </c>
      <c r="R373" s="14" t="str">
        <f>IFERROR(Planejador!$I$264,"")</f>
        <v/>
      </c>
      <c r="S373" s="18">
        <f t="shared" si="93"/>
        <v>0</v>
      </c>
      <c r="T373" s="14" t="str">
        <f>Planejador!$I$259</f>
        <v/>
      </c>
      <c r="U373" s="4"/>
      <c r="V373" s="4"/>
      <c r="W373" s="4"/>
      <c r="X373" s="4"/>
      <c r="Y373" s="4"/>
      <c r="Z373" s="4"/>
      <c r="AA373" s="4"/>
      <c r="AB373" s="4"/>
    </row>
    <row r="374" ht="15.75" hidden="1" customHeight="1" outlineLevel="1">
      <c r="A374" s="12">
        <v>46382.0</v>
      </c>
      <c r="B374" s="13" t="str">
        <f t="shared" si="88"/>
        <v>sábado</v>
      </c>
      <c r="C374" s="39"/>
      <c r="D374" s="14">
        <f>SUMIF('ADV - GG'!A:A,A374,'ADV - GG'!C:C)+SUMIF('ADV - FB'!A:A,$A374,'ADV - FB'!E:E)</f>
        <v>0</v>
      </c>
      <c r="E374" s="19"/>
      <c r="F374" s="15" t="str">
        <f t="shared" si="32"/>
        <v/>
      </c>
      <c r="G374" s="14" t="str">
        <f t="shared" si="33"/>
        <v/>
      </c>
      <c r="H374" s="16" t="str">
        <f t="shared" si="89"/>
        <v/>
      </c>
      <c r="I374" s="14" t="str">
        <f t="shared" si="90"/>
        <v/>
      </c>
      <c r="J374" s="17"/>
      <c r="K374" s="22">
        <f>SUMIF('ADV - GA4'!A:A,A374,'ADV - GA4'!C:C)</f>
        <v>0</v>
      </c>
      <c r="L374" s="19" t="str">
        <f t="shared" si="34"/>
        <v/>
      </c>
      <c r="M374" s="20">
        <f t="shared" si="91"/>
        <v>0</v>
      </c>
      <c r="N374" s="14">
        <f t="shared" si="92"/>
        <v>0</v>
      </c>
      <c r="O374" s="15" t="str">
        <f>IFERROR(Planejador!$I$267,"")</f>
        <v/>
      </c>
      <c r="P374" s="14" t="str">
        <f>Planejador!$I$258</f>
        <v/>
      </c>
      <c r="Q374" s="16" t="str">
        <f>Planejador!$I$260</f>
        <v/>
      </c>
      <c r="R374" s="14" t="str">
        <f>IFERROR(Planejador!$I$264,"")</f>
        <v/>
      </c>
      <c r="S374" s="18">
        <f t="shared" si="93"/>
        <v>0</v>
      </c>
      <c r="T374" s="14" t="str">
        <f>Planejador!$I$259</f>
        <v/>
      </c>
      <c r="U374" s="4"/>
      <c r="V374" s="4"/>
      <c r="W374" s="4"/>
      <c r="X374" s="4"/>
      <c r="Y374" s="4"/>
      <c r="Z374" s="4"/>
      <c r="AA374" s="4"/>
      <c r="AB374" s="4"/>
    </row>
    <row r="375" ht="15.75" hidden="1" customHeight="1" outlineLevel="1">
      <c r="A375" s="12">
        <v>46383.0</v>
      </c>
      <c r="B375" s="13" t="str">
        <f t="shared" si="88"/>
        <v>domingo</v>
      </c>
      <c r="C375" s="39"/>
      <c r="D375" s="14">
        <f>SUMIF('ADV - GG'!A:A,A375,'ADV - GG'!C:C)+SUMIF('ADV - FB'!A:A,$A375,'ADV - FB'!E:E)</f>
        <v>0</v>
      </c>
      <c r="E375" s="19"/>
      <c r="F375" s="15" t="str">
        <f t="shared" si="32"/>
        <v/>
      </c>
      <c r="G375" s="14" t="str">
        <f t="shared" si="33"/>
        <v/>
      </c>
      <c r="H375" s="16" t="str">
        <f t="shared" si="89"/>
        <v/>
      </c>
      <c r="I375" s="14" t="str">
        <f t="shared" si="90"/>
        <v/>
      </c>
      <c r="J375" s="17"/>
      <c r="K375" s="22">
        <f>SUMIF('ADV - GA4'!A:A,A375,'ADV - GA4'!C:C)</f>
        <v>0</v>
      </c>
      <c r="L375" s="19" t="str">
        <f t="shared" si="34"/>
        <v/>
      </c>
      <c r="M375" s="20">
        <f t="shared" si="91"/>
        <v>0</v>
      </c>
      <c r="N375" s="14">
        <f t="shared" si="92"/>
        <v>0</v>
      </c>
      <c r="O375" s="15" t="str">
        <f>IFERROR(Planejador!$I$267,"")</f>
        <v/>
      </c>
      <c r="P375" s="14" t="str">
        <f>Planejador!$I$258</f>
        <v/>
      </c>
      <c r="Q375" s="16" t="str">
        <f>Planejador!$I$260</f>
        <v/>
      </c>
      <c r="R375" s="14" t="str">
        <f>IFERROR(Planejador!$I$264,"")</f>
        <v/>
      </c>
      <c r="S375" s="18">
        <f t="shared" si="93"/>
        <v>0</v>
      </c>
      <c r="T375" s="14" t="str">
        <f>Planejador!$I$259</f>
        <v/>
      </c>
      <c r="U375" s="4"/>
      <c r="V375" s="4"/>
      <c r="W375" s="4"/>
      <c r="X375" s="4"/>
      <c r="Y375" s="4"/>
      <c r="Z375" s="4"/>
      <c r="AA375" s="4"/>
      <c r="AB375" s="4"/>
    </row>
    <row r="376" ht="15.75" hidden="1" customHeight="1" outlineLevel="1">
      <c r="A376" s="12">
        <v>46384.0</v>
      </c>
      <c r="B376" s="13" t="str">
        <f t="shared" si="88"/>
        <v>segunda-feira</v>
      </c>
      <c r="C376" s="39"/>
      <c r="D376" s="14">
        <f>SUMIF('ADV - GG'!A:A,A376,'ADV - GG'!C:C)+SUMIF('ADV - FB'!A:A,$A376,'ADV - FB'!E:E)</f>
        <v>0</v>
      </c>
      <c r="E376" s="19"/>
      <c r="F376" s="15" t="str">
        <f t="shared" si="32"/>
        <v/>
      </c>
      <c r="G376" s="14" t="str">
        <f t="shared" si="33"/>
        <v/>
      </c>
      <c r="H376" s="16" t="str">
        <f t="shared" si="89"/>
        <v/>
      </c>
      <c r="I376" s="14" t="str">
        <f t="shared" si="90"/>
        <v/>
      </c>
      <c r="J376" s="17"/>
      <c r="K376" s="22">
        <f>SUMIF('ADV - GA4'!A:A,A376,'ADV - GA4'!C:C)</f>
        <v>0</v>
      </c>
      <c r="L376" s="19" t="str">
        <f t="shared" si="34"/>
        <v/>
      </c>
      <c r="M376" s="20">
        <f t="shared" si="91"/>
        <v>0</v>
      </c>
      <c r="N376" s="14">
        <f t="shared" si="92"/>
        <v>0</v>
      </c>
      <c r="O376" s="15" t="str">
        <f>IFERROR(Planejador!$I$267,"")</f>
        <v/>
      </c>
      <c r="P376" s="14" t="str">
        <f>Planejador!$I$258</f>
        <v/>
      </c>
      <c r="Q376" s="16" t="str">
        <f>Planejador!$I$260</f>
        <v/>
      </c>
      <c r="R376" s="14" t="str">
        <f>IFERROR(Planejador!$I$264,"")</f>
        <v/>
      </c>
      <c r="S376" s="18">
        <f t="shared" si="93"/>
        <v>0</v>
      </c>
      <c r="T376" s="14" t="str">
        <f>Planejador!$I$259</f>
        <v/>
      </c>
      <c r="U376" s="4"/>
      <c r="V376" s="4"/>
      <c r="W376" s="4"/>
      <c r="X376" s="4"/>
      <c r="Y376" s="4"/>
      <c r="Z376" s="4"/>
      <c r="AA376" s="4"/>
      <c r="AB376" s="4"/>
    </row>
    <row r="377" ht="15.75" hidden="1" customHeight="1" outlineLevel="1">
      <c r="A377" s="12">
        <v>46385.0</v>
      </c>
      <c r="B377" s="13" t="str">
        <f t="shared" si="88"/>
        <v>terça-feira</v>
      </c>
      <c r="C377" s="39"/>
      <c r="D377" s="14">
        <f>SUMIF('ADV - GG'!A:A,A377,'ADV - GG'!C:C)+SUMIF('ADV - FB'!A:A,$A377,'ADV - FB'!E:E)</f>
        <v>0</v>
      </c>
      <c r="E377" s="19"/>
      <c r="F377" s="15" t="str">
        <f t="shared" si="32"/>
        <v/>
      </c>
      <c r="G377" s="14" t="str">
        <f t="shared" si="33"/>
        <v/>
      </c>
      <c r="H377" s="16" t="str">
        <f t="shared" si="89"/>
        <v/>
      </c>
      <c r="I377" s="14" t="str">
        <f t="shared" si="90"/>
        <v/>
      </c>
      <c r="J377" s="17"/>
      <c r="K377" s="22">
        <f>SUMIF('ADV - GA4'!A:A,A377,'ADV - GA4'!C:C)</f>
        <v>0</v>
      </c>
      <c r="L377" s="19" t="str">
        <f t="shared" si="34"/>
        <v/>
      </c>
      <c r="M377" s="20">
        <f t="shared" si="91"/>
        <v>0</v>
      </c>
      <c r="N377" s="14">
        <f t="shared" si="92"/>
        <v>0</v>
      </c>
      <c r="O377" s="15" t="str">
        <f>IFERROR(Planejador!$I$267,"")</f>
        <v/>
      </c>
      <c r="P377" s="14" t="str">
        <f>Planejador!$I$258</f>
        <v/>
      </c>
      <c r="Q377" s="16" t="str">
        <f>Planejador!$I$260</f>
        <v/>
      </c>
      <c r="R377" s="14" t="str">
        <f>IFERROR(Planejador!$I$264,"")</f>
        <v/>
      </c>
      <c r="S377" s="18">
        <f t="shared" si="93"/>
        <v>0</v>
      </c>
      <c r="T377" s="14" t="str">
        <f>Planejador!$I$259</f>
        <v/>
      </c>
      <c r="U377" s="4"/>
      <c r="V377" s="4"/>
      <c r="W377" s="4"/>
      <c r="X377" s="4"/>
      <c r="Y377" s="4"/>
      <c r="Z377" s="4"/>
      <c r="AA377" s="4"/>
      <c r="AB377" s="4"/>
    </row>
    <row r="378" ht="15.75" hidden="1" customHeight="1" outlineLevel="1">
      <c r="A378" s="12">
        <v>46386.0</v>
      </c>
      <c r="B378" s="13" t="str">
        <f t="shared" si="88"/>
        <v>quarta-feira</v>
      </c>
      <c r="C378" s="39"/>
      <c r="D378" s="14">
        <f>SUMIF('ADV - GG'!A:A,A378,'ADV - GG'!C:C)+SUMIF('ADV - FB'!A:A,$A378,'ADV - FB'!E:E)</f>
        <v>0</v>
      </c>
      <c r="E378" s="19"/>
      <c r="F378" s="15" t="str">
        <f t="shared" si="32"/>
        <v/>
      </c>
      <c r="G378" s="14" t="str">
        <f t="shared" si="33"/>
        <v/>
      </c>
      <c r="H378" s="16" t="str">
        <f t="shared" si="89"/>
        <v/>
      </c>
      <c r="I378" s="14" t="str">
        <f t="shared" si="90"/>
        <v/>
      </c>
      <c r="J378" s="17"/>
      <c r="K378" s="22">
        <f>SUMIF('ADV - GA4'!A:A,A378,'ADV - GA4'!C:C)</f>
        <v>0</v>
      </c>
      <c r="L378" s="19" t="str">
        <f t="shared" si="34"/>
        <v/>
      </c>
      <c r="M378" s="20">
        <f t="shared" si="91"/>
        <v>0</v>
      </c>
      <c r="N378" s="14">
        <f t="shared" si="92"/>
        <v>0</v>
      </c>
      <c r="O378" s="15" t="str">
        <f>IFERROR(Planejador!$I$267,"")</f>
        <v/>
      </c>
      <c r="P378" s="14" t="str">
        <f>Planejador!$I$258</f>
        <v/>
      </c>
      <c r="Q378" s="16" t="str">
        <f>Planejador!$I$260</f>
        <v/>
      </c>
      <c r="R378" s="14" t="str">
        <f>IFERROR(Planejador!$I$264,"")</f>
        <v/>
      </c>
      <c r="S378" s="18">
        <f t="shared" si="93"/>
        <v>0</v>
      </c>
      <c r="T378" s="14" t="str">
        <f>Planejador!$I$259</f>
        <v/>
      </c>
      <c r="U378" s="4"/>
      <c r="V378" s="4"/>
      <c r="W378" s="4"/>
      <c r="X378" s="4"/>
      <c r="Y378" s="4"/>
      <c r="Z378" s="4"/>
      <c r="AA378" s="4"/>
      <c r="AB378" s="4"/>
    </row>
    <row r="379" ht="15.75" hidden="1" customHeight="1" outlineLevel="1">
      <c r="A379" s="12">
        <v>46387.0</v>
      </c>
      <c r="B379" s="13" t="str">
        <f t="shared" si="88"/>
        <v>quinta-feira</v>
      </c>
      <c r="C379" s="39"/>
      <c r="D379" s="14">
        <f>SUMIF('ADV - GG'!A:A,A379,'ADV - GG'!C:C)+SUMIF('ADV - FB'!A:A,$A379,'ADV - FB'!E:E)</f>
        <v>0</v>
      </c>
      <c r="E379" s="19"/>
      <c r="F379" s="15" t="str">
        <f t="shared" si="32"/>
        <v/>
      </c>
      <c r="G379" s="14" t="str">
        <f t="shared" si="33"/>
        <v/>
      </c>
      <c r="H379" s="16" t="str">
        <f t="shared" si="89"/>
        <v/>
      </c>
      <c r="I379" s="14" t="str">
        <f t="shared" si="90"/>
        <v/>
      </c>
      <c r="J379" s="17"/>
      <c r="K379" s="22">
        <f>SUMIF('ADV - GA4'!A:A,A379,'ADV - GA4'!C:C)</f>
        <v>0</v>
      </c>
      <c r="L379" s="19" t="str">
        <f t="shared" si="34"/>
        <v/>
      </c>
      <c r="M379" s="20">
        <f t="shared" si="91"/>
        <v>0</v>
      </c>
      <c r="N379" s="14">
        <f t="shared" si="92"/>
        <v>0</v>
      </c>
      <c r="O379" s="15" t="str">
        <f>IFERROR(Planejador!$I$267,"")</f>
        <v/>
      </c>
      <c r="P379" s="14" t="str">
        <f>Planejador!$I$258</f>
        <v/>
      </c>
      <c r="Q379" s="16" t="str">
        <f>Planejador!$I$260</f>
        <v/>
      </c>
      <c r="R379" s="14" t="str">
        <f>IFERROR(Planejador!$I$264,"")</f>
        <v/>
      </c>
      <c r="S379" s="18">
        <f t="shared" si="93"/>
        <v>0</v>
      </c>
      <c r="T379" s="14" t="str">
        <f>Planejador!$I$259</f>
        <v/>
      </c>
      <c r="U379" s="4"/>
      <c r="V379" s="4"/>
      <c r="W379" s="4"/>
      <c r="X379" s="4"/>
      <c r="Y379" s="4"/>
      <c r="Z379" s="4"/>
      <c r="AA379" s="4"/>
      <c r="AB379" s="4"/>
    </row>
    <row r="380" ht="22.5" customHeight="1">
      <c r="A380" s="40" t="s">
        <v>33</v>
      </c>
      <c r="B380" s="41"/>
      <c r="C380" s="42"/>
      <c r="D380" s="43">
        <f t="shared" ref="D380:E380" si="94">D2+D34+D64+D96+D127+D159+D190+D222+D254+D285+D317+D348</f>
        <v>6636.67</v>
      </c>
      <c r="E380" s="43">
        <f t="shared" si="94"/>
        <v>4858.26</v>
      </c>
      <c r="F380" s="44"/>
      <c r="G380" s="42"/>
      <c r="H380" s="42"/>
      <c r="I380" s="42"/>
      <c r="J380" s="45">
        <f t="shared" ref="J380:K380" si="95">J2+J34+J64+J96+J127+J159+J190+J222+J254+J285+J317+J348</f>
        <v>148</v>
      </c>
      <c r="K380" s="45">
        <f t="shared" si="95"/>
        <v>763</v>
      </c>
      <c r="L380" s="42"/>
      <c r="M380" s="42"/>
      <c r="N380" s="42"/>
      <c r="O380" s="44"/>
      <c r="P380" s="42"/>
      <c r="Q380" s="42"/>
      <c r="R380" s="42"/>
      <c r="S380" s="42"/>
      <c r="T380" s="42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6"/>
      <c r="G381" s="4"/>
      <c r="H381" s="4"/>
      <c r="I381" s="4"/>
      <c r="J381" s="4"/>
      <c r="K381" s="4"/>
      <c r="L381" s="4"/>
      <c r="M381" s="4"/>
      <c r="N381" s="4"/>
      <c r="O381" s="4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6"/>
      <c r="G382" s="4"/>
      <c r="H382" s="4"/>
      <c r="I382" s="4"/>
      <c r="J382" s="4"/>
      <c r="K382" s="4"/>
      <c r="L382" s="4"/>
      <c r="M382" s="4"/>
      <c r="N382" s="4"/>
      <c r="O382" s="4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6"/>
      <c r="G383" s="4"/>
      <c r="H383" s="4"/>
      <c r="I383" s="4"/>
      <c r="J383" s="4"/>
      <c r="K383" s="4"/>
      <c r="L383" s="4"/>
      <c r="M383" s="4"/>
      <c r="N383" s="4"/>
      <c r="O383" s="4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6"/>
      <c r="G384" s="4"/>
      <c r="H384" s="4"/>
      <c r="I384" s="4"/>
      <c r="J384" s="4"/>
      <c r="K384" s="4"/>
      <c r="L384" s="4"/>
      <c r="M384" s="4"/>
      <c r="N384" s="4"/>
      <c r="O384" s="4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6"/>
      <c r="G385" s="4"/>
      <c r="H385" s="4"/>
      <c r="I385" s="4"/>
      <c r="J385" s="4"/>
      <c r="K385" s="4"/>
      <c r="L385" s="4"/>
      <c r="M385" s="4"/>
      <c r="N385" s="4"/>
      <c r="O385" s="4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6"/>
      <c r="G386" s="4"/>
      <c r="H386" s="4"/>
      <c r="I386" s="4"/>
      <c r="J386" s="4"/>
      <c r="K386" s="4"/>
      <c r="L386" s="4"/>
      <c r="M386" s="4"/>
      <c r="N386" s="4"/>
      <c r="O386" s="4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6"/>
      <c r="G387" s="4"/>
      <c r="H387" s="4"/>
      <c r="I387" s="4"/>
      <c r="J387" s="4"/>
      <c r="K387" s="4"/>
      <c r="L387" s="4"/>
      <c r="M387" s="4"/>
      <c r="N387" s="4"/>
      <c r="O387" s="4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6"/>
      <c r="G388" s="4"/>
      <c r="H388" s="4"/>
      <c r="I388" s="4"/>
      <c r="J388" s="4"/>
      <c r="K388" s="4"/>
      <c r="L388" s="4"/>
      <c r="M388" s="4"/>
      <c r="N388" s="4"/>
      <c r="O388" s="4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6"/>
      <c r="G389" s="4"/>
      <c r="H389" s="4"/>
      <c r="I389" s="4"/>
      <c r="J389" s="4"/>
      <c r="K389" s="4"/>
      <c r="L389" s="4"/>
      <c r="M389" s="4"/>
      <c r="N389" s="4"/>
      <c r="O389" s="4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6"/>
      <c r="G390" s="4"/>
      <c r="H390" s="4"/>
      <c r="I390" s="4"/>
      <c r="J390" s="4"/>
      <c r="K390" s="4"/>
      <c r="L390" s="4"/>
      <c r="M390" s="4"/>
      <c r="N390" s="4"/>
      <c r="O390" s="4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6"/>
      <c r="G391" s="4"/>
      <c r="H391" s="4"/>
      <c r="I391" s="4"/>
      <c r="J391" s="4"/>
      <c r="K391" s="4"/>
      <c r="L391" s="4"/>
      <c r="M391" s="4"/>
      <c r="N391" s="4"/>
      <c r="O391" s="4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6"/>
      <c r="G392" s="4"/>
      <c r="H392" s="4"/>
      <c r="I392" s="4"/>
      <c r="J392" s="4"/>
      <c r="K392" s="4"/>
      <c r="L392" s="4"/>
      <c r="M392" s="4"/>
      <c r="N392" s="4"/>
      <c r="O392" s="4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6"/>
      <c r="G393" s="4"/>
      <c r="H393" s="4"/>
      <c r="I393" s="4"/>
      <c r="J393" s="4"/>
      <c r="K393" s="4"/>
      <c r="L393" s="4"/>
      <c r="M393" s="4"/>
      <c r="N393" s="4"/>
      <c r="O393" s="4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6"/>
      <c r="G394" s="4"/>
      <c r="H394" s="4"/>
      <c r="I394" s="4"/>
      <c r="J394" s="4"/>
      <c r="K394" s="4"/>
      <c r="L394" s="4"/>
      <c r="M394" s="4"/>
      <c r="N394" s="4"/>
      <c r="O394" s="4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6"/>
      <c r="G395" s="4"/>
      <c r="H395" s="4"/>
      <c r="I395" s="4"/>
      <c r="J395" s="4"/>
      <c r="K395" s="4"/>
      <c r="L395" s="4"/>
      <c r="M395" s="4"/>
      <c r="N395" s="4"/>
      <c r="O395" s="4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6"/>
      <c r="G396" s="4"/>
      <c r="H396" s="4"/>
      <c r="I396" s="4"/>
      <c r="J396" s="4"/>
      <c r="K396" s="4"/>
      <c r="L396" s="4"/>
      <c r="M396" s="4"/>
      <c r="N396" s="4"/>
      <c r="O396" s="4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6"/>
      <c r="G397" s="4"/>
      <c r="H397" s="4"/>
      <c r="I397" s="4"/>
      <c r="J397" s="4"/>
      <c r="K397" s="4"/>
      <c r="L397" s="4"/>
      <c r="M397" s="4"/>
      <c r="N397" s="4"/>
      <c r="O397" s="4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6"/>
      <c r="G398" s="4"/>
      <c r="H398" s="4"/>
      <c r="I398" s="4"/>
      <c r="J398" s="4"/>
      <c r="K398" s="4"/>
      <c r="L398" s="4"/>
      <c r="M398" s="4"/>
      <c r="N398" s="4"/>
      <c r="O398" s="4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6"/>
      <c r="G399" s="4"/>
      <c r="H399" s="4"/>
      <c r="I399" s="4"/>
      <c r="J399" s="4"/>
      <c r="K399" s="4"/>
      <c r="L399" s="4"/>
      <c r="M399" s="4"/>
      <c r="N399" s="4"/>
      <c r="O399" s="4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6"/>
      <c r="G400" s="4"/>
      <c r="H400" s="4"/>
      <c r="I400" s="4"/>
      <c r="J400" s="4"/>
      <c r="K400" s="4"/>
      <c r="L400" s="4"/>
      <c r="M400" s="4"/>
      <c r="N400" s="4"/>
      <c r="O400" s="4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6"/>
      <c r="G401" s="4"/>
      <c r="H401" s="4"/>
      <c r="I401" s="4"/>
      <c r="J401" s="4"/>
      <c r="K401" s="4"/>
      <c r="L401" s="4"/>
      <c r="M401" s="4"/>
      <c r="N401" s="4"/>
      <c r="O401" s="4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6"/>
      <c r="G402" s="4"/>
      <c r="H402" s="4"/>
      <c r="I402" s="4"/>
      <c r="J402" s="4"/>
      <c r="K402" s="4"/>
      <c r="L402" s="4"/>
      <c r="M402" s="4"/>
      <c r="N402" s="4"/>
      <c r="O402" s="4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6"/>
      <c r="G403" s="4"/>
      <c r="H403" s="4"/>
      <c r="I403" s="4"/>
      <c r="J403" s="4"/>
      <c r="K403" s="4"/>
      <c r="L403" s="4"/>
      <c r="M403" s="4"/>
      <c r="N403" s="4"/>
      <c r="O403" s="4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6"/>
      <c r="G404" s="4"/>
      <c r="H404" s="4"/>
      <c r="I404" s="4"/>
      <c r="J404" s="4"/>
      <c r="K404" s="4"/>
      <c r="L404" s="4"/>
      <c r="M404" s="4"/>
      <c r="N404" s="4"/>
      <c r="O404" s="4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6"/>
      <c r="G405" s="4"/>
      <c r="H405" s="4"/>
      <c r="I405" s="4"/>
      <c r="J405" s="4"/>
      <c r="K405" s="4"/>
      <c r="L405" s="4"/>
      <c r="M405" s="4"/>
      <c r="N405" s="4"/>
      <c r="O405" s="4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6"/>
      <c r="G406" s="4"/>
      <c r="H406" s="4"/>
      <c r="I406" s="4"/>
      <c r="J406" s="4"/>
      <c r="K406" s="4"/>
      <c r="L406" s="4"/>
      <c r="M406" s="4"/>
      <c r="N406" s="4"/>
      <c r="O406" s="4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6"/>
      <c r="G407" s="4"/>
      <c r="H407" s="4"/>
      <c r="I407" s="4"/>
      <c r="J407" s="4"/>
      <c r="K407" s="4"/>
      <c r="L407" s="4"/>
      <c r="M407" s="4"/>
      <c r="N407" s="4"/>
      <c r="O407" s="4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6"/>
      <c r="G408" s="4"/>
      <c r="H408" s="4"/>
      <c r="I408" s="4"/>
      <c r="J408" s="4"/>
      <c r="K408" s="4"/>
      <c r="L408" s="4"/>
      <c r="M408" s="4"/>
      <c r="N408" s="4"/>
      <c r="O408" s="4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6"/>
      <c r="G409" s="4"/>
      <c r="H409" s="4"/>
      <c r="I409" s="4"/>
      <c r="J409" s="4"/>
      <c r="K409" s="4"/>
      <c r="L409" s="4"/>
      <c r="M409" s="4"/>
      <c r="N409" s="4"/>
      <c r="O409" s="4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6"/>
      <c r="G410" s="4"/>
      <c r="H410" s="4"/>
      <c r="I410" s="4"/>
      <c r="J410" s="4"/>
      <c r="K410" s="4"/>
      <c r="L410" s="4"/>
      <c r="M410" s="4"/>
      <c r="N410" s="4"/>
      <c r="O410" s="4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6"/>
      <c r="G411" s="4"/>
      <c r="H411" s="4"/>
      <c r="I411" s="4"/>
      <c r="J411" s="4"/>
      <c r="K411" s="4"/>
      <c r="L411" s="4"/>
      <c r="M411" s="4"/>
      <c r="N411" s="4"/>
      <c r="O411" s="4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6"/>
      <c r="G412" s="4"/>
      <c r="H412" s="4"/>
      <c r="I412" s="4"/>
      <c r="J412" s="4"/>
      <c r="K412" s="4"/>
      <c r="L412" s="4"/>
      <c r="M412" s="4"/>
      <c r="N412" s="4"/>
      <c r="O412" s="4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6"/>
      <c r="G413" s="4"/>
      <c r="H413" s="4"/>
      <c r="I413" s="4"/>
      <c r="J413" s="4"/>
      <c r="K413" s="4"/>
      <c r="L413" s="4"/>
      <c r="M413" s="4"/>
      <c r="N413" s="4"/>
      <c r="O413" s="4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6"/>
      <c r="G414" s="4"/>
      <c r="H414" s="4"/>
      <c r="I414" s="4"/>
      <c r="J414" s="4"/>
      <c r="K414" s="4"/>
      <c r="L414" s="4"/>
      <c r="M414" s="4"/>
      <c r="N414" s="4"/>
      <c r="O414" s="4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6"/>
      <c r="G415" s="4"/>
      <c r="H415" s="4"/>
      <c r="I415" s="4"/>
      <c r="J415" s="4"/>
      <c r="K415" s="4"/>
      <c r="L415" s="4"/>
      <c r="M415" s="4"/>
      <c r="N415" s="4"/>
      <c r="O415" s="4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6"/>
      <c r="G416" s="4"/>
      <c r="H416" s="4"/>
      <c r="I416" s="4"/>
      <c r="J416" s="4"/>
      <c r="K416" s="4"/>
      <c r="L416" s="4"/>
      <c r="M416" s="4"/>
      <c r="N416" s="4"/>
      <c r="O416" s="4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6"/>
      <c r="G417" s="4"/>
      <c r="H417" s="4"/>
      <c r="I417" s="4"/>
      <c r="J417" s="4"/>
      <c r="K417" s="4"/>
      <c r="L417" s="4"/>
      <c r="M417" s="4"/>
      <c r="N417" s="4"/>
      <c r="O417" s="4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6"/>
      <c r="G418" s="4"/>
      <c r="H418" s="4"/>
      <c r="I418" s="4"/>
      <c r="J418" s="4"/>
      <c r="K418" s="4"/>
      <c r="L418" s="4"/>
      <c r="M418" s="4"/>
      <c r="N418" s="4"/>
      <c r="O418" s="4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6"/>
      <c r="G419" s="4"/>
      <c r="H419" s="4"/>
      <c r="I419" s="4"/>
      <c r="J419" s="4"/>
      <c r="K419" s="4"/>
      <c r="L419" s="4"/>
      <c r="M419" s="4"/>
      <c r="N419" s="4"/>
      <c r="O419" s="4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6"/>
      <c r="G420" s="4"/>
      <c r="H420" s="4"/>
      <c r="I420" s="4"/>
      <c r="J420" s="4"/>
      <c r="K420" s="4"/>
      <c r="L420" s="4"/>
      <c r="M420" s="4"/>
      <c r="N420" s="4"/>
      <c r="O420" s="4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6"/>
      <c r="G421" s="4"/>
      <c r="H421" s="4"/>
      <c r="I421" s="4"/>
      <c r="J421" s="4"/>
      <c r="K421" s="4"/>
      <c r="L421" s="4"/>
      <c r="M421" s="4"/>
      <c r="N421" s="4"/>
      <c r="O421" s="4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6"/>
      <c r="G422" s="4"/>
      <c r="H422" s="4"/>
      <c r="I422" s="4"/>
      <c r="J422" s="4"/>
      <c r="K422" s="4"/>
      <c r="L422" s="4"/>
      <c r="M422" s="4"/>
      <c r="N422" s="4"/>
      <c r="O422" s="4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6"/>
      <c r="G423" s="4"/>
      <c r="H423" s="4"/>
      <c r="I423" s="4"/>
      <c r="J423" s="4"/>
      <c r="K423" s="4"/>
      <c r="L423" s="4"/>
      <c r="M423" s="4"/>
      <c r="N423" s="4"/>
      <c r="O423" s="4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6"/>
      <c r="G424" s="4"/>
      <c r="H424" s="4"/>
      <c r="I424" s="4"/>
      <c r="J424" s="4"/>
      <c r="K424" s="4"/>
      <c r="L424" s="4"/>
      <c r="M424" s="4"/>
      <c r="N424" s="4"/>
      <c r="O424" s="4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6"/>
      <c r="G425" s="4"/>
      <c r="H425" s="4"/>
      <c r="I425" s="4"/>
      <c r="J425" s="4"/>
      <c r="K425" s="4"/>
      <c r="L425" s="4"/>
      <c r="M425" s="4"/>
      <c r="N425" s="4"/>
      <c r="O425" s="4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6"/>
      <c r="G426" s="4"/>
      <c r="H426" s="4"/>
      <c r="I426" s="4"/>
      <c r="J426" s="4"/>
      <c r="K426" s="4"/>
      <c r="L426" s="4"/>
      <c r="M426" s="4"/>
      <c r="N426" s="4"/>
      <c r="O426" s="4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6"/>
      <c r="G427" s="4"/>
      <c r="H427" s="4"/>
      <c r="I427" s="4"/>
      <c r="J427" s="4"/>
      <c r="K427" s="4"/>
      <c r="L427" s="4"/>
      <c r="M427" s="4"/>
      <c r="N427" s="4"/>
      <c r="O427" s="4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6"/>
      <c r="G428" s="4"/>
      <c r="H428" s="4"/>
      <c r="I428" s="4"/>
      <c r="J428" s="4"/>
      <c r="K428" s="4"/>
      <c r="L428" s="4"/>
      <c r="M428" s="4"/>
      <c r="N428" s="4"/>
      <c r="O428" s="4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6"/>
      <c r="G429" s="4"/>
      <c r="H429" s="4"/>
      <c r="I429" s="4"/>
      <c r="J429" s="4"/>
      <c r="K429" s="4"/>
      <c r="L429" s="4"/>
      <c r="M429" s="4"/>
      <c r="N429" s="4"/>
      <c r="O429" s="4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6"/>
      <c r="G430" s="4"/>
      <c r="H430" s="4"/>
      <c r="I430" s="4"/>
      <c r="J430" s="4"/>
      <c r="K430" s="4"/>
      <c r="L430" s="4"/>
      <c r="M430" s="4"/>
      <c r="N430" s="4"/>
      <c r="O430" s="4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6"/>
      <c r="G431" s="4"/>
      <c r="H431" s="4"/>
      <c r="I431" s="4"/>
      <c r="J431" s="4"/>
      <c r="K431" s="4"/>
      <c r="L431" s="4"/>
      <c r="M431" s="4"/>
      <c r="N431" s="4"/>
      <c r="O431" s="4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6"/>
      <c r="G432" s="4"/>
      <c r="H432" s="4"/>
      <c r="I432" s="4"/>
      <c r="J432" s="4"/>
      <c r="K432" s="4"/>
      <c r="L432" s="4"/>
      <c r="M432" s="4"/>
      <c r="N432" s="4"/>
      <c r="O432" s="4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6"/>
      <c r="G433" s="4"/>
      <c r="H433" s="4"/>
      <c r="I433" s="4"/>
      <c r="J433" s="4"/>
      <c r="K433" s="4"/>
      <c r="L433" s="4"/>
      <c r="M433" s="4"/>
      <c r="N433" s="4"/>
      <c r="O433" s="4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6"/>
      <c r="G434" s="4"/>
      <c r="H434" s="4"/>
      <c r="I434" s="4"/>
      <c r="J434" s="4"/>
      <c r="K434" s="4"/>
      <c r="L434" s="4"/>
      <c r="M434" s="4"/>
      <c r="N434" s="4"/>
      <c r="O434" s="4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6"/>
      <c r="G435" s="4"/>
      <c r="H435" s="4"/>
      <c r="I435" s="4"/>
      <c r="J435" s="4"/>
      <c r="K435" s="4"/>
      <c r="L435" s="4"/>
      <c r="M435" s="4"/>
      <c r="N435" s="4"/>
      <c r="O435" s="4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6"/>
      <c r="G436" s="4"/>
      <c r="H436" s="4"/>
      <c r="I436" s="4"/>
      <c r="J436" s="4"/>
      <c r="K436" s="4"/>
      <c r="L436" s="4"/>
      <c r="M436" s="4"/>
      <c r="N436" s="4"/>
      <c r="O436" s="4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6"/>
      <c r="G437" s="4"/>
      <c r="H437" s="4"/>
      <c r="I437" s="4"/>
      <c r="J437" s="4"/>
      <c r="K437" s="4"/>
      <c r="L437" s="4"/>
      <c r="M437" s="4"/>
      <c r="N437" s="4"/>
      <c r="O437" s="4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6"/>
      <c r="G438" s="4"/>
      <c r="H438" s="4"/>
      <c r="I438" s="4"/>
      <c r="J438" s="4"/>
      <c r="K438" s="4"/>
      <c r="L438" s="4"/>
      <c r="M438" s="4"/>
      <c r="N438" s="4"/>
      <c r="O438" s="4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6"/>
      <c r="G439" s="4"/>
      <c r="H439" s="4"/>
      <c r="I439" s="4"/>
      <c r="J439" s="4"/>
      <c r="K439" s="4"/>
      <c r="L439" s="4"/>
      <c r="M439" s="4"/>
      <c r="N439" s="4"/>
      <c r="O439" s="4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6"/>
      <c r="G440" s="4"/>
      <c r="H440" s="4"/>
      <c r="I440" s="4"/>
      <c r="J440" s="4"/>
      <c r="K440" s="4"/>
      <c r="L440" s="4"/>
      <c r="M440" s="4"/>
      <c r="N440" s="4"/>
      <c r="O440" s="4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6"/>
      <c r="G441" s="4"/>
      <c r="H441" s="4"/>
      <c r="I441" s="4"/>
      <c r="J441" s="4"/>
      <c r="K441" s="4"/>
      <c r="L441" s="4"/>
      <c r="M441" s="4"/>
      <c r="N441" s="4"/>
      <c r="O441" s="4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6"/>
      <c r="G442" s="4"/>
      <c r="H442" s="4"/>
      <c r="I442" s="4"/>
      <c r="J442" s="4"/>
      <c r="K442" s="4"/>
      <c r="L442" s="4"/>
      <c r="M442" s="4"/>
      <c r="N442" s="4"/>
      <c r="O442" s="4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6"/>
      <c r="G443" s="4"/>
      <c r="H443" s="4"/>
      <c r="I443" s="4"/>
      <c r="J443" s="4"/>
      <c r="K443" s="4"/>
      <c r="L443" s="4"/>
      <c r="M443" s="4"/>
      <c r="N443" s="4"/>
      <c r="O443" s="4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6"/>
      <c r="G444" s="4"/>
      <c r="H444" s="4"/>
      <c r="I444" s="4"/>
      <c r="J444" s="4"/>
      <c r="K444" s="4"/>
      <c r="L444" s="4"/>
      <c r="M444" s="4"/>
      <c r="N444" s="4"/>
      <c r="O444" s="4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6"/>
      <c r="G445" s="4"/>
      <c r="H445" s="4"/>
      <c r="I445" s="4"/>
      <c r="J445" s="4"/>
      <c r="K445" s="4"/>
      <c r="L445" s="4"/>
      <c r="M445" s="4"/>
      <c r="N445" s="4"/>
      <c r="O445" s="4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6"/>
      <c r="G446" s="4"/>
      <c r="H446" s="4"/>
      <c r="I446" s="4"/>
      <c r="J446" s="4"/>
      <c r="K446" s="4"/>
      <c r="L446" s="4"/>
      <c r="M446" s="4"/>
      <c r="N446" s="4"/>
      <c r="O446" s="4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6"/>
      <c r="G447" s="4"/>
      <c r="H447" s="4"/>
      <c r="I447" s="4"/>
      <c r="J447" s="4"/>
      <c r="K447" s="4"/>
      <c r="L447" s="4"/>
      <c r="M447" s="4"/>
      <c r="N447" s="4"/>
      <c r="O447" s="4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6"/>
      <c r="G448" s="4"/>
      <c r="H448" s="4"/>
      <c r="I448" s="4"/>
      <c r="J448" s="4"/>
      <c r="K448" s="4"/>
      <c r="L448" s="4"/>
      <c r="M448" s="4"/>
      <c r="N448" s="4"/>
      <c r="O448" s="4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6"/>
      <c r="G449" s="4"/>
      <c r="H449" s="4"/>
      <c r="I449" s="4"/>
      <c r="J449" s="4"/>
      <c r="K449" s="4"/>
      <c r="L449" s="4"/>
      <c r="M449" s="4"/>
      <c r="N449" s="4"/>
      <c r="O449" s="4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6"/>
      <c r="G450" s="4"/>
      <c r="H450" s="4"/>
      <c r="I450" s="4"/>
      <c r="J450" s="4"/>
      <c r="K450" s="4"/>
      <c r="L450" s="4"/>
      <c r="M450" s="4"/>
      <c r="N450" s="4"/>
      <c r="O450" s="4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6"/>
      <c r="G451" s="4"/>
      <c r="H451" s="4"/>
      <c r="I451" s="4"/>
      <c r="J451" s="4"/>
      <c r="K451" s="4"/>
      <c r="L451" s="4"/>
      <c r="M451" s="4"/>
      <c r="N451" s="4"/>
      <c r="O451" s="4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6"/>
      <c r="G452" s="4"/>
      <c r="H452" s="4"/>
      <c r="I452" s="4"/>
      <c r="J452" s="4"/>
      <c r="K452" s="4"/>
      <c r="L452" s="4"/>
      <c r="M452" s="4"/>
      <c r="N452" s="4"/>
      <c r="O452" s="4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6"/>
      <c r="G453" s="4"/>
      <c r="H453" s="4"/>
      <c r="I453" s="4"/>
      <c r="J453" s="4"/>
      <c r="K453" s="4"/>
      <c r="L453" s="4"/>
      <c r="M453" s="4"/>
      <c r="N453" s="4"/>
      <c r="O453" s="4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6"/>
      <c r="G454" s="4"/>
      <c r="H454" s="4"/>
      <c r="I454" s="4"/>
      <c r="J454" s="4"/>
      <c r="K454" s="4"/>
      <c r="L454" s="4"/>
      <c r="M454" s="4"/>
      <c r="N454" s="4"/>
      <c r="O454" s="4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6"/>
      <c r="G455" s="4"/>
      <c r="H455" s="4"/>
      <c r="I455" s="4"/>
      <c r="J455" s="4"/>
      <c r="K455" s="4"/>
      <c r="L455" s="4"/>
      <c r="M455" s="4"/>
      <c r="N455" s="4"/>
      <c r="O455" s="4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6"/>
      <c r="G456" s="4"/>
      <c r="H456" s="4"/>
      <c r="I456" s="4"/>
      <c r="J456" s="4"/>
      <c r="K456" s="4"/>
      <c r="L456" s="4"/>
      <c r="M456" s="4"/>
      <c r="N456" s="4"/>
      <c r="O456" s="4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6"/>
      <c r="G457" s="4"/>
      <c r="H457" s="4"/>
      <c r="I457" s="4"/>
      <c r="J457" s="4"/>
      <c r="K457" s="4"/>
      <c r="L457" s="4"/>
      <c r="M457" s="4"/>
      <c r="N457" s="4"/>
      <c r="O457" s="4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6"/>
      <c r="G458" s="4"/>
      <c r="H458" s="4"/>
      <c r="I458" s="4"/>
      <c r="J458" s="4"/>
      <c r="K458" s="4"/>
      <c r="L458" s="4"/>
      <c r="M458" s="4"/>
      <c r="N458" s="4"/>
      <c r="O458" s="4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6"/>
      <c r="G459" s="4"/>
      <c r="H459" s="4"/>
      <c r="I459" s="4"/>
      <c r="J459" s="4"/>
      <c r="K459" s="4"/>
      <c r="L459" s="4"/>
      <c r="M459" s="4"/>
      <c r="N459" s="4"/>
      <c r="O459" s="4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6"/>
      <c r="G460" s="4"/>
      <c r="H460" s="4"/>
      <c r="I460" s="4"/>
      <c r="J460" s="4"/>
      <c r="K460" s="4"/>
      <c r="L460" s="4"/>
      <c r="M460" s="4"/>
      <c r="N460" s="4"/>
      <c r="O460" s="4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6"/>
      <c r="G461" s="4"/>
      <c r="H461" s="4"/>
      <c r="I461" s="4"/>
      <c r="J461" s="4"/>
      <c r="K461" s="4"/>
      <c r="L461" s="4"/>
      <c r="M461" s="4"/>
      <c r="N461" s="4"/>
      <c r="O461" s="4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6"/>
      <c r="G462" s="4"/>
      <c r="H462" s="4"/>
      <c r="I462" s="4"/>
      <c r="J462" s="4"/>
      <c r="K462" s="4"/>
      <c r="L462" s="4"/>
      <c r="M462" s="4"/>
      <c r="N462" s="4"/>
      <c r="O462" s="4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6"/>
      <c r="G463" s="4"/>
      <c r="H463" s="4"/>
      <c r="I463" s="4"/>
      <c r="J463" s="4"/>
      <c r="K463" s="4"/>
      <c r="L463" s="4"/>
      <c r="M463" s="4"/>
      <c r="N463" s="4"/>
      <c r="O463" s="4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6"/>
      <c r="G464" s="4"/>
      <c r="H464" s="4"/>
      <c r="I464" s="4"/>
      <c r="J464" s="4"/>
      <c r="K464" s="4"/>
      <c r="L464" s="4"/>
      <c r="M464" s="4"/>
      <c r="N464" s="4"/>
      <c r="O464" s="4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6"/>
      <c r="G465" s="4"/>
      <c r="H465" s="4"/>
      <c r="I465" s="4"/>
      <c r="J465" s="4"/>
      <c r="K465" s="4"/>
      <c r="L465" s="4"/>
      <c r="M465" s="4"/>
      <c r="N465" s="4"/>
      <c r="O465" s="4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6"/>
      <c r="G466" s="4"/>
      <c r="H466" s="4"/>
      <c r="I466" s="4"/>
      <c r="J466" s="4"/>
      <c r="K466" s="4"/>
      <c r="L466" s="4"/>
      <c r="M466" s="4"/>
      <c r="N466" s="4"/>
      <c r="O466" s="4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6"/>
      <c r="G467" s="4"/>
      <c r="H467" s="4"/>
      <c r="I467" s="4"/>
      <c r="J467" s="4"/>
      <c r="K467" s="4"/>
      <c r="L467" s="4"/>
      <c r="M467" s="4"/>
      <c r="N467" s="4"/>
      <c r="O467" s="4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6"/>
      <c r="G468" s="4"/>
      <c r="H468" s="4"/>
      <c r="I468" s="4"/>
      <c r="J468" s="4"/>
      <c r="K468" s="4"/>
      <c r="L468" s="4"/>
      <c r="M468" s="4"/>
      <c r="N468" s="4"/>
      <c r="O468" s="4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6"/>
      <c r="G469" s="4"/>
      <c r="H469" s="4"/>
      <c r="I469" s="4"/>
      <c r="J469" s="4"/>
      <c r="K469" s="4"/>
      <c r="L469" s="4"/>
      <c r="M469" s="4"/>
      <c r="N469" s="4"/>
      <c r="O469" s="4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6"/>
      <c r="G470" s="4"/>
      <c r="H470" s="4"/>
      <c r="I470" s="4"/>
      <c r="J470" s="4"/>
      <c r="K470" s="4"/>
      <c r="L470" s="4"/>
      <c r="M470" s="4"/>
      <c r="N470" s="4"/>
      <c r="O470" s="4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6"/>
      <c r="G471" s="4"/>
      <c r="H471" s="4"/>
      <c r="I471" s="4"/>
      <c r="J471" s="4"/>
      <c r="K471" s="4"/>
      <c r="L471" s="4"/>
      <c r="M471" s="4"/>
      <c r="N471" s="4"/>
      <c r="O471" s="4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6"/>
      <c r="G472" s="4"/>
      <c r="H472" s="4"/>
      <c r="I472" s="4"/>
      <c r="J472" s="4"/>
      <c r="K472" s="4"/>
      <c r="L472" s="4"/>
      <c r="M472" s="4"/>
      <c r="N472" s="4"/>
      <c r="O472" s="4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6"/>
      <c r="G473" s="4"/>
      <c r="H473" s="4"/>
      <c r="I473" s="4"/>
      <c r="J473" s="4"/>
      <c r="K473" s="4"/>
      <c r="L473" s="4"/>
      <c r="M473" s="4"/>
      <c r="N473" s="4"/>
      <c r="O473" s="4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6"/>
      <c r="G474" s="4"/>
      <c r="H474" s="4"/>
      <c r="I474" s="4"/>
      <c r="J474" s="4"/>
      <c r="K474" s="4"/>
      <c r="L474" s="4"/>
      <c r="M474" s="4"/>
      <c r="N474" s="4"/>
      <c r="O474" s="4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6"/>
      <c r="G475" s="4"/>
      <c r="H475" s="4"/>
      <c r="I475" s="4"/>
      <c r="J475" s="4"/>
      <c r="K475" s="4"/>
      <c r="L475" s="4"/>
      <c r="M475" s="4"/>
      <c r="N475" s="4"/>
      <c r="O475" s="4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6"/>
      <c r="G476" s="4"/>
      <c r="H476" s="4"/>
      <c r="I476" s="4"/>
      <c r="J476" s="4"/>
      <c r="K476" s="4"/>
      <c r="L476" s="4"/>
      <c r="M476" s="4"/>
      <c r="N476" s="4"/>
      <c r="O476" s="4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6"/>
      <c r="G477" s="4"/>
      <c r="H477" s="4"/>
      <c r="I477" s="4"/>
      <c r="J477" s="4"/>
      <c r="K477" s="4"/>
      <c r="L477" s="4"/>
      <c r="M477" s="4"/>
      <c r="N477" s="4"/>
      <c r="O477" s="4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6"/>
      <c r="G478" s="4"/>
      <c r="H478" s="4"/>
      <c r="I478" s="4"/>
      <c r="J478" s="4"/>
      <c r="K478" s="4"/>
      <c r="L478" s="4"/>
      <c r="M478" s="4"/>
      <c r="N478" s="4"/>
      <c r="O478" s="4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6"/>
      <c r="G479" s="4"/>
      <c r="H479" s="4"/>
      <c r="I479" s="4"/>
      <c r="J479" s="4"/>
      <c r="K479" s="4"/>
      <c r="L479" s="4"/>
      <c r="M479" s="4"/>
      <c r="N479" s="4"/>
      <c r="O479" s="4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6"/>
      <c r="G480" s="4"/>
      <c r="H480" s="4"/>
      <c r="I480" s="4"/>
      <c r="J480" s="4"/>
      <c r="K480" s="4"/>
      <c r="L480" s="4"/>
      <c r="M480" s="4"/>
      <c r="N480" s="4"/>
      <c r="O480" s="4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6"/>
      <c r="G481" s="4"/>
      <c r="H481" s="4"/>
      <c r="I481" s="4"/>
      <c r="J481" s="4"/>
      <c r="K481" s="4"/>
      <c r="L481" s="4"/>
      <c r="M481" s="4"/>
      <c r="N481" s="4"/>
      <c r="O481" s="4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6"/>
      <c r="G482" s="4"/>
      <c r="H482" s="4"/>
      <c r="I482" s="4"/>
      <c r="J482" s="4"/>
      <c r="K482" s="4"/>
      <c r="L482" s="4"/>
      <c r="M482" s="4"/>
      <c r="N482" s="4"/>
      <c r="O482" s="4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6"/>
      <c r="G483" s="4"/>
      <c r="H483" s="4"/>
      <c r="I483" s="4"/>
      <c r="J483" s="4"/>
      <c r="K483" s="4"/>
      <c r="L483" s="4"/>
      <c r="M483" s="4"/>
      <c r="N483" s="4"/>
      <c r="O483" s="4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6"/>
      <c r="G484" s="4"/>
      <c r="H484" s="4"/>
      <c r="I484" s="4"/>
      <c r="J484" s="4"/>
      <c r="K484" s="4"/>
      <c r="L484" s="4"/>
      <c r="M484" s="4"/>
      <c r="N484" s="4"/>
      <c r="O484" s="4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6"/>
      <c r="G485" s="4"/>
      <c r="H485" s="4"/>
      <c r="I485" s="4"/>
      <c r="J485" s="4"/>
      <c r="K485" s="4"/>
      <c r="L485" s="4"/>
      <c r="M485" s="4"/>
      <c r="N485" s="4"/>
      <c r="O485" s="4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6"/>
      <c r="G486" s="4"/>
      <c r="H486" s="4"/>
      <c r="I486" s="4"/>
      <c r="J486" s="4"/>
      <c r="K486" s="4"/>
      <c r="L486" s="4"/>
      <c r="M486" s="4"/>
      <c r="N486" s="4"/>
      <c r="O486" s="4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6"/>
      <c r="G487" s="4"/>
      <c r="H487" s="4"/>
      <c r="I487" s="4"/>
      <c r="J487" s="4"/>
      <c r="K487" s="4"/>
      <c r="L487" s="4"/>
      <c r="M487" s="4"/>
      <c r="N487" s="4"/>
      <c r="O487" s="4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6"/>
      <c r="G488" s="4"/>
      <c r="H488" s="4"/>
      <c r="I488" s="4"/>
      <c r="J488" s="4"/>
      <c r="K488" s="4"/>
      <c r="L488" s="4"/>
      <c r="M488" s="4"/>
      <c r="N488" s="4"/>
      <c r="O488" s="4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6"/>
      <c r="G489" s="4"/>
      <c r="H489" s="4"/>
      <c r="I489" s="4"/>
      <c r="J489" s="4"/>
      <c r="K489" s="4"/>
      <c r="L489" s="4"/>
      <c r="M489" s="4"/>
      <c r="N489" s="4"/>
      <c r="O489" s="4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6"/>
      <c r="G490" s="4"/>
      <c r="H490" s="4"/>
      <c r="I490" s="4"/>
      <c r="J490" s="4"/>
      <c r="K490" s="4"/>
      <c r="L490" s="4"/>
      <c r="M490" s="4"/>
      <c r="N490" s="4"/>
      <c r="O490" s="4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6"/>
      <c r="G491" s="4"/>
      <c r="H491" s="4"/>
      <c r="I491" s="4"/>
      <c r="J491" s="4"/>
      <c r="K491" s="4"/>
      <c r="L491" s="4"/>
      <c r="M491" s="4"/>
      <c r="N491" s="4"/>
      <c r="O491" s="4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6"/>
      <c r="G492" s="4"/>
      <c r="H492" s="4"/>
      <c r="I492" s="4"/>
      <c r="J492" s="4"/>
      <c r="K492" s="4"/>
      <c r="L492" s="4"/>
      <c r="M492" s="4"/>
      <c r="N492" s="4"/>
      <c r="O492" s="4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6"/>
      <c r="G493" s="4"/>
      <c r="H493" s="4"/>
      <c r="I493" s="4"/>
      <c r="J493" s="4"/>
      <c r="K493" s="4"/>
      <c r="L493" s="4"/>
      <c r="M493" s="4"/>
      <c r="N493" s="4"/>
      <c r="O493" s="4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6"/>
      <c r="G494" s="4"/>
      <c r="H494" s="4"/>
      <c r="I494" s="4"/>
      <c r="J494" s="4"/>
      <c r="K494" s="4"/>
      <c r="L494" s="4"/>
      <c r="M494" s="4"/>
      <c r="N494" s="4"/>
      <c r="O494" s="4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6"/>
      <c r="G495" s="4"/>
      <c r="H495" s="4"/>
      <c r="I495" s="4"/>
      <c r="J495" s="4"/>
      <c r="K495" s="4"/>
      <c r="L495" s="4"/>
      <c r="M495" s="4"/>
      <c r="N495" s="4"/>
      <c r="O495" s="4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6"/>
      <c r="G496" s="4"/>
      <c r="H496" s="4"/>
      <c r="I496" s="4"/>
      <c r="J496" s="4"/>
      <c r="K496" s="4"/>
      <c r="L496" s="4"/>
      <c r="M496" s="4"/>
      <c r="N496" s="4"/>
      <c r="O496" s="4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6"/>
      <c r="G497" s="4"/>
      <c r="H497" s="4"/>
      <c r="I497" s="4"/>
      <c r="J497" s="4"/>
      <c r="K497" s="4"/>
      <c r="L497" s="4"/>
      <c r="M497" s="4"/>
      <c r="N497" s="4"/>
      <c r="O497" s="4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6"/>
      <c r="G498" s="4"/>
      <c r="H498" s="4"/>
      <c r="I498" s="4"/>
      <c r="J498" s="4"/>
      <c r="K498" s="4"/>
      <c r="L498" s="4"/>
      <c r="M498" s="4"/>
      <c r="N498" s="4"/>
      <c r="O498" s="4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6"/>
      <c r="G499" s="4"/>
      <c r="H499" s="4"/>
      <c r="I499" s="4"/>
      <c r="J499" s="4"/>
      <c r="K499" s="4"/>
      <c r="L499" s="4"/>
      <c r="M499" s="4"/>
      <c r="N499" s="4"/>
      <c r="O499" s="4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6"/>
      <c r="G500" s="4"/>
      <c r="H500" s="4"/>
      <c r="I500" s="4"/>
      <c r="J500" s="4"/>
      <c r="K500" s="4"/>
      <c r="L500" s="4"/>
      <c r="M500" s="4"/>
      <c r="N500" s="4"/>
      <c r="O500" s="4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6"/>
      <c r="G501" s="4"/>
      <c r="H501" s="4"/>
      <c r="I501" s="4"/>
      <c r="J501" s="4"/>
      <c r="K501" s="4"/>
      <c r="L501" s="4"/>
      <c r="M501" s="4"/>
      <c r="N501" s="4"/>
      <c r="O501" s="4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6"/>
      <c r="G502" s="4"/>
      <c r="H502" s="4"/>
      <c r="I502" s="4"/>
      <c r="J502" s="4"/>
      <c r="K502" s="4"/>
      <c r="L502" s="4"/>
      <c r="M502" s="4"/>
      <c r="N502" s="4"/>
      <c r="O502" s="4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6"/>
      <c r="G503" s="4"/>
      <c r="H503" s="4"/>
      <c r="I503" s="4"/>
      <c r="J503" s="4"/>
      <c r="K503" s="4"/>
      <c r="L503" s="4"/>
      <c r="M503" s="4"/>
      <c r="N503" s="4"/>
      <c r="O503" s="4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6"/>
      <c r="G504" s="4"/>
      <c r="H504" s="4"/>
      <c r="I504" s="4"/>
      <c r="J504" s="4"/>
      <c r="K504" s="4"/>
      <c r="L504" s="4"/>
      <c r="M504" s="4"/>
      <c r="N504" s="4"/>
      <c r="O504" s="4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6"/>
      <c r="G505" s="4"/>
      <c r="H505" s="4"/>
      <c r="I505" s="4"/>
      <c r="J505" s="4"/>
      <c r="K505" s="4"/>
      <c r="L505" s="4"/>
      <c r="M505" s="4"/>
      <c r="N505" s="4"/>
      <c r="O505" s="4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6"/>
      <c r="G506" s="4"/>
      <c r="H506" s="4"/>
      <c r="I506" s="4"/>
      <c r="J506" s="4"/>
      <c r="K506" s="4"/>
      <c r="L506" s="4"/>
      <c r="M506" s="4"/>
      <c r="N506" s="4"/>
      <c r="O506" s="4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6"/>
      <c r="G507" s="4"/>
      <c r="H507" s="4"/>
      <c r="I507" s="4"/>
      <c r="J507" s="4"/>
      <c r="K507" s="4"/>
      <c r="L507" s="4"/>
      <c r="M507" s="4"/>
      <c r="N507" s="4"/>
      <c r="O507" s="4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6"/>
      <c r="G508" s="4"/>
      <c r="H508" s="4"/>
      <c r="I508" s="4"/>
      <c r="J508" s="4"/>
      <c r="K508" s="4"/>
      <c r="L508" s="4"/>
      <c r="M508" s="4"/>
      <c r="N508" s="4"/>
      <c r="O508" s="4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6"/>
      <c r="G509" s="4"/>
      <c r="H509" s="4"/>
      <c r="I509" s="4"/>
      <c r="J509" s="4"/>
      <c r="K509" s="4"/>
      <c r="L509" s="4"/>
      <c r="M509" s="4"/>
      <c r="N509" s="4"/>
      <c r="O509" s="4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6"/>
      <c r="G510" s="4"/>
      <c r="H510" s="4"/>
      <c r="I510" s="4"/>
      <c r="J510" s="4"/>
      <c r="K510" s="4"/>
      <c r="L510" s="4"/>
      <c r="M510" s="4"/>
      <c r="N510" s="4"/>
      <c r="O510" s="4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6"/>
      <c r="G511" s="4"/>
      <c r="H511" s="4"/>
      <c r="I511" s="4"/>
      <c r="J511" s="4"/>
      <c r="K511" s="4"/>
      <c r="L511" s="4"/>
      <c r="M511" s="4"/>
      <c r="N511" s="4"/>
      <c r="O511" s="4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6"/>
      <c r="G512" s="4"/>
      <c r="H512" s="4"/>
      <c r="I512" s="4"/>
      <c r="J512" s="4"/>
      <c r="K512" s="4"/>
      <c r="L512" s="4"/>
      <c r="M512" s="4"/>
      <c r="N512" s="4"/>
      <c r="O512" s="4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6"/>
      <c r="G513" s="4"/>
      <c r="H513" s="4"/>
      <c r="I513" s="4"/>
      <c r="J513" s="4"/>
      <c r="K513" s="4"/>
      <c r="L513" s="4"/>
      <c r="M513" s="4"/>
      <c r="N513" s="4"/>
      <c r="O513" s="4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6"/>
      <c r="G514" s="4"/>
      <c r="H514" s="4"/>
      <c r="I514" s="4"/>
      <c r="J514" s="4"/>
      <c r="K514" s="4"/>
      <c r="L514" s="4"/>
      <c r="M514" s="4"/>
      <c r="N514" s="4"/>
      <c r="O514" s="4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6"/>
      <c r="G515" s="4"/>
      <c r="H515" s="4"/>
      <c r="I515" s="4"/>
      <c r="J515" s="4"/>
      <c r="K515" s="4"/>
      <c r="L515" s="4"/>
      <c r="M515" s="4"/>
      <c r="N515" s="4"/>
      <c r="O515" s="4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6"/>
      <c r="G516" s="4"/>
      <c r="H516" s="4"/>
      <c r="I516" s="4"/>
      <c r="J516" s="4"/>
      <c r="K516" s="4"/>
      <c r="L516" s="4"/>
      <c r="M516" s="4"/>
      <c r="N516" s="4"/>
      <c r="O516" s="4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6"/>
      <c r="G517" s="4"/>
      <c r="H517" s="4"/>
      <c r="I517" s="4"/>
      <c r="J517" s="4"/>
      <c r="K517" s="4"/>
      <c r="L517" s="4"/>
      <c r="M517" s="4"/>
      <c r="N517" s="4"/>
      <c r="O517" s="4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6"/>
      <c r="G518" s="4"/>
      <c r="H518" s="4"/>
      <c r="I518" s="4"/>
      <c r="J518" s="4"/>
      <c r="K518" s="4"/>
      <c r="L518" s="4"/>
      <c r="M518" s="4"/>
      <c r="N518" s="4"/>
      <c r="O518" s="4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6"/>
      <c r="G519" s="4"/>
      <c r="H519" s="4"/>
      <c r="I519" s="4"/>
      <c r="J519" s="4"/>
      <c r="K519" s="4"/>
      <c r="L519" s="4"/>
      <c r="M519" s="4"/>
      <c r="N519" s="4"/>
      <c r="O519" s="4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6"/>
      <c r="G520" s="4"/>
      <c r="H520" s="4"/>
      <c r="I520" s="4"/>
      <c r="J520" s="4"/>
      <c r="K520" s="4"/>
      <c r="L520" s="4"/>
      <c r="M520" s="4"/>
      <c r="N520" s="4"/>
      <c r="O520" s="4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6"/>
      <c r="G521" s="4"/>
      <c r="H521" s="4"/>
      <c r="I521" s="4"/>
      <c r="J521" s="4"/>
      <c r="K521" s="4"/>
      <c r="L521" s="4"/>
      <c r="M521" s="4"/>
      <c r="N521" s="4"/>
      <c r="O521" s="4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6"/>
      <c r="G522" s="4"/>
      <c r="H522" s="4"/>
      <c r="I522" s="4"/>
      <c r="J522" s="4"/>
      <c r="K522" s="4"/>
      <c r="L522" s="4"/>
      <c r="M522" s="4"/>
      <c r="N522" s="4"/>
      <c r="O522" s="4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6"/>
      <c r="G523" s="4"/>
      <c r="H523" s="4"/>
      <c r="I523" s="4"/>
      <c r="J523" s="4"/>
      <c r="K523" s="4"/>
      <c r="L523" s="4"/>
      <c r="M523" s="4"/>
      <c r="N523" s="4"/>
      <c r="O523" s="4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6"/>
      <c r="G524" s="4"/>
      <c r="H524" s="4"/>
      <c r="I524" s="4"/>
      <c r="J524" s="4"/>
      <c r="K524" s="4"/>
      <c r="L524" s="4"/>
      <c r="M524" s="4"/>
      <c r="N524" s="4"/>
      <c r="O524" s="4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6"/>
      <c r="G525" s="4"/>
      <c r="H525" s="4"/>
      <c r="I525" s="4"/>
      <c r="J525" s="4"/>
      <c r="K525" s="4"/>
      <c r="L525" s="4"/>
      <c r="M525" s="4"/>
      <c r="N525" s="4"/>
      <c r="O525" s="4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6"/>
      <c r="G526" s="4"/>
      <c r="H526" s="4"/>
      <c r="I526" s="4"/>
      <c r="J526" s="4"/>
      <c r="K526" s="4"/>
      <c r="L526" s="4"/>
      <c r="M526" s="4"/>
      <c r="N526" s="4"/>
      <c r="O526" s="4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6"/>
      <c r="G527" s="4"/>
      <c r="H527" s="4"/>
      <c r="I527" s="4"/>
      <c r="J527" s="4"/>
      <c r="K527" s="4"/>
      <c r="L527" s="4"/>
      <c r="M527" s="4"/>
      <c r="N527" s="4"/>
      <c r="O527" s="4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6"/>
      <c r="G528" s="4"/>
      <c r="H528" s="4"/>
      <c r="I528" s="4"/>
      <c r="J528" s="4"/>
      <c r="K528" s="4"/>
      <c r="L528" s="4"/>
      <c r="M528" s="4"/>
      <c r="N528" s="4"/>
      <c r="O528" s="4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6"/>
      <c r="G529" s="4"/>
      <c r="H529" s="4"/>
      <c r="I529" s="4"/>
      <c r="J529" s="4"/>
      <c r="K529" s="4"/>
      <c r="L529" s="4"/>
      <c r="M529" s="4"/>
      <c r="N529" s="4"/>
      <c r="O529" s="4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6"/>
      <c r="G530" s="4"/>
      <c r="H530" s="4"/>
      <c r="I530" s="4"/>
      <c r="J530" s="4"/>
      <c r="K530" s="4"/>
      <c r="L530" s="4"/>
      <c r="M530" s="4"/>
      <c r="N530" s="4"/>
      <c r="O530" s="4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6"/>
      <c r="G531" s="4"/>
      <c r="H531" s="4"/>
      <c r="I531" s="4"/>
      <c r="J531" s="4"/>
      <c r="K531" s="4"/>
      <c r="L531" s="4"/>
      <c r="M531" s="4"/>
      <c r="N531" s="4"/>
      <c r="O531" s="4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6"/>
      <c r="G532" s="4"/>
      <c r="H532" s="4"/>
      <c r="I532" s="4"/>
      <c r="J532" s="4"/>
      <c r="K532" s="4"/>
      <c r="L532" s="4"/>
      <c r="M532" s="4"/>
      <c r="N532" s="4"/>
      <c r="O532" s="4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6"/>
      <c r="G533" s="4"/>
      <c r="H533" s="4"/>
      <c r="I533" s="4"/>
      <c r="J533" s="4"/>
      <c r="K533" s="4"/>
      <c r="L533" s="4"/>
      <c r="M533" s="4"/>
      <c r="N533" s="4"/>
      <c r="O533" s="4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6"/>
      <c r="G534" s="4"/>
      <c r="H534" s="4"/>
      <c r="I534" s="4"/>
      <c r="J534" s="4"/>
      <c r="K534" s="4"/>
      <c r="L534" s="4"/>
      <c r="M534" s="4"/>
      <c r="N534" s="4"/>
      <c r="O534" s="4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6"/>
      <c r="G535" s="4"/>
      <c r="H535" s="4"/>
      <c r="I535" s="4"/>
      <c r="J535" s="4"/>
      <c r="K535" s="4"/>
      <c r="L535" s="4"/>
      <c r="M535" s="4"/>
      <c r="N535" s="4"/>
      <c r="O535" s="4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6"/>
      <c r="G536" s="4"/>
      <c r="H536" s="4"/>
      <c r="I536" s="4"/>
      <c r="J536" s="4"/>
      <c r="K536" s="4"/>
      <c r="L536" s="4"/>
      <c r="M536" s="4"/>
      <c r="N536" s="4"/>
      <c r="O536" s="4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6"/>
      <c r="G537" s="4"/>
      <c r="H537" s="4"/>
      <c r="I537" s="4"/>
      <c r="J537" s="4"/>
      <c r="K537" s="4"/>
      <c r="L537" s="4"/>
      <c r="M537" s="4"/>
      <c r="N537" s="4"/>
      <c r="O537" s="4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6"/>
      <c r="G538" s="4"/>
      <c r="H538" s="4"/>
      <c r="I538" s="4"/>
      <c r="J538" s="4"/>
      <c r="K538" s="4"/>
      <c r="L538" s="4"/>
      <c r="M538" s="4"/>
      <c r="N538" s="4"/>
      <c r="O538" s="4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6"/>
      <c r="G539" s="4"/>
      <c r="H539" s="4"/>
      <c r="I539" s="4"/>
      <c r="J539" s="4"/>
      <c r="K539" s="4"/>
      <c r="L539" s="4"/>
      <c r="M539" s="4"/>
      <c r="N539" s="4"/>
      <c r="O539" s="4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6"/>
      <c r="G540" s="4"/>
      <c r="H540" s="4"/>
      <c r="I540" s="4"/>
      <c r="J540" s="4"/>
      <c r="K540" s="4"/>
      <c r="L540" s="4"/>
      <c r="M540" s="4"/>
      <c r="N540" s="4"/>
      <c r="O540" s="4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6"/>
      <c r="G541" s="4"/>
      <c r="H541" s="4"/>
      <c r="I541" s="4"/>
      <c r="J541" s="4"/>
      <c r="K541" s="4"/>
      <c r="L541" s="4"/>
      <c r="M541" s="4"/>
      <c r="N541" s="4"/>
      <c r="O541" s="4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6"/>
      <c r="G542" s="4"/>
      <c r="H542" s="4"/>
      <c r="I542" s="4"/>
      <c r="J542" s="4"/>
      <c r="K542" s="4"/>
      <c r="L542" s="4"/>
      <c r="M542" s="4"/>
      <c r="N542" s="4"/>
      <c r="O542" s="4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6"/>
      <c r="G543" s="4"/>
      <c r="H543" s="4"/>
      <c r="I543" s="4"/>
      <c r="J543" s="4"/>
      <c r="K543" s="4"/>
      <c r="L543" s="4"/>
      <c r="M543" s="4"/>
      <c r="N543" s="4"/>
      <c r="O543" s="4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6"/>
      <c r="G544" s="4"/>
      <c r="H544" s="4"/>
      <c r="I544" s="4"/>
      <c r="J544" s="4"/>
      <c r="K544" s="4"/>
      <c r="L544" s="4"/>
      <c r="M544" s="4"/>
      <c r="N544" s="4"/>
      <c r="O544" s="4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6"/>
      <c r="G545" s="4"/>
      <c r="H545" s="4"/>
      <c r="I545" s="4"/>
      <c r="J545" s="4"/>
      <c r="K545" s="4"/>
      <c r="L545" s="4"/>
      <c r="M545" s="4"/>
      <c r="N545" s="4"/>
      <c r="O545" s="4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6"/>
      <c r="G546" s="4"/>
      <c r="H546" s="4"/>
      <c r="I546" s="4"/>
      <c r="J546" s="4"/>
      <c r="K546" s="4"/>
      <c r="L546" s="4"/>
      <c r="M546" s="4"/>
      <c r="N546" s="4"/>
      <c r="O546" s="4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6"/>
      <c r="G547" s="4"/>
      <c r="H547" s="4"/>
      <c r="I547" s="4"/>
      <c r="J547" s="4"/>
      <c r="K547" s="4"/>
      <c r="L547" s="4"/>
      <c r="M547" s="4"/>
      <c r="N547" s="4"/>
      <c r="O547" s="4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6"/>
      <c r="G548" s="4"/>
      <c r="H548" s="4"/>
      <c r="I548" s="4"/>
      <c r="J548" s="4"/>
      <c r="K548" s="4"/>
      <c r="L548" s="4"/>
      <c r="M548" s="4"/>
      <c r="N548" s="4"/>
      <c r="O548" s="4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6"/>
      <c r="G549" s="4"/>
      <c r="H549" s="4"/>
      <c r="I549" s="4"/>
      <c r="J549" s="4"/>
      <c r="K549" s="4"/>
      <c r="L549" s="4"/>
      <c r="M549" s="4"/>
      <c r="N549" s="4"/>
      <c r="O549" s="4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6"/>
      <c r="G550" s="4"/>
      <c r="H550" s="4"/>
      <c r="I550" s="4"/>
      <c r="J550" s="4"/>
      <c r="K550" s="4"/>
      <c r="L550" s="4"/>
      <c r="M550" s="4"/>
      <c r="N550" s="4"/>
      <c r="O550" s="4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6"/>
      <c r="G551" s="4"/>
      <c r="H551" s="4"/>
      <c r="I551" s="4"/>
      <c r="J551" s="4"/>
      <c r="K551" s="4"/>
      <c r="L551" s="4"/>
      <c r="M551" s="4"/>
      <c r="N551" s="4"/>
      <c r="O551" s="4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6"/>
      <c r="G552" s="4"/>
      <c r="H552" s="4"/>
      <c r="I552" s="4"/>
      <c r="J552" s="4"/>
      <c r="K552" s="4"/>
      <c r="L552" s="4"/>
      <c r="M552" s="4"/>
      <c r="N552" s="4"/>
      <c r="O552" s="4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6"/>
      <c r="G553" s="4"/>
      <c r="H553" s="4"/>
      <c r="I553" s="4"/>
      <c r="J553" s="4"/>
      <c r="K553" s="4"/>
      <c r="L553" s="4"/>
      <c r="M553" s="4"/>
      <c r="N553" s="4"/>
      <c r="O553" s="4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6"/>
      <c r="G554" s="4"/>
      <c r="H554" s="4"/>
      <c r="I554" s="4"/>
      <c r="J554" s="4"/>
      <c r="K554" s="4"/>
      <c r="L554" s="4"/>
      <c r="M554" s="4"/>
      <c r="N554" s="4"/>
      <c r="O554" s="4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6"/>
      <c r="G555" s="4"/>
      <c r="H555" s="4"/>
      <c r="I555" s="4"/>
      <c r="J555" s="4"/>
      <c r="K555" s="4"/>
      <c r="L555" s="4"/>
      <c r="M555" s="4"/>
      <c r="N555" s="4"/>
      <c r="O555" s="4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6"/>
      <c r="G556" s="4"/>
      <c r="H556" s="4"/>
      <c r="I556" s="4"/>
      <c r="J556" s="4"/>
      <c r="K556" s="4"/>
      <c r="L556" s="4"/>
      <c r="M556" s="4"/>
      <c r="N556" s="4"/>
      <c r="O556" s="4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6"/>
      <c r="G557" s="4"/>
      <c r="H557" s="4"/>
      <c r="I557" s="4"/>
      <c r="J557" s="4"/>
      <c r="K557" s="4"/>
      <c r="L557" s="4"/>
      <c r="M557" s="4"/>
      <c r="N557" s="4"/>
      <c r="O557" s="4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6"/>
      <c r="G558" s="4"/>
      <c r="H558" s="4"/>
      <c r="I558" s="4"/>
      <c r="J558" s="4"/>
      <c r="K558" s="4"/>
      <c r="L558" s="4"/>
      <c r="M558" s="4"/>
      <c r="N558" s="4"/>
      <c r="O558" s="4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6"/>
      <c r="G559" s="4"/>
      <c r="H559" s="4"/>
      <c r="I559" s="4"/>
      <c r="J559" s="4"/>
      <c r="K559" s="4"/>
      <c r="L559" s="4"/>
      <c r="M559" s="4"/>
      <c r="N559" s="4"/>
      <c r="O559" s="4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6"/>
      <c r="G560" s="4"/>
      <c r="H560" s="4"/>
      <c r="I560" s="4"/>
      <c r="J560" s="4"/>
      <c r="K560" s="4"/>
      <c r="L560" s="4"/>
      <c r="M560" s="4"/>
      <c r="N560" s="4"/>
      <c r="O560" s="4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6"/>
      <c r="G561" s="4"/>
      <c r="H561" s="4"/>
      <c r="I561" s="4"/>
      <c r="J561" s="4"/>
      <c r="K561" s="4"/>
      <c r="L561" s="4"/>
      <c r="M561" s="4"/>
      <c r="N561" s="4"/>
      <c r="O561" s="4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6"/>
      <c r="G562" s="4"/>
      <c r="H562" s="4"/>
      <c r="I562" s="4"/>
      <c r="J562" s="4"/>
      <c r="K562" s="4"/>
      <c r="L562" s="4"/>
      <c r="M562" s="4"/>
      <c r="N562" s="4"/>
      <c r="O562" s="4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6"/>
      <c r="G563" s="4"/>
      <c r="H563" s="4"/>
      <c r="I563" s="4"/>
      <c r="J563" s="4"/>
      <c r="K563" s="4"/>
      <c r="L563" s="4"/>
      <c r="M563" s="4"/>
      <c r="N563" s="4"/>
      <c r="O563" s="4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6"/>
      <c r="G564" s="4"/>
      <c r="H564" s="4"/>
      <c r="I564" s="4"/>
      <c r="J564" s="4"/>
      <c r="K564" s="4"/>
      <c r="L564" s="4"/>
      <c r="M564" s="4"/>
      <c r="N564" s="4"/>
      <c r="O564" s="4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6"/>
      <c r="G565" s="4"/>
      <c r="H565" s="4"/>
      <c r="I565" s="4"/>
      <c r="J565" s="4"/>
      <c r="K565" s="4"/>
      <c r="L565" s="4"/>
      <c r="M565" s="4"/>
      <c r="N565" s="4"/>
      <c r="O565" s="4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6"/>
      <c r="G566" s="4"/>
      <c r="H566" s="4"/>
      <c r="I566" s="4"/>
      <c r="J566" s="4"/>
      <c r="K566" s="4"/>
      <c r="L566" s="4"/>
      <c r="M566" s="4"/>
      <c r="N566" s="4"/>
      <c r="O566" s="4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6"/>
      <c r="G567" s="4"/>
      <c r="H567" s="4"/>
      <c r="I567" s="4"/>
      <c r="J567" s="4"/>
      <c r="K567" s="4"/>
      <c r="L567" s="4"/>
      <c r="M567" s="4"/>
      <c r="N567" s="4"/>
      <c r="O567" s="4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6"/>
      <c r="G568" s="4"/>
      <c r="H568" s="4"/>
      <c r="I568" s="4"/>
      <c r="J568" s="4"/>
      <c r="K568" s="4"/>
      <c r="L568" s="4"/>
      <c r="M568" s="4"/>
      <c r="N568" s="4"/>
      <c r="O568" s="4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6"/>
      <c r="G569" s="4"/>
      <c r="H569" s="4"/>
      <c r="I569" s="4"/>
      <c r="J569" s="4"/>
      <c r="K569" s="4"/>
      <c r="L569" s="4"/>
      <c r="M569" s="4"/>
      <c r="N569" s="4"/>
      <c r="O569" s="4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6"/>
      <c r="G570" s="4"/>
      <c r="H570" s="4"/>
      <c r="I570" s="4"/>
      <c r="J570" s="4"/>
      <c r="K570" s="4"/>
      <c r="L570" s="4"/>
      <c r="M570" s="4"/>
      <c r="N570" s="4"/>
      <c r="O570" s="4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6"/>
      <c r="G571" s="4"/>
      <c r="H571" s="4"/>
      <c r="I571" s="4"/>
      <c r="J571" s="4"/>
      <c r="K571" s="4"/>
      <c r="L571" s="4"/>
      <c r="M571" s="4"/>
      <c r="N571" s="4"/>
      <c r="O571" s="4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6"/>
      <c r="G572" s="4"/>
      <c r="H572" s="4"/>
      <c r="I572" s="4"/>
      <c r="J572" s="4"/>
      <c r="K572" s="4"/>
      <c r="L572" s="4"/>
      <c r="M572" s="4"/>
      <c r="N572" s="4"/>
      <c r="O572" s="4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6"/>
      <c r="G573" s="4"/>
      <c r="H573" s="4"/>
      <c r="I573" s="4"/>
      <c r="J573" s="4"/>
      <c r="K573" s="4"/>
      <c r="L573" s="4"/>
      <c r="M573" s="4"/>
      <c r="N573" s="4"/>
      <c r="O573" s="4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6"/>
      <c r="G574" s="4"/>
      <c r="H574" s="4"/>
      <c r="I574" s="4"/>
      <c r="J574" s="4"/>
      <c r="K574" s="4"/>
      <c r="L574" s="4"/>
      <c r="M574" s="4"/>
      <c r="N574" s="4"/>
      <c r="O574" s="4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6"/>
      <c r="G575" s="4"/>
      <c r="H575" s="4"/>
      <c r="I575" s="4"/>
      <c r="J575" s="4"/>
      <c r="K575" s="4"/>
      <c r="L575" s="4"/>
      <c r="M575" s="4"/>
      <c r="N575" s="4"/>
      <c r="O575" s="4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6"/>
      <c r="G576" s="4"/>
      <c r="H576" s="4"/>
      <c r="I576" s="4"/>
      <c r="J576" s="4"/>
      <c r="K576" s="4"/>
      <c r="L576" s="4"/>
      <c r="M576" s="4"/>
      <c r="N576" s="4"/>
      <c r="O576" s="4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6"/>
      <c r="G577" s="4"/>
      <c r="H577" s="4"/>
      <c r="I577" s="4"/>
      <c r="J577" s="4"/>
      <c r="K577" s="4"/>
      <c r="L577" s="4"/>
      <c r="M577" s="4"/>
      <c r="N577" s="4"/>
      <c r="O577" s="4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6"/>
      <c r="G578" s="4"/>
      <c r="H578" s="4"/>
      <c r="I578" s="4"/>
      <c r="J578" s="4"/>
      <c r="K578" s="4"/>
      <c r="L578" s="4"/>
      <c r="M578" s="4"/>
      <c r="N578" s="4"/>
      <c r="O578" s="4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6"/>
      <c r="G579" s="4"/>
      <c r="H579" s="4"/>
      <c r="I579" s="4"/>
      <c r="J579" s="4"/>
      <c r="K579" s="4"/>
      <c r="L579" s="4"/>
      <c r="M579" s="4"/>
      <c r="N579" s="4"/>
      <c r="O579" s="4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6"/>
      <c r="G580" s="4"/>
      <c r="H580" s="4"/>
      <c r="I580" s="4"/>
      <c r="J580" s="4"/>
      <c r="K580" s="4"/>
      <c r="L580" s="4"/>
      <c r="M580" s="4"/>
      <c r="N580" s="4"/>
      <c r="O580" s="4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mergeCells count="1">
    <mergeCell ref="A380:B3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88"/>
    <col customWidth="1" min="2" max="13" width="15.13"/>
    <col customWidth="1" min="14" max="14" width="3.63"/>
    <col customWidth="1" min="15" max="15" width="27.63"/>
    <col customWidth="1" min="16" max="16" width="18.88"/>
    <col customWidth="1" min="17" max="21" width="10.63"/>
  </cols>
  <sheetData>
    <row r="1" ht="22.5" customHeight="1">
      <c r="A1" s="47" t="s">
        <v>34</v>
      </c>
      <c r="B1" s="48"/>
      <c r="C1" s="49" t="str">
        <f t="shared" ref="C1:M1" si="1">(C3-B3)/B3*1</f>
        <v>#DIV/0!</v>
      </c>
      <c r="D1" s="49" t="str">
        <f t="shared" si="1"/>
        <v>#DIV/0!</v>
      </c>
      <c r="E1" s="49" t="str">
        <f t="shared" si="1"/>
        <v>#DIV/0!</v>
      </c>
      <c r="F1" s="49" t="str">
        <f t="shared" si="1"/>
        <v>#DIV/0!</v>
      </c>
      <c r="G1" s="49" t="str">
        <f t="shared" si="1"/>
        <v>#DIV/0!</v>
      </c>
      <c r="H1" s="49" t="str">
        <f t="shared" si="1"/>
        <v>#DIV/0!</v>
      </c>
      <c r="I1" s="49" t="str">
        <f t="shared" si="1"/>
        <v>#DIV/0!</v>
      </c>
      <c r="J1" s="49" t="str">
        <f t="shared" si="1"/>
        <v>#DIV/0!</v>
      </c>
      <c r="K1" s="49" t="str">
        <f t="shared" si="1"/>
        <v>#DIV/0!</v>
      </c>
      <c r="L1" s="49" t="str">
        <f t="shared" si="1"/>
        <v>#DIV/0!</v>
      </c>
      <c r="M1" s="49" t="str">
        <f t="shared" si="1"/>
        <v>#DIV/0!</v>
      </c>
      <c r="N1" s="50"/>
      <c r="O1" s="51" t="s">
        <v>35</v>
      </c>
      <c r="P1" s="41"/>
      <c r="Q1" s="50"/>
      <c r="R1" s="50"/>
      <c r="S1" s="50"/>
      <c r="T1" s="50"/>
      <c r="U1" s="50"/>
    </row>
    <row r="2" ht="22.5" customHeight="1">
      <c r="A2" s="47" t="s">
        <v>36</v>
      </c>
      <c r="B2" s="47" t="s">
        <v>37</v>
      </c>
      <c r="C2" s="47" t="s">
        <v>38</v>
      </c>
      <c r="D2" s="47" t="s">
        <v>39</v>
      </c>
      <c r="E2" s="47" t="s">
        <v>40</v>
      </c>
      <c r="F2" s="47" t="s">
        <v>41</v>
      </c>
      <c r="G2" s="47" t="s">
        <v>42</v>
      </c>
      <c r="H2" s="47" t="s">
        <v>43</v>
      </c>
      <c r="I2" s="47" t="s">
        <v>44</v>
      </c>
      <c r="J2" s="47" t="s">
        <v>45</v>
      </c>
      <c r="K2" s="47" t="s">
        <v>46</v>
      </c>
      <c r="L2" s="47" t="s">
        <v>47</v>
      </c>
      <c r="M2" s="47" t="s">
        <v>48</v>
      </c>
      <c r="N2" s="52"/>
      <c r="O2" s="53" t="s">
        <v>49</v>
      </c>
      <c r="P2" s="54" t="str">
        <f>AVERAGE(C1:K1)</f>
        <v>#DIV/0!</v>
      </c>
      <c r="Q2" s="50"/>
      <c r="R2" s="50"/>
      <c r="S2" s="50"/>
      <c r="T2" s="50"/>
      <c r="U2" s="50"/>
    </row>
    <row r="3" ht="18.75" customHeight="1">
      <c r="A3" s="55" t="s">
        <v>50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2"/>
      <c r="O3" s="53" t="s">
        <v>50</v>
      </c>
      <c r="P3" s="57" t="str">
        <f t="shared" ref="P3:P6" si="2">AVERAGE(B3:M3)</f>
        <v>#DIV/0!</v>
      </c>
      <c r="Q3" s="50"/>
      <c r="R3" s="50"/>
      <c r="S3" s="50"/>
      <c r="T3" s="50"/>
      <c r="U3" s="50"/>
    </row>
    <row r="4" ht="18.75" customHeight="1">
      <c r="A4" s="55" t="s">
        <v>51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8"/>
      <c r="N4" s="52"/>
      <c r="O4" s="53" t="s">
        <v>51</v>
      </c>
      <c r="P4" s="57" t="str">
        <f t="shared" si="2"/>
        <v>#DIV/0!</v>
      </c>
      <c r="Q4" s="50"/>
      <c r="R4" s="50"/>
      <c r="S4" s="50"/>
      <c r="T4" s="50"/>
      <c r="U4" s="50"/>
    </row>
    <row r="5" ht="18.75" customHeight="1">
      <c r="A5" s="59" t="s">
        <v>52</v>
      </c>
      <c r="B5" s="60" t="str">
        <f t="shared" ref="B5:M5" si="3">IFERROR(B4/B3,"")</f>
        <v/>
      </c>
      <c r="C5" s="60" t="str">
        <f t="shared" si="3"/>
        <v/>
      </c>
      <c r="D5" s="60" t="str">
        <f t="shared" si="3"/>
        <v/>
      </c>
      <c r="E5" s="60" t="str">
        <f t="shared" si="3"/>
        <v/>
      </c>
      <c r="F5" s="60" t="str">
        <f t="shared" si="3"/>
        <v/>
      </c>
      <c r="G5" s="60" t="str">
        <f t="shared" si="3"/>
        <v/>
      </c>
      <c r="H5" s="60" t="str">
        <f t="shared" si="3"/>
        <v/>
      </c>
      <c r="I5" s="60" t="str">
        <f t="shared" si="3"/>
        <v/>
      </c>
      <c r="J5" s="60" t="str">
        <f t="shared" si="3"/>
        <v/>
      </c>
      <c r="K5" s="60" t="str">
        <f t="shared" si="3"/>
        <v/>
      </c>
      <c r="L5" s="60" t="str">
        <f t="shared" si="3"/>
        <v/>
      </c>
      <c r="M5" s="60" t="str">
        <f t="shared" si="3"/>
        <v/>
      </c>
      <c r="N5" s="61"/>
      <c r="O5" s="62" t="s">
        <v>53</v>
      </c>
      <c r="P5" s="63" t="str">
        <f t="shared" si="2"/>
        <v>#DIV/0!</v>
      </c>
      <c r="Q5" s="50"/>
      <c r="R5" s="50"/>
      <c r="S5" s="50"/>
      <c r="T5" s="50"/>
      <c r="U5" s="50"/>
    </row>
    <row r="6" ht="18.75" customHeight="1">
      <c r="A6" s="55" t="s">
        <v>54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8"/>
      <c r="N6" s="52"/>
      <c r="O6" s="53" t="s">
        <v>55</v>
      </c>
      <c r="P6" s="57" t="str">
        <f t="shared" si="2"/>
        <v>#DIV/0!</v>
      </c>
      <c r="Q6" s="50"/>
      <c r="R6" s="50"/>
      <c r="S6" s="50"/>
      <c r="T6" s="50"/>
      <c r="U6" s="50"/>
    </row>
    <row r="7" ht="18.75" customHeight="1">
      <c r="A7" s="59" t="s">
        <v>56</v>
      </c>
      <c r="B7" s="64" t="str">
        <f t="shared" ref="B7:M7" si="4">IFERROR((B6/B3)*1,"")</f>
        <v/>
      </c>
      <c r="C7" s="64" t="str">
        <f t="shared" si="4"/>
        <v/>
      </c>
      <c r="D7" s="64" t="str">
        <f t="shared" si="4"/>
        <v/>
      </c>
      <c r="E7" s="64" t="str">
        <f t="shared" si="4"/>
        <v/>
      </c>
      <c r="F7" s="64" t="str">
        <f t="shared" si="4"/>
        <v/>
      </c>
      <c r="G7" s="64" t="str">
        <f t="shared" si="4"/>
        <v/>
      </c>
      <c r="H7" s="64" t="str">
        <f t="shared" si="4"/>
        <v/>
      </c>
      <c r="I7" s="64" t="str">
        <f t="shared" si="4"/>
        <v/>
      </c>
      <c r="J7" s="64" t="str">
        <f t="shared" si="4"/>
        <v/>
      </c>
      <c r="K7" s="64" t="str">
        <f t="shared" si="4"/>
        <v/>
      </c>
      <c r="L7" s="64" t="str">
        <f t="shared" si="4"/>
        <v/>
      </c>
      <c r="M7" s="64" t="str">
        <f t="shared" si="4"/>
        <v/>
      </c>
      <c r="N7" s="61"/>
      <c r="O7" s="62" t="s">
        <v>56</v>
      </c>
      <c r="P7" s="65" t="str">
        <f>AVERAGE(B7:J7)</f>
        <v>#DIV/0!</v>
      </c>
      <c r="Q7" s="50"/>
      <c r="R7" s="50"/>
      <c r="S7" s="50"/>
      <c r="T7" s="50"/>
      <c r="U7" s="50"/>
    </row>
    <row r="8" ht="18.75" customHeight="1">
      <c r="A8" s="59" t="s">
        <v>57</v>
      </c>
      <c r="B8" s="66">
        <f t="shared" ref="B8:M8" si="5">IFERROR(B3-B6,"")</f>
        <v>0</v>
      </c>
      <c r="C8" s="66">
        <f t="shared" si="5"/>
        <v>0</v>
      </c>
      <c r="D8" s="66">
        <f t="shared" si="5"/>
        <v>0</v>
      </c>
      <c r="E8" s="66">
        <f t="shared" si="5"/>
        <v>0</v>
      </c>
      <c r="F8" s="66">
        <f t="shared" si="5"/>
        <v>0</v>
      </c>
      <c r="G8" s="66">
        <f t="shared" si="5"/>
        <v>0</v>
      </c>
      <c r="H8" s="66">
        <f t="shared" si="5"/>
        <v>0</v>
      </c>
      <c r="I8" s="66">
        <f t="shared" si="5"/>
        <v>0</v>
      </c>
      <c r="J8" s="66">
        <f t="shared" si="5"/>
        <v>0</v>
      </c>
      <c r="K8" s="67">
        <f t="shared" si="5"/>
        <v>0</v>
      </c>
      <c r="L8" s="67">
        <f t="shared" si="5"/>
        <v>0</v>
      </c>
      <c r="M8" s="67">
        <f t="shared" si="5"/>
        <v>0</v>
      </c>
      <c r="N8" s="61"/>
      <c r="O8" s="62" t="s">
        <v>58</v>
      </c>
      <c r="P8" s="57">
        <f t="shared" ref="P8:P23" si="7">AVERAGE(B8:M8)</f>
        <v>0</v>
      </c>
      <c r="Q8" s="50"/>
      <c r="R8" s="50"/>
      <c r="S8" s="50"/>
      <c r="T8" s="50"/>
      <c r="U8" s="50"/>
    </row>
    <row r="9" ht="18.75" customHeight="1">
      <c r="A9" s="59" t="s">
        <v>59</v>
      </c>
      <c r="B9" s="64" t="str">
        <f t="shared" ref="B9:M9" si="6">IFERROR((B8/B3)*1,"")</f>
        <v/>
      </c>
      <c r="C9" s="64" t="str">
        <f t="shared" si="6"/>
        <v/>
      </c>
      <c r="D9" s="64" t="str">
        <f t="shared" si="6"/>
        <v/>
      </c>
      <c r="E9" s="64" t="str">
        <f t="shared" si="6"/>
        <v/>
      </c>
      <c r="F9" s="64" t="str">
        <f t="shared" si="6"/>
        <v/>
      </c>
      <c r="G9" s="64" t="str">
        <f t="shared" si="6"/>
        <v/>
      </c>
      <c r="H9" s="64" t="str">
        <f t="shared" si="6"/>
        <v/>
      </c>
      <c r="I9" s="64" t="str">
        <f t="shared" si="6"/>
        <v/>
      </c>
      <c r="J9" s="64" t="str">
        <f t="shared" si="6"/>
        <v/>
      </c>
      <c r="K9" s="64" t="str">
        <f t="shared" si="6"/>
        <v/>
      </c>
      <c r="L9" s="64" t="str">
        <f t="shared" si="6"/>
        <v/>
      </c>
      <c r="M9" s="64" t="str">
        <f t="shared" si="6"/>
        <v/>
      </c>
      <c r="N9" s="61"/>
      <c r="O9" s="62" t="s">
        <v>59</v>
      </c>
      <c r="P9" s="65" t="str">
        <f t="shared" si="7"/>
        <v>#DIV/0!</v>
      </c>
      <c r="Q9" s="50"/>
      <c r="R9" s="50"/>
      <c r="S9" s="50"/>
      <c r="T9" s="50"/>
      <c r="U9" s="50"/>
    </row>
    <row r="10" ht="18.75" customHeight="1">
      <c r="A10" s="55" t="s">
        <v>60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68"/>
      <c r="N10" s="61"/>
      <c r="O10" s="62" t="s">
        <v>61</v>
      </c>
      <c r="P10" s="69" t="str">
        <f t="shared" si="7"/>
        <v>#DIV/0!</v>
      </c>
      <c r="Q10" s="50"/>
      <c r="R10" s="50"/>
      <c r="S10" s="50"/>
      <c r="T10" s="50"/>
      <c r="U10" s="50"/>
    </row>
    <row r="11" ht="18.75" customHeight="1">
      <c r="A11" s="59" t="s">
        <v>62</v>
      </c>
      <c r="B11" s="70"/>
      <c r="C11" s="64" t="str">
        <f t="shared" ref="C11:J11" si="8">(C10-B10)/B10*1</f>
        <v>#DIV/0!</v>
      </c>
      <c r="D11" s="64" t="str">
        <f t="shared" si="8"/>
        <v>#DIV/0!</v>
      </c>
      <c r="E11" s="64" t="str">
        <f t="shared" si="8"/>
        <v>#DIV/0!</v>
      </c>
      <c r="F11" s="64" t="str">
        <f t="shared" si="8"/>
        <v>#DIV/0!</v>
      </c>
      <c r="G11" s="64" t="str">
        <f t="shared" si="8"/>
        <v>#DIV/0!</v>
      </c>
      <c r="H11" s="64" t="str">
        <f t="shared" si="8"/>
        <v>#DIV/0!</v>
      </c>
      <c r="I11" s="64" t="str">
        <f t="shared" si="8"/>
        <v>#DIV/0!</v>
      </c>
      <c r="J11" s="64" t="str">
        <f t="shared" si="8"/>
        <v>#DIV/0!</v>
      </c>
      <c r="K11" s="64"/>
      <c r="L11" s="64"/>
      <c r="M11" s="65"/>
      <c r="N11" s="61"/>
      <c r="O11" s="62" t="s">
        <v>62</v>
      </c>
      <c r="P11" s="65" t="str">
        <f t="shared" si="7"/>
        <v>#DIV/0!</v>
      </c>
      <c r="Q11" s="50"/>
      <c r="R11" s="50"/>
      <c r="S11" s="50"/>
      <c r="T11" s="50"/>
      <c r="U11" s="50"/>
    </row>
    <row r="12" ht="18.75" customHeight="1">
      <c r="A12" s="55" t="s">
        <v>63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2"/>
      <c r="N12" s="61"/>
      <c r="O12" s="62" t="s">
        <v>64</v>
      </c>
      <c r="P12" s="73" t="str">
        <f t="shared" si="7"/>
        <v>#DIV/0!</v>
      </c>
      <c r="Q12" s="50"/>
      <c r="R12" s="50"/>
      <c r="S12" s="50"/>
      <c r="T12" s="50"/>
      <c r="U12" s="50"/>
    </row>
    <row r="13" ht="18.75" customHeight="1">
      <c r="A13" s="55" t="s">
        <v>65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2"/>
      <c r="N13" s="61"/>
      <c r="O13" s="62" t="s">
        <v>66</v>
      </c>
      <c r="P13" s="73" t="str">
        <f t="shared" si="7"/>
        <v>#DIV/0!</v>
      </c>
      <c r="Q13" s="50"/>
      <c r="R13" s="50"/>
      <c r="S13" s="50"/>
      <c r="T13" s="50"/>
      <c r="U13" s="50"/>
    </row>
    <row r="14" ht="18.75" customHeight="1">
      <c r="A14" s="59" t="s">
        <v>67</v>
      </c>
      <c r="B14" s="66" t="str">
        <f t="shared" ref="B14:M14" si="9">IFERROR(B10/B12,"")</f>
        <v/>
      </c>
      <c r="C14" s="66" t="str">
        <f t="shared" si="9"/>
        <v/>
      </c>
      <c r="D14" s="66" t="str">
        <f t="shared" si="9"/>
        <v/>
      </c>
      <c r="E14" s="66" t="str">
        <f t="shared" si="9"/>
        <v/>
      </c>
      <c r="F14" s="66" t="str">
        <f t="shared" si="9"/>
        <v/>
      </c>
      <c r="G14" s="66" t="str">
        <f t="shared" si="9"/>
        <v/>
      </c>
      <c r="H14" s="66" t="str">
        <f t="shared" si="9"/>
        <v/>
      </c>
      <c r="I14" s="66" t="str">
        <f t="shared" si="9"/>
        <v/>
      </c>
      <c r="J14" s="66" t="str">
        <f t="shared" si="9"/>
        <v/>
      </c>
      <c r="K14" s="66" t="str">
        <f t="shared" si="9"/>
        <v/>
      </c>
      <c r="L14" s="66" t="str">
        <f t="shared" si="9"/>
        <v/>
      </c>
      <c r="M14" s="66" t="str">
        <f t="shared" si="9"/>
        <v/>
      </c>
      <c r="N14" s="61"/>
      <c r="O14" s="62" t="s">
        <v>67</v>
      </c>
      <c r="P14" s="69" t="str">
        <f t="shared" si="7"/>
        <v>#DIV/0!</v>
      </c>
      <c r="Q14" s="50"/>
      <c r="R14" s="50"/>
      <c r="S14" s="50"/>
      <c r="T14" s="50"/>
      <c r="U14" s="50"/>
    </row>
    <row r="15" ht="18.75" customHeight="1">
      <c r="A15" s="59" t="s">
        <v>68</v>
      </c>
      <c r="B15" s="66" t="str">
        <f t="shared" ref="B15:M15" si="10">IFERROR(B10/B13,"")</f>
        <v/>
      </c>
      <c r="C15" s="66" t="str">
        <f t="shared" si="10"/>
        <v/>
      </c>
      <c r="D15" s="66" t="str">
        <f t="shared" si="10"/>
        <v/>
      </c>
      <c r="E15" s="66" t="str">
        <f t="shared" si="10"/>
        <v/>
      </c>
      <c r="F15" s="66" t="str">
        <f t="shared" si="10"/>
        <v/>
      </c>
      <c r="G15" s="66" t="str">
        <f t="shared" si="10"/>
        <v/>
      </c>
      <c r="H15" s="66" t="str">
        <f t="shared" si="10"/>
        <v/>
      </c>
      <c r="I15" s="66" t="str">
        <f t="shared" si="10"/>
        <v/>
      </c>
      <c r="J15" s="66" t="str">
        <f t="shared" si="10"/>
        <v/>
      </c>
      <c r="K15" s="66" t="str">
        <f t="shared" si="10"/>
        <v/>
      </c>
      <c r="L15" s="66" t="str">
        <f t="shared" si="10"/>
        <v/>
      </c>
      <c r="M15" s="66" t="str">
        <f t="shared" si="10"/>
        <v/>
      </c>
      <c r="N15" s="61"/>
      <c r="O15" s="62" t="s">
        <v>69</v>
      </c>
      <c r="P15" s="69" t="str">
        <f t="shared" si="7"/>
        <v>#DIV/0!</v>
      </c>
      <c r="Q15" s="50"/>
      <c r="R15" s="50"/>
      <c r="S15" s="50"/>
      <c r="T15" s="50"/>
      <c r="U15" s="50"/>
    </row>
    <row r="16" ht="18.75" customHeight="1">
      <c r="A16" s="55" t="s">
        <v>70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61"/>
      <c r="O16" s="62" t="s">
        <v>71</v>
      </c>
      <c r="P16" s="73" t="str">
        <f t="shared" si="7"/>
        <v>#DIV/0!</v>
      </c>
      <c r="Q16" s="50"/>
      <c r="R16" s="50"/>
      <c r="S16" s="50"/>
      <c r="T16" s="50"/>
      <c r="U16" s="50"/>
    </row>
    <row r="17" ht="18.75" customHeight="1">
      <c r="A17" s="59" t="s">
        <v>72</v>
      </c>
      <c r="B17" s="66" t="str">
        <f t="shared" ref="B17:M17" si="11">IFERROR(B3/B16,"")</f>
        <v/>
      </c>
      <c r="C17" s="66" t="str">
        <f t="shared" si="11"/>
        <v/>
      </c>
      <c r="D17" s="66" t="str">
        <f t="shared" si="11"/>
        <v/>
      </c>
      <c r="E17" s="66" t="str">
        <f t="shared" si="11"/>
        <v/>
      </c>
      <c r="F17" s="66" t="str">
        <f t="shared" si="11"/>
        <v/>
      </c>
      <c r="G17" s="66" t="str">
        <f t="shared" si="11"/>
        <v/>
      </c>
      <c r="H17" s="66" t="str">
        <f t="shared" si="11"/>
        <v/>
      </c>
      <c r="I17" s="66" t="str">
        <f t="shared" si="11"/>
        <v/>
      </c>
      <c r="J17" s="66" t="str">
        <f t="shared" si="11"/>
        <v/>
      </c>
      <c r="K17" s="66" t="str">
        <f t="shared" si="11"/>
        <v/>
      </c>
      <c r="L17" s="66" t="str">
        <f t="shared" si="11"/>
        <v/>
      </c>
      <c r="M17" s="66" t="str">
        <f t="shared" si="11"/>
        <v/>
      </c>
      <c r="N17" s="61"/>
      <c r="O17" s="62" t="s">
        <v>72</v>
      </c>
      <c r="P17" s="69" t="str">
        <f t="shared" si="7"/>
        <v>#DIV/0!</v>
      </c>
      <c r="Q17" s="50"/>
      <c r="R17" s="50"/>
      <c r="S17" s="50"/>
      <c r="T17" s="50"/>
      <c r="U17" s="50"/>
    </row>
    <row r="18" ht="18.75" customHeight="1">
      <c r="A18" s="59" t="s">
        <v>73</v>
      </c>
      <c r="B18" s="60" t="str">
        <f t="shared" ref="B18:M18" si="12">IFERROR(B16/B12,"")</f>
        <v/>
      </c>
      <c r="C18" s="60" t="str">
        <f t="shared" si="12"/>
        <v/>
      </c>
      <c r="D18" s="60" t="str">
        <f t="shared" si="12"/>
        <v/>
      </c>
      <c r="E18" s="60" t="str">
        <f t="shared" si="12"/>
        <v/>
      </c>
      <c r="F18" s="60" t="str">
        <f t="shared" si="12"/>
        <v/>
      </c>
      <c r="G18" s="60" t="str">
        <f t="shared" si="12"/>
        <v/>
      </c>
      <c r="H18" s="60" t="str">
        <f t="shared" si="12"/>
        <v/>
      </c>
      <c r="I18" s="60" t="str">
        <f t="shared" si="12"/>
        <v/>
      </c>
      <c r="J18" s="60" t="str">
        <f t="shared" si="12"/>
        <v/>
      </c>
      <c r="K18" s="60" t="str">
        <f t="shared" si="12"/>
        <v/>
      </c>
      <c r="L18" s="60" t="str">
        <f t="shared" si="12"/>
        <v/>
      </c>
      <c r="M18" s="60" t="str">
        <f t="shared" si="12"/>
        <v/>
      </c>
      <c r="N18" s="61"/>
      <c r="O18" s="62" t="s">
        <v>73</v>
      </c>
      <c r="P18" s="63" t="str">
        <f t="shared" si="7"/>
        <v>#DIV/0!</v>
      </c>
      <c r="Q18" s="50"/>
      <c r="R18" s="50"/>
      <c r="S18" s="50"/>
      <c r="T18" s="50"/>
      <c r="U18" s="50"/>
    </row>
    <row r="19" ht="18.75" customHeight="1">
      <c r="A19" s="59" t="s">
        <v>74</v>
      </c>
      <c r="B19" s="74" t="str">
        <f t="shared" ref="B19:M19" si="13">IFERROR(B3/B10,"")</f>
        <v/>
      </c>
      <c r="C19" s="74" t="str">
        <f t="shared" si="13"/>
        <v/>
      </c>
      <c r="D19" s="74" t="str">
        <f t="shared" si="13"/>
        <v/>
      </c>
      <c r="E19" s="74" t="str">
        <f t="shared" si="13"/>
        <v/>
      </c>
      <c r="F19" s="74" t="str">
        <f t="shared" si="13"/>
        <v/>
      </c>
      <c r="G19" s="74" t="str">
        <f t="shared" si="13"/>
        <v/>
      </c>
      <c r="H19" s="74" t="str">
        <f t="shared" si="13"/>
        <v/>
      </c>
      <c r="I19" s="74" t="str">
        <f t="shared" si="13"/>
        <v/>
      </c>
      <c r="J19" s="74" t="str">
        <f t="shared" si="13"/>
        <v/>
      </c>
      <c r="K19" s="74" t="str">
        <f t="shared" si="13"/>
        <v/>
      </c>
      <c r="L19" s="74" t="str">
        <f t="shared" si="13"/>
        <v/>
      </c>
      <c r="M19" s="74" t="str">
        <f t="shared" si="13"/>
        <v/>
      </c>
      <c r="N19" s="61"/>
      <c r="O19" s="62" t="s">
        <v>74</v>
      </c>
      <c r="P19" s="75" t="str">
        <f t="shared" si="7"/>
        <v>#DIV/0!</v>
      </c>
      <c r="Q19" s="50"/>
      <c r="R19" s="50"/>
      <c r="S19" s="50"/>
      <c r="T19" s="50"/>
      <c r="U19" s="50"/>
    </row>
    <row r="20" ht="18.75" customHeight="1">
      <c r="A20" s="59" t="s">
        <v>75</v>
      </c>
      <c r="B20" s="74"/>
      <c r="C20" s="64" t="str">
        <f t="shared" ref="C20:J20" si="14">(C19/B19)-1</f>
        <v>#DIV/0!</v>
      </c>
      <c r="D20" s="64" t="str">
        <f t="shared" si="14"/>
        <v>#DIV/0!</v>
      </c>
      <c r="E20" s="64" t="str">
        <f t="shared" si="14"/>
        <v>#DIV/0!</v>
      </c>
      <c r="F20" s="64" t="str">
        <f t="shared" si="14"/>
        <v>#DIV/0!</v>
      </c>
      <c r="G20" s="64" t="str">
        <f t="shared" si="14"/>
        <v>#DIV/0!</v>
      </c>
      <c r="H20" s="64" t="str">
        <f t="shared" si="14"/>
        <v>#DIV/0!</v>
      </c>
      <c r="I20" s="64" t="str">
        <f t="shared" si="14"/>
        <v>#DIV/0!</v>
      </c>
      <c r="J20" s="64" t="str">
        <f t="shared" si="14"/>
        <v>#DIV/0!</v>
      </c>
      <c r="K20" s="64"/>
      <c r="L20" s="64"/>
      <c r="M20" s="65"/>
      <c r="N20" s="61"/>
      <c r="O20" s="62" t="s">
        <v>75</v>
      </c>
      <c r="P20" s="75" t="str">
        <f t="shared" si="7"/>
        <v>#DIV/0!</v>
      </c>
      <c r="Q20" s="50"/>
      <c r="R20" s="50"/>
      <c r="S20" s="50"/>
      <c r="T20" s="50"/>
      <c r="U20" s="50"/>
    </row>
    <row r="21" ht="18.75" customHeight="1">
      <c r="A21" s="59" t="s">
        <v>76</v>
      </c>
      <c r="B21" s="74" t="str">
        <f t="shared" ref="B21:M21" si="15">IFERROR(B4/B10,"")</f>
        <v/>
      </c>
      <c r="C21" s="74" t="str">
        <f t="shared" si="15"/>
        <v/>
      </c>
      <c r="D21" s="74" t="str">
        <f t="shared" si="15"/>
        <v/>
      </c>
      <c r="E21" s="74" t="str">
        <f t="shared" si="15"/>
        <v/>
      </c>
      <c r="F21" s="74" t="str">
        <f t="shared" si="15"/>
        <v/>
      </c>
      <c r="G21" s="74" t="str">
        <f t="shared" si="15"/>
        <v/>
      </c>
      <c r="H21" s="74" t="str">
        <f t="shared" si="15"/>
        <v/>
      </c>
      <c r="I21" s="74" t="str">
        <f t="shared" si="15"/>
        <v/>
      </c>
      <c r="J21" s="74" t="str">
        <f t="shared" si="15"/>
        <v/>
      </c>
      <c r="K21" s="74" t="str">
        <f t="shared" si="15"/>
        <v/>
      </c>
      <c r="L21" s="74" t="str">
        <f t="shared" si="15"/>
        <v/>
      </c>
      <c r="M21" s="74" t="str">
        <f t="shared" si="15"/>
        <v/>
      </c>
      <c r="N21" s="61"/>
      <c r="O21" s="62" t="s">
        <v>76</v>
      </c>
      <c r="P21" s="75" t="str">
        <f t="shared" si="7"/>
        <v>#DIV/0!</v>
      </c>
      <c r="Q21" s="50"/>
      <c r="R21" s="50"/>
      <c r="S21" s="50"/>
      <c r="T21" s="50"/>
      <c r="U21" s="50"/>
    </row>
    <row r="22" ht="18.75" customHeight="1">
      <c r="A22" s="59" t="s">
        <v>77</v>
      </c>
      <c r="B22" s="74" t="str">
        <f t="shared" ref="B22:M22" si="16">IFERROR(B6/B10,"")</f>
        <v/>
      </c>
      <c r="C22" s="74" t="str">
        <f t="shared" si="16"/>
        <v/>
      </c>
      <c r="D22" s="74" t="str">
        <f t="shared" si="16"/>
        <v/>
      </c>
      <c r="E22" s="74" t="str">
        <f t="shared" si="16"/>
        <v/>
      </c>
      <c r="F22" s="74" t="str">
        <f t="shared" si="16"/>
        <v/>
      </c>
      <c r="G22" s="74" t="str">
        <f t="shared" si="16"/>
        <v/>
      </c>
      <c r="H22" s="74" t="str">
        <f t="shared" si="16"/>
        <v/>
      </c>
      <c r="I22" s="74" t="str">
        <f t="shared" si="16"/>
        <v/>
      </c>
      <c r="J22" s="74" t="str">
        <f t="shared" si="16"/>
        <v/>
      </c>
      <c r="K22" s="74" t="str">
        <f t="shared" si="16"/>
        <v/>
      </c>
      <c r="L22" s="74" t="str">
        <f t="shared" si="16"/>
        <v/>
      </c>
      <c r="M22" s="74" t="str">
        <f t="shared" si="16"/>
        <v/>
      </c>
      <c r="N22" s="61"/>
      <c r="O22" s="62" t="s">
        <v>78</v>
      </c>
      <c r="P22" s="75" t="str">
        <f t="shared" si="7"/>
        <v>#DIV/0!</v>
      </c>
      <c r="Q22" s="50"/>
      <c r="R22" s="50"/>
      <c r="S22" s="50"/>
      <c r="T22" s="50"/>
      <c r="U22" s="50"/>
    </row>
    <row r="23" ht="18.75" customHeight="1">
      <c r="A23" s="59" t="s">
        <v>79</v>
      </c>
      <c r="B23" s="74"/>
      <c r="C23" s="64" t="str">
        <f>IFERROR((C22/B22)-1,"")</f>
        <v/>
      </c>
      <c r="D23" s="64" t="str">
        <f t="shared" ref="D23:J23" si="17">(D22/C22)-1</f>
        <v>#DIV/0!</v>
      </c>
      <c r="E23" s="64" t="str">
        <f t="shared" si="17"/>
        <v>#DIV/0!</v>
      </c>
      <c r="F23" s="64" t="str">
        <f t="shared" si="17"/>
        <v>#DIV/0!</v>
      </c>
      <c r="G23" s="64" t="str">
        <f t="shared" si="17"/>
        <v>#DIV/0!</v>
      </c>
      <c r="H23" s="64" t="str">
        <f t="shared" si="17"/>
        <v>#DIV/0!</v>
      </c>
      <c r="I23" s="64" t="str">
        <f t="shared" si="17"/>
        <v>#DIV/0!</v>
      </c>
      <c r="J23" s="64" t="str">
        <f t="shared" si="17"/>
        <v>#DIV/0!</v>
      </c>
      <c r="K23" s="64"/>
      <c r="L23" s="64"/>
      <c r="M23" s="65"/>
      <c r="N23" s="61"/>
      <c r="O23" s="62" t="s">
        <v>79</v>
      </c>
      <c r="P23" s="75" t="str">
        <f t="shared" si="7"/>
        <v>#DIV/0!</v>
      </c>
      <c r="Q23" s="50"/>
      <c r="R23" s="50"/>
      <c r="S23" s="50"/>
      <c r="T23" s="50"/>
      <c r="U23" s="50"/>
    </row>
    <row r="24" ht="12.75" customHeight="1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79"/>
      <c r="P24" s="79"/>
      <c r="Q24" s="50"/>
      <c r="R24" s="50"/>
      <c r="S24" s="50"/>
      <c r="T24" s="50"/>
      <c r="U24" s="50"/>
    </row>
    <row r="25" ht="12.75" customHeight="1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79"/>
      <c r="P25" s="79"/>
      <c r="Q25" s="50"/>
      <c r="R25" s="50"/>
      <c r="S25" s="50"/>
      <c r="T25" s="50"/>
      <c r="U25" s="50"/>
    </row>
    <row r="26" ht="10.5" customHeight="1">
      <c r="A26" s="77"/>
      <c r="B26" s="77"/>
      <c r="C26" s="77"/>
      <c r="D26" s="77"/>
      <c r="E26" s="77"/>
      <c r="F26" s="77"/>
      <c r="G26" s="77"/>
      <c r="H26" s="77"/>
      <c r="I26" s="77"/>
      <c r="J26" s="50"/>
      <c r="K26" s="50"/>
      <c r="L26" s="50"/>
      <c r="M26" s="50"/>
      <c r="N26" s="78"/>
      <c r="O26" s="78"/>
      <c r="P26" s="80"/>
      <c r="Q26" s="50"/>
      <c r="R26" s="50"/>
      <c r="S26" s="50"/>
      <c r="T26" s="50"/>
      <c r="U26" s="50"/>
    </row>
    <row r="27" ht="22.5" customHeight="1">
      <c r="A27" s="81" t="s">
        <v>80</v>
      </c>
      <c r="B27" s="47" t="s">
        <v>37</v>
      </c>
      <c r="C27" s="47" t="s">
        <v>38</v>
      </c>
      <c r="D27" s="47" t="s">
        <v>39</v>
      </c>
      <c r="E27" s="47" t="s">
        <v>40</v>
      </c>
      <c r="F27" s="47" t="s">
        <v>41</v>
      </c>
      <c r="G27" s="47" t="s">
        <v>42</v>
      </c>
      <c r="H27" s="47" t="s">
        <v>43</v>
      </c>
      <c r="I27" s="47" t="s">
        <v>44</v>
      </c>
      <c r="J27" s="47" t="s">
        <v>45</v>
      </c>
      <c r="K27" s="47" t="s">
        <v>46</v>
      </c>
      <c r="L27" s="47" t="s">
        <v>47</v>
      </c>
      <c r="M27" s="47" t="s">
        <v>48</v>
      </c>
      <c r="N27" s="50"/>
      <c r="O27" s="82" t="s">
        <v>33</v>
      </c>
      <c r="P27" s="80"/>
      <c r="Q27" s="50"/>
      <c r="R27" s="50"/>
      <c r="S27" s="50"/>
      <c r="T27" s="50"/>
      <c r="U27" s="50"/>
    </row>
    <row r="28" ht="18.75" customHeight="1">
      <c r="A28" s="83" t="s">
        <v>81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50"/>
      <c r="O28" s="85">
        <f t="shared" ref="O28:O42" si="18">SUM(B28:M28)</f>
        <v>0</v>
      </c>
      <c r="P28" s="86" t="str">
        <f t="shared" ref="P28:P41" si="19">O28/$O$42</f>
        <v>#DIV/0!</v>
      </c>
      <c r="Q28" s="50"/>
      <c r="R28" s="50"/>
      <c r="S28" s="50"/>
      <c r="T28" s="50"/>
      <c r="U28" s="50"/>
    </row>
    <row r="29" ht="18.75" customHeight="1">
      <c r="A29" s="83" t="s">
        <v>82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50"/>
      <c r="O29" s="85">
        <f t="shared" si="18"/>
        <v>0</v>
      </c>
      <c r="P29" s="86" t="str">
        <f t="shared" si="19"/>
        <v>#DIV/0!</v>
      </c>
      <c r="Q29" s="50"/>
      <c r="R29" s="50"/>
      <c r="S29" s="50"/>
      <c r="T29" s="50"/>
      <c r="U29" s="50"/>
    </row>
    <row r="30" ht="18.75" customHeight="1">
      <c r="A30" s="83" t="s">
        <v>83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50"/>
      <c r="O30" s="85">
        <f t="shared" si="18"/>
        <v>0</v>
      </c>
      <c r="P30" s="86" t="str">
        <f t="shared" si="19"/>
        <v>#DIV/0!</v>
      </c>
      <c r="Q30" s="50"/>
      <c r="R30" s="50"/>
      <c r="S30" s="50"/>
      <c r="T30" s="50"/>
      <c r="U30" s="50"/>
    </row>
    <row r="31" ht="18.75" customHeight="1">
      <c r="A31" s="83" t="s">
        <v>84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50"/>
      <c r="O31" s="85">
        <f t="shared" si="18"/>
        <v>0</v>
      </c>
      <c r="P31" s="86" t="str">
        <f t="shared" si="19"/>
        <v>#DIV/0!</v>
      </c>
      <c r="Q31" s="50"/>
      <c r="R31" s="50"/>
      <c r="S31" s="50"/>
      <c r="T31" s="50"/>
      <c r="U31" s="50"/>
    </row>
    <row r="32" ht="18.75" customHeight="1">
      <c r="A32" s="83" t="s">
        <v>85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50"/>
      <c r="O32" s="85">
        <f t="shared" si="18"/>
        <v>0</v>
      </c>
      <c r="P32" s="86" t="str">
        <f t="shared" si="19"/>
        <v>#DIV/0!</v>
      </c>
      <c r="Q32" s="50"/>
      <c r="R32" s="50"/>
      <c r="S32" s="50"/>
      <c r="T32" s="50"/>
      <c r="U32" s="50"/>
    </row>
    <row r="33" ht="18.75" customHeight="1">
      <c r="A33" s="83" t="s">
        <v>86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50"/>
      <c r="O33" s="85">
        <f t="shared" si="18"/>
        <v>0</v>
      </c>
      <c r="P33" s="86" t="str">
        <f t="shared" si="19"/>
        <v>#DIV/0!</v>
      </c>
      <c r="Q33" s="50"/>
      <c r="R33" s="50"/>
      <c r="S33" s="50"/>
      <c r="T33" s="50"/>
      <c r="U33" s="50"/>
    </row>
    <row r="34" ht="18.75" customHeight="1">
      <c r="A34" s="83" t="s">
        <v>87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50"/>
      <c r="O34" s="85">
        <f t="shared" si="18"/>
        <v>0</v>
      </c>
      <c r="P34" s="86" t="str">
        <f t="shared" si="19"/>
        <v>#DIV/0!</v>
      </c>
      <c r="Q34" s="50"/>
      <c r="R34" s="50"/>
      <c r="S34" s="50"/>
      <c r="T34" s="50"/>
      <c r="U34" s="50"/>
    </row>
    <row r="35" ht="18.75" customHeight="1">
      <c r="A35" s="83" t="s">
        <v>88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50"/>
      <c r="O35" s="85">
        <f t="shared" si="18"/>
        <v>0</v>
      </c>
      <c r="P35" s="86" t="str">
        <f t="shared" si="19"/>
        <v>#DIV/0!</v>
      </c>
      <c r="Q35" s="50"/>
      <c r="R35" s="50"/>
      <c r="S35" s="50"/>
      <c r="T35" s="50"/>
      <c r="U35" s="50"/>
    </row>
    <row r="36" ht="18.75" customHeight="1">
      <c r="A36" s="83" t="s">
        <v>89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50"/>
      <c r="O36" s="85">
        <f t="shared" si="18"/>
        <v>0</v>
      </c>
      <c r="P36" s="86" t="str">
        <f t="shared" si="19"/>
        <v>#DIV/0!</v>
      </c>
      <c r="Q36" s="50"/>
      <c r="R36" s="50"/>
      <c r="S36" s="50"/>
      <c r="T36" s="50"/>
      <c r="U36" s="50"/>
    </row>
    <row r="37" ht="18.75" customHeight="1">
      <c r="A37" s="83" t="s">
        <v>90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50"/>
      <c r="O37" s="85">
        <f t="shared" si="18"/>
        <v>0</v>
      </c>
      <c r="P37" s="86" t="str">
        <f t="shared" si="19"/>
        <v>#DIV/0!</v>
      </c>
      <c r="Q37" s="50"/>
      <c r="R37" s="50"/>
      <c r="S37" s="50"/>
      <c r="T37" s="50"/>
      <c r="U37" s="50"/>
    </row>
    <row r="38" ht="18.75" customHeight="1">
      <c r="A38" s="83" t="s">
        <v>91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50"/>
      <c r="O38" s="85">
        <f t="shared" si="18"/>
        <v>0</v>
      </c>
      <c r="P38" s="86" t="str">
        <f t="shared" si="19"/>
        <v>#DIV/0!</v>
      </c>
      <c r="Q38" s="50"/>
      <c r="R38" s="50"/>
      <c r="S38" s="50"/>
      <c r="T38" s="50"/>
      <c r="U38" s="50"/>
    </row>
    <row r="39" ht="18.75" customHeight="1">
      <c r="A39" s="83" t="s">
        <v>92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50"/>
      <c r="O39" s="85">
        <f t="shared" si="18"/>
        <v>0</v>
      </c>
      <c r="P39" s="86" t="str">
        <f t="shared" si="19"/>
        <v>#DIV/0!</v>
      </c>
      <c r="Q39" s="50"/>
      <c r="R39" s="50"/>
      <c r="S39" s="50"/>
      <c r="T39" s="50"/>
      <c r="U39" s="50"/>
    </row>
    <row r="40" ht="18.75" customHeight="1">
      <c r="A40" s="83" t="s">
        <v>93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50"/>
      <c r="O40" s="85">
        <f t="shared" si="18"/>
        <v>0</v>
      </c>
      <c r="P40" s="86" t="str">
        <f t="shared" si="19"/>
        <v>#DIV/0!</v>
      </c>
      <c r="Q40" s="50"/>
      <c r="R40" s="50"/>
      <c r="S40" s="50"/>
      <c r="T40" s="50"/>
      <c r="U40" s="50"/>
    </row>
    <row r="41" ht="18.75" customHeight="1">
      <c r="A41" s="83" t="s">
        <v>94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50"/>
      <c r="O41" s="85">
        <f t="shared" si="18"/>
        <v>0</v>
      </c>
      <c r="P41" s="86" t="str">
        <f t="shared" si="19"/>
        <v>#DIV/0!</v>
      </c>
      <c r="Q41" s="50"/>
      <c r="R41" s="50"/>
      <c r="S41" s="50"/>
      <c r="T41" s="50"/>
      <c r="U41" s="50"/>
    </row>
    <row r="42" ht="18.75" customHeight="1">
      <c r="A42" s="87" t="s">
        <v>95</v>
      </c>
      <c r="B42" s="88">
        <f t="shared" ref="B42:M42" si="20">IFERROR(SUM(B28:B41),"")</f>
        <v>0</v>
      </c>
      <c r="C42" s="88">
        <f t="shared" si="20"/>
        <v>0</v>
      </c>
      <c r="D42" s="88">
        <f t="shared" si="20"/>
        <v>0</v>
      </c>
      <c r="E42" s="88">
        <f t="shared" si="20"/>
        <v>0</v>
      </c>
      <c r="F42" s="88">
        <f t="shared" si="20"/>
        <v>0</v>
      </c>
      <c r="G42" s="88">
        <f t="shared" si="20"/>
        <v>0</v>
      </c>
      <c r="H42" s="88">
        <f t="shared" si="20"/>
        <v>0</v>
      </c>
      <c r="I42" s="88">
        <f t="shared" si="20"/>
        <v>0</v>
      </c>
      <c r="J42" s="88">
        <f t="shared" si="20"/>
        <v>0</v>
      </c>
      <c r="K42" s="88">
        <f t="shared" si="20"/>
        <v>0</v>
      </c>
      <c r="L42" s="88">
        <f t="shared" si="20"/>
        <v>0</v>
      </c>
      <c r="M42" s="88">
        <f t="shared" si="20"/>
        <v>0</v>
      </c>
      <c r="N42" s="50"/>
      <c r="O42" s="89">
        <f t="shared" si="18"/>
        <v>0</v>
      </c>
      <c r="P42" s="50"/>
      <c r="Q42" s="50"/>
      <c r="R42" s="50"/>
      <c r="S42" s="50"/>
      <c r="T42" s="50"/>
      <c r="U42" s="50"/>
    </row>
    <row r="43" ht="18.75" customHeight="1">
      <c r="A43" s="87" t="s">
        <v>96</v>
      </c>
      <c r="B43" s="54" t="str">
        <f t="shared" ref="B43:M43" si="21">IFERROR(B42/$O$42,"")</f>
        <v/>
      </c>
      <c r="C43" s="54" t="str">
        <f t="shared" si="21"/>
        <v/>
      </c>
      <c r="D43" s="54" t="str">
        <f t="shared" si="21"/>
        <v/>
      </c>
      <c r="E43" s="54" t="str">
        <f t="shared" si="21"/>
        <v/>
      </c>
      <c r="F43" s="54" t="str">
        <f t="shared" si="21"/>
        <v/>
      </c>
      <c r="G43" s="54" t="str">
        <f t="shared" si="21"/>
        <v/>
      </c>
      <c r="H43" s="54" t="str">
        <f t="shared" si="21"/>
        <v/>
      </c>
      <c r="I43" s="54" t="str">
        <f t="shared" si="21"/>
        <v/>
      </c>
      <c r="J43" s="54" t="str">
        <f t="shared" si="21"/>
        <v/>
      </c>
      <c r="K43" s="54" t="str">
        <f t="shared" si="21"/>
        <v/>
      </c>
      <c r="L43" s="54" t="str">
        <f t="shared" si="21"/>
        <v/>
      </c>
      <c r="M43" s="54" t="str">
        <f t="shared" si="21"/>
        <v/>
      </c>
      <c r="N43" s="50"/>
      <c r="O43" s="90"/>
      <c r="P43" s="50"/>
      <c r="Q43" s="50"/>
      <c r="R43" s="50"/>
      <c r="S43" s="50"/>
      <c r="T43" s="50"/>
      <c r="U43" s="50"/>
    </row>
    <row r="44" ht="12.75" customHeight="1">
      <c r="A44" s="91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50"/>
      <c r="Q44" s="50"/>
      <c r="R44" s="50"/>
      <c r="S44" s="50"/>
      <c r="T44" s="50"/>
      <c r="U44" s="50"/>
    </row>
    <row r="45" ht="12.75" customHeight="1"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50"/>
      <c r="Q45" s="50"/>
      <c r="R45" s="50"/>
      <c r="S45" s="50"/>
      <c r="T45" s="50"/>
      <c r="U45" s="50"/>
    </row>
    <row r="46" ht="12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50"/>
      <c r="Q46" s="50"/>
      <c r="R46" s="50"/>
      <c r="S46" s="50"/>
      <c r="T46" s="50"/>
      <c r="U46" s="50"/>
    </row>
    <row r="47" ht="12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50"/>
      <c r="Q47" s="50"/>
      <c r="R47" s="50"/>
      <c r="S47" s="50"/>
      <c r="T47" s="50"/>
      <c r="U47" s="50"/>
    </row>
    <row r="48" ht="12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50"/>
      <c r="Q48" s="50"/>
      <c r="R48" s="50"/>
      <c r="S48" s="50"/>
      <c r="T48" s="50"/>
      <c r="U48" s="50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50"/>
      <c r="Q49" s="50"/>
      <c r="R49" s="50"/>
      <c r="S49" s="50"/>
      <c r="T49" s="50"/>
      <c r="U49" s="50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50"/>
      <c r="Q50" s="50"/>
      <c r="R50" s="50"/>
      <c r="S50" s="50"/>
      <c r="T50" s="50"/>
      <c r="U50" s="50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50"/>
      <c r="Q51" s="50"/>
      <c r="R51" s="50"/>
      <c r="S51" s="50"/>
      <c r="T51" s="50"/>
      <c r="U51" s="50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50"/>
      <c r="Q52" s="50"/>
      <c r="R52" s="50"/>
      <c r="S52" s="50"/>
      <c r="T52" s="50"/>
      <c r="U52" s="50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50"/>
      <c r="Q53" s="50"/>
      <c r="R53" s="50"/>
      <c r="S53" s="50"/>
      <c r="T53" s="50"/>
      <c r="U53" s="50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50"/>
      <c r="Q54" s="50"/>
      <c r="R54" s="50"/>
      <c r="S54" s="50"/>
      <c r="T54" s="50"/>
      <c r="U54" s="50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50"/>
      <c r="Q55" s="50"/>
      <c r="R55" s="50"/>
      <c r="S55" s="50"/>
      <c r="T55" s="50"/>
      <c r="U55" s="50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50"/>
      <c r="Q56" s="50"/>
      <c r="R56" s="50"/>
      <c r="S56" s="50"/>
      <c r="T56" s="50"/>
      <c r="U56" s="50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50"/>
      <c r="Q57" s="50"/>
      <c r="R57" s="50"/>
      <c r="S57" s="50"/>
      <c r="T57" s="50"/>
      <c r="U57" s="50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50"/>
      <c r="Q58" s="50"/>
      <c r="R58" s="50"/>
      <c r="S58" s="50"/>
      <c r="T58" s="50"/>
      <c r="U58" s="50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50"/>
      <c r="Q59" s="50"/>
      <c r="R59" s="50"/>
      <c r="S59" s="50"/>
      <c r="T59" s="50"/>
      <c r="U59" s="50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50"/>
      <c r="Q60" s="50"/>
      <c r="R60" s="50"/>
      <c r="S60" s="50"/>
      <c r="T60" s="50"/>
      <c r="U60" s="50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50"/>
      <c r="Q61" s="50"/>
      <c r="R61" s="50"/>
      <c r="S61" s="50"/>
      <c r="T61" s="50"/>
      <c r="U61" s="50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50"/>
      <c r="Q62" s="50"/>
      <c r="R62" s="50"/>
      <c r="S62" s="50"/>
      <c r="T62" s="50"/>
      <c r="U62" s="50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50"/>
      <c r="Q63" s="50"/>
      <c r="R63" s="50"/>
      <c r="S63" s="50"/>
      <c r="T63" s="50"/>
      <c r="U63" s="50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50"/>
      <c r="Q64" s="50"/>
      <c r="R64" s="50"/>
      <c r="S64" s="50"/>
      <c r="T64" s="50"/>
      <c r="U64" s="50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50"/>
      <c r="Q65" s="50"/>
      <c r="R65" s="50"/>
      <c r="S65" s="50"/>
      <c r="T65" s="50"/>
      <c r="U65" s="50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50"/>
      <c r="Q66" s="50"/>
      <c r="R66" s="50"/>
      <c r="S66" s="50"/>
      <c r="T66" s="50"/>
      <c r="U66" s="50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50"/>
      <c r="Q67" s="50"/>
      <c r="R67" s="50"/>
      <c r="S67" s="50"/>
      <c r="T67" s="50"/>
      <c r="U67" s="50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50"/>
      <c r="Q68" s="50"/>
      <c r="R68" s="50"/>
      <c r="S68" s="50"/>
      <c r="T68" s="50"/>
      <c r="U68" s="50"/>
    </row>
    <row r="69" ht="12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50"/>
      <c r="Q69" s="50"/>
      <c r="R69" s="50"/>
      <c r="S69" s="50"/>
      <c r="T69" s="50"/>
      <c r="U69" s="50"/>
    </row>
    <row r="70" ht="12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50"/>
      <c r="Q70" s="50"/>
      <c r="R70" s="50"/>
      <c r="S70" s="50"/>
      <c r="T70" s="50"/>
      <c r="U70" s="50"/>
    </row>
    <row r="71" ht="12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50"/>
      <c r="Q71" s="50"/>
      <c r="R71" s="50"/>
      <c r="S71" s="50"/>
      <c r="T71" s="50"/>
      <c r="U71" s="50"/>
    </row>
    <row r="72" ht="12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50"/>
      <c r="Q72" s="50"/>
      <c r="R72" s="50"/>
      <c r="S72" s="50"/>
      <c r="T72" s="50"/>
      <c r="U72" s="50"/>
    </row>
    <row r="73" ht="12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50"/>
      <c r="Q73" s="50"/>
      <c r="R73" s="50"/>
      <c r="S73" s="50"/>
      <c r="T73" s="50"/>
      <c r="U73" s="50"/>
    </row>
    <row r="74" ht="12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50"/>
      <c r="Q74" s="50"/>
      <c r="R74" s="50"/>
      <c r="S74" s="50"/>
      <c r="T74" s="50"/>
      <c r="U74" s="50"/>
    </row>
    <row r="75" ht="12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50"/>
      <c r="Q75" s="50"/>
      <c r="R75" s="50"/>
      <c r="S75" s="50"/>
      <c r="T75" s="50"/>
      <c r="U75" s="50"/>
    </row>
    <row r="76" ht="12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50"/>
      <c r="Q76" s="50"/>
      <c r="R76" s="50"/>
      <c r="S76" s="50"/>
      <c r="T76" s="50"/>
      <c r="U76" s="50"/>
    </row>
    <row r="77" ht="12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50"/>
      <c r="Q77" s="50"/>
      <c r="R77" s="50"/>
      <c r="S77" s="50"/>
      <c r="T77" s="50"/>
      <c r="U77" s="50"/>
    </row>
    <row r="78" ht="12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50"/>
      <c r="Q78" s="50"/>
      <c r="R78" s="50"/>
      <c r="S78" s="50"/>
      <c r="T78" s="50"/>
      <c r="U78" s="50"/>
    </row>
    <row r="79" ht="12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50"/>
      <c r="Q79" s="50"/>
      <c r="R79" s="50"/>
      <c r="S79" s="50"/>
      <c r="T79" s="50"/>
      <c r="U79" s="50"/>
    </row>
    <row r="80" ht="12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50"/>
      <c r="Q80" s="50"/>
      <c r="R80" s="50"/>
      <c r="S80" s="50"/>
      <c r="T80" s="50"/>
      <c r="U80" s="50"/>
    </row>
    <row r="81" ht="12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50"/>
      <c r="Q81" s="50"/>
      <c r="R81" s="50"/>
      <c r="S81" s="50"/>
      <c r="T81" s="50"/>
      <c r="U81" s="50"/>
    </row>
    <row r="82" ht="12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50"/>
      <c r="Q82" s="50"/>
      <c r="R82" s="50"/>
      <c r="S82" s="50"/>
      <c r="T82" s="50"/>
      <c r="U82" s="50"/>
    </row>
    <row r="83" ht="12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50"/>
      <c r="Q83" s="50"/>
      <c r="R83" s="50"/>
      <c r="S83" s="50"/>
      <c r="T83" s="50"/>
      <c r="U83" s="50"/>
    </row>
    <row r="84" ht="12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50"/>
      <c r="Q84" s="50"/>
      <c r="R84" s="50"/>
      <c r="S84" s="50"/>
      <c r="T84" s="50"/>
      <c r="U84" s="50"/>
    </row>
    <row r="85" ht="12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50"/>
      <c r="Q85" s="50"/>
      <c r="R85" s="50"/>
      <c r="S85" s="50"/>
      <c r="T85" s="50"/>
      <c r="U85" s="50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50"/>
      <c r="Q86" s="50"/>
      <c r="R86" s="50"/>
      <c r="S86" s="50"/>
      <c r="T86" s="50"/>
      <c r="U86" s="50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50"/>
      <c r="Q87" s="50"/>
      <c r="R87" s="50"/>
      <c r="S87" s="50"/>
      <c r="T87" s="50"/>
      <c r="U87" s="50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50"/>
      <c r="Q88" s="50"/>
      <c r="R88" s="50"/>
      <c r="S88" s="50"/>
      <c r="T88" s="50"/>
      <c r="U88" s="50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50"/>
      <c r="Q89" s="50"/>
      <c r="R89" s="50"/>
      <c r="S89" s="50"/>
      <c r="T89" s="50"/>
      <c r="U89" s="50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50"/>
      <c r="Q90" s="50"/>
      <c r="R90" s="50"/>
      <c r="S90" s="50"/>
      <c r="T90" s="50"/>
      <c r="U90" s="50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50"/>
      <c r="Q91" s="50"/>
      <c r="R91" s="50"/>
      <c r="S91" s="50"/>
      <c r="T91" s="50"/>
      <c r="U91" s="50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50"/>
      <c r="Q92" s="50"/>
      <c r="R92" s="50"/>
      <c r="S92" s="50"/>
      <c r="T92" s="50"/>
      <c r="U92" s="50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50"/>
      <c r="Q93" s="50"/>
      <c r="R93" s="50"/>
      <c r="S93" s="50"/>
      <c r="T93" s="50"/>
      <c r="U93" s="50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50"/>
      <c r="Q94" s="50"/>
      <c r="R94" s="50"/>
      <c r="S94" s="50"/>
      <c r="T94" s="50"/>
      <c r="U94" s="50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50"/>
      <c r="Q95" s="50"/>
      <c r="R95" s="50"/>
      <c r="S95" s="50"/>
      <c r="T95" s="50"/>
      <c r="U95" s="50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50"/>
      <c r="Q96" s="50"/>
      <c r="R96" s="50"/>
      <c r="S96" s="50"/>
      <c r="T96" s="50"/>
      <c r="U96" s="50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50"/>
      <c r="Q97" s="50"/>
      <c r="R97" s="50"/>
      <c r="S97" s="50"/>
      <c r="T97" s="50"/>
      <c r="U97" s="50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50"/>
      <c r="Q98" s="50"/>
      <c r="R98" s="50"/>
      <c r="S98" s="50"/>
      <c r="T98" s="50"/>
      <c r="U98" s="50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50"/>
      <c r="Q99" s="50"/>
      <c r="R99" s="50"/>
      <c r="S99" s="50"/>
      <c r="T99" s="50"/>
      <c r="U99" s="50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50"/>
      <c r="Q100" s="50"/>
      <c r="R100" s="50"/>
      <c r="S100" s="50"/>
      <c r="T100" s="50"/>
      <c r="U100" s="50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50"/>
      <c r="Q101" s="50"/>
      <c r="R101" s="50"/>
      <c r="S101" s="50"/>
      <c r="T101" s="50"/>
      <c r="U101" s="50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50"/>
      <c r="Q102" s="50"/>
      <c r="R102" s="50"/>
      <c r="S102" s="50"/>
      <c r="T102" s="50"/>
      <c r="U102" s="50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50"/>
      <c r="Q103" s="50"/>
      <c r="R103" s="50"/>
      <c r="S103" s="50"/>
      <c r="T103" s="50"/>
      <c r="U103" s="50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50"/>
      <c r="Q104" s="50"/>
      <c r="R104" s="50"/>
      <c r="S104" s="50"/>
      <c r="T104" s="50"/>
      <c r="U104" s="50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50"/>
      <c r="Q105" s="50"/>
      <c r="R105" s="50"/>
      <c r="S105" s="50"/>
      <c r="T105" s="50"/>
      <c r="U105" s="50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50"/>
      <c r="Q106" s="50"/>
      <c r="R106" s="50"/>
      <c r="S106" s="50"/>
      <c r="T106" s="50"/>
      <c r="U106" s="50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50"/>
      <c r="Q107" s="50"/>
      <c r="R107" s="50"/>
      <c r="S107" s="50"/>
      <c r="T107" s="50"/>
      <c r="U107" s="50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50"/>
      <c r="Q108" s="50"/>
      <c r="R108" s="50"/>
      <c r="S108" s="50"/>
      <c r="T108" s="50"/>
      <c r="U108" s="50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50"/>
      <c r="Q109" s="50"/>
      <c r="R109" s="50"/>
      <c r="S109" s="50"/>
      <c r="T109" s="50"/>
      <c r="U109" s="50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50"/>
      <c r="Q110" s="50"/>
      <c r="R110" s="50"/>
      <c r="S110" s="50"/>
      <c r="T110" s="50"/>
      <c r="U110" s="50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50"/>
      <c r="Q111" s="50"/>
      <c r="R111" s="50"/>
      <c r="S111" s="50"/>
      <c r="T111" s="50"/>
      <c r="U111" s="50"/>
    </row>
    <row r="112" ht="12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50"/>
      <c r="Q112" s="50"/>
      <c r="R112" s="50"/>
      <c r="S112" s="50"/>
      <c r="T112" s="50"/>
      <c r="U112" s="50"/>
    </row>
    <row r="113" ht="12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50"/>
      <c r="Q113" s="50"/>
      <c r="R113" s="50"/>
      <c r="S113" s="50"/>
      <c r="T113" s="50"/>
      <c r="U113" s="50"/>
    </row>
    <row r="114" ht="12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50"/>
      <c r="Q114" s="50"/>
      <c r="R114" s="50"/>
      <c r="S114" s="50"/>
      <c r="T114" s="50"/>
      <c r="U114" s="50"/>
    </row>
    <row r="115" ht="12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50"/>
      <c r="Q115" s="50"/>
      <c r="R115" s="50"/>
      <c r="S115" s="50"/>
      <c r="T115" s="50"/>
      <c r="U115" s="50"/>
    </row>
    <row r="116" ht="12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50"/>
      <c r="Q116" s="50"/>
      <c r="R116" s="50"/>
      <c r="S116" s="50"/>
      <c r="T116" s="50"/>
      <c r="U116" s="50"/>
    </row>
    <row r="117" ht="12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50"/>
      <c r="Q117" s="50"/>
      <c r="R117" s="50"/>
      <c r="S117" s="50"/>
      <c r="T117" s="50"/>
      <c r="U117" s="50"/>
    </row>
    <row r="118" ht="12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50"/>
      <c r="Q118" s="50"/>
      <c r="R118" s="50"/>
      <c r="S118" s="50"/>
      <c r="T118" s="50"/>
      <c r="U118" s="50"/>
    </row>
    <row r="119" ht="12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50"/>
      <c r="Q119" s="50"/>
      <c r="R119" s="50"/>
      <c r="S119" s="50"/>
      <c r="T119" s="50"/>
      <c r="U119" s="50"/>
    </row>
    <row r="120" ht="12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50"/>
      <c r="Q120" s="50"/>
      <c r="R120" s="50"/>
      <c r="S120" s="50"/>
      <c r="T120" s="50"/>
      <c r="U120" s="50"/>
    </row>
    <row r="121" ht="12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50"/>
      <c r="Q121" s="50"/>
      <c r="R121" s="50"/>
      <c r="S121" s="50"/>
      <c r="T121" s="50"/>
      <c r="U121" s="50"/>
    </row>
    <row r="122" ht="12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50"/>
      <c r="Q122" s="50"/>
      <c r="R122" s="50"/>
      <c r="S122" s="50"/>
      <c r="T122" s="50"/>
      <c r="U122" s="50"/>
    </row>
    <row r="123" ht="12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50"/>
      <c r="Q123" s="50"/>
      <c r="R123" s="50"/>
      <c r="S123" s="50"/>
      <c r="T123" s="50"/>
      <c r="U123" s="50"/>
    </row>
    <row r="124" ht="12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50"/>
      <c r="Q124" s="50"/>
      <c r="R124" s="50"/>
      <c r="S124" s="50"/>
      <c r="T124" s="50"/>
      <c r="U124" s="50"/>
    </row>
    <row r="125" ht="12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50"/>
      <c r="Q125" s="50"/>
      <c r="R125" s="50"/>
      <c r="S125" s="50"/>
      <c r="T125" s="50"/>
      <c r="U125" s="50"/>
    </row>
    <row r="126" ht="12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50"/>
      <c r="Q126" s="50"/>
      <c r="R126" s="50"/>
      <c r="S126" s="50"/>
      <c r="T126" s="50"/>
      <c r="U126" s="50"/>
    </row>
    <row r="127" ht="12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50"/>
      <c r="Q127" s="50"/>
      <c r="R127" s="50"/>
      <c r="S127" s="50"/>
      <c r="T127" s="50"/>
      <c r="U127" s="50"/>
    </row>
    <row r="128" ht="12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50"/>
      <c r="Q128" s="50"/>
      <c r="R128" s="50"/>
      <c r="S128" s="50"/>
      <c r="T128" s="50"/>
      <c r="U128" s="50"/>
    </row>
    <row r="129" ht="12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50"/>
      <c r="Q129" s="50"/>
      <c r="R129" s="50"/>
      <c r="S129" s="50"/>
      <c r="T129" s="50"/>
      <c r="U129" s="50"/>
    </row>
    <row r="130" ht="12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50"/>
      <c r="Q130" s="50"/>
      <c r="R130" s="50"/>
      <c r="S130" s="50"/>
      <c r="T130" s="50"/>
      <c r="U130" s="50"/>
    </row>
    <row r="131" ht="12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50"/>
      <c r="Q131" s="50"/>
      <c r="R131" s="50"/>
      <c r="S131" s="50"/>
      <c r="T131" s="50"/>
      <c r="U131" s="50"/>
    </row>
    <row r="132" ht="12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50"/>
      <c r="Q132" s="50"/>
      <c r="R132" s="50"/>
      <c r="S132" s="50"/>
      <c r="T132" s="50"/>
      <c r="U132" s="50"/>
    </row>
    <row r="133" ht="12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50"/>
      <c r="Q133" s="50"/>
      <c r="R133" s="50"/>
      <c r="S133" s="50"/>
      <c r="T133" s="50"/>
      <c r="U133" s="50"/>
    </row>
    <row r="134" ht="12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50"/>
      <c r="Q134" s="50"/>
      <c r="R134" s="50"/>
      <c r="S134" s="50"/>
      <c r="T134" s="50"/>
      <c r="U134" s="50"/>
    </row>
    <row r="135" ht="12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50"/>
      <c r="Q135" s="50"/>
      <c r="R135" s="50"/>
      <c r="S135" s="50"/>
      <c r="T135" s="50"/>
      <c r="U135" s="50"/>
    </row>
    <row r="136" ht="12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50"/>
      <c r="Q136" s="50"/>
      <c r="R136" s="50"/>
      <c r="S136" s="50"/>
      <c r="T136" s="50"/>
      <c r="U136" s="50"/>
    </row>
    <row r="137" ht="12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50"/>
      <c r="Q137" s="50"/>
      <c r="R137" s="50"/>
      <c r="S137" s="50"/>
      <c r="T137" s="50"/>
      <c r="U137" s="50"/>
    </row>
    <row r="138" ht="12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50"/>
      <c r="Q138" s="50"/>
      <c r="R138" s="50"/>
      <c r="S138" s="50"/>
      <c r="T138" s="50"/>
      <c r="U138" s="50"/>
    </row>
    <row r="139" ht="12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50"/>
      <c r="Q139" s="50"/>
      <c r="R139" s="50"/>
      <c r="S139" s="50"/>
      <c r="T139" s="50"/>
      <c r="U139" s="50"/>
    </row>
    <row r="140" ht="12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50"/>
      <c r="Q140" s="50"/>
      <c r="R140" s="50"/>
      <c r="S140" s="50"/>
      <c r="T140" s="50"/>
      <c r="U140" s="50"/>
    </row>
    <row r="141" ht="12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50"/>
      <c r="Q141" s="50"/>
      <c r="R141" s="50"/>
      <c r="S141" s="50"/>
      <c r="T141" s="50"/>
      <c r="U141" s="50"/>
    </row>
    <row r="142" ht="12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50"/>
      <c r="Q142" s="50"/>
      <c r="R142" s="50"/>
      <c r="S142" s="50"/>
      <c r="T142" s="50"/>
      <c r="U142" s="50"/>
    </row>
    <row r="143" ht="12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50"/>
      <c r="Q143" s="50"/>
      <c r="R143" s="50"/>
      <c r="S143" s="50"/>
      <c r="T143" s="50"/>
      <c r="U143" s="50"/>
    </row>
    <row r="144" ht="12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50"/>
      <c r="Q144" s="50"/>
      <c r="R144" s="50"/>
      <c r="S144" s="50"/>
      <c r="T144" s="50"/>
      <c r="U144" s="50"/>
    </row>
    <row r="145" ht="12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50"/>
      <c r="Q145" s="50"/>
      <c r="R145" s="50"/>
      <c r="S145" s="50"/>
      <c r="T145" s="50"/>
      <c r="U145" s="50"/>
    </row>
    <row r="146" ht="12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50"/>
      <c r="Q146" s="50"/>
      <c r="R146" s="50"/>
      <c r="S146" s="50"/>
      <c r="T146" s="50"/>
      <c r="U146" s="50"/>
    </row>
    <row r="147" ht="12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50"/>
      <c r="Q147" s="50"/>
      <c r="R147" s="50"/>
      <c r="S147" s="50"/>
      <c r="T147" s="50"/>
      <c r="U147" s="50"/>
    </row>
    <row r="148" ht="12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50"/>
      <c r="Q148" s="50"/>
      <c r="R148" s="50"/>
      <c r="S148" s="50"/>
      <c r="T148" s="50"/>
      <c r="U148" s="50"/>
    </row>
    <row r="149" ht="12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50"/>
      <c r="Q149" s="50"/>
      <c r="R149" s="50"/>
      <c r="S149" s="50"/>
      <c r="T149" s="50"/>
      <c r="U149" s="50"/>
    </row>
    <row r="150" ht="12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50"/>
      <c r="Q150" s="50"/>
      <c r="R150" s="50"/>
      <c r="S150" s="50"/>
      <c r="T150" s="50"/>
      <c r="U150" s="50"/>
    </row>
    <row r="151" ht="12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50"/>
      <c r="Q151" s="50"/>
      <c r="R151" s="50"/>
      <c r="S151" s="50"/>
      <c r="T151" s="50"/>
      <c r="U151" s="50"/>
    </row>
    <row r="152" ht="12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50"/>
      <c r="Q152" s="50"/>
      <c r="R152" s="50"/>
      <c r="S152" s="50"/>
      <c r="T152" s="50"/>
      <c r="U152" s="50"/>
    </row>
    <row r="153" ht="12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50"/>
      <c r="Q153" s="50"/>
      <c r="R153" s="50"/>
      <c r="S153" s="50"/>
      <c r="T153" s="50"/>
      <c r="U153" s="50"/>
    </row>
    <row r="154" ht="12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50"/>
      <c r="Q154" s="50"/>
      <c r="R154" s="50"/>
      <c r="S154" s="50"/>
      <c r="T154" s="50"/>
      <c r="U154" s="50"/>
    </row>
    <row r="155" ht="12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50"/>
      <c r="Q155" s="50"/>
      <c r="R155" s="50"/>
      <c r="S155" s="50"/>
      <c r="T155" s="50"/>
      <c r="U155" s="50"/>
    </row>
    <row r="156" ht="12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50"/>
      <c r="Q156" s="50"/>
      <c r="R156" s="50"/>
      <c r="S156" s="50"/>
      <c r="T156" s="50"/>
      <c r="U156" s="50"/>
    </row>
    <row r="157" ht="12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50"/>
      <c r="Q157" s="50"/>
      <c r="R157" s="50"/>
      <c r="S157" s="50"/>
      <c r="T157" s="50"/>
      <c r="U157" s="50"/>
    </row>
    <row r="158" ht="12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50"/>
      <c r="Q158" s="50"/>
      <c r="R158" s="50"/>
      <c r="S158" s="50"/>
      <c r="T158" s="50"/>
      <c r="U158" s="50"/>
    </row>
    <row r="159" ht="12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50"/>
      <c r="Q159" s="50"/>
      <c r="R159" s="50"/>
      <c r="S159" s="50"/>
      <c r="T159" s="50"/>
      <c r="U159" s="50"/>
    </row>
    <row r="160" ht="12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50"/>
      <c r="Q160" s="50"/>
      <c r="R160" s="50"/>
      <c r="S160" s="50"/>
      <c r="T160" s="50"/>
      <c r="U160" s="50"/>
    </row>
    <row r="161" ht="12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50"/>
      <c r="Q161" s="50"/>
      <c r="R161" s="50"/>
      <c r="S161" s="50"/>
      <c r="T161" s="50"/>
      <c r="U161" s="50"/>
    </row>
    <row r="162" ht="12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50"/>
      <c r="Q162" s="50"/>
      <c r="R162" s="50"/>
      <c r="S162" s="50"/>
      <c r="T162" s="50"/>
      <c r="U162" s="50"/>
    </row>
    <row r="163" ht="12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50"/>
      <c r="Q163" s="50"/>
      <c r="R163" s="50"/>
      <c r="S163" s="50"/>
      <c r="T163" s="50"/>
      <c r="U163" s="50"/>
    </row>
    <row r="164" ht="12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50"/>
      <c r="Q164" s="50"/>
      <c r="R164" s="50"/>
      <c r="S164" s="50"/>
      <c r="T164" s="50"/>
      <c r="U164" s="50"/>
    </row>
    <row r="165" ht="12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50"/>
      <c r="Q165" s="50"/>
      <c r="R165" s="50"/>
      <c r="S165" s="50"/>
      <c r="T165" s="50"/>
      <c r="U165" s="50"/>
    </row>
    <row r="166" ht="12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50"/>
      <c r="Q166" s="50"/>
      <c r="R166" s="50"/>
      <c r="S166" s="50"/>
      <c r="T166" s="50"/>
      <c r="U166" s="50"/>
    </row>
    <row r="167" ht="12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50"/>
      <c r="Q167" s="50"/>
      <c r="R167" s="50"/>
      <c r="S167" s="50"/>
      <c r="T167" s="50"/>
      <c r="U167" s="50"/>
    </row>
    <row r="168" ht="12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50"/>
      <c r="Q168" s="50"/>
      <c r="R168" s="50"/>
      <c r="S168" s="50"/>
      <c r="T168" s="50"/>
      <c r="U168" s="50"/>
    </row>
    <row r="169" ht="12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50"/>
      <c r="Q169" s="50"/>
      <c r="R169" s="50"/>
      <c r="S169" s="50"/>
      <c r="T169" s="50"/>
      <c r="U169" s="50"/>
    </row>
    <row r="170" ht="12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50"/>
      <c r="Q170" s="50"/>
      <c r="R170" s="50"/>
      <c r="S170" s="50"/>
      <c r="T170" s="50"/>
      <c r="U170" s="50"/>
    </row>
    <row r="171" ht="12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50"/>
      <c r="Q171" s="50"/>
      <c r="R171" s="50"/>
      <c r="S171" s="50"/>
      <c r="T171" s="50"/>
      <c r="U171" s="50"/>
    </row>
    <row r="172" ht="12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50"/>
      <c r="Q172" s="50"/>
      <c r="R172" s="50"/>
      <c r="S172" s="50"/>
      <c r="T172" s="50"/>
      <c r="U172" s="50"/>
    </row>
    <row r="173" ht="12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50"/>
      <c r="Q173" s="50"/>
      <c r="R173" s="50"/>
      <c r="S173" s="50"/>
      <c r="T173" s="50"/>
      <c r="U173" s="50"/>
    </row>
    <row r="174" ht="12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50"/>
      <c r="Q174" s="50"/>
      <c r="R174" s="50"/>
      <c r="S174" s="50"/>
      <c r="T174" s="50"/>
      <c r="U174" s="50"/>
    </row>
    <row r="175" ht="12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50"/>
      <c r="Q175" s="50"/>
      <c r="R175" s="50"/>
      <c r="S175" s="50"/>
      <c r="T175" s="50"/>
      <c r="U175" s="50"/>
    </row>
    <row r="176" ht="12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50"/>
      <c r="Q176" s="50"/>
      <c r="R176" s="50"/>
      <c r="S176" s="50"/>
      <c r="T176" s="50"/>
      <c r="U176" s="50"/>
    </row>
    <row r="177" ht="12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50"/>
      <c r="Q177" s="50"/>
      <c r="R177" s="50"/>
      <c r="S177" s="50"/>
      <c r="T177" s="50"/>
      <c r="U177" s="50"/>
    </row>
    <row r="178" ht="12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50"/>
      <c r="Q178" s="50"/>
      <c r="R178" s="50"/>
      <c r="S178" s="50"/>
      <c r="T178" s="50"/>
      <c r="U178" s="50"/>
    </row>
    <row r="179" ht="12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50"/>
      <c r="Q179" s="50"/>
      <c r="R179" s="50"/>
      <c r="S179" s="50"/>
      <c r="T179" s="50"/>
      <c r="U179" s="50"/>
    </row>
    <row r="180" ht="12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50"/>
      <c r="Q180" s="50"/>
      <c r="R180" s="50"/>
      <c r="S180" s="50"/>
      <c r="T180" s="50"/>
      <c r="U180" s="50"/>
    </row>
    <row r="181" ht="12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50"/>
      <c r="Q181" s="50"/>
      <c r="R181" s="50"/>
      <c r="S181" s="50"/>
      <c r="T181" s="50"/>
      <c r="U181" s="50"/>
    </row>
    <row r="182" ht="12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50"/>
      <c r="Q182" s="50"/>
      <c r="R182" s="50"/>
      <c r="S182" s="50"/>
      <c r="T182" s="50"/>
      <c r="U182" s="50"/>
    </row>
    <row r="183" ht="12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50"/>
      <c r="Q183" s="50"/>
      <c r="R183" s="50"/>
      <c r="S183" s="50"/>
      <c r="T183" s="50"/>
      <c r="U183" s="50"/>
    </row>
    <row r="184" ht="12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50"/>
      <c r="Q184" s="50"/>
      <c r="R184" s="50"/>
      <c r="S184" s="50"/>
      <c r="T184" s="50"/>
      <c r="U184" s="50"/>
    </row>
    <row r="185" ht="12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50"/>
      <c r="Q185" s="50"/>
      <c r="R185" s="50"/>
      <c r="S185" s="50"/>
      <c r="T185" s="50"/>
      <c r="U185" s="50"/>
    </row>
    <row r="186" ht="12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50"/>
      <c r="Q186" s="50"/>
      <c r="R186" s="50"/>
      <c r="S186" s="50"/>
      <c r="T186" s="50"/>
      <c r="U186" s="50"/>
    </row>
    <row r="187" ht="12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50"/>
      <c r="Q187" s="50"/>
      <c r="R187" s="50"/>
      <c r="S187" s="50"/>
      <c r="T187" s="50"/>
      <c r="U187" s="50"/>
    </row>
    <row r="188" ht="12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50"/>
      <c r="Q188" s="50"/>
      <c r="R188" s="50"/>
      <c r="S188" s="50"/>
      <c r="T188" s="50"/>
      <c r="U188" s="50"/>
    </row>
    <row r="189" ht="12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50"/>
      <c r="Q189" s="50"/>
      <c r="R189" s="50"/>
      <c r="S189" s="50"/>
      <c r="T189" s="50"/>
      <c r="U189" s="50"/>
    </row>
    <row r="190" ht="12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50"/>
      <c r="Q190" s="50"/>
      <c r="R190" s="50"/>
      <c r="S190" s="50"/>
      <c r="T190" s="50"/>
      <c r="U190" s="50"/>
    </row>
    <row r="191" ht="12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50"/>
      <c r="Q191" s="50"/>
      <c r="R191" s="50"/>
      <c r="S191" s="50"/>
      <c r="T191" s="50"/>
      <c r="U191" s="50"/>
    </row>
    <row r="192" ht="12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50"/>
      <c r="Q192" s="50"/>
      <c r="R192" s="50"/>
      <c r="S192" s="50"/>
      <c r="T192" s="50"/>
      <c r="U192" s="50"/>
    </row>
    <row r="193" ht="12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50"/>
      <c r="Q193" s="50"/>
      <c r="R193" s="50"/>
      <c r="S193" s="50"/>
      <c r="T193" s="50"/>
      <c r="U193" s="50"/>
    </row>
    <row r="194" ht="12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50"/>
      <c r="Q194" s="50"/>
      <c r="R194" s="50"/>
      <c r="S194" s="50"/>
      <c r="T194" s="50"/>
      <c r="U194" s="50"/>
    </row>
    <row r="195" ht="12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50"/>
      <c r="Q195" s="50"/>
      <c r="R195" s="50"/>
      <c r="S195" s="50"/>
      <c r="T195" s="50"/>
      <c r="U195" s="50"/>
    </row>
    <row r="196" ht="12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50"/>
      <c r="Q196" s="50"/>
      <c r="R196" s="50"/>
      <c r="S196" s="50"/>
      <c r="T196" s="50"/>
      <c r="U196" s="50"/>
    </row>
    <row r="197" ht="12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50"/>
      <c r="Q197" s="50"/>
      <c r="R197" s="50"/>
      <c r="S197" s="50"/>
      <c r="T197" s="50"/>
      <c r="U197" s="50"/>
    </row>
    <row r="198" ht="12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50"/>
      <c r="Q198" s="50"/>
      <c r="R198" s="50"/>
      <c r="S198" s="50"/>
      <c r="T198" s="50"/>
      <c r="U198" s="50"/>
    </row>
    <row r="199" ht="12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50"/>
      <c r="Q199" s="50"/>
      <c r="R199" s="50"/>
      <c r="S199" s="50"/>
      <c r="T199" s="50"/>
      <c r="U199" s="50"/>
    </row>
    <row r="200" ht="12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50"/>
      <c r="Q200" s="50"/>
      <c r="R200" s="50"/>
      <c r="S200" s="50"/>
      <c r="T200" s="50"/>
      <c r="U200" s="50"/>
    </row>
    <row r="201" ht="12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50"/>
      <c r="Q201" s="50"/>
      <c r="R201" s="50"/>
      <c r="S201" s="50"/>
      <c r="T201" s="50"/>
      <c r="U201" s="50"/>
    </row>
    <row r="202" ht="12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50"/>
      <c r="Q202" s="50"/>
      <c r="R202" s="50"/>
      <c r="S202" s="50"/>
      <c r="T202" s="50"/>
      <c r="U202" s="50"/>
    </row>
    <row r="203" ht="12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50"/>
      <c r="Q203" s="50"/>
      <c r="R203" s="50"/>
      <c r="S203" s="50"/>
      <c r="T203" s="50"/>
      <c r="U203" s="50"/>
    </row>
    <row r="204" ht="12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50"/>
      <c r="Q204" s="50"/>
      <c r="R204" s="50"/>
      <c r="S204" s="50"/>
      <c r="T204" s="50"/>
      <c r="U204" s="50"/>
    </row>
    <row r="205" ht="12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50"/>
      <c r="Q205" s="50"/>
      <c r="R205" s="50"/>
      <c r="S205" s="50"/>
      <c r="T205" s="50"/>
      <c r="U205" s="50"/>
    </row>
    <row r="206" ht="12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50"/>
      <c r="Q206" s="50"/>
      <c r="R206" s="50"/>
      <c r="S206" s="50"/>
      <c r="T206" s="50"/>
      <c r="U206" s="50"/>
    </row>
    <row r="207" ht="12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50"/>
      <c r="Q207" s="50"/>
      <c r="R207" s="50"/>
      <c r="S207" s="50"/>
      <c r="T207" s="50"/>
      <c r="U207" s="50"/>
    </row>
    <row r="208" ht="12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50"/>
      <c r="Q208" s="50"/>
      <c r="R208" s="50"/>
      <c r="S208" s="50"/>
      <c r="T208" s="50"/>
      <c r="U208" s="50"/>
    </row>
    <row r="209" ht="12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50"/>
      <c r="Q209" s="50"/>
      <c r="R209" s="50"/>
      <c r="S209" s="50"/>
      <c r="T209" s="50"/>
      <c r="U209" s="50"/>
    </row>
    <row r="210" ht="12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50"/>
      <c r="Q210" s="50"/>
      <c r="R210" s="50"/>
      <c r="S210" s="50"/>
      <c r="T210" s="50"/>
      <c r="U210" s="50"/>
    </row>
    <row r="211" ht="12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50"/>
      <c r="Q211" s="50"/>
      <c r="R211" s="50"/>
      <c r="S211" s="50"/>
      <c r="T211" s="50"/>
      <c r="U211" s="50"/>
    </row>
    <row r="212" ht="12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50"/>
      <c r="Q212" s="50"/>
      <c r="R212" s="50"/>
      <c r="S212" s="50"/>
      <c r="T212" s="50"/>
      <c r="U212" s="50"/>
    </row>
    <row r="213" ht="12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50"/>
      <c r="Q213" s="50"/>
      <c r="R213" s="50"/>
      <c r="S213" s="50"/>
      <c r="T213" s="50"/>
      <c r="U213" s="50"/>
    </row>
    <row r="214" ht="12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50"/>
      <c r="Q214" s="50"/>
      <c r="R214" s="50"/>
      <c r="S214" s="50"/>
      <c r="T214" s="50"/>
      <c r="U214" s="50"/>
    </row>
    <row r="215" ht="12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50"/>
      <c r="Q215" s="50"/>
      <c r="R215" s="50"/>
      <c r="S215" s="50"/>
      <c r="T215" s="50"/>
      <c r="U215" s="50"/>
    </row>
    <row r="216" ht="12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50"/>
      <c r="Q216" s="50"/>
      <c r="R216" s="50"/>
      <c r="S216" s="50"/>
      <c r="T216" s="50"/>
      <c r="U216" s="50"/>
    </row>
    <row r="217" ht="12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50"/>
      <c r="Q217" s="50"/>
      <c r="R217" s="50"/>
      <c r="S217" s="50"/>
      <c r="T217" s="50"/>
      <c r="U217" s="50"/>
    </row>
    <row r="218" ht="12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50"/>
      <c r="Q218" s="50"/>
      <c r="R218" s="50"/>
      <c r="S218" s="50"/>
      <c r="T218" s="50"/>
      <c r="U218" s="50"/>
    </row>
    <row r="219" ht="12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50"/>
      <c r="Q219" s="50"/>
      <c r="R219" s="50"/>
      <c r="S219" s="50"/>
      <c r="T219" s="50"/>
      <c r="U219" s="50"/>
    </row>
    <row r="220" ht="12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50"/>
      <c r="Q220" s="50"/>
      <c r="R220" s="50"/>
      <c r="S220" s="50"/>
      <c r="T220" s="50"/>
      <c r="U220" s="50"/>
    </row>
    <row r="221" ht="12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50"/>
      <c r="Q221" s="50"/>
      <c r="R221" s="50"/>
      <c r="S221" s="50"/>
      <c r="T221" s="50"/>
      <c r="U221" s="50"/>
    </row>
    <row r="222" ht="12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50"/>
      <c r="Q222" s="50"/>
      <c r="R222" s="50"/>
      <c r="S222" s="50"/>
      <c r="T222" s="50"/>
      <c r="U222" s="50"/>
    </row>
    <row r="223" ht="12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50"/>
      <c r="Q223" s="50"/>
      <c r="R223" s="50"/>
      <c r="S223" s="50"/>
      <c r="T223" s="50"/>
      <c r="U223" s="50"/>
    </row>
    <row r="224" ht="12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50"/>
      <c r="Q224" s="50"/>
      <c r="R224" s="50"/>
      <c r="S224" s="50"/>
      <c r="T224" s="50"/>
      <c r="U224" s="50"/>
    </row>
    <row r="225" ht="12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50"/>
      <c r="Q225" s="50"/>
      <c r="R225" s="50"/>
      <c r="S225" s="50"/>
      <c r="T225" s="50"/>
      <c r="U225" s="50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50"/>
      <c r="Q226" s="50"/>
      <c r="R226" s="50"/>
      <c r="S226" s="50"/>
      <c r="T226" s="50"/>
      <c r="U226" s="50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50"/>
      <c r="Q227" s="50"/>
      <c r="R227" s="50"/>
      <c r="S227" s="50"/>
      <c r="T227" s="50"/>
      <c r="U227" s="50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50"/>
      <c r="Q228" s="50"/>
      <c r="R228" s="50"/>
      <c r="S228" s="50"/>
      <c r="T228" s="50"/>
      <c r="U228" s="50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50"/>
      <c r="Q229" s="50"/>
      <c r="R229" s="50"/>
      <c r="S229" s="50"/>
      <c r="T229" s="50"/>
      <c r="U229" s="50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50"/>
      <c r="Q230" s="50"/>
      <c r="R230" s="50"/>
      <c r="S230" s="50"/>
      <c r="T230" s="50"/>
      <c r="U230" s="50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50"/>
      <c r="Q231" s="50"/>
      <c r="R231" s="50"/>
      <c r="S231" s="50"/>
      <c r="T231" s="50"/>
      <c r="U231" s="50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50"/>
      <c r="Q232" s="50"/>
      <c r="R232" s="50"/>
      <c r="S232" s="50"/>
      <c r="T232" s="50"/>
      <c r="U232" s="50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50"/>
      <c r="Q233" s="50"/>
      <c r="R233" s="50"/>
      <c r="S233" s="50"/>
      <c r="T233" s="50"/>
      <c r="U233" s="50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50"/>
      <c r="Q234" s="50"/>
      <c r="R234" s="50"/>
      <c r="S234" s="50"/>
      <c r="T234" s="50"/>
      <c r="U234" s="50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50"/>
      <c r="Q235" s="50"/>
      <c r="R235" s="50"/>
      <c r="S235" s="50"/>
      <c r="T235" s="50"/>
      <c r="U235" s="50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50"/>
      <c r="Q236" s="50"/>
      <c r="R236" s="50"/>
      <c r="S236" s="50"/>
      <c r="T236" s="50"/>
      <c r="U236" s="50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50"/>
      <c r="Q237" s="50"/>
      <c r="R237" s="50"/>
      <c r="S237" s="50"/>
      <c r="T237" s="50"/>
      <c r="U237" s="50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50"/>
      <c r="Q238" s="50"/>
      <c r="R238" s="50"/>
      <c r="S238" s="50"/>
      <c r="T238" s="50"/>
      <c r="U238" s="50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50"/>
      <c r="Q239" s="50"/>
      <c r="R239" s="50"/>
      <c r="S239" s="50"/>
      <c r="T239" s="50"/>
      <c r="U239" s="50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50"/>
      <c r="Q240" s="50"/>
      <c r="R240" s="50"/>
      <c r="S240" s="50"/>
      <c r="T240" s="50"/>
      <c r="U240" s="50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50"/>
      <c r="Q241" s="50"/>
      <c r="R241" s="50"/>
      <c r="S241" s="50"/>
      <c r="T241" s="50"/>
      <c r="U241" s="50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50"/>
      <c r="Q242" s="50"/>
      <c r="R242" s="50"/>
      <c r="S242" s="50"/>
      <c r="T242" s="50"/>
      <c r="U242" s="50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50"/>
      <c r="Q243" s="50"/>
      <c r="R243" s="50"/>
      <c r="S243" s="50"/>
      <c r="T243" s="50"/>
      <c r="U243" s="5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:P1"/>
    <mergeCell ref="A24:A25"/>
    <mergeCell ref="A44:A45"/>
  </mergeCells>
  <conditionalFormatting sqref="B1:M1">
    <cfRule type="colorScale" priority="1">
      <colorScale>
        <cfvo type="min"/>
        <cfvo type="formula" val="0"/>
        <cfvo type="max"/>
        <color rgb="FFEA9999"/>
        <color rgb="FFFFFFFF"/>
        <color rgb="FFB6D7A8"/>
      </colorScale>
    </cfRule>
  </conditionalFormatting>
  <conditionalFormatting sqref="P28:P41">
    <cfRule type="colorScale" priority="2">
      <colorScale>
        <cfvo type="min"/>
        <cfvo type="max"/>
        <color rgb="FFFFFFFF"/>
        <color rgb="FF93C47D"/>
      </colorScale>
    </cfRule>
  </conditionalFormatting>
  <conditionalFormatting sqref="B11:M11">
    <cfRule type="colorScale" priority="3">
      <colorScale>
        <cfvo type="min"/>
        <cfvo type="formula" val="0"/>
        <cfvo type="max"/>
        <color rgb="FFB6D7A8"/>
        <color rgb="FFFFFFFF"/>
        <color rgb="FFEA9999"/>
      </colorScale>
    </cfRule>
  </conditionalFormatting>
  <conditionalFormatting sqref="B20:M20">
    <cfRule type="colorScale" priority="4">
      <colorScale>
        <cfvo type="min"/>
        <cfvo type="formula" val="0"/>
        <cfvo type="max"/>
        <color rgb="FFEA9999"/>
        <color rgb="FFFFFFFF"/>
        <color rgb="FF93C47D"/>
      </colorScale>
    </cfRule>
  </conditionalFormatting>
  <conditionalFormatting sqref="B23:M23">
    <cfRule type="colorScale" priority="5">
      <colorScale>
        <cfvo type="min"/>
        <cfvo type="formula" val="0"/>
        <cfvo type="max"/>
        <color rgb="FFEA9999"/>
        <color rgb="FFFFFFFF"/>
        <color rgb="FFB6D7A8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27.63"/>
    <col customWidth="1" min="3" max="3" width="22.63"/>
    <col customWidth="1" min="4" max="4" width="1.63"/>
    <col customWidth="1" min="5" max="5" width="27.63"/>
    <col customWidth="1" min="6" max="6" width="22.63"/>
    <col customWidth="1" min="7" max="7" width="1.63"/>
    <col customWidth="1" min="8" max="8" width="27.63"/>
    <col customWidth="1" min="9" max="9" width="22.63"/>
    <col customWidth="1" min="10" max="12" width="15.75"/>
    <col customWidth="1" min="13" max="13" width="17.63"/>
  </cols>
  <sheetData>
    <row r="1" ht="30.0" customHeight="1" collapsed="1">
      <c r="A1" s="92"/>
      <c r="B1" s="93" t="s">
        <v>20</v>
      </c>
      <c r="D1" s="94"/>
      <c r="E1" s="94"/>
      <c r="F1" s="94"/>
      <c r="G1" s="95"/>
      <c r="H1" s="94"/>
      <c r="I1" s="94"/>
      <c r="J1" s="96"/>
      <c r="K1" s="96"/>
      <c r="L1" s="96"/>
      <c r="M1" s="97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</row>
    <row r="2" ht="11.25" hidden="1" customHeight="1" outlineLevel="1">
      <c r="A2" s="99"/>
      <c r="B2" s="99"/>
      <c r="C2" s="99"/>
      <c r="D2" s="100"/>
      <c r="E2" s="99"/>
      <c r="F2" s="99"/>
      <c r="G2" s="101"/>
      <c r="H2" s="99"/>
      <c r="I2" s="99"/>
      <c r="J2" s="99"/>
      <c r="K2" s="99"/>
      <c r="L2" s="99"/>
      <c r="M2" s="102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ht="22.5" hidden="1" customHeight="1" outlineLevel="1">
      <c r="A3" s="104"/>
      <c r="B3" s="105" t="s">
        <v>97</v>
      </c>
      <c r="C3" s="106"/>
      <c r="D3" s="107"/>
      <c r="E3" s="108" t="s">
        <v>98</v>
      </c>
      <c r="F3" s="109"/>
      <c r="G3" s="110"/>
      <c r="H3" s="108" t="s">
        <v>99</v>
      </c>
      <c r="I3" s="109"/>
      <c r="J3" s="108" t="s">
        <v>100</v>
      </c>
      <c r="K3" s="111" t="s">
        <v>101</v>
      </c>
      <c r="L3" s="111" t="s">
        <v>102</v>
      </c>
      <c r="M3" s="11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5.75" hidden="1" customHeight="1" outlineLevel="1">
      <c r="A4" s="113"/>
      <c r="B4" s="114" t="s">
        <v>103</v>
      </c>
      <c r="C4" s="115"/>
      <c r="D4" s="107"/>
      <c r="E4" s="53" t="s">
        <v>104</v>
      </c>
      <c r="F4" s="116"/>
      <c r="G4" s="110"/>
      <c r="H4" s="53" t="s">
        <v>105</v>
      </c>
      <c r="I4" s="117"/>
      <c r="J4" s="118"/>
      <c r="K4" s="119" t="str">
        <f t="shared" ref="K4:K8" si="1">(I4-J4)/J4*1</f>
        <v>#DIV/0!</v>
      </c>
      <c r="L4" s="120">
        <v>0.4</v>
      </c>
      <c r="M4" s="121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ht="15.75" hidden="1" customHeight="1" outlineLevel="1">
      <c r="A5" s="113"/>
      <c r="B5" s="114" t="s">
        <v>67</v>
      </c>
      <c r="C5" s="115"/>
      <c r="D5" s="107"/>
      <c r="E5" s="122" t="s">
        <v>106</v>
      </c>
      <c r="F5" s="123" t="str">
        <f t="shared" ref="F5:F8" si="2">C5</f>
        <v/>
      </c>
      <c r="G5" s="110"/>
      <c r="H5" s="114" t="s">
        <v>107</v>
      </c>
      <c r="I5" s="124"/>
      <c r="J5" s="125"/>
      <c r="K5" s="126" t="str">
        <f t="shared" si="1"/>
        <v>#DIV/0!</v>
      </c>
      <c r="L5" s="120">
        <v>-0.1</v>
      </c>
      <c r="M5" s="112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5.75" hidden="1" customHeight="1" outlineLevel="1">
      <c r="A6" s="113"/>
      <c r="B6" s="114" t="s">
        <v>72</v>
      </c>
      <c r="C6" s="115"/>
      <c r="D6" s="107"/>
      <c r="E6" s="122" t="s">
        <v>72</v>
      </c>
      <c r="F6" s="127" t="str">
        <f t="shared" si="2"/>
        <v/>
      </c>
      <c r="G6" s="110"/>
      <c r="H6" s="114" t="s">
        <v>108</v>
      </c>
      <c r="I6" s="124"/>
      <c r="J6" s="125"/>
      <c r="K6" s="126" t="str">
        <f t="shared" si="1"/>
        <v>#DIV/0!</v>
      </c>
      <c r="L6" s="120">
        <v>0.1</v>
      </c>
      <c r="M6" s="112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5.75" hidden="1" customHeight="1" outlineLevel="1">
      <c r="A7" s="113"/>
      <c r="B7" s="114" t="s">
        <v>109</v>
      </c>
      <c r="C7" s="128"/>
      <c r="D7" s="107"/>
      <c r="E7" s="122" t="s">
        <v>110</v>
      </c>
      <c r="F7" s="129" t="str">
        <f t="shared" si="2"/>
        <v/>
      </c>
      <c r="G7" s="110"/>
      <c r="H7" s="114" t="s">
        <v>111</v>
      </c>
      <c r="I7" s="130"/>
      <c r="J7" s="131"/>
      <c r="K7" s="126" t="str">
        <f t="shared" si="1"/>
        <v>#DIV/0!</v>
      </c>
      <c r="L7" s="120">
        <v>0.1</v>
      </c>
      <c r="M7" s="112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ht="15.75" hidden="1" customHeight="1" outlineLevel="1">
      <c r="A8" s="113"/>
      <c r="B8" s="114" t="s">
        <v>112</v>
      </c>
      <c r="C8" s="128"/>
      <c r="D8" s="107"/>
      <c r="E8" s="122" t="s">
        <v>113</v>
      </c>
      <c r="F8" s="132" t="str">
        <f t="shared" si="2"/>
        <v/>
      </c>
      <c r="G8" s="110"/>
      <c r="H8" s="114" t="s">
        <v>114</v>
      </c>
      <c r="I8" s="133"/>
      <c r="J8" s="134"/>
      <c r="K8" s="126" t="str">
        <f t="shared" si="1"/>
        <v>#DIV/0!</v>
      </c>
      <c r="L8" s="120">
        <v>0.03</v>
      </c>
      <c r="M8" s="112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ht="15.75" hidden="1" customHeight="1" outlineLevel="1">
      <c r="A9" s="135"/>
      <c r="B9" s="135"/>
      <c r="C9" s="135"/>
      <c r="D9" s="107"/>
      <c r="E9" s="135"/>
      <c r="G9" s="110"/>
      <c r="H9" s="135"/>
      <c r="I9" s="135"/>
      <c r="J9" s="135"/>
      <c r="K9" s="135"/>
      <c r="L9" s="135"/>
      <c r="M9" s="112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ht="15.75" hidden="1" customHeight="1" outlineLevel="1">
      <c r="A10" s="113"/>
      <c r="B10" s="122" t="s">
        <v>115</v>
      </c>
      <c r="C10" s="136" t="str">
        <f>C4/C5</f>
        <v>#DIV/0!</v>
      </c>
      <c r="D10" s="107"/>
      <c r="E10" s="122" t="s">
        <v>116</v>
      </c>
      <c r="F10" s="137" t="str">
        <f>F12/F7</f>
        <v>#DIV/0!</v>
      </c>
      <c r="G10" s="110"/>
      <c r="H10" s="138" t="s">
        <v>116</v>
      </c>
      <c r="I10" s="137" t="str">
        <f>I4/I5</f>
        <v>#DIV/0!</v>
      </c>
      <c r="J10" s="135"/>
      <c r="K10" s="139" t="s">
        <v>117</v>
      </c>
      <c r="L10" s="62" t="s">
        <v>118</v>
      </c>
      <c r="M10" s="140" t="s">
        <v>4</v>
      </c>
      <c r="N10" s="62" t="s">
        <v>119</v>
      </c>
      <c r="O10" s="50"/>
      <c r="Q10" s="62" t="s">
        <v>120</v>
      </c>
      <c r="R10" s="62" t="s">
        <v>121</v>
      </c>
      <c r="S10" s="62" t="s">
        <v>118</v>
      </c>
      <c r="T10" s="62" t="s">
        <v>122</v>
      </c>
      <c r="U10" s="62" t="s">
        <v>11</v>
      </c>
      <c r="V10" s="62" t="s">
        <v>123</v>
      </c>
      <c r="W10" s="50"/>
      <c r="X10" s="50"/>
      <c r="Y10" s="50"/>
      <c r="Z10" s="50"/>
      <c r="AA10" s="50"/>
      <c r="AB10" s="50"/>
    </row>
    <row r="11" ht="15.75" hidden="1" customHeight="1" outlineLevel="1">
      <c r="A11" s="113"/>
      <c r="B11" s="122" t="s">
        <v>8</v>
      </c>
      <c r="C11" s="127" t="str">
        <f>C4/C12</f>
        <v>#DIV/0!</v>
      </c>
      <c r="D11" s="107"/>
      <c r="E11" s="122" t="s">
        <v>124</v>
      </c>
      <c r="F11" s="123" t="str">
        <f>F15/F12</f>
        <v>#DIV/0!</v>
      </c>
      <c r="G11" s="110"/>
      <c r="H11" s="122" t="s">
        <v>124</v>
      </c>
      <c r="I11" s="123" t="str">
        <f>I4/I12</f>
        <v>#DIV/0!</v>
      </c>
      <c r="J11" s="135"/>
      <c r="K11" s="122" t="s">
        <v>125</v>
      </c>
      <c r="L11" s="141">
        <v>0.2</v>
      </c>
      <c r="M11" s="127" t="str">
        <f>I15/100*L11*100</f>
        <v>#DIV/0!</v>
      </c>
      <c r="N11" s="142" t="str">
        <f>M11/I6</f>
        <v>#DIV/0!</v>
      </c>
      <c r="O11" s="50"/>
      <c r="Q11" s="143" t="s">
        <v>126</v>
      </c>
      <c r="R11" s="144" t="s">
        <v>127</v>
      </c>
      <c r="S11" s="145">
        <v>0.25</v>
      </c>
      <c r="T11" s="142" t="str">
        <f>I12*S11</f>
        <v>#DIV/0!</v>
      </c>
      <c r="U11" s="146">
        <v>100.0</v>
      </c>
      <c r="V11" s="147" t="str">
        <f t="shared" ref="V11:V18" si="3">T11*U11</f>
        <v>#DIV/0!</v>
      </c>
      <c r="W11" s="50"/>
      <c r="X11" s="50"/>
      <c r="Y11" s="50"/>
      <c r="Z11" s="50"/>
      <c r="AA11" s="50"/>
      <c r="AB11" s="50"/>
    </row>
    <row r="12" ht="15.75" hidden="1" customHeight="1" outlineLevel="1">
      <c r="A12" s="113"/>
      <c r="B12" s="122" t="s">
        <v>71</v>
      </c>
      <c r="C12" s="148" t="str">
        <f>C10*C7</f>
        <v>#DIV/0!</v>
      </c>
      <c r="D12" s="107"/>
      <c r="E12" s="122" t="s">
        <v>128</v>
      </c>
      <c r="F12" s="148" t="str">
        <f>F13/F6</f>
        <v>#DIV/0!</v>
      </c>
      <c r="G12" s="110"/>
      <c r="H12" s="122" t="s">
        <v>128</v>
      </c>
      <c r="I12" s="148" t="str">
        <f>I10*I7</f>
        <v>#DIV/0!</v>
      </c>
      <c r="J12" s="135"/>
      <c r="K12" s="122" t="s">
        <v>129</v>
      </c>
      <c r="L12" s="133">
        <v>0.2</v>
      </c>
      <c r="M12" s="127" t="str">
        <f>I15/100*L12*100</f>
        <v>#DIV/0!</v>
      </c>
      <c r="N12" s="142" t="str">
        <f>M12/I6</f>
        <v>#DIV/0!</v>
      </c>
      <c r="O12" s="50"/>
      <c r="Q12" s="149"/>
      <c r="R12" s="144" t="s">
        <v>130</v>
      </c>
      <c r="S12" s="145">
        <v>0.2</v>
      </c>
      <c r="T12" s="142" t="str">
        <f>I12*S12</f>
        <v>#DIV/0!</v>
      </c>
      <c r="U12" s="146">
        <v>100.0</v>
      </c>
      <c r="V12" s="147" t="str">
        <f t="shared" si="3"/>
        <v>#DIV/0!</v>
      </c>
      <c r="W12" s="50"/>
      <c r="X12" s="50"/>
      <c r="Y12" s="50"/>
      <c r="Z12" s="50"/>
      <c r="AA12" s="50"/>
      <c r="AB12" s="50"/>
    </row>
    <row r="13" ht="15.75" hidden="1" customHeight="1" outlineLevel="1">
      <c r="A13" s="113"/>
      <c r="B13" s="122" t="s">
        <v>131</v>
      </c>
      <c r="C13" s="127" t="str">
        <f>(C10*C7)*C6</f>
        <v>#DIV/0!</v>
      </c>
      <c r="D13" s="107"/>
      <c r="E13" s="122" t="s">
        <v>131</v>
      </c>
      <c r="F13" s="127" t="str">
        <f>F4/F8</f>
        <v>#DIV/0!</v>
      </c>
      <c r="G13" s="110"/>
      <c r="H13" s="122" t="s">
        <v>132</v>
      </c>
      <c r="I13" s="127" t="str">
        <f>I10*I7*I6</f>
        <v>#DIV/0!</v>
      </c>
      <c r="J13" s="135"/>
      <c r="K13" s="122" t="s">
        <v>133</v>
      </c>
      <c r="L13" s="133">
        <v>0.3</v>
      </c>
      <c r="M13" s="127" t="str">
        <f>I15/100*L13*100</f>
        <v>#DIV/0!</v>
      </c>
      <c r="N13" s="142" t="str">
        <f>M13/I6</f>
        <v>#DIV/0!</v>
      </c>
      <c r="O13" s="50"/>
      <c r="Q13" s="149"/>
      <c r="R13" s="144" t="s">
        <v>134</v>
      </c>
      <c r="S13" s="145">
        <v>0.2</v>
      </c>
      <c r="T13" s="142" t="str">
        <f>I12*S13</f>
        <v>#DIV/0!</v>
      </c>
      <c r="U13" s="146">
        <v>100.0</v>
      </c>
      <c r="V13" s="147" t="str">
        <f t="shared" si="3"/>
        <v>#DIV/0!</v>
      </c>
      <c r="W13" s="50"/>
      <c r="X13" s="50"/>
      <c r="Y13" s="50"/>
      <c r="Z13" s="50"/>
      <c r="AA13" s="50"/>
      <c r="AB13" s="50"/>
    </row>
    <row r="14" ht="15.75" hidden="1" customHeight="1" outlineLevel="1">
      <c r="A14" s="113"/>
      <c r="B14" s="122" t="s">
        <v>135</v>
      </c>
      <c r="C14" s="150" t="str">
        <f>C13/C4</f>
        <v>#DIV/0!</v>
      </c>
      <c r="D14" s="107"/>
      <c r="E14" s="122" t="s">
        <v>135</v>
      </c>
      <c r="F14" s="150" t="str">
        <f>F13/F15</f>
        <v>#DIV/0!</v>
      </c>
      <c r="G14" s="110"/>
      <c r="H14" s="122" t="s">
        <v>135</v>
      </c>
      <c r="I14" s="150" t="str">
        <f>I13/I4</f>
        <v>#DIV/0!</v>
      </c>
      <c r="J14" s="135"/>
      <c r="K14" s="122" t="s">
        <v>136</v>
      </c>
      <c r="L14" s="133">
        <v>0.15</v>
      </c>
      <c r="M14" s="127" t="str">
        <f>I15/100*L14*100</f>
        <v>#DIV/0!</v>
      </c>
      <c r="N14" s="142" t="str">
        <f>M14/I6</f>
        <v>#DIV/0!</v>
      </c>
      <c r="O14" s="50"/>
      <c r="Q14" s="151"/>
      <c r="R14" s="144" t="s">
        <v>137</v>
      </c>
      <c r="S14" s="145">
        <v>0.15</v>
      </c>
      <c r="T14" s="142" t="str">
        <f>I12*S14</f>
        <v>#DIV/0!</v>
      </c>
      <c r="U14" s="146">
        <v>100.0</v>
      </c>
      <c r="V14" s="147" t="str">
        <f t="shared" si="3"/>
        <v>#DIV/0!</v>
      </c>
      <c r="W14" s="50"/>
      <c r="X14" s="50"/>
      <c r="Y14" s="50"/>
      <c r="Z14" s="50"/>
      <c r="AA14" s="50"/>
      <c r="AB14" s="50"/>
    </row>
    <row r="15" ht="15.75" hidden="1" customHeight="1" outlineLevel="1">
      <c r="A15" s="113"/>
      <c r="B15" s="53" t="s">
        <v>138</v>
      </c>
      <c r="C15" s="152" t="str">
        <f>C13*C8</f>
        <v>#DIV/0!</v>
      </c>
      <c r="D15" s="107"/>
      <c r="E15" s="53" t="s">
        <v>139</v>
      </c>
      <c r="F15" s="152" t="str">
        <f>F10*F5</f>
        <v>#DIV/0!</v>
      </c>
      <c r="G15" s="110"/>
      <c r="H15" s="53" t="s">
        <v>104</v>
      </c>
      <c r="I15" s="153" t="str">
        <f>I13*I8</f>
        <v>#DIV/0!</v>
      </c>
      <c r="J15" s="135"/>
      <c r="K15" s="122" t="s">
        <v>87</v>
      </c>
      <c r="L15" s="154">
        <v>0.15</v>
      </c>
      <c r="M15" s="127" t="str">
        <f>I15/100*L15*100</f>
        <v>#DIV/0!</v>
      </c>
      <c r="N15" s="142" t="str">
        <f>M15/I6</f>
        <v>#DIV/0!</v>
      </c>
      <c r="O15" s="50"/>
      <c r="Q15" s="143" t="s">
        <v>140</v>
      </c>
      <c r="R15" s="144" t="s">
        <v>141</v>
      </c>
      <c r="S15" s="145">
        <v>0.05</v>
      </c>
      <c r="T15" s="142" t="str">
        <f>I12*S15</f>
        <v>#DIV/0!</v>
      </c>
      <c r="U15" s="146">
        <v>100.0</v>
      </c>
      <c r="V15" s="147" t="str">
        <f t="shared" si="3"/>
        <v>#DIV/0!</v>
      </c>
      <c r="W15" s="50"/>
      <c r="X15" s="50"/>
      <c r="Y15" s="50"/>
      <c r="Z15" s="50"/>
      <c r="AA15" s="50"/>
      <c r="AB15" s="50"/>
    </row>
    <row r="16" ht="15.75" hidden="1" customHeight="1" outlineLevel="1">
      <c r="A16" s="113"/>
      <c r="B16" s="122" t="s">
        <v>142</v>
      </c>
      <c r="C16" s="150" t="str">
        <f>C15/C4</f>
        <v>#DIV/0!</v>
      </c>
      <c r="D16" s="107"/>
      <c r="E16" s="122" t="s">
        <v>143</v>
      </c>
      <c r="F16" s="150" t="str">
        <f>F4/F15</f>
        <v>#DIV/0!</v>
      </c>
      <c r="G16" s="110"/>
      <c r="H16" s="122" t="s">
        <v>142</v>
      </c>
      <c r="I16" s="155" t="str">
        <f>I15/I4</f>
        <v>#DIV/0!</v>
      </c>
      <c r="J16" s="135"/>
      <c r="K16" s="135"/>
      <c r="L16" s="156">
        <f>SUM(L11:L15)</f>
        <v>1</v>
      </c>
      <c r="N16" s="157" t="str">
        <f>SUM(N11:N15)</f>
        <v>#DIV/0!</v>
      </c>
      <c r="O16" s="50"/>
      <c r="Q16" s="149"/>
      <c r="R16" s="144" t="s">
        <v>144</v>
      </c>
      <c r="S16" s="145">
        <v>0.05</v>
      </c>
      <c r="T16" s="142" t="str">
        <f>I12*S16</f>
        <v>#DIV/0!</v>
      </c>
      <c r="U16" s="146">
        <v>100.0</v>
      </c>
      <c r="V16" s="147" t="str">
        <f t="shared" si="3"/>
        <v>#DIV/0!</v>
      </c>
      <c r="W16" s="50"/>
      <c r="X16" s="50"/>
      <c r="Y16" s="50"/>
      <c r="Z16" s="50"/>
      <c r="AA16" s="50"/>
      <c r="AB16" s="50"/>
    </row>
    <row r="17" ht="15.75" hidden="1" customHeight="1" outlineLevel="1">
      <c r="A17" s="135"/>
      <c r="B17" s="135"/>
      <c r="C17" s="135"/>
      <c r="D17" s="107"/>
      <c r="E17" s="107"/>
      <c r="F17" s="107"/>
      <c r="G17" s="110"/>
      <c r="H17" s="135"/>
      <c r="I17" s="135"/>
      <c r="J17" s="135"/>
      <c r="O17" s="50"/>
      <c r="Q17" s="149"/>
      <c r="R17" s="144" t="s">
        <v>145</v>
      </c>
      <c r="S17" s="145">
        <v>0.05</v>
      </c>
      <c r="T17" s="142" t="str">
        <f>I12*S17</f>
        <v>#DIV/0!</v>
      </c>
      <c r="U17" s="146">
        <v>100.0</v>
      </c>
      <c r="V17" s="147" t="str">
        <f t="shared" si="3"/>
        <v>#DIV/0!</v>
      </c>
      <c r="W17" s="50"/>
      <c r="X17" s="50"/>
      <c r="Y17" s="50"/>
      <c r="Z17" s="50"/>
      <c r="AA17" s="50"/>
      <c r="AB17" s="50"/>
    </row>
    <row r="18" ht="15.75" hidden="1" customHeight="1" outlineLevel="1">
      <c r="A18" s="104"/>
      <c r="B18" s="158" t="s">
        <v>146</v>
      </c>
      <c r="C18" s="41"/>
      <c r="D18" s="107"/>
      <c r="E18" s="158" t="s">
        <v>147</v>
      </c>
      <c r="F18" s="41"/>
      <c r="G18" s="110"/>
      <c r="H18" s="158" t="s">
        <v>148</v>
      </c>
      <c r="I18" s="41"/>
      <c r="J18" s="135"/>
      <c r="K18" s="62" t="s">
        <v>149</v>
      </c>
      <c r="L18" s="62" t="s">
        <v>150</v>
      </c>
      <c r="M18" s="62" t="s">
        <v>151</v>
      </c>
      <c r="N18" s="62" t="s">
        <v>152</v>
      </c>
      <c r="O18" s="62" t="s">
        <v>153</v>
      </c>
      <c r="Q18" s="151"/>
      <c r="R18" s="144" t="s">
        <v>154</v>
      </c>
      <c r="S18" s="145">
        <v>0.05</v>
      </c>
      <c r="T18" s="142" t="str">
        <f>I12*S18</f>
        <v>#DIV/0!</v>
      </c>
      <c r="U18" s="146">
        <v>100.0</v>
      </c>
      <c r="V18" s="147" t="str">
        <f t="shared" si="3"/>
        <v>#DIV/0!</v>
      </c>
      <c r="W18" s="50"/>
      <c r="X18" s="50"/>
      <c r="Y18" s="50"/>
      <c r="Z18" s="50"/>
      <c r="AA18" s="50"/>
      <c r="AB18" s="50"/>
    </row>
    <row r="19" ht="15.75" hidden="1" customHeight="1" outlineLevel="1">
      <c r="A19" s="113"/>
      <c r="B19" s="122" t="s">
        <v>155</v>
      </c>
      <c r="C19" s="127">
        <f>C4/30</f>
        <v>0</v>
      </c>
      <c r="D19" s="107"/>
      <c r="E19" s="122" t="s">
        <v>155</v>
      </c>
      <c r="F19" s="127">
        <f>F4/30</f>
        <v>0</v>
      </c>
      <c r="G19" s="110"/>
      <c r="H19" s="122" t="s">
        <v>155</v>
      </c>
      <c r="I19" s="127">
        <f>I4/'Acompanhamento Geral'!B2</f>
        <v>0</v>
      </c>
      <c r="J19" s="135"/>
      <c r="K19" s="62" t="s">
        <v>118</v>
      </c>
      <c r="L19" s="159">
        <v>0.7</v>
      </c>
      <c r="M19" s="160">
        <v>0.3</v>
      </c>
      <c r="N19" s="161">
        <v>0.0</v>
      </c>
      <c r="O19" s="162">
        <f t="shared" ref="O19:O20" si="5">sum(L19:N19)</f>
        <v>1</v>
      </c>
      <c r="Q19" s="50"/>
      <c r="R19" s="50"/>
      <c r="S19" s="156">
        <f t="shared" ref="S19:T19" si="4">SUM(S11:S18)</f>
        <v>1</v>
      </c>
      <c r="T19" s="163" t="str">
        <f t="shared" si="4"/>
        <v>#DIV/0!</v>
      </c>
      <c r="U19" s="50"/>
      <c r="V19" s="164" t="str">
        <f>SUM(V11:V18)</f>
        <v>#DIV/0!</v>
      </c>
      <c r="W19" s="50"/>
      <c r="X19" s="50"/>
      <c r="Y19" s="50"/>
      <c r="Z19" s="50"/>
      <c r="AA19" s="50"/>
      <c r="AB19" s="50"/>
    </row>
    <row r="20" ht="15.75" hidden="1" customHeight="1" outlineLevel="1">
      <c r="A20" s="113"/>
      <c r="B20" s="122" t="s">
        <v>156</v>
      </c>
      <c r="C20" s="148" t="str">
        <f>C10/30</f>
        <v>#DIV/0!</v>
      </c>
      <c r="D20" s="107"/>
      <c r="E20" s="122" t="s">
        <v>156</v>
      </c>
      <c r="F20" s="148" t="str">
        <f>F10/30</f>
        <v>#DIV/0!</v>
      </c>
      <c r="G20" s="110"/>
      <c r="H20" s="122" t="s">
        <v>156</v>
      </c>
      <c r="I20" s="148" t="str">
        <f>I10/'Acompanhamento Geral'!B2</f>
        <v>#DIV/0!</v>
      </c>
      <c r="J20" s="135"/>
      <c r="K20" s="165" t="s">
        <v>157</v>
      </c>
      <c r="L20" s="166">
        <f>I4*L19</f>
        <v>0</v>
      </c>
      <c r="M20" s="166">
        <f>I4*M19</f>
        <v>0</v>
      </c>
      <c r="N20" s="166">
        <f>I4*N19</f>
        <v>0</v>
      </c>
      <c r="O20" s="167">
        <f t="shared" si="5"/>
        <v>0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ht="15.75" hidden="1" customHeight="1" outlineLevel="1">
      <c r="A21" s="113"/>
      <c r="B21" s="122" t="s">
        <v>158</v>
      </c>
      <c r="C21" s="148" t="str">
        <f t="shared" ref="C21:C22" si="6">C12/30</f>
        <v>#DIV/0!</v>
      </c>
      <c r="D21" s="107"/>
      <c r="E21" s="122" t="s">
        <v>158</v>
      </c>
      <c r="F21" s="148" t="str">
        <f t="shared" ref="F21:F22" si="7">F12/30</f>
        <v>#DIV/0!</v>
      </c>
      <c r="G21" s="110"/>
      <c r="H21" s="122" t="s">
        <v>158</v>
      </c>
      <c r="I21" s="148" t="str">
        <f>I12/'Acompanhamento Geral'!B2</f>
        <v>#DIV/0!</v>
      </c>
      <c r="J21" s="135"/>
      <c r="K21" s="165" t="s">
        <v>159</v>
      </c>
      <c r="L21" s="168">
        <f>L20/'Acompanhamento Geral'!B2</f>
        <v>0</v>
      </c>
      <c r="M21" s="168">
        <f>M20/'Acompanhamento Geral'!B2</f>
        <v>0</v>
      </c>
      <c r="N21" s="168">
        <f>iferror(N20/'Acompanhamento Geral'!B2,"")</f>
        <v>0</v>
      </c>
      <c r="O21" s="167">
        <f>SUM(L21:N21)</f>
        <v>0</v>
      </c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ht="15.75" hidden="1" customHeight="1" outlineLevel="1">
      <c r="A22" s="113"/>
      <c r="B22" s="122" t="s">
        <v>160</v>
      </c>
      <c r="C22" s="127" t="str">
        <f t="shared" si="6"/>
        <v>#DIV/0!</v>
      </c>
      <c r="D22" s="107"/>
      <c r="E22" s="122" t="s">
        <v>160</v>
      </c>
      <c r="F22" s="127" t="str">
        <f t="shared" si="7"/>
        <v>#DIV/0!</v>
      </c>
      <c r="G22" s="110"/>
      <c r="H22" s="122" t="s">
        <v>160</v>
      </c>
      <c r="I22" s="127" t="str">
        <f>I13/'Acompanhamento Geral'!B2</f>
        <v>#DIV/0!</v>
      </c>
      <c r="J22" s="135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ht="15.75" hidden="1" customHeight="1" outlineLevel="1">
      <c r="A23" s="50"/>
      <c r="B23" s="50"/>
      <c r="C23" s="50"/>
      <c r="D23" s="50"/>
      <c r="E23" s="50"/>
      <c r="F23" s="135"/>
      <c r="G23" s="135"/>
      <c r="H23" s="50"/>
      <c r="I23" s="50"/>
      <c r="J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ht="30.0" customHeight="1" collapsed="1">
      <c r="A24" s="169"/>
      <c r="B24" s="170" t="s">
        <v>21</v>
      </c>
      <c r="D24" s="171"/>
      <c r="E24" s="171"/>
      <c r="F24" s="171"/>
      <c r="G24" s="172"/>
      <c r="H24" s="171"/>
      <c r="I24" s="171"/>
      <c r="J24" s="173"/>
      <c r="K24" s="173"/>
      <c r="L24" s="173"/>
      <c r="M24" s="174"/>
      <c r="N24" s="175"/>
      <c r="O24" s="175"/>
      <c r="P24" s="175"/>
      <c r="Q24" s="176"/>
      <c r="R24" s="176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</row>
    <row r="25" ht="11.25" hidden="1" customHeight="1" outlineLevel="1">
      <c r="A25" s="99"/>
      <c r="B25" s="99"/>
      <c r="C25" s="99"/>
      <c r="D25" s="100"/>
      <c r="E25" s="99"/>
      <c r="F25" s="99"/>
      <c r="G25" s="101"/>
      <c r="H25" s="99"/>
      <c r="I25" s="99"/>
      <c r="J25" s="99"/>
      <c r="K25" s="99"/>
      <c r="L25" s="99"/>
      <c r="M25" s="102"/>
      <c r="N25" s="103"/>
      <c r="O25" s="103"/>
      <c r="P25" s="103"/>
      <c r="Q25" s="177"/>
      <c r="R25" s="177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22.5" hidden="1" customHeight="1" outlineLevel="1">
      <c r="A26" s="104"/>
      <c r="B26" s="178" t="s">
        <v>97</v>
      </c>
      <c r="C26" s="179"/>
      <c r="D26" s="107"/>
      <c r="E26" s="180" t="s">
        <v>98</v>
      </c>
      <c r="F26" s="41"/>
      <c r="G26" s="110"/>
      <c r="H26" s="180" t="s">
        <v>99</v>
      </c>
      <c r="I26" s="41"/>
      <c r="J26" s="180" t="s">
        <v>100</v>
      </c>
      <c r="K26" s="53" t="s">
        <v>101</v>
      </c>
      <c r="L26" s="53" t="s">
        <v>102</v>
      </c>
      <c r="M26" s="112"/>
      <c r="N26" s="50"/>
      <c r="O26" s="50"/>
      <c r="P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ht="15.75" hidden="1" customHeight="1" outlineLevel="1">
      <c r="A27" s="113"/>
      <c r="B27" s="114" t="s">
        <v>103</v>
      </c>
      <c r="C27" s="115"/>
      <c r="D27" s="107"/>
      <c r="E27" s="53" t="s">
        <v>104</v>
      </c>
      <c r="F27" s="116"/>
      <c r="G27" s="110"/>
      <c r="H27" s="53" t="s">
        <v>105</v>
      </c>
      <c r="I27" s="117"/>
      <c r="J27" s="118"/>
      <c r="K27" s="119" t="str">
        <f t="shared" ref="K27:K31" si="8">(I27-J27)/J27*1</f>
        <v>#DIV/0!</v>
      </c>
      <c r="L27" s="120">
        <v>0.4</v>
      </c>
      <c r="M27" s="121"/>
      <c r="N27" s="50"/>
      <c r="O27" s="50"/>
      <c r="P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ht="15.75" hidden="1" customHeight="1" outlineLevel="1">
      <c r="A28" s="113"/>
      <c r="B28" s="114" t="s">
        <v>67</v>
      </c>
      <c r="C28" s="115"/>
      <c r="D28" s="107"/>
      <c r="E28" s="122" t="s">
        <v>106</v>
      </c>
      <c r="F28" s="123" t="str">
        <f t="shared" ref="F28:F31" si="9">C28</f>
        <v/>
      </c>
      <c r="G28" s="110"/>
      <c r="H28" s="114" t="s">
        <v>107</v>
      </c>
      <c r="I28" s="124"/>
      <c r="J28" s="125"/>
      <c r="K28" s="126" t="str">
        <f t="shared" si="8"/>
        <v>#DIV/0!</v>
      </c>
      <c r="L28" s="120">
        <v>-0.1</v>
      </c>
      <c r="M28" s="112"/>
      <c r="N28" s="50"/>
      <c r="O28" s="50"/>
      <c r="P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ht="15.75" hidden="1" customHeight="1" outlineLevel="1">
      <c r="A29" s="113"/>
      <c r="B29" s="114" t="s">
        <v>72</v>
      </c>
      <c r="C29" s="115"/>
      <c r="D29" s="107"/>
      <c r="E29" s="122" t="s">
        <v>72</v>
      </c>
      <c r="F29" s="127" t="str">
        <f t="shared" si="9"/>
        <v/>
      </c>
      <c r="G29" s="110"/>
      <c r="H29" s="114" t="s">
        <v>108</v>
      </c>
      <c r="I29" s="124"/>
      <c r="J29" s="125"/>
      <c r="K29" s="126" t="str">
        <f t="shared" si="8"/>
        <v>#DIV/0!</v>
      </c>
      <c r="L29" s="120">
        <v>0.1</v>
      </c>
      <c r="M29" s="112"/>
      <c r="N29" s="50"/>
      <c r="O29" s="50"/>
      <c r="P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t="15.75" hidden="1" customHeight="1" outlineLevel="1">
      <c r="A30" s="113"/>
      <c r="B30" s="114" t="s">
        <v>109</v>
      </c>
      <c r="C30" s="128"/>
      <c r="D30" s="107"/>
      <c r="E30" s="122" t="s">
        <v>110</v>
      </c>
      <c r="F30" s="129" t="str">
        <f t="shared" si="9"/>
        <v/>
      </c>
      <c r="G30" s="110"/>
      <c r="H30" s="114" t="s">
        <v>111</v>
      </c>
      <c r="I30" s="130"/>
      <c r="J30" s="131"/>
      <c r="K30" s="126" t="str">
        <f t="shared" si="8"/>
        <v>#DIV/0!</v>
      </c>
      <c r="L30" s="120">
        <v>0.1</v>
      </c>
      <c r="M30" s="112"/>
      <c r="N30" s="50"/>
      <c r="O30" s="50"/>
      <c r="P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ht="15.75" hidden="1" customHeight="1" outlineLevel="1">
      <c r="A31" s="113"/>
      <c r="B31" s="114" t="s">
        <v>112</v>
      </c>
      <c r="C31" s="128"/>
      <c r="D31" s="107"/>
      <c r="E31" s="122" t="s">
        <v>113</v>
      </c>
      <c r="F31" s="132" t="str">
        <f t="shared" si="9"/>
        <v/>
      </c>
      <c r="G31" s="110"/>
      <c r="H31" s="114" t="s">
        <v>114</v>
      </c>
      <c r="I31" s="133"/>
      <c r="J31" s="134"/>
      <c r="K31" s="126" t="str">
        <f t="shared" si="8"/>
        <v>#DIV/0!</v>
      </c>
      <c r="L31" s="120">
        <v>0.03</v>
      </c>
      <c r="M31" s="112"/>
      <c r="N31" s="50"/>
      <c r="O31" s="50"/>
      <c r="P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ht="15.75" hidden="1" customHeight="1" outlineLevel="1">
      <c r="A32" s="135"/>
      <c r="B32" s="135"/>
      <c r="C32" s="135"/>
      <c r="D32" s="107"/>
      <c r="E32" s="135"/>
      <c r="G32" s="110"/>
      <c r="H32" s="135"/>
      <c r="I32" s="135"/>
      <c r="J32" s="135"/>
      <c r="K32" s="135"/>
      <c r="L32" s="135"/>
      <c r="M32" s="112"/>
      <c r="N32" s="50"/>
      <c r="O32" s="50"/>
      <c r="P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t="15.75" hidden="1" customHeight="1" outlineLevel="1">
      <c r="A33" s="113"/>
      <c r="B33" s="122" t="s">
        <v>115</v>
      </c>
      <c r="C33" s="136" t="str">
        <f>C27/C28</f>
        <v>#DIV/0!</v>
      </c>
      <c r="D33" s="107"/>
      <c r="E33" s="122" t="s">
        <v>116</v>
      </c>
      <c r="F33" s="137" t="str">
        <f>F35/F30</f>
        <v>#DIV/0!</v>
      </c>
      <c r="G33" s="110"/>
      <c r="H33" s="138" t="s">
        <v>116</v>
      </c>
      <c r="I33" s="137" t="str">
        <f>I27/I28</f>
        <v>#DIV/0!</v>
      </c>
      <c r="J33" s="135"/>
      <c r="K33" s="139" t="s">
        <v>117</v>
      </c>
      <c r="L33" s="62" t="s">
        <v>118</v>
      </c>
      <c r="M33" s="140" t="s">
        <v>4</v>
      </c>
      <c r="N33" s="62" t="s">
        <v>119</v>
      </c>
      <c r="O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ht="15.75" hidden="1" customHeight="1" outlineLevel="1">
      <c r="A34" s="113"/>
      <c r="B34" s="122" t="s">
        <v>8</v>
      </c>
      <c r="C34" s="127" t="str">
        <f>C27/C35</f>
        <v>#DIV/0!</v>
      </c>
      <c r="D34" s="107"/>
      <c r="E34" s="122" t="s">
        <v>124</v>
      </c>
      <c r="F34" s="148" t="str">
        <f>F38/F35</f>
        <v>#DIV/0!</v>
      </c>
      <c r="G34" s="110"/>
      <c r="H34" s="122" t="s">
        <v>124</v>
      </c>
      <c r="I34" s="123" t="str">
        <f>I27/I35</f>
        <v>#DIV/0!</v>
      </c>
      <c r="J34" s="135"/>
      <c r="K34" s="122" t="s">
        <v>125</v>
      </c>
      <c r="L34" s="141">
        <v>0.2</v>
      </c>
      <c r="M34" s="127" t="str">
        <f>I38/100*L34*100</f>
        <v>#DIV/0!</v>
      </c>
      <c r="N34" s="142" t="str">
        <f>M34/I29</f>
        <v>#DIV/0!</v>
      </c>
      <c r="O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ht="15.75" hidden="1" customHeight="1" outlineLevel="1">
      <c r="A35" s="113"/>
      <c r="B35" s="122" t="s">
        <v>71</v>
      </c>
      <c r="C35" s="148" t="str">
        <f>C33*C30</f>
        <v>#DIV/0!</v>
      </c>
      <c r="D35" s="107"/>
      <c r="E35" s="122" t="s">
        <v>128</v>
      </c>
      <c r="F35" s="148" t="str">
        <f>F36/F29</f>
        <v>#DIV/0!</v>
      </c>
      <c r="G35" s="110"/>
      <c r="H35" s="122" t="s">
        <v>128</v>
      </c>
      <c r="I35" s="148" t="str">
        <f>I33*I30</f>
        <v>#DIV/0!</v>
      </c>
      <c r="J35" s="135"/>
      <c r="K35" s="122" t="s">
        <v>129</v>
      </c>
      <c r="L35" s="133">
        <v>0.2</v>
      </c>
      <c r="M35" s="127" t="str">
        <f>I38/100*L35*100</f>
        <v>#DIV/0!</v>
      </c>
      <c r="N35" s="142" t="str">
        <f>M35/I29</f>
        <v>#DIV/0!</v>
      </c>
      <c r="O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ht="15.75" hidden="1" customHeight="1" outlineLevel="1">
      <c r="A36" s="113"/>
      <c r="B36" s="122" t="s">
        <v>131</v>
      </c>
      <c r="C36" s="127" t="str">
        <f>(C33*C30)*C29</f>
        <v>#DIV/0!</v>
      </c>
      <c r="D36" s="107"/>
      <c r="E36" s="122" t="s">
        <v>131</v>
      </c>
      <c r="F36" s="127" t="str">
        <f>F27/F31</f>
        <v>#DIV/0!</v>
      </c>
      <c r="G36" s="110"/>
      <c r="H36" s="122" t="s">
        <v>132</v>
      </c>
      <c r="I36" s="127" t="str">
        <f>I33*I30*I29</f>
        <v>#DIV/0!</v>
      </c>
      <c r="J36" s="135"/>
      <c r="K36" s="122" t="s">
        <v>133</v>
      </c>
      <c r="L36" s="133">
        <v>0.3</v>
      </c>
      <c r="M36" s="127" t="str">
        <f>I38/100*L36*100</f>
        <v>#DIV/0!</v>
      </c>
      <c r="N36" s="142" t="str">
        <f>M36/I29</f>
        <v>#DIV/0!</v>
      </c>
      <c r="O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ht="15.75" hidden="1" customHeight="1" outlineLevel="1">
      <c r="A37" s="113"/>
      <c r="B37" s="122" t="s">
        <v>135</v>
      </c>
      <c r="C37" s="150" t="str">
        <f>C36/C27</f>
        <v>#DIV/0!</v>
      </c>
      <c r="D37" s="107"/>
      <c r="E37" s="122" t="s">
        <v>135</v>
      </c>
      <c r="F37" s="150" t="str">
        <f>F36/F38</f>
        <v>#DIV/0!</v>
      </c>
      <c r="G37" s="110"/>
      <c r="H37" s="122" t="s">
        <v>135</v>
      </c>
      <c r="I37" s="150" t="str">
        <f>I36/I27</f>
        <v>#DIV/0!</v>
      </c>
      <c r="J37" s="135"/>
      <c r="K37" s="122" t="s">
        <v>136</v>
      </c>
      <c r="L37" s="133">
        <v>0.15</v>
      </c>
      <c r="M37" s="127" t="str">
        <f>I38/100*L37*100</f>
        <v>#DIV/0!</v>
      </c>
      <c r="N37" s="142" t="str">
        <f>M37/I29</f>
        <v>#DIV/0!</v>
      </c>
      <c r="O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t="15.75" hidden="1" customHeight="1" outlineLevel="1">
      <c r="A38" s="113"/>
      <c r="B38" s="53" t="s">
        <v>138</v>
      </c>
      <c r="C38" s="152" t="str">
        <f>C36*C31</f>
        <v>#DIV/0!</v>
      </c>
      <c r="D38" s="107"/>
      <c r="E38" s="53" t="s">
        <v>139</v>
      </c>
      <c r="F38" s="152" t="str">
        <f>F33*F28</f>
        <v>#DIV/0!</v>
      </c>
      <c r="G38" s="110"/>
      <c r="H38" s="53" t="s">
        <v>104</v>
      </c>
      <c r="I38" s="153" t="str">
        <f>I36*I31</f>
        <v>#DIV/0!</v>
      </c>
      <c r="J38" s="135"/>
      <c r="K38" s="122" t="s">
        <v>87</v>
      </c>
      <c r="L38" s="154">
        <v>0.15</v>
      </c>
      <c r="M38" s="127" t="str">
        <f>I38/100*L38*100</f>
        <v>#DIV/0!</v>
      </c>
      <c r="N38" s="142" t="str">
        <f>M38/I29</f>
        <v>#DIV/0!</v>
      </c>
      <c r="O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ht="15.75" hidden="1" customHeight="1" outlineLevel="1">
      <c r="A39" s="113"/>
      <c r="B39" s="122" t="s">
        <v>142</v>
      </c>
      <c r="C39" s="150" t="str">
        <f>C38/C27</f>
        <v>#DIV/0!</v>
      </c>
      <c r="D39" s="107"/>
      <c r="E39" s="122" t="s">
        <v>143</v>
      </c>
      <c r="F39" s="150" t="str">
        <f>F27/F38</f>
        <v>#DIV/0!</v>
      </c>
      <c r="G39" s="110"/>
      <c r="H39" s="122" t="s">
        <v>142</v>
      </c>
      <c r="I39" s="155" t="str">
        <f>I38/I27</f>
        <v>#DIV/0!</v>
      </c>
      <c r="J39" s="135"/>
      <c r="K39" s="135"/>
      <c r="L39" s="156">
        <f>SUM(L34:L38)</f>
        <v>1</v>
      </c>
      <c r="N39" s="157" t="str">
        <f>SUM(N34:N38)</f>
        <v>#DIV/0!</v>
      </c>
      <c r="O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ht="15.75" hidden="1" customHeight="1" outlineLevel="1">
      <c r="A40" s="135"/>
      <c r="B40" s="135"/>
      <c r="C40" s="135"/>
      <c r="D40" s="107"/>
      <c r="E40" s="107"/>
      <c r="F40" s="107"/>
      <c r="G40" s="110"/>
      <c r="H40" s="135"/>
      <c r="I40" s="135"/>
      <c r="J40" s="135"/>
      <c r="O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ht="15.75" hidden="1" customHeight="1" outlineLevel="1">
      <c r="A41" s="104"/>
      <c r="B41" s="158" t="s">
        <v>146</v>
      </c>
      <c r="C41" s="41"/>
      <c r="D41" s="107"/>
      <c r="E41" s="158" t="s">
        <v>147</v>
      </c>
      <c r="F41" s="41"/>
      <c r="G41" s="110"/>
      <c r="H41" s="158" t="s">
        <v>148</v>
      </c>
      <c r="I41" s="41"/>
      <c r="J41" s="135"/>
      <c r="K41" s="62" t="s">
        <v>149</v>
      </c>
      <c r="L41" s="62" t="s">
        <v>150</v>
      </c>
      <c r="M41" s="62" t="s">
        <v>151</v>
      </c>
      <c r="N41" s="62" t="s">
        <v>152</v>
      </c>
      <c r="O41" s="62" t="s">
        <v>153</v>
      </c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 ht="15.75" hidden="1" customHeight="1" outlineLevel="1">
      <c r="A42" s="113"/>
      <c r="B42" s="122" t="s">
        <v>155</v>
      </c>
      <c r="C42" s="127">
        <f>C27/30</f>
        <v>0</v>
      </c>
      <c r="D42" s="107"/>
      <c r="E42" s="122" t="s">
        <v>155</v>
      </c>
      <c r="F42" s="127">
        <f>F27/30</f>
        <v>0</v>
      </c>
      <c r="G42" s="110"/>
      <c r="H42" s="122" t="s">
        <v>155</v>
      </c>
      <c r="I42" s="127">
        <f>I27/'Acompanhamento Geral'!B34</f>
        <v>0</v>
      </c>
      <c r="J42" s="135"/>
      <c r="K42" s="62" t="s">
        <v>118</v>
      </c>
      <c r="L42" s="159">
        <v>0.7</v>
      </c>
      <c r="M42" s="160">
        <v>0.3</v>
      </c>
      <c r="N42" s="161">
        <v>0.0</v>
      </c>
      <c r="O42" s="162">
        <f t="shared" ref="O42:O43" si="10">sum(L42:N42)</f>
        <v>1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ht="15.75" hidden="1" customHeight="1" outlineLevel="1">
      <c r="A43" s="113"/>
      <c r="B43" s="122" t="s">
        <v>156</v>
      </c>
      <c r="C43" s="148" t="str">
        <f>C33/30</f>
        <v>#DIV/0!</v>
      </c>
      <c r="D43" s="107"/>
      <c r="E43" s="122" t="s">
        <v>156</v>
      </c>
      <c r="F43" s="148" t="str">
        <f>F33/30</f>
        <v>#DIV/0!</v>
      </c>
      <c r="G43" s="110"/>
      <c r="H43" s="122" t="s">
        <v>156</v>
      </c>
      <c r="I43" s="148" t="str">
        <f>I33/'Acompanhamento Geral'!B34</f>
        <v>#DIV/0!</v>
      </c>
      <c r="J43" s="135"/>
      <c r="K43" s="165" t="s">
        <v>157</v>
      </c>
      <c r="L43" s="166">
        <f>I27*L42</f>
        <v>0</v>
      </c>
      <c r="M43" s="166">
        <f>I27*M42</f>
        <v>0</v>
      </c>
      <c r="N43" s="166">
        <f>I27*N42</f>
        <v>0</v>
      </c>
      <c r="O43" s="167">
        <f t="shared" si="10"/>
        <v>0</v>
      </c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 ht="15.75" hidden="1" customHeight="1" outlineLevel="1">
      <c r="A44" s="113"/>
      <c r="B44" s="122" t="s">
        <v>158</v>
      </c>
      <c r="C44" s="148" t="str">
        <f t="shared" ref="C44:C45" si="11">C35/30</f>
        <v>#DIV/0!</v>
      </c>
      <c r="D44" s="107"/>
      <c r="E44" s="122" t="s">
        <v>158</v>
      </c>
      <c r="F44" s="148" t="str">
        <f t="shared" ref="F44:F45" si="12">F35/30</f>
        <v>#DIV/0!</v>
      </c>
      <c r="G44" s="110"/>
      <c r="H44" s="122" t="s">
        <v>158</v>
      </c>
      <c r="I44" s="148" t="str">
        <f>I35/'Acompanhamento Geral'!B34</f>
        <v>#DIV/0!</v>
      </c>
      <c r="J44" s="135"/>
      <c r="K44" s="165" t="s">
        <v>159</v>
      </c>
      <c r="L44" s="168">
        <f>L43/'Acompanhamento Geral'!B34</f>
        <v>0</v>
      </c>
      <c r="M44" s="168">
        <f>M43/'Acompanhamento Geral'!B34</f>
        <v>0</v>
      </c>
      <c r="N44" s="168">
        <f>iferror(N43/'Acompanhamento Geral'!B34,"")</f>
        <v>0</v>
      </c>
      <c r="O44" s="167">
        <f>SUM(L44:N44)</f>
        <v>0</v>
      </c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ht="15.75" hidden="1" customHeight="1" outlineLevel="1">
      <c r="A45" s="113"/>
      <c r="B45" s="122" t="s">
        <v>160</v>
      </c>
      <c r="C45" s="127" t="str">
        <f t="shared" si="11"/>
        <v>#DIV/0!</v>
      </c>
      <c r="D45" s="107"/>
      <c r="E45" s="122" t="s">
        <v>160</v>
      </c>
      <c r="F45" s="127" t="str">
        <f t="shared" si="12"/>
        <v>#DIV/0!</v>
      </c>
      <c r="G45" s="110"/>
      <c r="H45" s="122" t="s">
        <v>160</v>
      </c>
      <c r="I45" s="127" t="str">
        <f>I36/'Acompanhamento Geral'!B34</f>
        <v>#DIV/0!</v>
      </c>
      <c r="J45" s="135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 ht="15.75" hidden="1" customHeight="1" outlineLevel="1">
      <c r="A46" s="50"/>
      <c r="B46" s="50"/>
      <c r="C46" s="181"/>
      <c r="D46" s="50"/>
      <c r="E46" s="50"/>
      <c r="F46" s="181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ht="30.0" customHeight="1" collapsed="1">
      <c r="A47" s="92"/>
      <c r="B47" s="93" t="s">
        <v>23</v>
      </c>
      <c r="D47" s="94"/>
      <c r="E47" s="94"/>
      <c r="F47" s="94"/>
      <c r="G47" s="95"/>
      <c r="H47" s="94"/>
      <c r="I47" s="94"/>
      <c r="J47" s="96"/>
      <c r="K47" s="96"/>
      <c r="L47" s="96"/>
      <c r="M47" s="97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</row>
    <row r="48" ht="15.75" hidden="1" customHeight="1" outlineLevel="1">
      <c r="A48" s="99"/>
      <c r="B48" s="99"/>
      <c r="C48" s="99"/>
      <c r="D48" s="100"/>
      <c r="E48" s="99"/>
      <c r="F48" s="99"/>
      <c r="G48" s="101"/>
      <c r="H48" s="99"/>
      <c r="I48" s="99"/>
      <c r="J48" s="99"/>
      <c r="K48" s="99"/>
      <c r="L48" s="99"/>
      <c r="M48" s="102"/>
      <c r="N48" s="103"/>
      <c r="O48" s="103"/>
      <c r="P48" s="103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ht="15.75" hidden="1" customHeight="1" outlineLevel="1">
      <c r="A49" s="104"/>
      <c r="B49" s="178" t="s">
        <v>97</v>
      </c>
      <c r="C49" s="179"/>
      <c r="D49" s="107"/>
      <c r="E49" s="180" t="s">
        <v>98</v>
      </c>
      <c r="F49" s="41"/>
      <c r="G49" s="110"/>
      <c r="H49" s="180" t="s">
        <v>99</v>
      </c>
      <c r="I49" s="41"/>
      <c r="J49" s="180" t="s">
        <v>100</v>
      </c>
      <c r="K49" s="53" t="s">
        <v>101</v>
      </c>
      <c r="L49" s="53" t="s">
        <v>102</v>
      </c>
      <c r="M49" s="112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ht="15.75" hidden="1" customHeight="1" outlineLevel="1">
      <c r="A50" s="113"/>
      <c r="B50" s="114" t="s">
        <v>103</v>
      </c>
      <c r="C50" s="115"/>
      <c r="D50" s="107"/>
      <c r="E50" s="53" t="s">
        <v>104</v>
      </c>
      <c r="F50" s="116"/>
      <c r="G50" s="110"/>
      <c r="H50" s="53" t="s">
        <v>105</v>
      </c>
      <c r="I50" s="117"/>
      <c r="J50" s="118"/>
      <c r="K50" s="119" t="str">
        <f t="shared" ref="K50:K54" si="13">(I50-J50)/J50*1</f>
        <v>#DIV/0!</v>
      </c>
      <c r="L50" s="120">
        <v>0.4</v>
      </c>
      <c r="M50" s="121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ht="15.75" hidden="1" customHeight="1" outlineLevel="1">
      <c r="A51" s="113"/>
      <c r="B51" s="114" t="s">
        <v>67</v>
      </c>
      <c r="C51" s="115"/>
      <c r="D51" s="107"/>
      <c r="E51" s="122" t="s">
        <v>106</v>
      </c>
      <c r="F51" s="123" t="str">
        <f t="shared" ref="F51:F54" si="14">C51</f>
        <v/>
      </c>
      <c r="G51" s="110"/>
      <c r="H51" s="114" t="s">
        <v>107</v>
      </c>
      <c r="I51" s="124"/>
      <c r="J51" s="125"/>
      <c r="K51" s="126" t="str">
        <f t="shared" si="13"/>
        <v>#DIV/0!</v>
      </c>
      <c r="L51" s="120">
        <v>-0.1</v>
      </c>
      <c r="M51" s="112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 ht="15.75" hidden="1" customHeight="1" outlineLevel="1">
      <c r="A52" s="113"/>
      <c r="B52" s="114" t="s">
        <v>72</v>
      </c>
      <c r="C52" s="115"/>
      <c r="D52" s="107"/>
      <c r="E52" s="122" t="s">
        <v>72</v>
      </c>
      <c r="F52" s="127" t="str">
        <f t="shared" si="14"/>
        <v/>
      </c>
      <c r="G52" s="110"/>
      <c r="H52" s="114" t="s">
        <v>108</v>
      </c>
      <c r="I52" s="124"/>
      <c r="J52" s="125"/>
      <c r="K52" s="126" t="str">
        <f t="shared" si="13"/>
        <v>#DIV/0!</v>
      </c>
      <c r="L52" s="120">
        <v>0.1</v>
      </c>
      <c r="M52" s="112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ht="15.75" hidden="1" customHeight="1" outlineLevel="1">
      <c r="A53" s="113"/>
      <c r="B53" s="114" t="s">
        <v>109</v>
      </c>
      <c r="C53" s="128"/>
      <c r="D53" s="107"/>
      <c r="E53" s="122" t="s">
        <v>110</v>
      </c>
      <c r="F53" s="129" t="str">
        <f t="shared" si="14"/>
        <v/>
      </c>
      <c r="G53" s="110"/>
      <c r="H53" s="114" t="s">
        <v>111</v>
      </c>
      <c r="I53" s="130"/>
      <c r="J53" s="131"/>
      <c r="K53" s="126" t="str">
        <f t="shared" si="13"/>
        <v>#DIV/0!</v>
      </c>
      <c r="L53" s="120">
        <v>0.1</v>
      </c>
      <c r="M53" s="112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 ht="15.75" hidden="1" customHeight="1" outlineLevel="1">
      <c r="A54" s="113"/>
      <c r="B54" s="114" t="s">
        <v>112</v>
      </c>
      <c r="C54" s="128"/>
      <c r="D54" s="107"/>
      <c r="E54" s="122" t="s">
        <v>113</v>
      </c>
      <c r="F54" s="132" t="str">
        <f t="shared" si="14"/>
        <v/>
      </c>
      <c r="G54" s="110"/>
      <c r="H54" s="114" t="s">
        <v>114</v>
      </c>
      <c r="I54" s="133"/>
      <c r="J54" s="134"/>
      <c r="K54" s="126" t="str">
        <f t="shared" si="13"/>
        <v>#DIV/0!</v>
      </c>
      <c r="L54" s="120">
        <v>0.03</v>
      </c>
      <c r="M54" s="112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ht="15.75" hidden="1" customHeight="1" outlineLevel="1">
      <c r="A55" s="135"/>
      <c r="B55" s="135"/>
      <c r="C55" s="135"/>
      <c r="D55" s="107"/>
      <c r="E55" s="135"/>
      <c r="G55" s="110"/>
      <c r="H55" s="135"/>
      <c r="I55" s="135"/>
      <c r="J55" s="135"/>
      <c r="K55" s="135"/>
      <c r="L55" s="135"/>
      <c r="M55" s="112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ht="15.75" hidden="1" customHeight="1" outlineLevel="1">
      <c r="A56" s="113"/>
      <c r="B56" s="122" t="s">
        <v>115</v>
      </c>
      <c r="C56" s="136" t="str">
        <f>C50/C51</f>
        <v>#DIV/0!</v>
      </c>
      <c r="D56" s="107"/>
      <c r="E56" s="122" t="s">
        <v>116</v>
      </c>
      <c r="F56" s="137" t="str">
        <f>F58/F53</f>
        <v>#DIV/0!</v>
      </c>
      <c r="G56" s="110"/>
      <c r="H56" s="138" t="s">
        <v>116</v>
      </c>
      <c r="I56" s="137" t="str">
        <f>I50/I51</f>
        <v>#DIV/0!</v>
      </c>
      <c r="J56" s="135"/>
      <c r="K56" s="139" t="s">
        <v>117</v>
      </c>
      <c r="L56" s="62" t="s">
        <v>118</v>
      </c>
      <c r="M56" s="140" t="s">
        <v>4</v>
      </c>
      <c r="N56" s="62" t="s">
        <v>119</v>
      </c>
      <c r="O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ht="15.75" hidden="1" customHeight="1" outlineLevel="1">
      <c r="A57" s="113"/>
      <c r="B57" s="122" t="s">
        <v>8</v>
      </c>
      <c r="C57" s="127" t="str">
        <f>C50/C58</f>
        <v>#DIV/0!</v>
      </c>
      <c r="D57" s="107"/>
      <c r="E57" s="122" t="s">
        <v>124</v>
      </c>
      <c r="F57" s="148" t="str">
        <f>F61/F58</f>
        <v>#DIV/0!</v>
      </c>
      <c r="G57" s="110"/>
      <c r="H57" s="122" t="s">
        <v>124</v>
      </c>
      <c r="I57" s="123" t="str">
        <f>I50/I58</f>
        <v>#DIV/0!</v>
      </c>
      <c r="J57" s="135"/>
      <c r="K57" s="122" t="s">
        <v>125</v>
      </c>
      <c r="L57" s="141">
        <v>0.2</v>
      </c>
      <c r="M57" s="127" t="str">
        <f>I61/100*L57*100</f>
        <v>#DIV/0!</v>
      </c>
      <c r="N57" s="142" t="str">
        <f>M57/I52</f>
        <v>#DIV/0!</v>
      </c>
      <c r="O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 ht="15.75" hidden="1" customHeight="1" outlineLevel="1">
      <c r="A58" s="113"/>
      <c r="B58" s="122" t="s">
        <v>71</v>
      </c>
      <c r="C58" s="148" t="str">
        <f>C56*C53</f>
        <v>#DIV/0!</v>
      </c>
      <c r="D58" s="107"/>
      <c r="E58" s="122" t="s">
        <v>128</v>
      </c>
      <c r="F58" s="148" t="str">
        <f>F59/F52</f>
        <v>#DIV/0!</v>
      </c>
      <c r="G58" s="110"/>
      <c r="H58" s="122" t="s">
        <v>128</v>
      </c>
      <c r="I58" s="148" t="str">
        <f>I56*I53</f>
        <v>#DIV/0!</v>
      </c>
      <c r="J58" s="135"/>
      <c r="K58" s="122" t="s">
        <v>129</v>
      </c>
      <c r="L58" s="133">
        <v>0.2</v>
      </c>
      <c r="M58" s="127" t="str">
        <f>I61/100*L58*100</f>
        <v>#DIV/0!</v>
      </c>
      <c r="N58" s="142" t="str">
        <f>M58/I52</f>
        <v>#DIV/0!</v>
      </c>
      <c r="O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ht="15.75" hidden="1" customHeight="1" outlineLevel="1">
      <c r="A59" s="113"/>
      <c r="B59" s="122" t="s">
        <v>131</v>
      </c>
      <c r="C59" s="127" t="str">
        <f>(C56*C53)*C52</f>
        <v>#DIV/0!</v>
      </c>
      <c r="D59" s="107"/>
      <c r="E59" s="122" t="s">
        <v>131</v>
      </c>
      <c r="F59" s="127" t="str">
        <f>F50/F54</f>
        <v>#DIV/0!</v>
      </c>
      <c r="G59" s="110"/>
      <c r="H59" s="122" t="s">
        <v>132</v>
      </c>
      <c r="I59" s="127" t="str">
        <f>I56*I53*I52</f>
        <v>#DIV/0!</v>
      </c>
      <c r="J59" s="135"/>
      <c r="K59" s="122" t="s">
        <v>133</v>
      </c>
      <c r="L59" s="133">
        <v>0.3</v>
      </c>
      <c r="M59" s="127" t="str">
        <f>I61/100*L59*100</f>
        <v>#DIV/0!</v>
      </c>
      <c r="N59" s="142" t="str">
        <f>M59/I52</f>
        <v>#DIV/0!</v>
      </c>
      <c r="O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 ht="15.75" hidden="1" customHeight="1" outlineLevel="1">
      <c r="A60" s="113"/>
      <c r="B60" s="122" t="s">
        <v>135</v>
      </c>
      <c r="C60" s="150" t="str">
        <f>C59/C50</f>
        <v>#DIV/0!</v>
      </c>
      <c r="D60" s="107"/>
      <c r="E60" s="122" t="s">
        <v>135</v>
      </c>
      <c r="F60" s="150" t="str">
        <f>F59/F61</f>
        <v>#DIV/0!</v>
      </c>
      <c r="G60" s="110"/>
      <c r="H60" s="122" t="s">
        <v>135</v>
      </c>
      <c r="I60" s="150" t="str">
        <f>I59/I50</f>
        <v>#DIV/0!</v>
      </c>
      <c r="J60" s="135"/>
      <c r="K60" s="122" t="s">
        <v>136</v>
      </c>
      <c r="L60" s="133">
        <v>0.15</v>
      </c>
      <c r="M60" s="127" t="str">
        <f>I61/100*L60*100</f>
        <v>#DIV/0!</v>
      </c>
      <c r="N60" s="142" t="str">
        <f>M60/I52</f>
        <v>#DIV/0!</v>
      </c>
      <c r="O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ht="15.75" hidden="1" customHeight="1" outlineLevel="1">
      <c r="A61" s="113"/>
      <c r="B61" s="53" t="s">
        <v>138</v>
      </c>
      <c r="C61" s="152" t="str">
        <f>C59*C54</f>
        <v>#DIV/0!</v>
      </c>
      <c r="D61" s="107"/>
      <c r="E61" s="53" t="s">
        <v>139</v>
      </c>
      <c r="F61" s="152" t="str">
        <f>F56*F51</f>
        <v>#DIV/0!</v>
      </c>
      <c r="G61" s="110"/>
      <c r="H61" s="53" t="s">
        <v>104</v>
      </c>
      <c r="I61" s="153" t="str">
        <f>I59*I54</f>
        <v>#DIV/0!</v>
      </c>
      <c r="J61" s="135"/>
      <c r="K61" s="122" t="s">
        <v>87</v>
      </c>
      <c r="L61" s="154">
        <v>0.15</v>
      </c>
      <c r="M61" s="127" t="str">
        <f>I61/100*L61*100</f>
        <v>#DIV/0!</v>
      </c>
      <c r="N61" s="142" t="str">
        <f>M61/I52</f>
        <v>#DIV/0!</v>
      </c>
      <c r="O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ht="15.75" hidden="1" customHeight="1" outlineLevel="1">
      <c r="A62" s="113"/>
      <c r="B62" s="122" t="s">
        <v>142</v>
      </c>
      <c r="C62" s="150" t="str">
        <f>C61/C50</f>
        <v>#DIV/0!</v>
      </c>
      <c r="D62" s="107"/>
      <c r="E62" s="122" t="s">
        <v>143</v>
      </c>
      <c r="F62" s="150" t="str">
        <f>F50/F61</f>
        <v>#DIV/0!</v>
      </c>
      <c r="G62" s="110"/>
      <c r="H62" s="122" t="s">
        <v>142</v>
      </c>
      <c r="I62" s="155" t="str">
        <f>I61/I50</f>
        <v>#DIV/0!</v>
      </c>
      <c r="J62" s="135"/>
      <c r="K62" s="135"/>
      <c r="L62" s="156">
        <f>SUM(L57:L61)</f>
        <v>1</v>
      </c>
      <c r="N62" s="157" t="str">
        <f>SUM(N57:N61)</f>
        <v>#DIV/0!</v>
      </c>
      <c r="O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ht="15.75" hidden="1" customHeight="1" outlineLevel="1">
      <c r="A63" s="135"/>
      <c r="B63" s="135"/>
      <c r="C63" s="135"/>
      <c r="D63" s="107"/>
      <c r="E63" s="107"/>
      <c r="F63" s="107"/>
      <c r="G63" s="110"/>
      <c r="H63" s="135"/>
      <c r="I63" s="135"/>
      <c r="J63" s="135"/>
      <c r="O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 ht="15.75" hidden="1" customHeight="1" outlineLevel="1">
      <c r="A64" s="104"/>
      <c r="B64" s="158" t="s">
        <v>146</v>
      </c>
      <c r="C64" s="41"/>
      <c r="D64" s="107"/>
      <c r="E64" s="158" t="s">
        <v>147</v>
      </c>
      <c r="F64" s="41"/>
      <c r="G64" s="110"/>
      <c r="H64" s="158" t="s">
        <v>148</v>
      </c>
      <c r="I64" s="41"/>
      <c r="J64" s="135"/>
      <c r="K64" s="62" t="s">
        <v>149</v>
      </c>
      <c r="L64" s="62" t="s">
        <v>150</v>
      </c>
      <c r="M64" s="62" t="s">
        <v>151</v>
      </c>
      <c r="N64" s="62" t="s">
        <v>152</v>
      </c>
      <c r="O64" s="62" t="s">
        <v>153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ht="15.75" hidden="1" customHeight="1" outlineLevel="1">
      <c r="A65" s="113"/>
      <c r="B65" s="122" t="s">
        <v>155</v>
      </c>
      <c r="C65" s="127">
        <f>C50/30</f>
        <v>0</v>
      </c>
      <c r="D65" s="107"/>
      <c r="E65" s="122" t="s">
        <v>155</v>
      </c>
      <c r="F65" s="127">
        <f>F50/30</f>
        <v>0</v>
      </c>
      <c r="G65" s="110"/>
      <c r="H65" s="122" t="s">
        <v>155</v>
      </c>
      <c r="I65" s="127">
        <f>I50/'Acompanhamento Geral'!B64</f>
        <v>0</v>
      </c>
      <c r="J65" s="135"/>
      <c r="K65" s="62" t="s">
        <v>118</v>
      </c>
      <c r="L65" s="159">
        <v>0.7</v>
      </c>
      <c r="M65" s="160">
        <v>0.3</v>
      </c>
      <c r="N65" s="161">
        <v>0.0</v>
      </c>
      <c r="O65" s="162">
        <f t="shared" ref="O65:O66" si="15">sum(L65:N65)</f>
        <v>1</v>
      </c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 ht="15.75" hidden="1" customHeight="1" outlineLevel="1">
      <c r="A66" s="113"/>
      <c r="B66" s="122" t="s">
        <v>156</v>
      </c>
      <c r="C66" s="148" t="str">
        <f>C56/30</f>
        <v>#DIV/0!</v>
      </c>
      <c r="D66" s="107"/>
      <c r="E66" s="122" t="s">
        <v>156</v>
      </c>
      <c r="F66" s="148" t="str">
        <f>F56/30</f>
        <v>#DIV/0!</v>
      </c>
      <c r="G66" s="110"/>
      <c r="H66" s="122" t="s">
        <v>156</v>
      </c>
      <c r="I66" s="148" t="str">
        <f>I56/'Acompanhamento Geral'!B64</f>
        <v>#DIV/0!</v>
      </c>
      <c r="J66" s="135"/>
      <c r="K66" s="165" t="s">
        <v>157</v>
      </c>
      <c r="L66" s="166">
        <f>I50*L65</f>
        <v>0</v>
      </c>
      <c r="M66" s="166">
        <f>I50*M65</f>
        <v>0</v>
      </c>
      <c r="N66" s="166">
        <f>I50*N65</f>
        <v>0</v>
      </c>
      <c r="O66" s="167">
        <f t="shared" si="15"/>
        <v>0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ht="15.75" hidden="1" customHeight="1" outlineLevel="1">
      <c r="A67" s="113"/>
      <c r="B67" s="122" t="s">
        <v>158</v>
      </c>
      <c r="C67" s="148" t="str">
        <f t="shared" ref="C67:C68" si="16">C58/30</f>
        <v>#DIV/0!</v>
      </c>
      <c r="D67" s="107"/>
      <c r="E67" s="122" t="s">
        <v>158</v>
      </c>
      <c r="F67" s="148" t="str">
        <f t="shared" ref="F67:F68" si="17">F58/30</f>
        <v>#DIV/0!</v>
      </c>
      <c r="G67" s="110"/>
      <c r="H67" s="122" t="s">
        <v>158</v>
      </c>
      <c r="I67" s="148" t="str">
        <f>I58/'Acompanhamento Geral'!B64</f>
        <v>#DIV/0!</v>
      </c>
      <c r="J67" s="135"/>
      <c r="K67" s="165" t="s">
        <v>159</v>
      </c>
      <c r="L67" s="168">
        <f>L66/'Acompanhamento Geral'!B64</f>
        <v>0</v>
      </c>
      <c r="M67" s="168">
        <f>M66/'Acompanhamento Geral'!B64</f>
        <v>0</v>
      </c>
      <c r="N67" s="168">
        <f>iferror(N66/'Acompanhamento Geral'!B64,"")</f>
        <v>0</v>
      </c>
      <c r="O67" s="167">
        <f>SUM(L67:N67)</f>
        <v>0</v>
      </c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 ht="15.75" hidden="1" customHeight="1" outlineLevel="1">
      <c r="A68" s="113"/>
      <c r="B68" s="122" t="s">
        <v>160</v>
      </c>
      <c r="C68" s="127" t="str">
        <f t="shared" si="16"/>
        <v>#DIV/0!</v>
      </c>
      <c r="D68" s="107"/>
      <c r="E68" s="122" t="s">
        <v>160</v>
      </c>
      <c r="F68" s="127" t="str">
        <f t="shared" si="17"/>
        <v>#DIV/0!</v>
      </c>
      <c r="G68" s="110"/>
      <c r="H68" s="122" t="s">
        <v>160</v>
      </c>
      <c r="I68" s="127" t="str">
        <f>I59/'Acompanhamento Geral'!B64</f>
        <v>#DIV/0!</v>
      </c>
      <c r="J68" s="135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ht="15.75" hidden="1" customHeight="1" outlineLevel="1">
      <c r="A69" s="50"/>
      <c r="B69" s="50"/>
      <c r="C69" s="181"/>
      <c r="D69" s="50"/>
      <c r="E69" s="50"/>
      <c r="F69" s="181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 ht="30.0" customHeight="1" collapsed="1">
      <c r="A70" s="169"/>
      <c r="B70" s="170" t="s">
        <v>24</v>
      </c>
      <c r="D70" s="171"/>
      <c r="E70" s="171"/>
      <c r="F70" s="171"/>
      <c r="G70" s="172"/>
      <c r="H70" s="171"/>
      <c r="I70" s="171"/>
      <c r="J70" s="173"/>
      <c r="K70" s="173"/>
      <c r="L70" s="173"/>
      <c r="M70" s="174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</row>
    <row r="71" ht="15.75" hidden="1" customHeight="1" outlineLevel="1">
      <c r="A71" s="99"/>
      <c r="B71" s="99"/>
      <c r="C71" s="99"/>
      <c r="D71" s="100"/>
      <c r="E71" s="99"/>
      <c r="F71" s="99"/>
      <c r="G71" s="101"/>
      <c r="H71" s="99"/>
      <c r="I71" s="99"/>
      <c r="J71" s="99"/>
      <c r="K71" s="99"/>
      <c r="L71" s="99"/>
      <c r="M71" s="102"/>
      <c r="N71" s="103"/>
      <c r="O71" s="103"/>
      <c r="P71" s="103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 ht="15.75" hidden="1" customHeight="1" outlineLevel="1">
      <c r="A72" s="104"/>
      <c r="B72" s="178" t="s">
        <v>97</v>
      </c>
      <c r="C72" s="179"/>
      <c r="D72" s="107"/>
      <c r="E72" s="180" t="s">
        <v>98</v>
      </c>
      <c r="F72" s="41"/>
      <c r="G72" s="110"/>
      <c r="H72" s="180" t="s">
        <v>99</v>
      </c>
      <c r="I72" s="41"/>
      <c r="J72" s="180" t="s">
        <v>100</v>
      </c>
      <c r="K72" s="53" t="s">
        <v>101</v>
      </c>
      <c r="L72" s="53" t="s">
        <v>102</v>
      </c>
      <c r="M72" s="112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ht="15.75" hidden="1" customHeight="1" outlineLevel="1">
      <c r="A73" s="113"/>
      <c r="B73" s="114" t="s">
        <v>103</v>
      </c>
      <c r="C73" s="115"/>
      <c r="D73" s="107"/>
      <c r="E73" s="53" t="s">
        <v>104</v>
      </c>
      <c r="F73" s="116"/>
      <c r="G73" s="110"/>
      <c r="H73" s="53" t="s">
        <v>105</v>
      </c>
      <c r="I73" s="117"/>
      <c r="J73" s="118"/>
      <c r="K73" s="119" t="str">
        <f t="shared" ref="K73:K77" si="18">(I73-J73)/J73*1</f>
        <v>#DIV/0!</v>
      </c>
      <c r="L73" s="120">
        <v>0.4</v>
      </c>
      <c r="M73" s="121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 ht="15.75" hidden="1" customHeight="1" outlineLevel="1">
      <c r="A74" s="113"/>
      <c r="B74" s="114" t="s">
        <v>67</v>
      </c>
      <c r="C74" s="115"/>
      <c r="D74" s="107"/>
      <c r="E74" s="122" t="s">
        <v>106</v>
      </c>
      <c r="F74" s="123" t="str">
        <f t="shared" ref="F74:F77" si="19">C74</f>
        <v/>
      </c>
      <c r="G74" s="110"/>
      <c r="H74" s="114" t="s">
        <v>107</v>
      </c>
      <c r="I74" s="124"/>
      <c r="J74" s="125"/>
      <c r="K74" s="126" t="str">
        <f t="shared" si="18"/>
        <v>#DIV/0!</v>
      </c>
      <c r="L74" s="120">
        <v>-0.1</v>
      </c>
      <c r="M74" s="112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ht="15.75" hidden="1" customHeight="1" outlineLevel="1">
      <c r="A75" s="113"/>
      <c r="B75" s="114" t="s">
        <v>72</v>
      </c>
      <c r="C75" s="115"/>
      <c r="D75" s="107"/>
      <c r="E75" s="122" t="s">
        <v>72</v>
      </c>
      <c r="F75" s="127" t="str">
        <f t="shared" si="19"/>
        <v/>
      </c>
      <c r="G75" s="110"/>
      <c r="H75" s="114" t="s">
        <v>108</v>
      </c>
      <c r="I75" s="124"/>
      <c r="J75" s="125"/>
      <c r="K75" s="126" t="str">
        <f t="shared" si="18"/>
        <v>#DIV/0!</v>
      </c>
      <c r="L75" s="120">
        <v>0.1</v>
      </c>
      <c r="M75" s="112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 ht="15.75" hidden="1" customHeight="1" outlineLevel="1">
      <c r="A76" s="113"/>
      <c r="B76" s="114" t="s">
        <v>109</v>
      </c>
      <c r="C76" s="128"/>
      <c r="D76" s="107"/>
      <c r="E76" s="122" t="s">
        <v>110</v>
      </c>
      <c r="F76" s="129" t="str">
        <f t="shared" si="19"/>
        <v/>
      </c>
      <c r="G76" s="110"/>
      <c r="H76" s="114" t="s">
        <v>111</v>
      </c>
      <c r="I76" s="130"/>
      <c r="J76" s="131"/>
      <c r="K76" s="126" t="str">
        <f t="shared" si="18"/>
        <v>#DIV/0!</v>
      </c>
      <c r="L76" s="120">
        <v>0.1</v>
      </c>
      <c r="M76" s="112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ht="15.75" hidden="1" customHeight="1" outlineLevel="1">
      <c r="A77" s="113"/>
      <c r="B77" s="114" t="s">
        <v>112</v>
      </c>
      <c r="C77" s="128"/>
      <c r="D77" s="107"/>
      <c r="E77" s="122" t="s">
        <v>113</v>
      </c>
      <c r="F77" s="132" t="str">
        <f t="shared" si="19"/>
        <v/>
      </c>
      <c r="G77" s="110"/>
      <c r="H77" s="114" t="s">
        <v>114</v>
      </c>
      <c r="I77" s="133"/>
      <c r="J77" s="134"/>
      <c r="K77" s="126" t="str">
        <f t="shared" si="18"/>
        <v>#DIV/0!</v>
      </c>
      <c r="L77" s="120">
        <v>0.03</v>
      </c>
      <c r="M77" s="112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 ht="15.75" hidden="1" customHeight="1" outlineLevel="1">
      <c r="A78" s="135"/>
      <c r="B78" s="135"/>
      <c r="C78" s="135"/>
      <c r="D78" s="107"/>
      <c r="E78" s="135"/>
      <c r="G78" s="110"/>
      <c r="H78" s="135"/>
      <c r="I78" s="135"/>
      <c r="J78" s="135"/>
      <c r="K78" s="135"/>
      <c r="L78" s="135"/>
      <c r="M78" s="112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ht="15.75" hidden="1" customHeight="1" outlineLevel="1">
      <c r="A79" s="113"/>
      <c r="B79" s="122" t="s">
        <v>115</v>
      </c>
      <c r="C79" s="136" t="str">
        <f>C73/C74</f>
        <v>#DIV/0!</v>
      </c>
      <c r="D79" s="107"/>
      <c r="E79" s="122" t="s">
        <v>116</v>
      </c>
      <c r="F79" s="137" t="str">
        <f>F81/F76</f>
        <v>#DIV/0!</v>
      </c>
      <c r="G79" s="110"/>
      <c r="H79" s="138" t="s">
        <v>116</v>
      </c>
      <c r="I79" s="137" t="str">
        <f>I73/I74</f>
        <v>#DIV/0!</v>
      </c>
      <c r="J79" s="135"/>
      <c r="K79" s="139" t="s">
        <v>117</v>
      </c>
      <c r="L79" s="62" t="s">
        <v>118</v>
      </c>
      <c r="M79" s="140" t="s">
        <v>4</v>
      </c>
      <c r="N79" s="62" t="s">
        <v>119</v>
      </c>
      <c r="O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 ht="15.75" hidden="1" customHeight="1" outlineLevel="1">
      <c r="A80" s="113"/>
      <c r="B80" s="122" t="s">
        <v>8</v>
      </c>
      <c r="C80" s="127" t="str">
        <f>C73/C81</f>
        <v>#DIV/0!</v>
      </c>
      <c r="D80" s="107"/>
      <c r="E80" s="122" t="s">
        <v>124</v>
      </c>
      <c r="F80" s="148" t="str">
        <f>F84/F81</f>
        <v>#DIV/0!</v>
      </c>
      <c r="G80" s="110"/>
      <c r="H80" s="122" t="s">
        <v>124</v>
      </c>
      <c r="I80" s="123" t="str">
        <f>I73/I81</f>
        <v>#DIV/0!</v>
      </c>
      <c r="J80" s="135"/>
      <c r="K80" s="122" t="s">
        <v>125</v>
      </c>
      <c r="L80" s="141">
        <v>0.2</v>
      </c>
      <c r="M80" s="127" t="str">
        <f>I84/100*L80*100</f>
        <v>#DIV/0!</v>
      </c>
      <c r="N80" s="142" t="str">
        <f>M80/I75</f>
        <v>#DIV/0!</v>
      </c>
      <c r="O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ht="15.75" hidden="1" customHeight="1" outlineLevel="1">
      <c r="A81" s="113"/>
      <c r="B81" s="122" t="s">
        <v>71</v>
      </c>
      <c r="C81" s="148" t="str">
        <f>C79*C76</f>
        <v>#DIV/0!</v>
      </c>
      <c r="D81" s="107"/>
      <c r="E81" s="122" t="s">
        <v>128</v>
      </c>
      <c r="F81" s="148" t="str">
        <f>F82/F75</f>
        <v>#DIV/0!</v>
      </c>
      <c r="G81" s="110"/>
      <c r="H81" s="122" t="s">
        <v>128</v>
      </c>
      <c r="I81" s="148" t="str">
        <f>I79*I76</f>
        <v>#DIV/0!</v>
      </c>
      <c r="J81" s="135"/>
      <c r="K81" s="122" t="s">
        <v>129</v>
      </c>
      <c r="L81" s="133">
        <v>0.2</v>
      </c>
      <c r="M81" s="127" t="str">
        <f>I84/100*L81*100</f>
        <v>#DIV/0!</v>
      </c>
      <c r="N81" s="142" t="str">
        <f>M81/I75</f>
        <v>#DIV/0!</v>
      </c>
      <c r="O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 ht="15.75" hidden="1" customHeight="1" outlineLevel="1">
      <c r="A82" s="113"/>
      <c r="B82" s="122" t="s">
        <v>131</v>
      </c>
      <c r="C82" s="127" t="str">
        <f>(C79*C76)*C75</f>
        <v>#DIV/0!</v>
      </c>
      <c r="D82" s="107"/>
      <c r="E82" s="122" t="s">
        <v>131</v>
      </c>
      <c r="F82" s="127" t="str">
        <f>F73/F77</f>
        <v>#DIV/0!</v>
      </c>
      <c r="G82" s="110"/>
      <c r="H82" s="122" t="s">
        <v>132</v>
      </c>
      <c r="I82" s="127" t="str">
        <f>I79*I76*I75</f>
        <v>#DIV/0!</v>
      </c>
      <c r="J82" s="135"/>
      <c r="K82" s="122" t="s">
        <v>133</v>
      </c>
      <c r="L82" s="133">
        <v>0.3</v>
      </c>
      <c r="M82" s="127" t="str">
        <f>I84/100*L82*100</f>
        <v>#DIV/0!</v>
      </c>
      <c r="N82" s="142" t="str">
        <f>M82/I75</f>
        <v>#DIV/0!</v>
      </c>
      <c r="O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ht="15.75" hidden="1" customHeight="1" outlineLevel="1">
      <c r="A83" s="113"/>
      <c r="B83" s="122" t="s">
        <v>135</v>
      </c>
      <c r="C83" s="150" t="str">
        <f>C82/C73</f>
        <v>#DIV/0!</v>
      </c>
      <c r="D83" s="107"/>
      <c r="E83" s="122" t="s">
        <v>135</v>
      </c>
      <c r="F83" s="150" t="str">
        <f>F82/F84</f>
        <v>#DIV/0!</v>
      </c>
      <c r="G83" s="110"/>
      <c r="H83" s="122" t="s">
        <v>135</v>
      </c>
      <c r="I83" s="150" t="str">
        <f>I82/I73</f>
        <v>#DIV/0!</v>
      </c>
      <c r="J83" s="135"/>
      <c r="K83" s="122" t="s">
        <v>136</v>
      </c>
      <c r="L83" s="133">
        <v>0.15</v>
      </c>
      <c r="M83" s="127" t="str">
        <f>I84/100*L83*100</f>
        <v>#DIV/0!</v>
      </c>
      <c r="N83" s="142" t="str">
        <f>M83/I75</f>
        <v>#DIV/0!</v>
      </c>
      <c r="O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 ht="15.75" hidden="1" customHeight="1" outlineLevel="1">
      <c r="A84" s="113"/>
      <c r="B84" s="53" t="s">
        <v>138</v>
      </c>
      <c r="C84" s="152" t="str">
        <f>C82*C77</f>
        <v>#DIV/0!</v>
      </c>
      <c r="D84" s="107"/>
      <c r="E84" s="53" t="s">
        <v>139</v>
      </c>
      <c r="F84" s="152" t="str">
        <f>F79*F74</f>
        <v>#DIV/0!</v>
      </c>
      <c r="G84" s="110"/>
      <c r="H84" s="53" t="s">
        <v>104</v>
      </c>
      <c r="I84" s="153" t="str">
        <f>I82*I77</f>
        <v>#DIV/0!</v>
      </c>
      <c r="J84" s="135"/>
      <c r="K84" s="122" t="s">
        <v>87</v>
      </c>
      <c r="L84" s="154">
        <v>0.15</v>
      </c>
      <c r="M84" s="127" t="str">
        <f>I84/100*L84*100</f>
        <v>#DIV/0!</v>
      </c>
      <c r="N84" s="142" t="str">
        <f>M84/I75</f>
        <v>#DIV/0!</v>
      </c>
      <c r="O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ht="15.75" hidden="1" customHeight="1" outlineLevel="1">
      <c r="A85" s="113"/>
      <c r="B85" s="122" t="s">
        <v>142</v>
      </c>
      <c r="C85" s="150" t="str">
        <f>C84/C73</f>
        <v>#DIV/0!</v>
      </c>
      <c r="D85" s="107"/>
      <c r="E85" s="122" t="s">
        <v>143</v>
      </c>
      <c r="F85" s="150" t="str">
        <f>F73/F84</f>
        <v>#DIV/0!</v>
      </c>
      <c r="G85" s="110"/>
      <c r="H85" s="122" t="s">
        <v>142</v>
      </c>
      <c r="I85" s="155" t="str">
        <f>I84/I73</f>
        <v>#DIV/0!</v>
      </c>
      <c r="J85" s="135"/>
      <c r="K85" s="135"/>
      <c r="L85" s="156">
        <f>SUM(L80:L84)</f>
        <v>1</v>
      </c>
      <c r="N85" s="157" t="str">
        <f>SUM(N80:N84)</f>
        <v>#DIV/0!</v>
      </c>
      <c r="O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 ht="15.75" hidden="1" customHeight="1" outlineLevel="1">
      <c r="A86" s="135"/>
      <c r="B86" s="135"/>
      <c r="C86" s="135"/>
      <c r="D86" s="107"/>
      <c r="E86" s="107"/>
      <c r="F86" s="107"/>
      <c r="G86" s="110"/>
      <c r="H86" s="135"/>
      <c r="I86" s="135"/>
      <c r="J86" s="135"/>
      <c r="O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ht="15.75" hidden="1" customHeight="1" outlineLevel="1">
      <c r="A87" s="104"/>
      <c r="B87" s="158" t="s">
        <v>146</v>
      </c>
      <c r="C87" s="41"/>
      <c r="D87" s="107"/>
      <c r="E87" s="158" t="s">
        <v>147</v>
      </c>
      <c r="F87" s="41"/>
      <c r="G87" s="110"/>
      <c r="H87" s="158" t="s">
        <v>148</v>
      </c>
      <c r="I87" s="41"/>
      <c r="J87" s="135"/>
      <c r="K87" s="62" t="s">
        <v>149</v>
      </c>
      <c r="L87" s="62" t="s">
        <v>150</v>
      </c>
      <c r="M87" s="62" t="s">
        <v>151</v>
      </c>
      <c r="N87" s="62" t="s">
        <v>152</v>
      </c>
      <c r="O87" s="62" t="s">
        <v>153</v>
      </c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 ht="15.75" hidden="1" customHeight="1" outlineLevel="1">
      <c r="A88" s="113"/>
      <c r="B88" s="122" t="s">
        <v>155</v>
      </c>
      <c r="C88" s="127">
        <f>C73/30</f>
        <v>0</v>
      </c>
      <c r="D88" s="107"/>
      <c r="E88" s="122" t="s">
        <v>155</v>
      </c>
      <c r="F88" s="127">
        <f>F73/30</f>
        <v>0</v>
      </c>
      <c r="G88" s="110"/>
      <c r="H88" s="122" t="s">
        <v>155</v>
      </c>
      <c r="I88" s="127">
        <f>I73/'Acompanhamento Geral'!B96</f>
        <v>0</v>
      </c>
      <c r="J88" s="135"/>
      <c r="K88" s="62" t="s">
        <v>118</v>
      </c>
      <c r="L88" s="159">
        <v>0.7</v>
      </c>
      <c r="M88" s="160">
        <v>0.3</v>
      </c>
      <c r="N88" s="161">
        <v>0.0</v>
      </c>
      <c r="O88" s="162">
        <f t="shared" ref="O88:O89" si="20">sum(L88:N88)</f>
        <v>1</v>
      </c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ht="15.75" hidden="1" customHeight="1" outlineLevel="1">
      <c r="A89" s="113"/>
      <c r="B89" s="122" t="s">
        <v>156</v>
      </c>
      <c r="C89" s="148" t="str">
        <f>C79/30</f>
        <v>#DIV/0!</v>
      </c>
      <c r="D89" s="107"/>
      <c r="E89" s="122" t="s">
        <v>156</v>
      </c>
      <c r="F89" s="148" t="str">
        <f>F79/30</f>
        <v>#DIV/0!</v>
      </c>
      <c r="G89" s="110"/>
      <c r="H89" s="122" t="s">
        <v>156</v>
      </c>
      <c r="I89" s="148" t="str">
        <f>I79/'Acompanhamento Geral'!B96</f>
        <v>#DIV/0!</v>
      </c>
      <c r="J89" s="135"/>
      <c r="K89" s="165" t="s">
        <v>157</v>
      </c>
      <c r="L89" s="166">
        <f>I73*L88</f>
        <v>0</v>
      </c>
      <c r="M89" s="166">
        <f>I73*M88</f>
        <v>0</v>
      </c>
      <c r="N89" s="166">
        <f>I73*N88</f>
        <v>0</v>
      </c>
      <c r="O89" s="167">
        <f t="shared" si="20"/>
        <v>0</v>
      </c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 ht="15.75" hidden="1" customHeight="1" outlineLevel="1">
      <c r="A90" s="113"/>
      <c r="B90" s="122" t="s">
        <v>158</v>
      </c>
      <c r="C90" s="148" t="str">
        <f t="shared" ref="C90:C91" si="21">C81/30</f>
        <v>#DIV/0!</v>
      </c>
      <c r="D90" s="107"/>
      <c r="E90" s="122" t="s">
        <v>158</v>
      </c>
      <c r="F90" s="148" t="str">
        <f t="shared" ref="F90:F91" si="22">F81/30</f>
        <v>#DIV/0!</v>
      </c>
      <c r="G90" s="110"/>
      <c r="H90" s="122" t="s">
        <v>158</v>
      </c>
      <c r="I90" s="148" t="str">
        <f>I81/'Acompanhamento Geral'!B96</f>
        <v>#DIV/0!</v>
      </c>
      <c r="J90" s="135"/>
      <c r="K90" s="165" t="s">
        <v>159</v>
      </c>
      <c r="L90" s="168">
        <f>L89/'Acompanhamento Geral'!B96</f>
        <v>0</v>
      </c>
      <c r="M90" s="168">
        <f>M89/'Acompanhamento Geral'!B96</f>
        <v>0</v>
      </c>
      <c r="N90" s="168">
        <f>iferror(N89/'Acompanhamento Geral'!B96,"")</f>
        <v>0</v>
      </c>
      <c r="O90" s="167">
        <f>SUM(L90:N90)</f>
        <v>0</v>
      </c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ht="15.75" hidden="1" customHeight="1" outlineLevel="1">
      <c r="A91" s="113"/>
      <c r="B91" s="122" t="s">
        <v>160</v>
      </c>
      <c r="C91" s="127" t="str">
        <f t="shared" si="21"/>
        <v>#DIV/0!</v>
      </c>
      <c r="D91" s="107"/>
      <c r="E91" s="122" t="s">
        <v>160</v>
      </c>
      <c r="F91" s="127" t="str">
        <f t="shared" si="22"/>
        <v>#DIV/0!</v>
      </c>
      <c r="G91" s="110"/>
      <c r="H91" s="122" t="s">
        <v>160</v>
      </c>
      <c r="I91" s="127" t="str">
        <f>I82/'Acompanhamento Geral'!B96</f>
        <v>#DIV/0!</v>
      </c>
      <c r="J91" s="135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 ht="15.75" hidden="1" customHeight="1" outlineLevel="1">
      <c r="A92" s="50"/>
      <c r="B92" s="50"/>
      <c r="C92" s="181"/>
      <c r="D92" s="50"/>
      <c r="E92" s="50"/>
      <c r="F92" s="181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ht="30.0" customHeight="1" collapsed="1">
      <c r="A93" s="92"/>
      <c r="B93" s="93" t="s">
        <v>25</v>
      </c>
      <c r="D93" s="94"/>
      <c r="E93" s="94"/>
      <c r="F93" s="94"/>
      <c r="G93" s="95"/>
      <c r="H93" s="94"/>
      <c r="I93" s="94"/>
      <c r="J93" s="96"/>
      <c r="K93" s="96"/>
      <c r="L93" s="96"/>
      <c r="M93" s="97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</row>
    <row r="94" ht="15.75" hidden="1" customHeight="1" outlineLevel="1">
      <c r="A94" s="99"/>
      <c r="B94" s="99"/>
      <c r="C94" s="99"/>
      <c r="D94" s="100"/>
      <c r="E94" s="99"/>
      <c r="F94" s="99"/>
      <c r="G94" s="101"/>
      <c r="H94" s="99"/>
      <c r="I94" s="99"/>
      <c r="J94" s="99"/>
      <c r="K94" s="99"/>
      <c r="L94" s="99"/>
      <c r="M94" s="102"/>
      <c r="N94" s="103"/>
      <c r="O94" s="103"/>
      <c r="P94" s="103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ht="15.75" hidden="1" customHeight="1" outlineLevel="1">
      <c r="A95" s="104"/>
      <c r="B95" s="178" t="s">
        <v>97</v>
      </c>
      <c r="C95" s="179"/>
      <c r="D95" s="107"/>
      <c r="E95" s="180" t="s">
        <v>98</v>
      </c>
      <c r="F95" s="41"/>
      <c r="G95" s="110"/>
      <c r="H95" s="180" t="s">
        <v>99</v>
      </c>
      <c r="I95" s="41"/>
      <c r="J95" s="180" t="s">
        <v>100</v>
      </c>
      <c r="K95" s="53" t="s">
        <v>101</v>
      </c>
      <c r="L95" s="53" t="s">
        <v>102</v>
      </c>
      <c r="M95" s="112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 ht="15.75" hidden="1" customHeight="1" outlineLevel="1">
      <c r="A96" s="113"/>
      <c r="B96" s="114" t="s">
        <v>103</v>
      </c>
      <c r="C96" s="115"/>
      <c r="D96" s="107"/>
      <c r="E96" s="53" t="s">
        <v>104</v>
      </c>
      <c r="F96" s="116"/>
      <c r="G96" s="110"/>
      <c r="H96" s="53" t="s">
        <v>105</v>
      </c>
      <c r="I96" s="117"/>
      <c r="J96" s="118"/>
      <c r="K96" s="119" t="str">
        <f t="shared" ref="K96:K100" si="23">(I96-J96)/J96*1</f>
        <v>#DIV/0!</v>
      </c>
      <c r="L96" s="120">
        <v>0.4</v>
      </c>
      <c r="M96" s="121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ht="15.75" hidden="1" customHeight="1" outlineLevel="1">
      <c r="A97" s="113"/>
      <c r="B97" s="114" t="s">
        <v>67</v>
      </c>
      <c r="C97" s="115"/>
      <c r="D97" s="107"/>
      <c r="E97" s="122" t="s">
        <v>106</v>
      </c>
      <c r="F97" s="123" t="str">
        <f t="shared" ref="F97:F100" si="24">C97</f>
        <v/>
      </c>
      <c r="G97" s="110"/>
      <c r="H97" s="114" t="s">
        <v>107</v>
      </c>
      <c r="I97" s="124"/>
      <c r="J97" s="125"/>
      <c r="K97" s="126" t="str">
        <f t="shared" si="23"/>
        <v>#DIV/0!</v>
      </c>
      <c r="L97" s="120">
        <v>-0.1</v>
      </c>
      <c r="M97" s="112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 ht="15.75" hidden="1" customHeight="1" outlineLevel="1">
      <c r="A98" s="113"/>
      <c r="B98" s="114" t="s">
        <v>72</v>
      </c>
      <c r="C98" s="115"/>
      <c r="D98" s="107"/>
      <c r="E98" s="122" t="s">
        <v>72</v>
      </c>
      <c r="F98" s="127" t="str">
        <f t="shared" si="24"/>
        <v/>
      </c>
      <c r="G98" s="110"/>
      <c r="H98" s="114" t="s">
        <v>108</v>
      </c>
      <c r="I98" s="124"/>
      <c r="J98" s="125"/>
      <c r="K98" s="126" t="str">
        <f t="shared" si="23"/>
        <v>#DIV/0!</v>
      </c>
      <c r="L98" s="120">
        <v>0.1</v>
      </c>
      <c r="M98" s="112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ht="15.75" hidden="1" customHeight="1" outlineLevel="1">
      <c r="A99" s="113"/>
      <c r="B99" s="114" t="s">
        <v>109</v>
      </c>
      <c r="C99" s="128"/>
      <c r="D99" s="107"/>
      <c r="E99" s="122" t="s">
        <v>110</v>
      </c>
      <c r="F99" s="129" t="str">
        <f t="shared" si="24"/>
        <v/>
      </c>
      <c r="G99" s="110"/>
      <c r="H99" s="114" t="s">
        <v>111</v>
      </c>
      <c r="I99" s="130"/>
      <c r="J99" s="131"/>
      <c r="K99" s="126" t="str">
        <f t="shared" si="23"/>
        <v>#DIV/0!</v>
      </c>
      <c r="L99" s="120">
        <v>0.1</v>
      </c>
      <c r="M99" s="112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 ht="15.75" hidden="1" customHeight="1" outlineLevel="1">
      <c r="A100" s="113"/>
      <c r="B100" s="114" t="s">
        <v>112</v>
      </c>
      <c r="C100" s="128"/>
      <c r="D100" s="107"/>
      <c r="E100" s="122" t="s">
        <v>113</v>
      </c>
      <c r="F100" s="132" t="str">
        <f t="shared" si="24"/>
        <v/>
      </c>
      <c r="G100" s="110"/>
      <c r="H100" s="114" t="s">
        <v>114</v>
      </c>
      <c r="I100" s="133"/>
      <c r="J100" s="134"/>
      <c r="K100" s="126" t="str">
        <f t="shared" si="23"/>
        <v>#DIV/0!</v>
      </c>
      <c r="L100" s="120">
        <v>0.03</v>
      </c>
      <c r="M100" s="112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ht="15.75" hidden="1" customHeight="1" outlineLevel="1">
      <c r="A101" s="135"/>
      <c r="B101" s="135"/>
      <c r="C101" s="135"/>
      <c r="D101" s="107"/>
      <c r="E101" s="135"/>
      <c r="G101" s="110"/>
      <c r="H101" s="135"/>
      <c r="I101" s="135"/>
      <c r="J101" s="135"/>
      <c r="K101" s="135"/>
      <c r="L101" s="135"/>
      <c r="M101" s="112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 ht="15.75" hidden="1" customHeight="1" outlineLevel="1">
      <c r="A102" s="113"/>
      <c r="B102" s="122" t="s">
        <v>115</v>
      </c>
      <c r="C102" s="136" t="str">
        <f>C96/C97</f>
        <v>#DIV/0!</v>
      </c>
      <c r="D102" s="107"/>
      <c r="E102" s="122" t="s">
        <v>116</v>
      </c>
      <c r="F102" s="137" t="str">
        <f>F104/F99</f>
        <v>#DIV/0!</v>
      </c>
      <c r="G102" s="110"/>
      <c r="H102" s="138" t="s">
        <v>116</v>
      </c>
      <c r="I102" s="137" t="str">
        <f>I96/I97</f>
        <v>#DIV/0!</v>
      </c>
      <c r="J102" s="135"/>
      <c r="K102" s="139" t="s">
        <v>117</v>
      </c>
      <c r="L102" s="62" t="s">
        <v>118</v>
      </c>
      <c r="M102" s="140" t="s">
        <v>4</v>
      </c>
      <c r="N102" s="62" t="s">
        <v>119</v>
      </c>
      <c r="O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ht="15.75" hidden="1" customHeight="1" outlineLevel="1">
      <c r="A103" s="113"/>
      <c r="B103" s="122" t="s">
        <v>8</v>
      </c>
      <c r="C103" s="127" t="str">
        <f>C96/C104</f>
        <v>#DIV/0!</v>
      </c>
      <c r="D103" s="107"/>
      <c r="E103" s="122" t="s">
        <v>124</v>
      </c>
      <c r="F103" s="148" t="str">
        <f>F107/F104</f>
        <v>#DIV/0!</v>
      </c>
      <c r="G103" s="110"/>
      <c r="H103" s="122" t="s">
        <v>124</v>
      </c>
      <c r="I103" s="123" t="str">
        <f>I96/I104</f>
        <v>#DIV/0!</v>
      </c>
      <c r="J103" s="135"/>
      <c r="K103" s="122" t="s">
        <v>125</v>
      </c>
      <c r="L103" s="141">
        <v>0.2</v>
      </c>
      <c r="M103" s="127" t="str">
        <f>I107/100*L103*100</f>
        <v>#DIV/0!</v>
      </c>
      <c r="N103" s="142" t="str">
        <f>M103/I98</f>
        <v>#DIV/0!</v>
      </c>
      <c r="O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 ht="15.75" hidden="1" customHeight="1" outlineLevel="1">
      <c r="A104" s="113"/>
      <c r="B104" s="122" t="s">
        <v>71</v>
      </c>
      <c r="C104" s="148" t="str">
        <f>C102*C99</f>
        <v>#DIV/0!</v>
      </c>
      <c r="D104" s="107"/>
      <c r="E104" s="122" t="s">
        <v>128</v>
      </c>
      <c r="F104" s="148" t="str">
        <f>F105/F98</f>
        <v>#DIV/0!</v>
      </c>
      <c r="G104" s="110"/>
      <c r="H104" s="122" t="s">
        <v>128</v>
      </c>
      <c r="I104" s="148" t="str">
        <f>I102*I99</f>
        <v>#DIV/0!</v>
      </c>
      <c r="J104" s="135"/>
      <c r="K104" s="122" t="s">
        <v>129</v>
      </c>
      <c r="L104" s="133">
        <v>0.2</v>
      </c>
      <c r="M104" s="127" t="str">
        <f>I107/100*L104*100</f>
        <v>#DIV/0!</v>
      </c>
      <c r="N104" s="142" t="str">
        <f>M104/I98</f>
        <v>#DIV/0!</v>
      </c>
      <c r="O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ht="15.75" hidden="1" customHeight="1" outlineLevel="1">
      <c r="A105" s="113"/>
      <c r="B105" s="122" t="s">
        <v>131</v>
      </c>
      <c r="C105" s="127" t="str">
        <f>(C102*C99)*C98</f>
        <v>#DIV/0!</v>
      </c>
      <c r="D105" s="107"/>
      <c r="E105" s="122" t="s">
        <v>131</v>
      </c>
      <c r="F105" s="127" t="str">
        <f>F96/F100</f>
        <v>#DIV/0!</v>
      </c>
      <c r="G105" s="110"/>
      <c r="H105" s="122" t="s">
        <v>132</v>
      </c>
      <c r="I105" s="127" t="str">
        <f>I102*I99*I98</f>
        <v>#DIV/0!</v>
      </c>
      <c r="J105" s="135"/>
      <c r="K105" s="122" t="s">
        <v>133</v>
      </c>
      <c r="L105" s="133">
        <v>0.3</v>
      </c>
      <c r="M105" s="127" t="str">
        <f>I107/100*L105*100</f>
        <v>#DIV/0!</v>
      </c>
      <c r="N105" s="142" t="str">
        <f>M105/I98</f>
        <v>#DIV/0!</v>
      </c>
      <c r="O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 ht="15.75" hidden="1" customHeight="1" outlineLevel="1">
      <c r="A106" s="113"/>
      <c r="B106" s="122" t="s">
        <v>135</v>
      </c>
      <c r="C106" s="150" t="str">
        <f>C105/C96</f>
        <v>#DIV/0!</v>
      </c>
      <c r="D106" s="107"/>
      <c r="E106" s="122" t="s">
        <v>135</v>
      </c>
      <c r="F106" s="150" t="str">
        <f>F105/F107</f>
        <v>#DIV/0!</v>
      </c>
      <c r="G106" s="110"/>
      <c r="H106" s="122" t="s">
        <v>135</v>
      </c>
      <c r="I106" s="150" t="str">
        <f>I105/I96</f>
        <v>#DIV/0!</v>
      </c>
      <c r="J106" s="135"/>
      <c r="K106" s="122" t="s">
        <v>136</v>
      </c>
      <c r="L106" s="133">
        <v>0.15</v>
      </c>
      <c r="M106" s="127" t="str">
        <f>I107/100*L106*100</f>
        <v>#DIV/0!</v>
      </c>
      <c r="N106" s="142" t="str">
        <f>M106/I98</f>
        <v>#DIV/0!</v>
      </c>
      <c r="O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ht="15.75" hidden="1" customHeight="1" outlineLevel="1">
      <c r="A107" s="113"/>
      <c r="B107" s="53" t="s">
        <v>138</v>
      </c>
      <c r="C107" s="152" t="str">
        <f>C105*C100</f>
        <v>#DIV/0!</v>
      </c>
      <c r="D107" s="107"/>
      <c r="E107" s="53" t="s">
        <v>139</v>
      </c>
      <c r="F107" s="152" t="str">
        <f>F102*F97</f>
        <v>#DIV/0!</v>
      </c>
      <c r="G107" s="110"/>
      <c r="H107" s="53" t="s">
        <v>104</v>
      </c>
      <c r="I107" s="153" t="str">
        <f>I105*I100</f>
        <v>#DIV/0!</v>
      </c>
      <c r="J107" s="135"/>
      <c r="K107" s="122" t="s">
        <v>87</v>
      </c>
      <c r="L107" s="154">
        <v>0.15</v>
      </c>
      <c r="M107" s="127" t="str">
        <f>I107/100*L107*100</f>
        <v>#DIV/0!</v>
      </c>
      <c r="N107" s="142" t="str">
        <f>M107/I98</f>
        <v>#DIV/0!</v>
      </c>
      <c r="O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ht="15.75" hidden="1" customHeight="1" outlineLevel="1">
      <c r="A108" s="113"/>
      <c r="B108" s="122" t="s">
        <v>142</v>
      </c>
      <c r="C108" s="150" t="str">
        <f>C107/C96</f>
        <v>#DIV/0!</v>
      </c>
      <c r="D108" s="107"/>
      <c r="E108" s="122" t="s">
        <v>143</v>
      </c>
      <c r="F108" s="150" t="str">
        <f>F96/F107</f>
        <v>#DIV/0!</v>
      </c>
      <c r="G108" s="110"/>
      <c r="H108" s="122" t="s">
        <v>142</v>
      </c>
      <c r="I108" s="155" t="str">
        <f>I107/I96</f>
        <v>#DIV/0!</v>
      </c>
      <c r="J108" s="135"/>
      <c r="K108" s="135"/>
      <c r="L108" s="156">
        <f>SUM(L103:L107)</f>
        <v>1</v>
      </c>
      <c r="N108" s="157" t="str">
        <f>SUM(N103:N107)</f>
        <v>#DIV/0!</v>
      </c>
      <c r="O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ht="15.75" hidden="1" customHeight="1" outlineLevel="1">
      <c r="A109" s="135"/>
      <c r="B109" s="135"/>
      <c r="C109" s="135"/>
      <c r="D109" s="107"/>
      <c r="E109" s="107"/>
      <c r="F109" s="107"/>
      <c r="G109" s="110"/>
      <c r="H109" s="135"/>
      <c r="I109" s="135"/>
      <c r="J109" s="135"/>
      <c r="O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ht="15.75" hidden="1" customHeight="1" outlineLevel="1">
      <c r="A110" s="104"/>
      <c r="B110" s="158" t="s">
        <v>146</v>
      </c>
      <c r="C110" s="41"/>
      <c r="D110" s="107"/>
      <c r="E110" s="158" t="s">
        <v>147</v>
      </c>
      <c r="F110" s="41"/>
      <c r="G110" s="110"/>
      <c r="H110" s="158" t="s">
        <v>148</v>
      </c>
      <c r="I110" s="41"/>
      <c r="J110" s="135"/>
      <c r="K110" s="62" t="s">
        <v>149</v>
      </c>
      <c r="L110" s="62" t="s">
        <v>150</v>
      </c>
      <c r="M110" s="62" t="s">
        <v>151</v>
      </c>
      <c r="N110" s="62" t="s">
        <v>152</v>
      </c>
      <c r="O110" s="62" t="s">
        <v>153</v>
      </c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ht="15.75" hidden="1" customHeight="1" outlineLevel="1">
      <c r="A111" s="113"/>
      <c r="B111" s="122" t="s">
        <v>155</v>
      </c>
      <c r="C111" s="127">
        <f>C96/30</f>
        <v>0</v>
      </c>
      <c r="D111" s="107"/>
      <c r="E111" s="122" t="s">
        <v>155</v>
      </c>
      <c r="F111" s="127">
        <f>F96/30</f>
        <v>0</v>
      </c>
      <c r="G111" s="110"/>
      <c r="H111" s="122" t="s">
        <v>155</v>
      </c>
      <c r="I111" s="127">
        <f>I96/'Acompanhamento Geral'!B127</f>
        <v>0</v>
      </c>
      <c r="J111" s="135"/>
      <c r="K111" s="62" t="s">
        <v>118</v>
      </c>
      <c r="L111" s="159">
        <v>0.7</v>
      </c>
      <c r="M111" s="160">
        <v>0.3</v>
      </c>
      <c r="N111" s="161">
        <v>0.0</v>
      </c>
      <c r="O111" s="162">
        <f t="shared" ref="O111:O112" si="25">sum(L111:N111)</f>
        <v>1</v>
      </c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ht="15.75" hidden="1" customHeight="1" outlineLevel="1">
      <c r="A112" s="113"/>
      <c r="B112" s="122" t="s">
        <v>156</v>
      </c>
      <c r="C112" s="148" t="str">
        <f>C102/30</f>
        <v>#DIV/0!</v>
      </c>
      <c r="D112" s="107"/>
      <c r="E112" s="122" t="s">
        <v>156</v>
      </c>
      <c r="F112" s="148" t="str">
        <f>F102/30</f>
        <v>#DIV/0!</v>
      </c>
      <c r="G112" s="110"/>
      <c r="H112" s="122" t="s">
        <v>156</v>
      </c>
      <c r="I112" s="148" t="str">
        <f>I102/'Acompanhamento Geral'!B127</f>
        <v>#DIV/0!</v>
      </c>
      <c r="J112" s="135"/>
      <c r="K112" s="165" t="s">
        <v>157</v>
      </c>
      <c r="L112" s="166">
        <f>I96*L111</f>
        <v>0</v>
      </c>
      <c r="M112" s="166">
        <f>I96*M111</f>
        <v>0</v>
      </c>
      <c r="N112" s="166">
        <f>I96*N111</f>
        <v>0</v>
      </c>
      <c r="O112" s="167">
        <f t="shared" si="25"/>
        <v>0</v>
      </c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ht="15.75" hidden="1" customHeight="1" outlineLevel="1">
      <c r="A113" s="113"/>
      <c r="B113" s="122" t="s">
        <v>158</v>
      </c>
      <c r="C113" s="148" t="str">
        <f t="shared" ref="C113:C114" si="26">C104/30</f>
        <v>#DIV/0!</v>
      </c>
      <c r="D113" s="107"/>
      <c r="E113" s="122" t="s">
        <v>158</v>
      </c>
      <c r="F113" s="148" t="str">
        <f t="shared" ref="F113:F114" si="27">F104/30</f>
        <v>#DIV/0!</v>
      </c>
      <c r="G113" s="110"/>
      <c r="H113" s="122" t="s">
        <v>158</v>
      </c>
      <c r="I113" s="148" t="str">
        <f>I104/'Acompanhamento Geral'!B127</f>
        <v>#DIV/0!</v>
      </c>
      <c r="J113" s="135"/>
      <c r="K113" s="165" t="s">
        <v>159</v>
      </c>
      <c r="L113" s="168">
        <f>L112/'Acompanhamento Geral'!B127</f>
        <v>0</v>
      </c>
      <c r="M113" s="168">
        <f>M112/'Acompanhamento Geral'!B127</f>
        <v>0</v>
      </c>
      <c r="N113" s="168">
        <f>iferror(N112/'Acompanhamento Geral'!B127,"")</f>
        <v>0</v>
      </c>
      <c r="O113" s="167">
        <f>SUM(L113:N113)</f>
        <v>0</v>
      </c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 ht="15.75" hidden="1" customHeight="1" outlineLevel="1">
      <c r="A114" s="113"/>
      <c r="B114" s="122" t="s">
        <v>160</v>
      </c>
      <c r="C114" s="127" t="str">
        <f t="shared" si="26"/>
        <v>#DIV/0!</v>
      </c>
      <c r="D114" s="107"/>
      <c r="E114" s="122" t="s">
        <v>160</v>
      </c>
      <c r="F114" s="127" t="str">
        <f t="shared" si="27"/>
        <v>#DIV/0!</v>
      </c>
      <c r="G114" s="110"/>
      <c r="H114" s="122" t="s">
        <v>160</v>
      </c>
      <c r="I114" s="127" t="str">
        <f>I105/'Acompanhamento Geral'!B127</f>
        <v>#DIV/0!</v>
      </c>
      <c r="J114" s="135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ht="15.75" hidden="1" customHeight="1" outlineLevel="1">
      <c r="A115" s="50"/>
      <c r="B115" s="50"/>
      <c r="C115" s="181"/>
      <c r="D115" s="50"/>
      <c r="E115" s="50"/>
      <c r="F115" s="181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 ht="30.0" customHeight="1" collapsed="1">
      <c r="A116" s="169"/>
      <c r="B116" s="170" t="s">
        <v>26</v>
      </c>
      <c r="D116" s="171"/>
      <c r="E116" s="171"/>
      <c r="F116" s="171"/>
      <c r="G116" s="172"/>
      <c r="H116" s="171"/>
      <c r="I116" s="171"/>
      <c r="J116" s="173"/>
      <c r="K116" s="173"/>
      <c r="L116" s="173"/>
      <c r="M116" s="174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</row>
    <row r="117" ht="15.75" hidden="1" customHeight="1" outlineLevel="1">
      <c r="A117" s="99"/>
      <c r="B117" s="99"/>
      <c r="C117" s="99"/>
      <c r="D117" s="100"/>
      <c r="E117" s="99"/>
      <c r="F117" s="99"/>
      <c r="G117" s="101"/>
      <c r="H117" s="99"/>
      <c r="I117" s="99"/>
      <c r="J117" s="99"/>
      <c r="K117" s="99"/>
      <c r="L117" s="99"/>
      <c r="M117" s="102"/>
      <c r="N117" s="103"/>
      <c r="O117" s="103"/>
      <c r="P117" s="103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 ht="15.75" hidden="1" customHeight="1" outlineLevel="1">
      <c r="A118" s="104"/>
      <c r="B118" s="178" t="s">
        <v>97</v>
      </c>
      <c r="C118" s="179"/>
      <c r="D118" s="107"/>
      <c r="E118" s="180" t="s">
        <v>98</v>
      </c>
      <c r="F118" s="41"/>
      <c r="G118" s="110"/>
      <c r="H118" s="180" t="s">
        <v>99</v>
      </c>
      <c r="I118" s="41"/>
      <c r="J118" s="180" t="s">
        <v>100</v>
      </c>
      <c r="K118" s="53" t="s">
        <v>101</v>
      </c>
      <c r="L118" s="53" t="s">
        <v>102</v>
      </c>
      <c r="M118" s="112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ht="15.75" hidden="1" customHeight="1" outlineLevel="1">
      <c r="A119" s="113"/>
      <c r="B119" s="114" t="s">
        <v>103</v>
      </c>
      <c r="C119" s="115"/>
      <c r="D119" s="107"/>
      <c r="E119" s="53" t="s">
        <v>104</v>
      </c>
      <c r="F119" s="116"/>
      <c r="G119" s="110"/>
      <c r="H119" s="53" t="s">
        <v>105</v>
      </c>
      <c r="I119" s="117"/>
      <c r="J119" s="118"/>
      <c r="K119" s="119" t="str">
        <f t="shared" ref="K119:K123" si="28">(I119-J119)/J119*1</f>
        <v>#DIV/0!</v>
      </c>
      <c r="L119" s="120">
        <v>0.4</v>
      </c>
      <c r="M119" s="121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ht="15.75" hidden="1" customHeight="1" outlineLevel="1">
      <c r="A120" s="113"/>
      <c r="B120" s="114" t="s">
        <v>67</v>
      </c>
      <c r="C120" s="115"/>
      <c r="D120" s="107"/>
      <c r="E120" s="122" t="s">
        <v>106</v>
      </c>
      <c r="F120" s="123" t="str">
        <f t="shared" ref="F120:F123" si="29">C120</f>
        <v/>
      </c>
      <c r="G120" s="110"/>
      <c r="H120" s="114" t="s">
        <v>107</v>
      </c>
      <c r="I120" s="124"/>
      <c r="J120" s="125"/>
      <c r="K120" s="126" t="str">
        <f t="shared" si="28"/>
        <v>#DIV/0!</v>
      </c>
      <c r="L120" s="120">
        <v>-0.1</v>
      </c>
      <c r="M120" s="112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ht="15.75" hidden="1" customHeight="1" outlineLevel="1">
      <c r="A121" s="113"/>
      <c r="B121" s="114" t="s">
        <v>72</v>
      </c>
      <c r="C121" s="115"/>
      <c r="D121" s="107"/>
      <c r="E121" s="122" t="s">
        <v>72</v>
      </c>
      <c r="F121" s="127" t="str">
        <f t="shared" si="29"/>
        <v/>
      </c>
      <c r="G121" s="110"/>
      <c r="H121" s="114" t="s">
        <v>108</v>
      </c>
      <c r="I121" s="124"/>
      <c r="J121" s="125"/>
      <c r="K121" s="126" t="str">
        <f t="shared" si="28"/>
        <v>#DIV/0!</v>
      </c>
      <c r="L121" s="120">
        <v>0.1</v>
      </c>
      <c r="M121" s="112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 ht="15.75" hidden="1" customHeight="1" outlineLevel="1">
      <c r="A122" s="113"/>
      <c r="B122" s="114" t="s">
        <v>109</v>
      </c>
      <c r="C122" s="128"/>
      <c r="D122" s="107"/>
      <c r="E122" s="122" t="s">
        <v>110</v>
      </c>
      <c r="F122" s="129" t="str">
        <f t="shared" si="29"/>
        <v/>
      </c>
      <c r="G122" s="110"/>
      <c r="H122" s="114" t="s">
        <v>111</v>
      </c>
      <c r="I122" s="130"/>
      <c r="J122" s="131"/>
      <c r="K122" s="126" t="str">
        <f t="shared" si="28"/>
        <v>#DIV/0!</v>
      </c>
      <c r="L122" s="120">
        <v>0.1</v>
      </c>
      <c r="M122" s="112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ht="15.75" hidden="1" customHeight="1" outlineLevel="1">
      <c r="A123" s="113"/>
      <c r="B123" s="114" t="s">
        <v>112</v>
      </c>
      <c r="C123" s="128"/>
      <c r="D123" s="107"/>
      <c r="E123" s="122" t="s">
        <v>113</v>
      </c>
      <c r="F123" s="132" t="str">
        <f t="shared" si="29"/>
        <v/>
      </c>
      <c r="G123" s="110"/>
      <c r="H123" s="114" t="s">
        <v>114</v>
      </c>
      <c r="I123" s="133"/>
      <c r="J123" s="134"/>
      <c r="K123" s="126" t="str">
        <f t="shared" si="28"/>
        <v>#DIV/0!</v>
      </c>
      <c r="L123" s="120">
        <v>0.03</v>
      </c>
      <c r="M123" s="112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 ht="15.75" hidden="1" customHeight="1" outlineLevel="1">
      <c r="A124" s="135"/>
      <c r="B124" s="135"/>
      <c r="C124" s="135"/>
      <c r="D124" s="107"/>
      <c r="E124" s="135"/>
      <c r="G124" s="110"/>
      <c r="H124" s="135"/>
      <c r="I124" s="135"/>
      <c r="J124" s="135"/>
      <c r="K124" s="135"/>
      <c r="L124" s="135"/>
      <c r="M124" s="112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ht="15.75" hidden="1" customHeight="1" outlineLevel="1">
      <c r="A125" s="113"/>
      <c r="B125" s="122" t="s">
        <v>115</v>
      </c>
      <c r="C125" s="136" t="str">
        <f>C119/C120</f>
        <v>#DIV/0!</v>
      </c>
      <c r="D125" s="107"/>
      <c r="E125" s="122" t="s">
        <v>116</v>
      </c>
      <c r="F125" s="137" t="str">
        <f>F127/F122</f>
        <v>#DIV/0!</v>
      </c>
      <c r="G125" s="110"/>
      <c r="H125" s="138" t="s">
        <v>116</v>
      </c>
      <c r="I125" s="137" t="str">
        <f>I119/I120</f>
        <v>#DIV/0!</v>
      </c>
      <c r="J125" s="135"/>
      <c r="K125" s="139" t="s">
        <v>117</v>
      </c>
      <c r="L125" s="62" t="s">
        <v>118</v>
      </c>
      <c r="M125" s="140" t="s">
        <v>4</v>
      </c>
      <c r="N125" s="62" t="s">
        <v>119</v>
      </c>
      <c r="O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 ht="15.75" hidden="1" customHeight="1" outlineLevel="1">
      <c r="A126" s="113"/>
      <c r="B126" s="122" t="s">
        <v>8</v>
      </c>
      <c r="C126" s="127" t="str">
        <f>C119/C127</f>
        <v>#DIV/0!</v>
      </c>
      <c r="D126" s="107"/>
      <c r="E126" s="122" t="s">
        <v>124</v>
      </c>
      <c r="F126" s="148" t="str">
        <f>F130/F127</f>
        <v>#DIV/0!</v>
      </c>
      <c r="G126" s="110"/>
      <c r="H126" s="122" t="s">
        <v>124</v>
      </c>
      <c r="I126" s="123" t="str">
        <f>I119/I127</f>
        <v>#DIV/0!</v>
      </c>
      <c r="J126" s="135"/>
      <c r="K126" s="122" t="s">
        <v>125</v>
      </c>
      <c r="L126" s="141">
        <v>0.2</v>
      </c>
      <c r="M126" s="127" t="str">
        <f>I130/100*L126*100</f>
        <v>#DIV/0!</v>
      </c>
      <c r="N126" s="142" t="str">
        <f>M126/I121</f>
        <v>#DIV/0!</v>
      </c>
      <c r="O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ht="15.75" hidden="1" customHeight="1" outlineLevel="1">
      <c r="A127" s="113"/>
      <c r="B127" s="122" t="s">
        <v>71</v>
      </c>
      <c r="C127" s="148" t="str">
        <f>C125*C122</f>
        <v>#DIV/0!</v>
      </c>
      <c r="D127" s="107"/>
      <c r="E127" s="122" t="s">
        <v>128</v>
      </c>
      <c r="F127" s="148" t="str">
        <f>F128/F121</f>
        <v>#DIV/0!</v>
      </c>
      <c r="G127" s="110"/>
      <c r="H127" s="122" t="s">
        <v>128</v>
      </c>
      <c r="I127" s="148" t="str">
        <f>I125*I122</f>
        <v>#DIV/0!</v>
      </c>
      <c r="J127" s="135"/>
      <c r="K127" s="122" t="s">
        <v>129</v>
      </c>
      <c r="L127" s="133">
        <v>0.2</v>
      </c>
      <c r="M127" s="127" t="str">
        <f>I130/100*L127*100</f>
        <v>#DIV/0!</v>
      </c>
      <c r="N127" s="142" t="str">
        <f>M127/I121</f>
        <v>#DIV/0!</v>
      </c>
      <c r="O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 ht="15.75" hidden="1" customHeight="1" outlineLevel="1">
      <c r="A128" s="113"/>
      <c r="B128" s="122" t="s">
        <v>131</v>
      </c>
      <c r="C128" s="127" t="str">
        <f>(C125*C122)*C121</f>
        <v>#DIV/0!</v>
      </c>
      <c r="D128" s="107"/>
      <c r="E128" s="122" t="s">
        <v>131</v>
      </c>
      <c r="F128" s="127" t="str">
        <f>F119/F123</f>
        <v>#DIV/0!</v>
      </c>
      <c r="G128" s="110"/>
      <c r="H128" s="122" t="s">
        <v>132</v>
      </c>
      <c r="I128" s="127" t="str">
        <f>I125*I122*I121</f>
        <v>#DIV/0!</v>
      </c>
      <c r="J128" s="135"/>
      <c r="K128" s="122" t="s">
        <v>133</v>
      </c>
      <c r="L128" s="133">
        <v>0.3</v>
      </c>
      <c r="M128" s="127" t="str">
        <f>I130/100*L128*100</f>
        <v>#DIV/0!</v>
      </c>
      <c r="N128" s="142" t="str">
        <f>M128/I121</f>
        <v>#DIV/0!</v>
      </c>
      <c r="O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ht="15.75" hidden="1" customHeight="1" outlineLevel="1">
      <c r="A129" s="113"/>
      <c r="B129" s="122" t="s">
        <v>135</v>
      </c>
      <c r="C129" s="150" t="str">
        <f>C128/C119</f>
        <v>#DIV/0!</v>
      </c>
      <c r="D129" s="107"/>
      <c r="E129" s="122" t="s">
        <v>135</v>
      </c>
      <c r="F129" s="150" t="str">
        <f>F128/F130</f>
        <v>#DIV/0!</v>
      </c>
      <c r="G129" s="110"/>
      <c r="H129" s="122" t="s">
        <v>135</v>
      </c>
      <c r="I129" s="150" t="str">
        <f>I128/I119</f>
        <v>#DIV/0!</v>
      </c>
      <c r="J129" s="135"/>
      <c r="K129" s="122" t="s">
        <v>136</v>
      </c>
      <c r="L129" s="133">
        <v>0.15</v>
      </c>
      <c r="M129" s="127" t="str">
        <f>I130/100*L129*100</f>
        <v>#DIV/0!</v>
      </c>
      <c r="N129" s="142" t="str">
        <f>M129/I121</f>
        <v>#DIV/0!</v>
      </c>
      <c r="O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 ht="15.75" hidden="1" customHeight="1" outlineLevel="1">
      <c r="A130" s="113"/>
      <c r="B130" s="53" t="s">
        <v>138</v>
      </c>
      <c r="C130" s="152" t="str">
        <f>C128*C123</f>
        <v>#DIV/0!</v>
      </c>
      <c r="D130" s="107"/>
      <c r="E130" s="53" t="s">
        <v>139</v>
      </c>
      <c r="F130" s="152" t="str">
        <f>F125*F120</f>
        <v>#DIV/0!</v>
      </c>
      <c r="G130" s="110"/>
      <c r="H130" s="53" t="s">
        <v>104</v>
      </c>
      <c r="I130" s="153" t="str">
        <f>I128*I123</f>
        <v>#DIV/0!</v>
      </c>
      <c r="J130" s="135"/>
      <c r="K130" s="122" t="s">
        <v>87</v>
      </c>
      <c r="L130" s="154">
        <v>0.15</v>
      </c>
      <c r="M130" s="127" t="str">
        <f>I130/100*L130*100</f>
        <v>#DIV/0!</v>
      </c>
      <c r="N130" s="142" t="str">
        <f>M130/I121</f>
        <v>#DIV/0!</v>
      </c>
      <c r="O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ht="15.75" hidden="1" customHeight="1" outlineLevel="1">
      <c r="A131" s="113"/>
      <c r="B131" s="122" t="s">
        <v>142</v>
      </c>
      <c r="C131" s="150" t="str">
        <f>C130/C119</f>
        <v>#DIV/0!</v>
      </c>
      <c r="D131" s="107"/>
      <c r="E131" s="122" t="s">
        <v>143</v>
      </c>
      <c r="F131" s="150" t="str">
        <f>F119/F130</f>
        <v>#DIV/0!</v>
      </c>
      <c r="G131" s="110"/>
      <c r="H131" s="122" t="s">
        <v>142</v>
      </c>
      <c r="I131" s="155" t="str">
        <f>I130/I119</f>
        <v>#DIV/0!</v>
      </c>
      <c r="J131" s="135"/>
      <c r="K131" s="135"/>
      <c r="L131" s="156">
        <f>SUM(L126:L130)</f>
        <v>1</v>
      </c>
      <c r="N131" s="157" t="str">
        <f>SUM(N126:N130)</f>
        <v>#DIV/0!</v>
      </c>
      <c r="O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 ht="15.75" hidden="1" customHeight="1" outlineLevel="1">
      <c r="A132" s="135"/>
      <c r="B132" s="135"/>
      <c r="C132" s="135"/>
      <c r="D132" s="107"/>
      <c r="E132" s="107"/>
      <c r="F132" s="107"/>
      <c r="G132" s="110"/>
      <c r="H132" s="135"/>
      <c r="I132" s="135"/>
      <c r="J132" s="135"/>
      <c r="O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ht="15.75" hidden="1" customHeight="1" outlineLevel="1">
      <c r="A133" s="104"/>
      <c r="B133" s="158" t="s">
        <v>146</v>
      </c>
      <c r="C133" s="41"/>
      <c r="D133" s="107"/>
      <c r="E133" s="158" t="s">
        <v>147</v>
      </c>
      <c r="F133" s="41"/>
      <c r="G133" s="110"/>
      <c r="H133" s="158" t="s">
        <v>148</v>
      </c>
      <c r="I133" s="41"/>
      <c r="J133" s="135"/>
      <c r="K133" s="62" t="s">
        <v>149</v>
      </c>
      <c r="L133" s="62" t="s">
        <v>150</v>
      </c>
      <c r="M133" s="62" t="s">
        <v>151</v>
      </c>
      <c r="N133" s="62" t="s">
        <v>152</v>
      </c>
      <c r="O133" s="62" t="s">
        <v>153</v>
      </c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 ht="15.75" hidden="1" customHeight="1" outlineLevel="1">
      <c r="A134" s="113"/>
      <c r="B134" s="122" t="s">
        <v>155</v>
      </c>
      <c r="C134" s="127">
        <f>C119/30</f>
        <v>0</v>
      </c>
      <c r="D134" s="107"/>
      <c r="E134" s="122" t="s">
        <v>155</v>
      </c>
      <c r="F134" s="127">
        <f>F119/30</f>
        <v>0</v>
      </c>
      <c r="G134" s="110"/>
      <c r="H134" s="122" t="s">
        <v>155</v>
      </c>
      <c r="I134" s="127">
        <f>I119/'Acompanhamento Geral'!B159</f>
        <v>0</v>
      </c>
      <c r="J134" s="135"/>
      <c r="K134" s="62" t="s">
        <v>118</v>
      </c>
      <c r="L134" s="159">
        <v>0.7</v>
      </c>
      <c r="M134" s="160">
        <v>0.3</v>
      </c>
      <c r="N134" s="161">
        <v>0.0</v>
      </c>
      <c r="O134" s="162">
        <f t="shared" ref="O134:O135" si="30">sum(L134:N134)</f>
        <v>1</v>
      </c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ht="15.75" hidden="1" customHeight="1" outlineLevel="1">
      <c r="A135" s="113"/>
      <c r="B135" s="122" t="s">
        <v>156</v>
      </c>
      <c r="C135" s="148" t="str">
        <f>C125/30</f>
        <v>#DIV/0!</v>
      </c>
      <c r="D135" s="107"/>
      <c r="E135" s="122" t="s">
        <v>156</v>
      </c>
      <c r="F135" s="148" t="str">
        <f>F125/30</f>
        <v>#DIV/0!</v>
      </c>
      <c r="G135" s="110"/>
      <c r="H135" s="122" t="s">
        <v>156</v>
      </c>
      <c r="I135" s="148" t="str">
        <f>I125/'Acompanhamento Geral'!B159</f>
        <v>#DIV/0!</v>
      </c>
      <c r="J135" s="135"/>
      <c r="K135" s="165" t="s">
        <v>157</v>
      </c>
      <c r="L135" s="166">
        <f>I119*L134</f>
        <v>0</v>
      </c>
      <c r="M135" s="166">
        <f>I119*M134</f>
        <v>0</v>
      </c>
      <c r="N135" s="166">
        <f>I119*N134</f>
        <v>0</v>
      </c>
      <c r="O135" s="167">
        <f t="shared" si="30"/>
        <v>0</v>
      </c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 ht="15.75" hidden="1" customHeight="1" outlineLevel="1">
      <c r="A136" s="113"/>
      <c r="B136" s="122" t="s">
        <v>158</v>
      </c>
      <c r="C136" s="148" t="str">
        <f t="shared" ref="C136:C137" si="31">C127/30</f>
        <v>#DIV/0!</v>
      </c>
      <c r="D136" s="107"/>
      <c r="E136" s="122" t="s">
        <v>158</v>
      </c>
      <c r="F136" s="148" t="str">
        <f t="shared" ref="F136:F137" si="32">F127/30</f>
        <v>#DIV/0!</v>
      </c>
      <c r="G136" s="110"/>
      <c r="H136" s="122" t="s">
        <v>158</v>
      </c>
      <c r="I136" s="148" t="str">
        <f>I127/'Acompanhamento Geral'!B159</f>
        <v>#DIV/0!</v>
      </c>
      <c r="J136" s="135"/>
      <c r="K136" s="165" t="s">
        <v>159</v>
      </c>
      <c r="L136" s="168">
        <f>L135/'Acompanhamento Geral'!B159</f>
        <v>0</v>
      </c>
      <c r="M136" s="168">
        <f>M135/'Acompanhamento Geral'!B159</f>
        <v>0</v>
      </c>
      <c r="N136" s="168">
        <f>iferror(N135/'Acompanhamento Geral'!B159,"")</f>
        <v>0</v>
      </c>
      <c r="O136" s="167">
        <f>SUM(L136:N136)</f>
        <v>0</v>
      </c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ht="15.75" hidden="1" customHeight="1" outlineLevel="1">
      <c r="A137" s="113"/>
      <c r="B137" s="122" t="s">
        <v>160</v>
      </c>
      <c r="C137" s="127" t="str">
        <f t="shared" si="31"/>
        <v>#DIV/0!</v>
      </c>
      <c r="D137" s="107"/>
      <c r="E137" s="122" t="s">
        <v>160</v>
      </c>
      <c r="F137" s="127" t="str">
        <f t="shared" si="32"/>
        <v>#DIV/0!</v>
      </c>
      <c r="G137" s="110"/>
      <c r="H137" s="122" t="s">
        <v>160</v>
      </c>
      <c r="I137" s="127" t="str">
        <f>I128/'Acompanhamento Geral'!B159</f>
        <v>#DIV/0!</v>
      </c>
      <c r="J137" s="135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 ht="15.75" hidden="1" customHeight="1" outlineLevel="1">
      <c r="A138" s="50"/>
      <c r="B138" s="50"/>
      <c r="C138" s="181"/>
      <c r="D138" s="50"/>
      <c r="E138" s="50"/>
      <c r="F138" s="181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ht="30.0" customHeight="1" collapsed="1">
      <c r="A139" s="92"/>
      <c r="B139" s="93" t="s">
        <v>27</v>
      </c>
      <c r="D139" s="94"/>
      <c r="E139" s="94"/>
      <c r="F139" s="94"/>
      <c r="G139" s="95"/>
      <c r="H139" s="94"/>
      <c r="I139" s="94"/>
      <c r="J139" s="96"/>
      <c r="K139" s="96"/>
      <c r="L139" s="96"/>
      <c r="M139" s="97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</row>
    <row r="140" ht="15.75" hidden="1" customHeight="1" outlineLevel="1">
      <c r="A140" s="99"/>
      <c r="B140" s="99"/>
      <c r="C140" s="99"/>
      <c r="D140" s="100"/>
      <c r="E140" s="99"/>
      <c r="F140" s="99"/>
      <c r="G140" s="101"/>
      <c r="H140" s="99"/>
      <c r="I140" s="99"/>
      <c r="J140" s="99"/>
      <c r="K140" s="99"/>
      <c r="L140" s="99"/>
      <c r="M140" s="102"/>
      <c r="N140" s="103"/>
      <c r="O140" s="103"/>
      <c r="P140" s="103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ht="15.75" hidden="1" customHeight="1" outlineLevel="1">
      <c r="A141" s="104"/>
      <c r="B141" s="178" t="s">
        <v>97</v>
      </c>
      <c r="C141" s="179"/>
      <c r="D141" s="107"/>
      <c r="E141" s="180" t="s">
        <v>98</v>
      </c>
      <c r="F141" s="41"/>
      <c r="G141" s="110"/>
      <c r="H141" s="180" t="s">
        <v>99</v>
      </c>
      <c r="I141" s="41"/>
      <c r="J141" s="180" t="s">
        <v>100</v>
      </c>
      <c r="K141" s="53" t="s">
        <v>101</v>
      </c>
      <c r="L141" s="53" t="s">
        <v>102</v>
      </c>
      <c r="M141" s="112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 ht="15.75" hidden="1" customHeight="1" outlineLevel="1">
      <c r="A142" s="113"/>
      <c r="B142" s="114" t="s">
        <v>103</v>
      </c>
      <c r="C142" s="115"/>
      <c r="D142" s="107"/>
      <c r="E142" s="53" t="s">
        <v>104</v>
      </c>
      <c r="F142" s="116"/>
      <c r="G142" s="110"/>
      <c r="H142" s="53" t="s">
        <v>105</v>
      </c>
      <c r="I142" s="117"/>
      <c r="J142" s="118"/>
      <c r="K142" s="119" t="str">
        <f t="shared" ref="K142:K146" si="33">(I142-J142)/J142*1</f>
        <v>#DIV/0!</v>
      </c>
      <c r="L142" s="120">
        <v>0.4</v>
      </c>
      <c r="M142" s="121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ht="15.75" hidden="1" customHeight="1" outlineLevel="1">
      <c r="A143" s="113"/>
      <c r="B143" s="114" t="s">
        <v>67</v>
      </c>
      <c r="C143" s="115"/>
      <c r="D143" s="107"/>
      <c r="E143" s="122" t="s">
        <v>106</v>
      </c>
      <c r="F143" s="123" t="str">
        <f t="shared" ref="F143:F146" si="34">C143</f>
        <v/>
      </c>
      <c r="G143" s="110"/>
      <c r="H143" s="114" t="s">
        <v>107</v>
      </c>
      <c r="I143" s="124"/>
      <c r="J143" s="125"/>
      <c r="K143" s="126" t="str">
        <f t="shared" si="33"/>
        <v>#DIV/0!</v>
      </c>
      <c r="L143" s="120">
        <v>-0.1</v>
      </c>
      <c r="M143" s="112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 ht="15.75" hidden="1" customHeight="1" outlineLevel="1">
      <c r="A144" s="113"/>
      <c r="B144" s="114" t="s">
        <v>72</v>
      </c>
      <c r="C144" s="115"/>
      <c r="D144" s="107"/>
      <c r="E144" s="122" t="s">
        <v>72</v>
      </c>
      <c r="F144" s="127" t="str">
        <f t="shared" si="34"/>
        <v/>
      </c>
      <c r="G144" s="110"/>
      <c r="H144" s="114" t="s">
        <v>108</v>
      </c>
      <c r="I144" s="124"/>
      <c r="J144" s="125"/>
      <c r="K144" s="126" t="str">
        <f t="shared" si="33"/>
        <v>#DIV/0!</v>
      </c>
      <c r="L144" s="120">
        <v>0.1</v>
      </c>
      <c r="M144" s="112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ht="15.75" hidden="1" customHeight="1" outlineLevel="1">
      <c r="A145" s="113"/>
      <c r="B145" s="114" t="s">
        <v>109</v>
      </c>
      <c r="C145" s="128"/>
      <c r="D145" s="107"/>
      <c r="E145" s="122" t="s">
        <v>110</v>
      </c>
      <c r="F145" s="129" t="str">
        <f t="shared" si="34"/>
        <v/>
      </c>
      <c r="G145" s="110"/>
      <c r="H145" s="114" t="s">
        <v>111</v>
      </c>
      <c r="I145" s="130"/>
      <c r="J145" s="131"/>
      <c r="K145" s="126" t="str">
        <f t="shared" si="33"/>
        <v>#DIV/0!</v>
      </c>
      <c r="L145" s="120">
        <v>0.1</v>
      </c>
      <c r="M145" s="112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 ht="15.75" hidden="1" customHeight="1" outlineLevel="1">
      <c r="A146" s="113"/>
      <c r="B146" s="114" t="s">
        <v>112</v>
      </c>
      <c r="C146" s="128"/>
      <c r="D146" s="107"/>
      <c r="E146" s="122" t="s">
        <v>113</v>
      </c>
      <c r="F146" s="132" t="str">
        <f t="shared" si="34"/>
        <v/>
      </c>
      <c r="G146" s="110"/>
      <c r="H146" s="114" t="s">
        <v>114</v>
      </c>
      <c r="I146" s="133"/>
      <c r="J146" s="134"/>
      <c r="K146" s="126" t="str">
        <f t="shared" si="33"/>
        <v>#DIV/0!</v>
      </c>
      <c r="L146" s="120">
        <v>0.03</v>
      </c>
      <c r="M146" s="112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ht="15.75" hidden="1" customHeight="1" outlineLevel="1">
      <c r="A147" s="135"/>
      <c r="B147" s="135"/>
      <c r="C147" s="135"/>
      <c r="D147" s="107"/>
      <c r="E147" s="135"/>
      <c r="G147" s="110"/>
      <c r="H147" s="135"/>
      <c r="I147" s="135"/>
      <c r="J147" s="135"/>
      <c r="K147" s="135"/>
      <c r="L147" s="135"/>
      <c r="M147" s="112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 ht="15.75" hidden="1" customHeight="1" outlineLevel="1">
      <c r="A148" s="113"/>
      <c r="B148" s="122" t="s">
        <v>115</v>
      </c>
      <c r="C148" s="136" t="str">
        <f>C142/C143</f>
        <v>#DIV/0!</v>
      </c>
      <c r="D148" s="107"/>
      <c r="E148" s="122" t="s">
        <v>116</v>
      </c>
      <c r="F148" s="137" t="str">
        <f>F150/F145</f>
        <v>#DIV/0!</v>
      </c>
      <c r="G148" s="110"/>
      <c r="H148" s="138" t="s">
        <v>116</v>
      </c>
      <c r="I148" s="137" t="str">
        <f>I142/I143</f>
        <v>#DIV/0!</v>
      </c>
      <c r="J148" s="135"/>
      <c r="K148" s="139" t="s">
        <v>117</v>
      </c>
      <c r="L148" s="62" t="s">
        <v>118</v>
      </c>
      <c r="M148" s="140" t="s">
        <v>4</v>
      </c>
      <c r="N148" s="62" t="s">
        <v>119</v>
      </c>
      <c r="O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ht="15.75" hidden="1" customHeight="1" outlineLevel="1">
      <c r="A149" s="113"/>
      <c r="B149" s="122" t="s">
        <v>8</v>
      </c>
      <c r="C149" s="127" t="str">
        <f>C142/C150</f>
        <v>#DIV/0!</v>
      </c>
      <c r="D149" s="107"/>
      <c r="E149" s="122" t="s">
        <v>124</v>
      </c>
      <c r="F149" s="148" t="str">
        <f>F153/F150</f>
        <v>#DIV/0!</v>
      </c>
      <c r="G149" s="110"/>
      <c r="H149" s="122" t="s">
        <v>124</v>
      </c>
      <c r="I149" s="123" t="str">
        <f>I142/I150</f>
        <v>#DIV/0!</v>
      </c>
      <c r="J149" s="135"/>
      <c r="K149" s="122" t="s">
        <v>125</v>
      </c>
      <c r="L149" s="141">
        <v>0.2</v>
      </c>
      <c r="M149" s="127" t="str">
        <f>I153/100*L149*100</f>
        <v>#DIV/0!</v>
      </c>
      <c r="N149" s="142" t="str">
        <f>M149/I144</f>
        <v>#DIV/0!</v>
      </c>
      <c r="O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 ht="15.75" hidden="1" customHeight="1" outlineLevel="1">
      <c r="A150" s="113"/>
      <c r="B150" s="122" t="s">
        <v>71</v>
      </c>
      <c r="C150" s="148" t="str">
        <f>C148*C145</f>
        <v>#DIV/0!</v>
      </c>
      <c r="D150" s="107"/>
      <c r="E150" s="122" t="s">
        <v>128</v>
      </c>
      <c r="F150" s="148" t="str">
        <f>F151/F144</f>
        <v>#DIV/0!</v>
      </c>
      <c r="G150" s="110"/>
      <c r="H150" s="122" t="s">
        <v>128</v>
      </c>
      <c r="I150" s="148" t="str">
        <f>I148*I145</f>
        <v>#DIV/0!</v>
      </c>
      <c r="J150" s="135"/>
      <c r="K150" s="122" t="s">
        <v>129</v>
      </c>
      <c r="L150" s="133">
        <v>0.2</v>
      </c>
      <c r="M150" s="127" t="str">
        <f>I153/100*L150*100</f>
        <v>#DIV/0!</v>
      </c>
      <c r="N150" s="142" t="str">
        <f>M150/I144</f>
        <v>#DIV/0!</v>
      </c>
      <c r="O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ht="15.75" hidden="1" customHeight="1" outlineLevel="1">
      <c r="A151" s="113"/>
      <c r="B151" s="122" t="s">
        <v>131</v>
      </c>
      <c r="C151" s="127" t="str">
        <f>(C148*C145)*C144</f>
        <v>#DIV/0!</v>
      </c>
      <c r="D151" s="107"/>
      <c r="E151" s="122" t="s">
        <v>131</v>
      </c>
      <c r="F151" s="127" t="str">
        <f>F142/F146</f>
        <v>#DIV/0!</v>
      </c>
      <c r="G151" s="110"/>
      <c r="H151" s="122" t="s">
        <v>132</v>
      </c>
      <c r="I151" s="127" t="str">
        <f>I148*I145*I144</f>
        <v>#DIV/0!</v>
      </c>
      <c r="J151" s="135"/>
      <c r="K151" s="122" t="s">
        <v>133</v>
      </c>
      <c r="L151" s="133">
        <v>0.3</v>
      </c>
      <c r="M151" s="127" t="str">
        <f>I153/100*L151*100</f>
        <v>#DIV/0!</v>
      </c>
      <c r="N151" s="142" t="str">
        <f>M151/I144</f>
        <v>#DIV/0!</v>
      </c>
      <c r="O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 ht="15.75" hidden="1" customHeight="1" outlineLevel="1">
      <c r="A152" s="113"/>
      <c r="B152" s="122" t="s">
        <v>135</v>
      </c>
      <c r="C152" s="150" t="str">
        <f>C151/C142</f>
        <v>#DIV/0!</v>
      </c>
      <c r="D152" s="107"/>
      <c r="E152" s="122" t="s">
        <v>135</v>
      </c>
      <c r="F152" s="150" t="str">
        <f>F151/F153</f>
        <v>#DIV/0!</v>
      </c>
      <c r="G152" s="110"/>
      <c r="H152" s="122" t="s">
        <v>135</v>
      </c>
      <c r="I152" s="150" t="str">
        <f>I151/I142</f>
        <v>#DIV/0!</v>
      </c>
      <c r="J152" s="135"/>
      <c r="K152" s="122" t="s">
        <v>136</v>
      </c>
      <c r="L152" s="133">
        <v>0.15</v>
      </c>
      <c r="M152" s="127" t="str">
        <f>I153/100*L152*100</f>
        <v>#DIV/0!</v>
      </c>
      <c r="N152" s="142" t="str">
        <f>M152/I144</f>
        <v>#DIV/0!</v>
      </c>
      <c r="O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ht="15.75" hidden="1" customHeight="1" outlineLevel="1">
      <c r="A153" s="113"/>
      <c r="B153" s="53" t="s">
        <v>138</v>
      </c>
      <c r="C153" s="152" t="str">
        <f>C151*C146</f>
        <v>#DIV/0!</v>
      </c>
      <c r="D153" s="107"/>
      <c r="E153" s="53" t="s">
        <v>139</v>
      </c>
      <c r="F153" s="152" t="str">
        <f>F148*F143</f>
        <v>#DIV/0!</v>
      </c>
      <c r="G153" s="110"/>
      <c r="H153" s="53" t="s">
        <v>104</v>
      </c>
      <c r="I153" s="153" t="str">
        <f>I151*I146</f>
        <v>#DIV/0!</v>
      </c>
      <c r="J153" s="135"/>
      <c r="K153" s="122" t="s">
        <v>87</v>
      </c>
      <c r="L153" s="154">
        <v>0.15</v>
      </c>
      <c r="M153" s="127" t="str">
        <f>I153/100*L153*100</f>
        <v>#DIV/0!</v>
      </c>
      <c r="N153" s="142" t="str">
        <f>M153/I144</f>
        <v>#DIV/0!</v>
      </c>
      <c r="O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 ht="15.75" hidden="1" customHeight="1" outlineLevel="1">
      <c r="A154" s="113"/>
      <c r="B154" s="122" t="s">
        <v>142</v>
      </c>
      <c r="C154" s="150" t="str">
        <f>C153/C142</f>
        <v>#DIV/0!</v>
      </c>
      <c r="D154" s="107"/>
      <c r="E154" s="122" t="s">
        <v>143</v>
      </c>
      <c r="F154" s="150" t="str">
        <f>F142/F153</f>
        <v>#DIV/0!</v>
      </c>
      <c r="G154" s="110"/>
      <c r="H154" s="122" t="s">
        <v>142</v>
      </c>
      <c r="I154" s="155" t="str">
        <f>I153/I142</f>
        <v>#DIV/0!</v>
      </c>
      <c r="J154" s="135"/>
      <c r="K154" s="135"/>
      <c r="L154" s="156">
        <f>SUM(L149:L153)</f>
        <v>1</v>
      </c>
      <c r="N154" s="157" t="str">
        <f>SUM(N149:N153)</f>
        <v>#DIV/0!</v>
      </c>
      <c r="O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ht="15.75" hidden="1" customHeight="1" outlineLevel="1">
      <c r="A155" s="135"/>
      <c r="B155" s="135"/>
      <c r="C155" s="135"/>
      <c r="D155" s="107"/>
      <c r="E155" s="107"/>
      <c r="F155" s="107"/>
      <c r="G155" s="110"/>
      <c r="H155" s="135"/>
      <c r="I155" s="135"/>
      <c r="J155" s="135"/>
      <c r="O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 ht="15.75" hidden="1" customHeight="1" outlineLevel="1">
      <c r="A156" s="104"/>
      <c r="B156" s="158" t="s">
        <v>146</v>
      </c>
      <c r="C156" s="41"/>
      <c r="D156" s="107"/>
      <c r="E156" s="158" t="s">
        <v>147</v>
      </c>
      <c r="F156" s="41"/>
      <c r="G156" s="110"/>
      <c r="H156" s="158" t="s">
        <v>148</v>
      </c>
      <c r="I156" s="41"/>
      <c r="J156" s="135"/>
      <c r="K156" s="62" t="s">
        <v>149</v>
      </c>
      <c r="L156" s="62" t="s">
        <v>150</v>
      </c>
      <c r="M156" s="62" t="s">
        <v>151</v>
      </c>
      <c r="N156" s="62" t="s">
        <v>152</v>
      </c>
      <c r="O156" s="62" t="s">
        <v>153</v>
      </c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ht="15.75" hidden="1" customHeight="1" outlineLevel="1">
      <c r="A157" s="113"/>
      <c r="B157" s="122" t="s">
        <v>155</v>
      </c>
      <c r="C157" s="127">
        <f>C142/30</f>
        <v>0</v>
      </c>
      <c r="D157" s="107"/>
      <c r="E157" s="122" t="s">
        <v>155</v>
      </c>
      <c r="F157" s="127">
        <f>F142/30</f>
        <v>0</v>
      </c>
      <c r="G157" s="110"/>
      <c r="H157" s="122" t="s">
        <v>155</v>
      </c>
      <c r="I157" s="127">
        <f>I142/'Acompanhamento Geral'!B190</f>
        <v>0</v>
      </c>
      <c r="J157" s="135"/>
      <c r="K157" s="62" t="s">
        <v>118</v>
      </c>
      <c r="L157" s="159">
        <v>0.7</v>
      </c>
      <c r="M157" s="160">
        <v>0.3</v>
      </c>
      <c r="N157" s="161">
        <v>0.0</v>
      </c>
      <c r="O157" s="162">
        <f t="shared" ref="O157:O158" si="35">sum(L157:N157)</f>
        <v>1</v>
      </c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 ht="15.75" hidden="1" customHeight="1" outlineLevel="1">
      <c r="A158" s="113"/>
      <c r="B158" s="122" t="s">
        <v>156</v>
      </c>
      <c r="C158" s="148" t="str">
        <f>C148/30</f>
        <v>#DIV/0!</v>
      </c>
      <c r="D158" s="107"/>
      <c r="E158" s="122" t="s">
        <v>156</v>
      </c>
      <c r="F158" s="148" t="str">
        <f>F148/30</f>
        <v>#DIV/0!</v>
      </c>
      <c r="G158" s="110"/>
      <c r="H158" s="122" t="s">
        <v>156</v>
      </c>
      <c r="I158" s="148" t="str">
        <f>I148/'Acompanhamento Geral'!B190</f>
        <v>#DIV/0!</v>
      </c>
      <c r="J158" s="135"/>
      <c r="K158" s="165" t="s">
        <v>157</v>
      </c>
      <c r="L158" s="166">
        <f>I142*L157</f>
        <v>0</v>
      </c>
      <c r="M158" s="166">
        <f>I142*M157</f>
        <v>0</v>
      </c>
      <c r="N158" s="166">
        <f>I142*N157</f>
        <v>0</v>
      </c>
      <c r="O158" s="167">
        <f t="shared" si="35"/>
        <v>0</v>
      </c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ht="15.75" hidden="1" customHeight="1" outlineLevel="1">
      <c r="A159" s="113"/>
      <c r="B159" s="122" t="s">
        <v>158</v>
      </c>
      <c r="C159" s="148" t="str">
        <f t="shared" ref="C159:C160" si="36">C150/30</f>
        <v>#DIV/0!</v>
      </c>
      <c r="D159" s="107"/>
      <c r="E159" s="122" t="s">
        <v>158</v>
      </c>
      <c r="F159" s="148" t="str">
        <f t="shared" ref="F159:F160" si="37">F150/30</f>
        <v>#DIV/0!</v>
      </c>
      <c r="G159" s="110"/>
      <c r="H159" s="122" t="s">
        <v>158</v>
      </c>
      <c r="I159" s="148" t="str">
        <f>I150/'Acompanhamento Geral'!B190</f>
        <v>#DIV/0!</v>
      </c>
      <c r="J159" s="135"/>
      <c r="K159" s="165" t="s">
        <v>159</v>
      </c>
      <c r="L159" s="168" t="str">
        <f>L158/'Acompanhamento Geral'!B156</f>
        <v>#VALUE!</v>
      </c>
      <c r="M159" s="168" t="str">
        <f>M158/'Acompanhamento Geral'!B156</f>
        <v>#VALUE!</v>
      </c>
      <c r="N159" s="168" t="str">
        <f>iferror(N158/'Acompanhamento Geral'!B156,"")</f>
        <v/>
      </c>
      <c r="O159" s="182" t="str">
        <f>SUM(L159:N159)</f>
        <v>#VALUE!</v>
      </c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 ht="15.75" hidden="1" customHeight="1" outlineLevel="1">
      <c r="A160" s="113"/>
      <c r="B160" s="122" t="s">
        <v>160</v>
      </c>
      <c r="C160" s="127" t="str">
        <f t="shared" si="36"/>
        <v>#DIV/0!</v>
      </c>
      <c r="D160" s="107"/>
      <c r="E160" s="122" t="s">
        <v>160</v>
      </c>
      <c r="F160" s="127" t="str">
        <f t="shared" si="37"/>
        <v>#DIV/0!</v>
      </c>
      <c r="G160" s="110"/>
      <c r="H160" s="122" t="s">
        <v>160</v>
      </c>
      <c r="I160" s="127" t="str">
        <f>I151/'Acompanhamento Geral'!B190</f>
        <v>#DIV/0!</v>
      </c>
      <c r="J160" s="135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 ht="15.75" hidden="1" customHeight="1" outlineLevel="1">
      <c r="A161" s="50"/>
      <c r="B161" s="50"/>
      <c r="C161" s="181"/>
      <c r="D161" s="50"/>
      <c r="E161" s="50"/>
      <c r="F161" s="181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 ht="30.0" customHeight="1" collapsed="1">
      <c r="A162" s="169"/>
      <c r="B162" s="170" t="s">
        <v>28</v>
      </c>
      <c r="D162" s="171"/>
      <c r="E162" s="171"/>
      <c r="F162" s="171"/>
      <c r="G162" s="172"/>
      <c r="H162" s="171"/>
      <c r="I162" s="171"/>
      <c r="J162" s="173"/>
      <c r="K162" s="173"/>
      <c r="L162" s="173"/>
      <c r="M162" s="174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</row>
    <row r="163" ht="15.75" hidden="1" customHeight="1" outlineLevel="1">
      <c r="A163" s="99"/>
      <c r="B163" s="99"/>
      <c r="C163" s="99"/>
      <c r="D163" s="100"/>
      <c r="E163" s="99"/>
      <c r="F163" s="99"/>
      <c r="G163" s="101"/>
      <c r="H163" s="99"/>
      <c r="I163" s="99"/>
      <c r="J163" s="99"/>
      <c r="K163" s="99"/>
      <c r="L163" s="99"/>
      <c r="M163" s="102"/>
      <c r="N163" s="103"/>
      <c r="O163" s="103"/>
      <c r="P163" s="103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 ht="15.75" hidden="1" customHeight="1" outlineLevel="1">
      <c r="A164" s="104"/>
      <c r="B164" s="178" t="s">
        <v>97</v>
      </c>
      <c r="C164" s="179"/>
      <c r="D164" s="107"/>
      <c r="E164" s="180" t="s">
        <v>98</v>
      </c>
      <c r="F164" s="41"/>
      <c r="G164" s="110"/>
      <c r="H164" s="180" t="s">
        <v>99</v>
      </c>
      <c r="I164" s="41"/>
      <c r="J164" s="180" t="s">
        <v>100</v>
      </c>
      <c r="K164" s="53" t="s">
        <v>101</v>
      </c>
      <c r="L164" s="53" t="s">
        <v>102</v>
      </c>
      <c r="M164" s="112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ht="15.75" hidden="1" customHeight="1" outlineLevel="1">
      <c r="A165" s="113"/>
      <c r="B165" s="114" t="s">
        <v>103</v>
      </c>
      <c r="C165" s="115"/>
      <c r="D165" s="107"/>
      <c r="E165" s="53" t="s">
        <v>104</v>
      </c>
      <c r="F165" s="116"/>
      <c r="G165" s="110"/>
      <c r="H165" s="53" t="s">
        <v>105</v>
      </c>
      <c r="I165" s="117"/>
      <c r="J165" s="118"/>
      <c r="K165" s="119" t="str">
        <f t="shared" ref="K165:K169" si="38">(I165-J165)/J165*1</f>
        <v>#DIV/0!</v>
      </c>
      <c r="L165" s="120">
        <v>0.4</v>
      </c>
      <c r="M165" s="121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 ht="15.75" hidden="1" customHeight="1" outlineLevel="1">
      <c r="A166" s="113"/>
      <c r="B166" s="114" t="s">
        <v>67</v>
      </c>
      <c r="C166" s="115"/>
      <c r="D166" s="107"/>
      <c r="E166" s="122" t="s">
        <v>106</v>
      </c>
      <c r="F166" s="123" t="str">
        <f t="shared" ref="F166:F169" si="39">C166</f>
        <v/>
      </c>
      <c r="G166" s="110"/>
      <c r="H166" s="114" t="s">
        <v>107</v>
      </c>
      <c r="I166" s="124"/>
      <c r="J166" s="125"/>
      <c r="K166" s="126" t="str">
        <f t="shared" si="38"/>
        <v>#DIV/0!</v>
      </c>
      <c r="L166" s="120">
        <v>-0.1</v>
      </c>
      <c r="M166" s="112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ht="15.75" hidden="1" customHeight="1" outlineLevel="1">
      <c r="A167" s="113"/>
      <c r="B167" s="114" t="s">
        <v>72</v>
      </c>
      <c r="C167" s="115"/>
      <c r="D167" s="107"/>
      <c r="E167" s="122" t="s">
        <v>72</v>
      </c>
      <c r="F167" s="127" t="str">
        <f t="shared" si="39"/>
        <v/>
      </c>
      <c r="G167" s="110"/>
      <c r="H167" s="114" t="s">
        <v>108</v>
      </c>
      <c r="I167" s="124"/>
      <c r="J167" s="125"/>
      <c r="K167" s="126" t="str">
        <f t="shared" si="38"/>
        <v>#DIV/0!</v>
      </c>
      <c r="L167" s="120">
        <v>0.1</v>
      </c>
      <c r="M167" s="112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 ht="15.75" hidden="1" customHeight="1" outlineLevel="1">
      <c r="A168" s="113"/>
      <c r="B168" s="114" t="s">
        <v>109</v>
      </c>
      <c r="C168" s="128"/>
      <c r="D168" s="107"/>
      <c r="E168" s="122" t="s">
        <v>110</v>
      </c>
      <c r="F168" s="129" t="str">
        <f t="shared" si="39"/>
        <v/>
      </c>
      <c r="G168" s="110"/>
      <c r="H168" s="114" t="s">
        <v>111</v>
      </c>
      <c r="I168" s="130"/>
      <c r="J168" s="131"/>
      <c r="K168" s="126" t="str">
        <f t="shared" si="38"/>
        <v>#DIV/0!</v>
      </c>
      <c r="L168" s="120">
        <v>0.1</v>
      </c>
      <c r="M168" s="112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ht="15.75" hidden="1" customHeight="1" outlineLevel="1">
      <c r="A169" s="113"/>
      <c r="B169" s="114" t="s">
        <v>112</v>
      </c>
      <c r="C169" s="128"/>
      <c r="D169" s="107"/>
      <c r="E169" s="122" t="s">
        <v>113</v>
      </c>
      <c r="F169" s="132" t="str">
        <f t="shared" si="39"/>
        <v/>
      </c>
      <c r="G169" s="110"/>
      <c r="H169" s="114" t="s">
        <v>114</v>
      </c>
      <c r="I169" s="133"/>
      <c r="J169" s="134"/>
      <c r="K169" s="126" t="str">
        <f t="shared" si="38"/>
        <v>#DIV/0!</v>
      </c>
      <c r="L169" s="120">
        <v>0.03</v>
      </c>
      <c r="M169" s="112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 ht="15.75" hidden="1" customHeight="1" outlineLevel="1">
      <c r="A170" s="135"/>
      <c r="B170" s="135"/>
      <c r="C170" s="135"/>
      <c r="D170" s="107"/>
      <c r="E170" s="135"/>
      <c r="G170" s="110"/>
      <c r="H170" s="135"/>
      <c r="I170" s="135"/>
      <c r="J170" s="135"/>
      <c r="K170" s="135"/>
      <c r="L170" s="135"/>
      <c r="M170" s="112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ht="15.75" hidden="1" customHeight="1" outlineLevel="1">
      <c r="A171" s="113"/>
      <c r="B171" s="122" t="s">
        <v>115</v>
      </c>
      <c r="C171" s="136" t="str">
        <f>C165/C166</f>
        <v>#DIV/0!</v>
      </c>
      <c r="D171" s="107"/>
      <c r="E171" s="122" t="s">
        <v>116</v>
      </c>
      <c r="F171" s="137" t="str">
        <f>F173/F168</f>
        <v>#DIV/0!</v>
      </c>
      <c r="G171" s="110"/>
      <c r="H171" s="138" t="s">
        <v>116</v>
      </c>
      <c r="I171" s="137" t="str">
        <f>I165/I166</f>
        <v>#DIV/0!</v>
      </c>
      <c r="J171" s="135"/>
      <c r="K171" s="139" t="s">
        <v>117</v>
      </c>
      <c r="L171" s="62" t="s">
        <v>118</v>
      </c>
      <c r="M171" s="140" t="s">
        <v>4</v>
      </c>
      <c r="N171" s="62" t="s">
        <v>119</v>
      </c>
      <c r="O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 ht="15.75" hidden="1" customHeight="1" outlineLevel="1">
      <c r="A172" s="113"/>
      <c r="B172" s="122" t="s">
        <v>8</v>
      </c>
      <c r="C172" s="127" t="str">
        <f>C165/C173</f>
        <v>#DIV/0!</v>
      </c>
      <c r="D172" s="107"/>
      <c r="E172" s="122" t="s">
        <v>124</v>
      </c>
      <c r="F172" s="148" t="str">
        <f>F176/F173</f>
        <v>#DIV/0!</v>
      </c>
      <c r="G172" s="110"/>
      <c r="H172" s="122" t="s">
        <v>124</v>
      </c>
      <c r="I172" s="123" t="str">
        <f>I165/I173</f>
        <v>#DIV/0!</v>
      </c>
      <c r="J172" s="135"/>
      <c r="K172" s="122" t="s">
        <v>125</v>
      </c>
      <c r="L172" s="141">
        <v>0.2</v>
      </c>
      <c r="M172" s="127" t="str">
        <f>I176/100*L172*100</f>
        <v>#DIV/0!</v>
      </c>
      <c r="N172" s="142" t="str">
        <f>M172/I167</f>
        <v>#DIV/0!</v>
      </c>
      <c r="O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 ht="15.75" hidden="1" customHeight="1" outlineLevel="1">
      <c r="A173" s="113"/>
      <c r="B173" s="122" t="s">
        <v>71</v>
      </c>
      <c r="C173" s="148" t="str">
        <f>C171*C168</f>
        <v>#DIV/0!</v>
      </c>
      <c r="D173" s="107"/>
      <c r="E173" s="122" t="s">
        <v>128</v>
      </c>
      <c r="F173" s="148" t="str">
        <f>F174/F167</f>
        <v>#DIV/0!</v>
      </c>
      <c r="G173" s="110"/>
      <c r="H173" s="122" t="s">
        <v>128</v>
      </c>
      <c r="I173" s="148" t="str">
        <f>I171*I168</f>
        <v>#DIV/0!</v>
      </c>
      <c r="J173" s="135"/>
      <c r="K173" s="122" t="s">
        <v>129</v>
      </c>
      <c r="L173" s="133">
        <v>0.2</v>
      </c>
      <c r="M173" s="127" t="str">
        <f>I176/100*L173*100</f>
        <v>#DIV/0!</v>
      </c>
      <c r="N173" s="142" t="str">
        <f>M173/I167</f>
        <v>#DIV/0!</v>
      </c>
      <c r="O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 ht="15.75" hidden="1" customHeight="1" outlineLevel="1">
      <c r="A174" s="113"/>
      <c r="B174" s="122" t="s">
        <v>131</v>
      </c>
      <c r="C174" s="127" t="str">
        <f>(C171*C168)*C167</f>
        <v>#DIV/0!</v>
      </c>
      <c r="D174" s="107"/>
      <c r="E174" s="122" t="s">
        <v>131</v>
      </c>
      <c r="F174" s="127" t="str">
        <f>F165/F169</f>
        <v>#DIV/0!</v>
      </c>
      <c r="G174" s="110"/>
      <c r="H174" s="122" t="s">
        <v>132</v>
      </c>
      <c r="I174" s="127" t="str">
        <f>I171*I168*I167</f>
        <v>#DIV/0!</v>
      </c>
      <c r="J174" s="135"/>
      <c r="K174" s="122" t="s">
        <v>133</v>
      </c>
      <c r="L174" s="133">
        <v>0.3</v>
      </c>
      <c r="M174" s="127" t="str">
        <f>I176/100*L174*100</f>
        <v>#DIV/0!</v>
      </c>
      <c r="N174" s="142" t="str">
        <f>M174/I167</f>
        <v>#DIV/0!</v>
      </c>
      <c r="O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ht="15.75" hidden="1" customHeight="1" outlineLevel="1">
      <c r="A175" s="113"/>
      <c r="B175" s="122" t="s">
        <v>135</v>
      </c>
      <c r="C175" s="150" t="str">
        <f>C174/C165</f>
        <v>#DIV/0!</v>
      </c>
      <c r="D175" s="107"/>
      <c r="E175" s="122" t="s">
        <v>135</v>
      </c>
      <c r="F175" s="150" t="str">
        <f>F174/F176</f>
        <v>#DIV/0!</v>
      </c>
      <c r="G175" s="110"/>
      <c r="H175" s="122" t="s">
        <v>135</v>
      </c>
      <c r="I175" s="150" t="str">
        <f>I174/I165</f>
        <v>#DIV/0!</v>
      </c>
      <c r="J175" s="135"/>
      <c r="K175" s="122" t="s">
        <v>136</v>
      </c>
      <c r="L175" s="133">
        <v>0.15</v>
      </c>
      <c r="M175" s="127" t="str">
        <f>I176/100*L175*100</f>
        <v>#DIV/0!</v>
      </c>
      <c r="N175" s="142" t="str">
        <f>M175/I167</f>
        <v>#DIV/0!</v>
      </c>
      <c r="O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 ht="15.75" hidden="1" customHeight="1" outlineLevel="1">
      <c r="A176" s="113"/>
      <c r="B176" s="53" t="s">
        <v>138</v>
      </c>
      <c r="C176" s="152" t="str">
        <f>C174*C169</f>
        <v>#DIV/0!</v>
      </c>
      <c r="D176" s="107"/>
      <c r="E176" s="53" t="s">
        <v>139</v>
      </c>
      <c r="F176" s="152" t="str">
        <f>F171*F166</f>
        <v>#DIV/0!</v>
      </c>
      <c r="G176" s="110"/>
      <c r="H176" s="53" t="s">
        <v>104</v>
      </c>
      <c r="I176" s="153" t="str">
        <f>I174*I169</f>
        <v>#DIV/0!</v>
      </c>
      <c r="J176" s="135"/>
      <c r="K176" s="122" t="s">
        <v>87</v>
      </c>
      <c r="L176" s="154">
        <v>0.15</v>
      </c>
      <c r="M176" s="127" t="str">
        <f>I176/100*L176*100</f>
        <v>#DIV/0!</v>
      </c>
      <c r="N176" s="142" t="str">
        <f>M176/I167</f>
        <v>#DIV/0!</v>
      </c>
      <c r="O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ht="15.75" hidden="1" customHeight="1" outlineLevel="1">
      <c r="A177" s="113"/>
      <c r="B177" s="122" t="s">
        <v>142</v>
      </c>
      <c r="C177" s="150" t="str">
        <f>C176/C165</f>
        <v>#DIV/0!</v>
      </c>
      <c r="D177" s="107"/>
      <c r="E177" s="122" t="s">
        <v>143</v>
      </c>
      <c r="F177" s="150" t="str">
        <f>F165/F176</f>
        <v>#DIV/0!</v>
      </c>
      <c r="G177" s="110"/>
      <c r="H177" s="122" t="s">
        <v>142</v>
      </c>
      <c r="I177" s="155" t="str">
        <f>I176/I165</f>
        <v>#DIV/0!</v>
      </c>
      <c r="J177" s="135"/>
      <c r="K177" s="135"/>
      <c r="L177" s="156">
        <f>SUM(L172:L176)</f>
        <v>1</v>
      </c>
      <c r="N177" s="157" t="str">
        <f>SUM(N172:N176)</f>
        <v>#DIV/0!</v>
      </c>
      <c r="O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 ht="15.75" hidden="1" customHeight="1" outlineLevel="1">
      <c r="A178" s="135"/>
      <c r="B178" s="135"/>
      <c r="C178" s="135"/>
      <c r="D178" s="107"/>
      <c r="E178" s="107"/>
      <c r="F178" s="107"/>
      <c r="G178" s="110"/>
      <c r="H178" s="135"/>
      <c r="I178" s="135"/>
      <c r="J178" s="135"/>
      <c r="O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ht="15.75" hidden="1" customHeight="1" outlineLevel="1">
      <c r="A179" s="104"/>
      <c r="B179" s="158" t="s">
        <v>146</v>
      </c>
      <c r="C179" s="41"/>
      <c r="D179" s="107"/>
      <c r="E179" s="158" t="s">
        <v>147</v>
      </c>
      <c r="F179" s="41"/>
      <c r="G179" s="110"/>
      <c r="H179" s="158" t="s">
        <v>148</v>
      </c>
      <c r="I179" s="41"/>
      <c r="J179" s="135"/>
      <c r="K179" s="62" t="s">
        <v>149</v>
      </c>
      <c r="L179" s="62" t="s">
        <v>150</v>
      </c>
      <c r="M179" s="62" t="s">
        <v>151</v>
      </c>
      <c r="N179" s="62" t="s">
        <v>152</v>
      </c>
      <c r="O179" s="62" t="s">
        <v>153</v>
      </c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 ht="15.75" hidden="1" customHeight="1" outlineLevel="1">
      <c r="A180" s="113"/>
      <c r="B180" s="122" t="s">
        <v>155</v>
      </c>
      <c r="C180" s="127">
        <f>C165/30</f>
        <v>0</v>
      </c>
      <c r="D180" s="107"/>
      <c r="E180" s="122" t="s">
        <v>155</v>
      </c>
      <c r="F180" s="127">
        <f>F165/30</f>
        <v>0</v>
      </c>
      <c r="G180" s="110"/>
      <c r="H180" s="122" t="s">
        <v>155</v>
      </c>
      <c r="I180" s="127">
        <f>I165/'Acompanhamento Geral'!B222</f>
        <v>0</v>
      </c>
      <c r="J180" s="135"/>
      <c r="K180" s="62" t="s">
        <v>118</v>
      </c>
      <c r="L180" s="159">
        <v>0.7</v>
      </c>
      <c r="M180" s="160">
        <v>0.3</v>
      </c>
      <c r="N180" s="161">
        <v>0.0</v>
      </c>
      <c r="O180" s="162">
        <f t="shared" ref="O180:O181" si="40">sum(L180:N180)</f>
        <v>1</v>
      </c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ht="15.75" hidden="1" customHeight="1" outlineLevel="1">
      <c r="A181" s="113"/>
      <c r="B181" s="122" t="s">
        <v>156</v>
      </c>
      <c r="C181" s="148" t="str">
        <f>C171/30</f>
        <v>#DIV/0!</v>
      </c>
      <c r="D181" s="107"/>
      <c r="E181" s="122" t="s">
        <v>156</v>
      </c>
      <c r="F181" s="148" t="str">
        <f>F171/30</f>
        <v>#DIV/0!</v>
      </c>
      <c r="G181" s="110"/>
      <c r="H181" s="122" t="s">
        <v>156</v>
      </c>
      <c r="I181" s="148" t="str">
        <f>I171/'Acompanhamento Geral'!B222</f>
        <v>#DIV/0!</v>
      </c>
      <c r="J181" s="135"/>
      <c r="K181" s="165" t="s">
        <v>157</v>
      </c>
      <c r="L181" s="166">
        <f>I165*L180</f>
        <v>0</v>
      </c>
      <c r="M181" s="166">
        <f>I165*M180</f>
        <v>0</v>
      </c>
      <c r="N181" s="166">
        <f>I165*N180</f>
        <v>0</v>
      </c>
      <c r="O181" s="167">
        <f t="shared" si="40"/>
        <v>0</v>
      </c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 ht="15.75" hidden="1" customHeight="1" outlineLevel="1">
      <c r="A182" s="113"/>
      <c r="B182" s="122" t="s">
        <v>158</v>
      </c>
      <c r="C182" s="148" t="str">
        <f t="shared" ref="C182:C183" si="41">C173/30</f>
        <v>#DIV/0!</v>
      </c>
      <c r="D182" s="107"/>
      <c r="E182" s="122" t="s">
        <v>158</v>
      </c>
      <c r="F182" s="148" t="str">
        <f t="shared" ref="F182:F183" si="42">F173/30</f>
        <v>#DIV/0!</v>
      </c>
      <c r="G182" s="110"/>
      <c r="H182" s="122" t="s">
        <v>158</v>
      </c>
      <c r="I182" s="148" t="str">
        <f>I173/'Acompanhamento Geral'!B222</f>
        <v>#DIV/0!</v>
      </c>
      <c r="J182" s="135"/>
      <c r="K182" s="165" t="s">
        <v>159</v>
      </c>
      <c r="L182" s="168" t="str">
        <f>L181/'Acompanhamento Geral'!B179</f>
        <v>#VALUE!</v>
      </c>
      <c r="M182" s="168" t="str">
        <f>M181/'Acompanhamento Geral'!B179</f>
        <v>#VALUE!</v>
      </c>
      <c r="N182" s="168" t="str">
        <f>iferror(N181/'Acompanhamento Geral'!B179,"")</f>
        <v/>
      </c>
      <c r="O182" s="182" t="str">
        <f>SUM(L182:N182)</f>
        <v>#VALUE!</v>
      </c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ht="15.75" hidden="1" customHeight="1" outlineLevel="1">
      <c r="A183" s="113"/>
      <c r="B183" s="122" t="s">
        <v>160</v>
      </c>
      <c r="C183" s="127" t="str">
        <f t="shared" si="41"/>
        <v>#DIV/0!</v>
      </c>
      <c r="D183" s="107"/>
      <c r="E183" s="122" t="s">
        <v>160</v>
      </c>
      <c r="F183" s="127" t="str">
        <f t="shared" si="42"/>
        <v>#DIV/0!</v>
      </c>
      <c r="G183" s="110"/>
      <c r="H183" s="122" t="s">
        <v>160</v>
      </c>
      <c r="I183" s="127" t="str">
        <f>I174/'Acompanhamento Geral'!B222</f>
        <v>#DIV/0!</v>
      </c>
      <c r="J183" s="135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 ht="15.75" hidden="1" customHeight="1" outlineLevel="1">
      <c r="A184" s="50"/>
      <c r="B184" s="50"/>
      <c r="C184" s="181"/>
      <c r="D184" s="50"/>
      <c r="E184" s="50"/>
      <c r="F184" s="181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ht="30.0" customHeight="1" collapsed="1">
      <c r="A185" s="92"/>
      <c r="B185" s="93" t="s">
        <v>29</v>
      </c>
      <c r="D185" s="94"/>
      <c r="E185" s="94"/>
      <c r="F185" s="94"/>
      <c r="G185" s="95"/>
      <c r="H185" s="94"/>
      <c r="I185" s="94"/>
      <c r="J185" s="96"/>
      <c r="K185" s="96"/>
      <c r="L185" s="96"/>
      <c r="M185" s="97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</row>
    <row r="186" ht="15.75" hidden="1" customHeight="1" outlineLevel="1">
      <c r="A186" s="99"/>
      <c r="B186" s="99"/>
      <c r="C186" s="99"/>
      <c r="D186" s="100"/>
      <c r="E186" s="99"/>
      <c r="F186" s="99"/>
      <c r="G186" s="101"/>
      <c r="H186" s="99"/>
      <c r="I186" s="99"/>
      <c r="J186" s="99"/>
      <c r="K186" s="99"/>
      <c r="L186" s="99"/>
      <c r="M186" s="102"/>
      <c r="N186" s="103"/>
      <c r="O186" s="103"/>
      <c r="P186" s="103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ht="15.75" hidden="1" customHeight="1" outlineLevel="1">
      <c r="A187" s="104"/>
      <c r="B187" s="178" t="s">
        <v>97</v>
      </c>
      <c r="C187" s="179"/>
      <c r="D187" s="107"/>
      <c r="E187" s="180" t="s">
        <v>98</v>
      </c>
      <c r="F187" s="41"/>
      <c r="G187" s="110"/>
      <c r="H187" s="180" t="s">
        <v>99</v>
      </c>
      <c r="I187" s="41"/>
      <c r="J187" s="180" t="s">
        <v>100</v>
      </c>
      <c r="K187" s="53" t="s">
        <v>101</v>
      </c>
      <c r="L187" s="53" t="s">
        <v>102</v>
      </c>
      <c r="M187" s="112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 ht="15.75" hidden="1" customHeight="1" outlineLevel="1">
      <c r="A188" s="113"/>
      <c r="B188" s="114" t="s">
        <v>103</v>
      </c>
      <c r="C188" s="115"/>
      <c r="D188" s="107"/>
      <c r="E188" s="53" t="s">
        <v>104</v>
      </c>
      <c r="F188" s="116"/>
      <c r="G188" s="110"/>
      <c r="H188" s="53" t="s">
        <v>105</v>
      </c>
      <c r="I188" s="117"/>
      <c r="J188" s="118"/>
      <c r="K188" s="119" t="str">
        <f t="shared" ref="K188:K192" si="43">(I188-J188)/J188*1</f>
        <v>#DIV/0!</v>
      </c>
      <c r="L188" s="120">
        <v>0.4</v>
      </c>
      <c r="M188" s="12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 ht="15.75" hidden="1" customHeight="1" outlineLevel="1">
      <c r="A189" s="113"/>
      <c r="B189" s="114" t="s">
        <v>67</v>
      </c>
      <c r="C189" s="115"/>
      <c r="D189" s="107"/>
      <c r="E189" s="122" t="s">
        <v>106</v>
      </c>
      <c r="F189" s="123" t="str">
        <f t="shared" ref="F189:F192" si="44">C189</f>
        <v/>
      </c>
      <c r="G189" s="110"/>
      <c r="H189" s="114" t="s">
        <v>107</v>
      </c>
      <c r="I189" s="124"/>
      <c r="J189" s="125"/>
      <c r="K189" s="126" t="str">
        <f t="shared" si="43"/>
        <v>#DIV/0!</v>
      </c>
      <c r="L189" s="120">
        <v>-0.1</v>
      </c>
      <c r="M189" s="112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 ht="15.75" hidden="1" customHeight="1" outlineLevel="1">
      <c r="A190" s="113"/>
      <c r="B190" s="114" t="s">
        <v>72</v>
      </c>
      <c r="C190" s="115"/>
      <c r="D190" s="107"/>
      <c r="E190" s="122" t="s">
        <v>72</v>
      </c>
      <c r="F190" s="127" t="str">
        <f t="shared" si="44"/>
        <v/>
      </c>
      <c r="G190" s="110"/>
      <c r="H190" s="114" t="s">
        <v>108</v>
      </c>
      <c r="I190" s="124"/>
      <c r="J190" s="125"/>
      <c r="K190" s="126" t="str">
        <f t="shared" si="43"/>
        <v>#DIV/0!</v>
      </c>
      <c r="L190" s="120">
        <v>0.1</v>
      </c>
      <c r="M190" s="112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 ht="15.75" hidden="1" customHeight="1" outlineLevel="1">
      <c r="A191" s="113"/>
      <c r="B191" s="114" t="s">
        <v>109</v>
      </c>
      <c r="C191" s="128"/>
      <c r="D191" s="107"/>
      <c r="E191" s="122" t="s">
        <v>110</v>
      </c>
      <c r="F191" s="129" t="str">
        <f t="shared" si="44"/>
        <v/>
      </c>
      <c r="G191" s="110"/>
      <c r="H191" s="114" t="s">
        <v>111</v>
      </c>
      <c r="I191" s="130"/>
      <c r="J191" s="131"/>
      <c r="K191" s="126" t="str">
        <f t="shared" si="43"/>
        <v>#DIV/0!</v>
      </c>
      <c r="L191" s="120">
        <v>0.1</v>
      </c>
      <c r="M191" s="112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 ht="15.75" hidden="1" customHeight="1" outlineLevel="1">
      <c r="A192" s="113"/>
      <c r="B192" s="114" t="s">
        <v>112</v>
      </c>
      <c r="C192" s="128"/>
      <c r="D192" s="107"/>
      <c r="E192" s="122" t="s">
        <v>113</v>
      </c>
      <c r="F192" s="132" t="str">
        <f t="shared" si="44"/>
        <v/>
      </c>
      <c r="G192" s="110"/>
      <c r="H192" s="114" t="s">
        <v>114</v>
      </c>
      <c r="I192" s="133"/>
      <c r="J192" s="134"/>
      <c r="K192" s="126" t="str">
        <f t="shared" si="43"/>
        <v>#DIV/0!</v>
      </c>
      <c r="L192" s="120">
        <v>0.03</v>
      </c>
      <c r="M192" s="112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 ht="15.75" hidden="1" customHeight="1" outlineLevel="1">
      <c r="A193" s="135"/>
      <c r="B193" s="135"/>
      <c r="C193" s="135"/>
      <c r="D193" s="107"/>
      <c r="E193" s="135"/>
      <c r="G193" s="110"/>
      <c r="H193" s="135"/>
      <c r="I193" s="135"/>
      <c r="J193" s="135"/>
      <c r="K193" s="135"/>
      <c r="L193" s="135"/>
      <c r="M193" s="112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 ht="15.75" hidden="1" customHeight="1" outlineLevel="1">
      <c r="A194" s="113"/>
      <c r="B194" s="122" t="s">
        <v>115</v>
      </c>
      <c r="C194" s="136" t="str">
        <f>C188/C189</f>
        <v>#DIV/0!</v>
      </c>
      <c r="D194" s="107"/>
      <c r="E194" s="122" t="s">
        <v>116</v>
      </c>
      <c r="F194" s="137" t="str">
        <f>F196/F191</f>
        <v>#DIV/0!</v>
      </c>
      <c r="G194" s="110"/>
      <c r="H194" s="138" t="s">
        <v>116</v>
      </c>
      <c r="I194" s="137" t="str">
        <f>I188/I189</f>
        <v>#DIV/0!</v>
      </c>
      <c r="J194" s="135"/>
      <c r="K194" s="139" t="s">
        <v>117</v>
      </c>
      <c r="L194" s="62" t="s">
        <v>118</v>
      </c>
      <c r="M194" s="140" t="s">
        <v>4</v>
      </c>
      <c r="N194" s="62" t="s">
        <v>119</v>
      </c>
      <c r="O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 ht="15.75" hidden="1" customHeight="1" outlineLevel="1">
      <c r="A195" s="113"/>
      <c r="B195" s="122" t="s">
        <v>8</v>
      </c>
      <c r="C195" s="127" t="str">
        <f>C188/C196</f>
        <v>#DIV/0!</v>
      </c>
      <c r="D195" s="107"/>
      <c r="E195" s="122" t="s">
        <v>124</v>
      </c>
      <c r="F195" s="148" t="str">
        <f>F199/F196</f>
        <v>#DIV/0!</v>
      </c>
      <c r="G195" s="110"/>
      <c r="H195" s="122" t="s">
        <v>124</v>
      </c>
      <c r="I195" s="123" t="str">
        <f>I188/I196</f>
        <v>#DIV/0!</v>
      </c>
      <c r="J195" s="135"/>
      <c r="K195" s="122" t="s">
        <v>125</v>
      </c>
      <c r="L195" s="141">
        <v>0.2</v>
      </c>
      <c r="M195" s="127" t="str">
        <f>I199/100*L195*100</f>
        <v>#DIV/0!</v>
      </c>
      <c r="N195" s="142" t="str">
        <f>M195/I190</f>
        <v>#DIV/0!</v>
      </c>
      <c r="O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 ht="15.75" hidden="1" customHeight="1" outlineLevel="1">
      <c r="A196" s="113"/>
      <c r="B196" s="122" t="s">
        <v>71</v>
      </c>
      <c r="C196" s="148" t="str">
        <f>C194*C191</f>
        <v>#DIV/0!</v>
      </c>
      <c r="D196" s="107"/>
      <c r="E196" s="122" t="s">
        <v>128</v>
      </c>
      <c r="F196" s="148" t="str">
        <f>F197/F190</f>
        <v>#DIV/0!</v>
      </c>
      <c r="G196" s="110"/>
      <c r="H196" s="122" t="s">
        <v>128</v>
      </c>
      <c r="I196" s="148" t="str">
        <f>I194*I191</f>
        <v>#DIV/0!</v>
      </c>
      <c r="J196" s="135"/>
      <c r="K196" s="122" t="s">
        <v>129</v>
      </c>
      <c r="L196" s="133">
        <v>0.2</v>
      </c>
      <c r="M196" s="127" t="str">
        <f>I199/100*L196*100</f>
        <v>#DIV/0!</v>
      </c>
      <c r="N196" s="142" t="str">
        <f>M196/I190</f>
        <v>#DIV/0!</v>
      </c>
      <c r="O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 ht="15.75" hidden="1" customHeight="1" outlineLevel="1">
      <c r="A197" s="113"/>
      <c r="B197" s="122" t="s">
        <v>131</v>
      </c>
      <c r="C197" s="127" t="str">
        <f>(C194*C191)*C190</f>
        <v>#DIV/0!</v>
      </c>
      <c r="D197" s="107"/>
      <c r="E197" s="122" t="s">
        <v>131</v>
      </c>
      <c r="F197" s="127" t="str">
        <f>F188/F192</f>
        <v>#DIV/0!</v>
      </c>
      <c r="G197" s="110"/>
      <c r="H197" s="122" t="s">
        <v>132</v>
      </c>
      <c r="I197" s="127" t="str">
        <f>I194*I191*I190</f>
        <v>#DIV/0!</v>
      </c>
      <c r="J197" s="135"/>
      <c r="K197" s="122" t="s">
        <v>133</v>
      </c>
      <c r="L197" s="133">
        <v>0.3</v>
      </c>
      <c r="M197" s="127" t="str">
        <f>I199/100*L197*100</f>
        <v>#DIV/0!</v>
      </c>
      <c r="N197" s="142" t="str">
        <f>M197/I190</f>
        <v>#DIV/0!</v>
      </c>
      <c r="O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 ht="15.75" hidden="1" customHeight="1" outlineLevel="1">
      <c r="A198" s="113"/>
      <c r="B198" s="122" t="s">
        <v>135</v>
      </c>
      <c r="C198" s="150" t="str">
        <f>C197/C188</f>
        <v>#DIV/0!</v>
      </c>
      <c r="D198" s="107"/>
      <c r="E198" s="122" t="s">
        <v>135</v>
      </c>
      <c r="F198" s="150" t="str">
        <f>F197/F199</f>
        <v>#DIV/0!</v>
      </c>
      <c r="G198" s="110"/>
      <c r="H198" s="122" t="s">
        <v>135</v>
      </c>
      <c r="I198" s="150" t="str">
        <f>I197/I188</f>
        <v>#DIV/0!</v>
      </c>
      <c r="J198" s="135"/>
      <c r="K198" s="122" t="s">
        <v>136</v>
      </c>
      <c r="L198" s="133">
        <v>0.15</v>
      </c>
      <c r="M198" s="127" t="str">
        <f>I199/100*L198*100</f>
        <v>#DIV/0!</v>
      </c>
      <c r="N198" s="142" t="str">
        <f>M198/I190</f>
        <v>#DIV/0!</v>
      </c>
      <c r="O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 ht="15.75" hidden="1" customHeight="1" outlineLevel="1">
      <c r="A199" s="113"/>
      <c r="B199" s="53" t="s">
        <v>138</v>
      </c>
      <c r="C199" s="152" t="str">
        <f>C197*C192</f>
        <v>#DIV/0!</v>
      </c>
      <c r="D199" s="107"/>
      <c r="E199" s="53" t="s">
        <v>139</v>
      </c>
      <c r="F199" s="152" t="str">
        <f>F194*F189</f>
        <v>#DIV/0!</v>
      </c>
      <c r="G199" s="110"/>
      <c r="H199" s="53" t="s">
        <v>104</v>
      </c>
      <c r="I199" s="153" t="str">
        <f>I197*I192</f>
        <v>#DIV/0!</v>
      </c>
      <c r="J199" s="135"/>
      <c r="K199" s="122" t="s">
        <v>87</v>
      </c>
      <c r="L199" s="154">
        <v>0.15</v>
      </c>
      <c r="M199" s="127" t="str">
        <f>I199/100*L199*100</f>
        <v>#DIV/0!</v>
      </c>
      <c r="N199" s="142" t="str">
        <f>M199/I190</f>
        <v>#DIV/0!</v>
      </c>
      <c r="O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 ht="15.75" hidden="1" customHeight="1" outlineLevel="1">
      <c r="A200" s="113"/>
      <c r="B200" s="122" t="s">
        <v>142</v>
      </c>
      <c r="C200" s="150" t="str">
        <f>C199/C188</f>
        <v>#DIV/0!</v>
      </c>
      <c r="D200" s="107"/>
      <c r="E200" s="122" t="s">
        <v>143</v>
      </c>
      <c r="F200" s="150" t="str">
        <f>F188/F199</f>
        <v>#DIV/0!</v>
      </c>
      <c r="G200" s="110"/>
      <c r="H200" s="122" t="s">
        <v>142</v>
      </c>
      <c r="I200" s="155" t="str">
        <f>I199/I188</f>
        <v>#DIV/0!</v>
      </c>
      <c r="J200" s="135"/>
      <c r="K200" s="135"/>
      <c r="L200" s="156">
        <f>SUM(L195:L199)</f>
        <v>1</v>
      </c>
      <c r="N200" s="157" t="str">
        <f>SUM(N195:N199)</f>
        <v>#DIV/0!</v>
      </c>
      <c r="O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 ht="15.75" hidden="1" customHeight="1" outlineLevel="1">
      <c r="A201" s="135"/>
      <c r="B201" s="135"/>
      <c r="C201" s="135"/>
      <c r="D201" s="107"/>
      <c r="E201" s="107"/>
      <c r="F201" s="107"/>
      <c r="G201" s="110"/>
      <c r="H201" s="135"/>
      <c r="I201" s="135"/>
      <c r="J201" s="135"/>
      <c r="O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 ht="15.75" hidden="1" customHeight="1" outlineLevel="1">
      <c r="A202" s="104"/>
      <c r="B202" s="158" t="s">
        <v>146</v>
      </c>
      <c r="C202" s="41"/>
      <c r="D202" s="107"/>
      <c r="E202" s="158" t="s">
        <v>147</v>
      </c>
      <c r="F202" s="41"/>
      <c r="G202" s="110"/>
      <c r="H202" s="158" t="s">
        <v>148</v>
      </c>
      <c r="I202" s="41"/>
      <c r="J202" s="135"/>
      <c r="K202" s="62" t="s">
        <v>149</v>
      </c>
      <c r="L202" s="62" t="s">
        <v>150</v>
      </c>
      <c r="M202" s="62" t="s">
        <v>151</v>
      </c>
      <c r="N202" s="62" t="s">
        <v>152</v>
      </c>
      <c r="O202" s="62" t="s">
        <v>153</v>
      </c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 ht="15.75" hidden="1" customHeight="1" outlineLevel="1">
      <c r="A203" s="113"/>
      <c r="B203" s="122" t="s">
        <v>155</v>
      </c>
      <c r="C203" s="127">
        <f>C188/30</f>
        <v>0</v>
      </c>
      <c r="D203" s="107"/>
      <c r="E203" s="122" t="s">
        <v>155</v>
      </c>
      <c r="F203" s="127">
        <f>F188/30</f>
        <v>0</v>
      </c>
      <c r="G203" s="110"/>
      <c r="H203" s="122" t="s">
        <v>155</v>
      </c>
      <c r="I203" s="127">
        <f>I188/'Acompanhamento Geral'!B254</f>
        <v>0</v>
      </c>
      <c r="J203" s="135"/>
      <c r="K203" s="62" t="s">
        <v>118</v>
      </c>
      <c r="L203" s="159">
        <v>0.7</v>
      </c>
      <c r="M203" s="160">
        <v>0.3</v>
      </c>
      <c r="N203" s="161">
        <v>0.0</v>
      </c>
      <c r="O203" s="162">
        <f t="shared" ref="O203:O204" si="45">sum(L203:N203)</f>
        <v>1</v>
      </c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 ht="15.75" hidden="1" customHeight="1" outlineLevel="1">
      <c r="A204" s="113"/>
      <c r="B204" s="122" t="s">
        <v>156</v>
      </c>
      <c r="C204" s="148" t="str">
        <f>C194/30</f>
        <v>#DIV/0!</v>
      </c>
      <c r="D204" s="107"/>
      <c r="E204" s="122" t="s">
        <v>156</v>
      </c>
      <c r="F204" s="148" t="str">
        <f>F194/30</f>
        <v>#DIV/0!</v>
      </c>
      <c r="G204" s="110"/>
      <c r="H204" s="122" t="s">
        <v>156</v>
      </c>
      <c r="I204" s="148" t="str">
        <f>I194/'Acompanhamento Geral'!B254</f>
        <v>#DIV/0!</v>
      </c>
      <c r="J204" s="135"/>
      <c r="K204" s="165" t="s">
        <v>157</v>
      </c>
      <c r="L204" s="166">
        <f>I188*L203</f>
        <v>0</v>
      </c>
      <c r="M204" s="166">
        <f>I188*M203</f>
        <v>0</v>
      </c>
      <c r="N204" s="166">
        <f>I188*N203</f>
        <v>0</v>
      </c>
      <c r="O204" s="167">
        <f t="shared" si="45"/>
        <v>0</v>
      </c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 ht="15.75" hidden="1" customHeight="1" outlineLevel="1">
      <c r="A205" s="113"/>
      <c r="B205" s="122" t="s">
        <v>158</v>
      </c>
      <c r="C205" s="148" t="str">
        <f t="shared" ref="C205:C206" si="46">C196/30</f>
        <v>#DIV/0!</v>
      </c>
      <c r="D205" s="107"/>
      <c r="E205" s="122" t="s">
        <v>158</v>
      </c>
      <c r="F205" s="148" t="str">
        <f t="shared" ref="F205:F206" si="47">F196/30</f>
        <v>#DIV/0!</v>
      </c>
      <c r="G205" s="110"/>
      <c r="H205" s="122" t="s">
        <v>158</v>
      </c>
      <c r="I205" s="148" t="str">
        <f>I196/'Acompanhamento Geral'!B254</f>
        <v>#DIV/0!</v>
      </c>
      <c r="J205" s="135"/>
      <c r="K205" s="165" t="s">
        <v>159</v>
      </c>
      <c r="L205" s="168" t="str">
        <f>L204/'Acompanhamento Geral'!B202</f>
        <v>#VALUE!</v>
      </c>
      <c r="M205" s="168" t="str">
        <f>M204/'Acompanhamento Geral'!B202</f>
        <v>#VALUE!</v>
      </c>
      <c r="N205" s="168" t="str">
        <f>iferror(N204/'Acompanhamento Geral'!B202,"")</f>
        <v/>
      </c>
      <c r="O205" s="182" t="str">
        <f>SUM(L205:N205)</f>
        <v>#VALUE!</v>
      </c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 ht="15.75" hidden="1" customHeight="1" outlineLevel="1">
      <c r="A206" s="113"/>
      <c r="B206" s="122" t="s">
        <v>160</v>
      </c>
      <c r="C206" s="127" t="str">
        <f t="shared" si="46"/>
        <v>#DIV/0!</v>
      </c>
      <c r="D206" s="107"/>
      <c r="E206" s="122" t="s">
        <v>160</v>
      </c>
      <c r="F206" s="127" t="str">
        <f t="shared" si="47"/>
        <v>#DIV/0!</v>
      </c>
      <c r="G206" s="110"/>
      <c r="H206" s="122" t="s">
        <v>160</v>
      </c>
      <c r="I206" s="127" t="str">
        <f>I197/'Acompanhamento Geral'!B254</f>
        <v>#DIV/0!</v>
      </c>
      <c r="J206" s="135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 ht="15.75" hidden="1" customHeight="1" outlineLevel="1">
      <c r="A207" s="50"/>
      <c r="B207" s="50"/>
      <c r="C207" s="181"/>
      <c r="D207" s="50"/>
      <c r="E207" s="50"/>
      <c r="F207" s="181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 ht="30.0" customHeight="1" collapsed="1">
      <c r="A208" s="169"/>
      <c r="B208" s="170" t="s">
        <v>30</v>
      </c>
      <c r="D208" s="171"/>
      <c r="E208" s="171"/>
      <c r="F208" s="171"/>
      <c r="G208" s="172"/>
      <c r="H208" s="171"/>
      <c r="I208" s="171"/>
      <c r="J208" s="173"/>
      <c r="K208" s="173"/>
      <c r="L208" s="173"/>
      <c r="M208" s="174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</row>
    <row r="209" ht="15.75" hidden="1" customHeight="1" outlineLevel="1">
      <c r="A209" s="99"/>
      <c r="B209" s="99"/>
      <c r="C209" s="99"/>
      <c r="D209" s="100"/>
      <c r="E209" s="99"/>
      <c r="F209" s="99"/>
      <c r="G209" s="101"/>
      <c r="H209" s="99"/>
      <c r="I209" s="99"/>
      <c r="J209" s="99"/>
      <c r="K209" s="99"/>
      <c r="L209" s="99"/>
      <c r="M209" s="102"/>
      <c r="N209" s="103"/>
      <c r="O209" s="103"/>
      <c r="P209" s="103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 ht="15.75" hidden="1" customHeight="1" outlineLevel="1">
      <c r="A210" s="104"/>
      <c r="B210" s="178" t="s">
        <v>97</v>
      </c>
      <c r="C210" s="179"/>
      <c r="D210" s="107"/>
      <c r="E210" s="180" t="s">
        <v>98</v>
      </c>
      <c r="F210" s="41"/>
      <c r="G210" s="110"/>
      <c r="H210" s="180" t="s">
        <v>99</v>
      </c>
      <c r="I210" s="41"/>
      <c r="J210" s="180" t="s">
        <v>100</v>
      </c>
      <c r="K210" s="53" t="s">
        <v>101</v>
      </c>
      <c r="L210" s="53" t="s">
        <v>102</v>
      </c>
      <c r="M210" s="112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 ht="15.75" hidden="1" customHeight="1" outlineLevel="1">
      <c r="A211" s="113"/>
      <c r="B211" s="114" t="s">
        <v>103</v>
      </c>
      <c r="C211" s="115"/>
      <c r="D211" s="107"/>
      <c r="E211" s="53" t="s">
        <v>104</v>
      </c>
      <c r="F211" s="116"/>
      <c r="G211" s="110"/>
      <c r="H211" s="53" t="s">
        <v>105</v>
      </c>
      <c r="I211" s="117"/>
      <c r="J211" s="118"/>
      <c r="K211" s="119" t="str">
        <f t="shared" ref="K211:K215" si="48">(I211-J211)/J211*1</f>
        <v>#DIV/0!</v>
      </c>
      <c r="L211" s="120">
        <v>0.4</v>
      </c>
      <c r="M211" s="121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 ht="15.75" hidden="1" customHeight="1" outlineLevel="1">
      <c r="A212" s="113"/>
      <c r="B212" s="114" t="s">
        <v>67</v>
      </c>
      <c r="C212" s="115"/>
      <c r="D212" s="107"/>
      <c r="E212" s="122" t="s">
        <v>106</v>
      </c>
      <c r="F212" s="123" t="str">
        <f t="shared" ref="F212:F215" si="49">C212</f>
        <v/>
      </c>
      <c r="G212" s="110"/>
      <c r="H212" s="114" t="s">
        <v>107</v>
      </c>
      <c r="I212" s="124"/>
      <c r="J212" s="125"/>
      <c r="K212" s="126" t="str">
        <f t="shared" si="48"/>
        <v>#DIV/0!</v>
      </c>
      <c r="L212" s="120">
        <v>-0.1</v>
      </c>
      <c r="M212" s="112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 ht="15.75" hidden="1" customHeight="1" outlineLevel="1">
      <c r="A213" s="113"/>
      <c r="B213" s="114" t="s">
        <v>72</v>
      </c>
      <c r="C213" s="115"/>
      <c r="D213" s="107"/>
      <c r="E213" s="122" t="s">
        <v>72</v>
      </c>
      <c r="F213" s="127" t="str">
        <f t="shared" si="49"/>
        <v/>
      </c>
      <c r="G213" s="110"/>
      <c r="H213" s="114" t="s">
        <v>108</v>
      </c>
      <c r="I213" s="124"/>
      <c r="J213" s="125"/>
      <c r="K213" s="126" t="str">
        <f t="shared" si="48"/>
        <v>#DIV/0!</v>
      </c>
      <c r="L213" s="120">
        <v>0.1</v>
      </c>
      <c r="M213" s="112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 ht="15.75" hidden="1" customHeight="1" outlineLevel="1">
      <c r="A214" s="113"/>
      <c r="B214" s="114" t="s">
        <v>109</v>
      </c>
      <c r="C214" s="128"/>
      <c r="D214" s="107"/>
      <c r="E214" s="122" t="s">
        <v>110</v>
      </c>
      <c r="F214" s="129" t="str">
        <f t="shared" si="49"/>
        <v/>
      </c>
      <c r="G214" s="110"/>
      <c r="H214" s="114" t="s">
        <v>111</v>
      </c>
      <c r="I214" s="130"/>
      <c r="J214" s="131"/>
      <c r="K214" s="126" t="str">
        <f t="shared" si="48"/>
        <v>#DIV/0!</v>
      </c>
      <c r="L214" s="120">
        <v>0.1</v>
      </c>
      <c r="M214" s="112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 ht="15.75" hidden="1" customHeight="1" outlineLevel="1">
      <c r="A215" s="113"/>
      <c r="B215" s="114" t="s">
        <v>112</v>
      </c>
      <c r="C215" s="128"/>
      <c r="D215" s="107"/>
      <c r="E215" s="122" t="s">
        <v>113</v>
      </c>
      <c r="F215" s="132" t="str">
        <f t="shared" si="49"/>
        <v/>
      </c>
      <c r="G215" s="110"/>
      <c r="H215" s="114" t="s">
        <v>114</v>
      </c>
      <c r="I215" s="133"/>
      <c r="J215" s="134"/>
      <c r="K215" s="126" t="str">
        <f t="shared" si="48"/>
        <v>#DIV/0!</v>
      </c>
      <c r="L215" s="120">
        <v>0.03</v>
      </c>
      <c r="M215" s="112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 ht="15.75" hidden="1" customHeight="1" outlineLevel="1">
      <c r="A216" s="135"/>
      <c r="B216" s="135"/>
      <c r="C216" s="135"/>
      <c r="D216" s="107"/>
      <c r="E216" s="135"/>
      <c r="G216" s="110"/>
      <c r="H216" s="135"/>
      <c r="I216" s="135"/>
      <c r="J216" s="135"/>
      <c r="K216" s="135"/>
      <c r="L216" s="135"/>
      <c r="M216" s="112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 ht="15.75" hidden="1" customHeight="1" outlineLevel="1">
      <c r="A217" s="113"/>
      <c r="B217" s="122" t="s">
        <v>115</v>
      </c>
      <c r="C217" s="136" t="str">
        <f>C211/C212</f>
        <v>#DIV/0!</v>
      </c>
      <c r="D217" s="107"/>
      <c r="E217" s="122" t="s">
        <v>116</v>
      </c>
      <c r="F217" s="137" t="str">
        <f>F219/F214</f>
        <v>#DIV/0!</v>
      </c>
      <c r="G217" s="110"/>
      <c r="H217" s="138" t="s">
        <v>116</v>
      </c>
      <c r="I217" s="137" t="str">
        <f>I211/I212</f>
        <v>#DIV/0!</v>
      </c>
      <c r="J217" s="135"/>
      <c r="K217" s="139" t="s">
        <v>117</v>
      </c>
      <c r="L217" s="62" t="s">
        <v>118</v>
      </c>
      <c r="M217" s="140" t="s">
        <v>4</v>
      </c>
      <c r="N217" s="62" t="s">
        <v>119</v>
      </c>
      <c r="O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 ht="15.75" hidden="1" customHeight="1" outlineLevel="1">
      <c r="A218" s="113"/>
      <c r="B218" s="122" t="s">
        <v>8</v>
      </c>
      <c r="C218" s="127" t="str">
        <f>C211/C219</f>
        <v>#DIV/0!</v>
      </c>
      <c r="D218" s="107"/>
      <c r="E218" s="122" t="s">
        <v>124</v>
      </c>
      <c r="F218" s="148" t="str">
        <f>F222/F219</f>
        <v>#DIV/0!</v>
      </c>
      <c r="G218" s="110"/>
      <c r="H218" s="122" t="s">
        <v>124</v>
      </c>
      <c r="I218" s="123" t="str">
        <f>I211/I219</f>
        <v>#DIV/0!</v>
      </c>
      <c r="J218" s="135"/>
      <c r="K218" s="122" t="s">
        <v>125</v>
      </c>
      <c r="L218" s="141">
        <v>0.2</v>
      </c>
      <c r="M218" s="127" t="str">
        <f>I222/100*L218*100</f>
        <v>#DIV/0!</v>
      </c>
      <c r="N218" s="142" t="str">
        <f>M218/I213</f>
        <v>#DIV/0!</v>
      </c>
      <c r="O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 ht="15.75" hidden="1" customHeight="1" outlineLevel="1">
      <c r="A219" s="113"/>
      <c r="B219" s="122" t="s">
        <v>71</v>
      </c>
      <c r="C219" s="148" t="str">
        <f>C217*C214</f>
        <v>#DIV/0!</v>
      </c>
      <c r="D219" s="107"/>
      <c r="E219" s="122" t="s">
        <v>128</v>
      </c>
      <c r="F219" s="148" t="str">
        <f>F220/F213</f>
        <v>#DIV/0!</v>
      </c>
      <c r="G219" s="110"/>
      <c r="H219" s="122" t="s">
        <v>128</v>
      </c>
      <c r="I219" s="148" t="str">
        <f>I217*I214</f>
        <v>#DIV/0!</v>
      </c>
      <c r="J219" s="135"/>
      <c r="K219" s="122" t="s">
        <v>129</v>
      </c>
      <c r="L219" s="133">
        <v>0.2</v>
      </c>
      <c r="M219" s="127" t="str">
        <f>I222/100*L219*100</f>
        <v>#DIV/0!</v>
      </c>
      <c r="N219" s="142" t="str">
        <f>M219/I213</f>
        <v>#DIV/0!</v>
      </c>
      <c r="O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 ht="15.75" hidden="1" customHeight="1" outlineLevel="1">
      <c r="A220" s="113"/>
      <c r="B220" s="122" t="s">
        <v>131</v>
      </c>
      <c r="C220" s="127" t="str">
        <f>(C217*C214)*C213</f>
        <v>#DIV/0!</v>
      </c>
      <c r="D220" s="107"/>
      <c r="E220" s="122" t="s">
        <v>131</v>
      </c>
      <c r="F220" s="127" t="str">
        <f>F211/F215</f>
        <v>#DIV/0!</v>
      </c>
      <c r="G220" s="110"/>
      <c r="H220" s="122" t="s">
        <v>132</v>
      </c>
      <c r="I220" s="127" t="str">
        <f>I217*I214*I213</f>
        <v>#DIV/0!</v>
      </c>
      <c r="J220" s="135"/>
      <c r="K220" s="122" t="s">
        <v>133</v>
      </c>
      <c r="L220" s="133">
        <v>0.3</v>
      </c>
      <c r="M220" s="127" t="str">
        <f>I222/100*L220*100</f>
        <v>#DIV/0!</v>
      </c>
      <c r="N220" s="142" t="str">
        <f>M220/I213</f>
        <v>#DIV/0!</v>
      </c>
      <c r="O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 ht="15.75" hidden="1" customHeight="1" outlineLevel="1">
      <c r="A221" s="113"/>
      <c r="B221" s="122" t="s">
        <v>135</v>
      </c>
      <c r="C221" s="150" t="str">
        <f>C220/C211</f>
        <v>#DIV/0!</v>
      </c>
      <c r="D221" s="107"/>
      <c r="E221" s="122" t="s">
        <v>135</v>
      </c>
      <c r="F221" s="150" t="str">
        <f>F220/F222</f>
        <v>#DIV/0!</v>
      </c>
      <c r="G221" s="110"/>
      <c r="H221" s="122" t="s">
        <v>135</v>
      </c>
      <c r="I221" s="150" t="str">
        <f>I220/I211</f>
        <v>#DIV/0!</v>
      </c>
      <c r="J221" s="135"/>
      <c r="K221" s="122" t="s">
        <v>136</v>
      </c>
      <c r="L221" s="133">
        <v>0.15</v>
      </c>
      <c r="M221" s="127" t="str">
        <f>I222/100*L221*100</f>
        <v>#DIV/0!</v>
      </c>
      <c r="N221" s="142" t="str">
        <f>M221/I213</f>
        <v>#DIV/0!</v>
      </c>
      <c r="O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 ht="15.75" hidden="1" customHeight="1" outlineLevel="1">
      <c r="A222" s="113"/>
      <c r="B222" s="53" t="s">
        <v>138</v>
      </c>
      <c r="C222" s="152" t="str">
        <f>C220*C215</f>
        <v>#DIV/0!</v>
      </c>
      <c r="D222" s="107"/>
      <c r="E222" s="53" t="s">
        <v>139</v>
      </c>
      <c r="F222" s="152" t="str">
        <f>F217*F212</f>
        <v>#DIV/0!</v>
      </c>
      <c r="G222" s="110"/>
      <c r="H222" s="53" t="s">
        <v>104</v>
      </c>
      <c r="I222" s="153" t="str">
        <f>I220*I215</f>
        <v>#DIV/0!</v>
      </c>
      <c r="J222" s="135"/>
      <c r="K222" s="122" t="s">
        <v>87</v>
      </c>
      <c r="L222" s="154">
        <v>0.15</v>
      </c>
      <c r="M222" s="127" t="str">
        <f>I222/100*L222*100</f>
        <v>#DIV/0!</v>
      </c>
      <c r="N222" s="142" t="str">
        <f>M222/I213</f>
        <v>#DIV/0!</v>
      </c>
      <c r="O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 ht="15.75" hidden="1" customHeight="1" outlineLevel="1">
      <c r="A223" s="113"/>
      <c r="B223" s="122" t="s">
        <v>142</v>
      </c>
      <c r="C223" s="150" t="str">
        <f>C222/C211</f>
        <v>#DIV/0!</v>
      </c>
      <c r="D223" s="107"/>
      <c r="E223" s="122" t="s">
        <v>143</v>
      </c>
      <c r="F223" s="150" t="str">
        <f>F211/F222</f>
        <v>#DIV/0!</v>
      </c>
      <c r="G223" s="110"/>
      <c r="H223" s="122" t="s">
        <v>142</v>
      </c>
      <c r="I223" s="155" t="str">
        <f>I222/I211</f>
        <v>#DIV/0!</v>
      </c>
      <c r="J223" s="135"/>
      <c r="K223" s="135"/>
      <c r="L223" s="156">
        <f>SUM(L218:L222)</f>
        <v>1</v>
      </c>
      <c r="N223" s="157" t="str">
        <f>SUM(N218:N222)</f>
        <v>#DIV/0!</v>
      </c>
      <c r="O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 ht="15.75" hidden="1" customHeight="1" outlineLevel="1">
      <c r="A224" s="135"/>
      <c r="B224" s="135"/>
      <c r="C224" s="135"/>
      <c r="D224" s="107"/>
      <c r="E224" s="107"/>
      <c r="F224" s="107"/>
      <c r="G224" s="110"/>
      <c r="H224" s="135"/>
      <c r="I224" s="135"/>
      <c r="J224" s="135"/>
      <c r="O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 ht="15.75" hidden="1" customHeight="1" outlineLevel="1">
      <c r="A225" s="104"/>
      <c r="B225" s="158" t="s">
        <v>146</v>
      </c>
      <c r="C225" s="41"/>
      <c r="D225" s="107"/>
      <c r="E225" s="158" t="s">
        <v>147</v>
      </c>
      <c r="F225" s="41"/>
      <c r="G225" s="110"/>
      <c r="H225" s="158" t="s">
        <v>148</v>
      </c>
      <c r="I225" s="41"/>
      <c r="J225" s="135"/>
      <c r="K225" s="62" t="s">
        <v>149</v>
      </c>
      <c r="L225" s="62" t="s">
        <v>150</v>
      </c>
      <c r="M225" s="62" t="s">
        <v>151</v>
      </c>
      <c r="N225" s="62" t="s">
        <v>152</v>
      </c>
      <c r="O225" s="62" t="s">
        <v>153</v>
      </c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 ht="15.75" hidden="1" customHeight="1" outlineLevel="1">
      <c r="A226" s="113"/>
      <c r="B226" s="122" t="s">
        <v>155</v>
      </c>
      <c r="C226" s="127">
        <f>C211/30</f>
        <v>0</v>
      </c>
      <c r="D226" s="107"/>
      <c r="E226" s="122" t="s">
        <v>155</v>
      </c>
      <c r="F226" s="127">
        <f>F211/30</f>
        <v>0</v>
      </c>
      <c r="G226" s="110"/>
      <c r="H226" s="122" t="s">
        <v>155</v>
      </c>
      <c r="I226" s="127">
        <f>I211/'Acompanhamento Geral'!B285</f>
        <v>0</v>
      </c>
      <c r="J226" s="135"/>
      <c r="K226" s="62" t="s">
        <v>118</v>
      </c>
      <c r="L226" s="159">
        <v>0.7</v>
      </c>
      <c r="M226" s="160">
        <v>0.3</v>
      </c>
      <c r="N226" s="161">
        <v>0.0</v>
      </c>
      <c r="O226" s="162">
        <f t="shared" ref="O226:O227" si="50">sum(L226:N226)</f>
        <v>1</v>
      </c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 ht="15.75" hidden="1" customHeight="1" outlineLevel="1">
      <c r="A227" s="113"/>
      <c r="B227" s="122" t="s">
        <v>156</v>
      </c>
      <c r="C227" s="148" t="str">
        <f>C217/30</f>
        <v>#DIV/0!</v>
      </c>
      <c r="D227" s="107"/>
      <c r="E227" s="122" t="s">
        <v>156</v>
      </c>
      <c r="F227" s="148" t="str">
        <f>F217/30</f>
        <v>#DIV/0!</v>
      </c>
      <c r="G227" s="110"/>
      <c r="H227" s="122" t="s">
        <v>156</v>
      </c>
      <c r="I227" s="148" t="str">
        <f>I217/'Acompanhamento Geral'!B285</f>
        <v>#DIV/0!</v>
      </c>
      <c r="J227" s="135"/>
      <c r="K227" s="165" t="s">
        <v>157</v>
      </c>
      <c r="L227" s="166">
        <f>I211*L226</f>
        <v>0</v>
      </c>
      <c r="M227" s="166">
        <f>I211*M226</f>
        <v>0</v>
      </c>
      <c r="N227" s="166">
        <f>I211*N226</f>
        <v>0</v>
      </c>
      <c r="O227" s="167">
        <f t="shared" si="50"/>
        <v>0</v>
      </c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 ht="15.75" hidden="1" customHeight="1" outlineLevel="1">
      <c r="A228" s="113"/>
      <c r="B228" s="122" t="s">
        <v>158</v>
      </c>
      <c r="C228" s="148" t="str">
        <f t="shared" ref="C228:C229" si="51">C219/30</f>
        <v>#DIV/0!</v>
      </c>
      <c r="D228" s="107"/>
      <c r="E228" s="122" t="s">
        <v>158</v>
      </c>
      <c r="F228" s="148" t="str">
        <f t="shared" ref="F228:F229" si="52">F219/30</f>
        <v>#DIV/0!</v>
      </c>
      <c r="G228" s="110"/>
      <c r="H228" s="122" t="s">
        <v>158</v>
      </c>
      <c r="I228" s="148" t="str">
        <f>I219/'Acompanhamento Geral'!B285</f>
        <v>#DIV/0!</v>
      </c>
      <c r="J228" s="135"/>
      <c r="K228" s="165" t="s">
        <v>159</v>
      </c>
      <c r="L228" s="168" t="str">
        <f>L227/'Acompanhamento Geral'!B225</f>
        <v>#VALUE!</v>
      </c>
      <c r="M228" s="168" t="str">
        <f>M227/'Acompanhamento Geral'!B225</f>
        <v>#VALUE!</v>
      </c>
      <c r="N228" s="168" t="str">
        <f>iferror(N227/'Acompanhamento Geral'!B225,"")</f>
        <v/>
      </c>
      <c r="O228" s="182" t="str">
        <f>SUM(L228:N228)</f>
        <v>#VALUE!</v>
      </c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 ht="15.75" hidden="1" customHeight="1" outlineLevel="1">
      <c r="A229" s="113"/>
      <c r="B229" s="122" t="s">
        <v>160</v>
      </c>
      <c r="C229" s="127" t="str">
        <f t="shared" si="51"/>
        <v>#DIV/0!</v>
      </c>
      <c r="D229" s="107"/>
      <c r="E229" s="122" t="s">
        <v>160</v>
      </c>
      <c r="F229" s="127" t="str">
        <f t="shared" si="52"/>
        <v>#DIV/0!</v>
      </c>
      <c r="G229" s="110"/>
      <c r="H229" s="122" t="s">
        <v>160</v>
      </c>
      <c r="I229" s="127" t="str">
        <f>I220/'Acompanhamento Geral'!B285</f>
        <v>#DIV/0!</v>
      </c>
      <c r="J229" s="135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 ht="15.75" hidden="1" customHeight="1" outlineLevel="1">
      <c r="A230" s="50"/>
      <c r="B230" s="50"/>
      <c r="C230" s="181"/>
      <c r="D230" s="50"/>
      <c r="E230" s="50"/>
      <c r="F230" s="181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 ht="30.0" customHeight="1">
      <c r="A231" s="92"/>
      <c r="B231" s="93" t="s">
        <v>31</v>
      </c>
      <c r="D231" s="94"/>
      <c r="E231" s="94"/>
      <c r="F231" s="94"/>
      <c r="G231" s="95"/>
      <c r="H231" s="94"/>
      <c r="I231" s="94"/>
      <c r="J231" s="96"/>
      <c r="K231" s="96"/>
      <c r="L231" s="96"/>
      <c r="M231" s="97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</row>
    <row r="232" ht="15.75" customHeight="1" outlineLevel="1">
      <c r="A232" s="99"/>
      <c r="B232" s="99"/>
      <c r="C232" s="99"/>
      <c r="D232" s="100"/>
      <c r="E232" s="99"/>
      <c r="F232" s="99"/>
      <c r="G232" s="101"/>
      <c r="H232" s="99"/>
      <c r="I232" s="99"/>
      <c r="J232" s="99"/>
      <c r="K232" s="99"/>
      <c r="L232" s="99"/>
      <c r="M232" s="102"/>
      <c r="N232" s="103"/>
      <c r="O232" s="103"/>
      <c r="P232" s="103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 ht="15.75" customHeight="1" outlineLevel="1">
      <c r="A233" s="104"/>
      <c r="B233" s="178" t="s">
        <v>97</v>
      </c>
      <c r="C233" s="179"/>
      <c r="D233" s="107"/>
      <c r="E233" s="180" t="s">
        <v>98</v>
      </c>
      <c r="F233" s="41"/>
      <c r="G233" s="110"/>
      <c r="H233" s="180" t="s">
        <v>99</v>
      </c>
      <c r="I233" s="41"/>
      <c r="J233" s="180" t="s">
        <v>100</v>
      </c>
      <c r="K233" s="53" t="s">
        <v>101</v>
      </c>
      <c r="L233" s="53" t="s">
        <v>102</v>
      </c>
      <c r="M233" s="112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 ht="15.75" customHeight="1" outlineLevel="1">
      <c r="A234" s="113"/>
      <c r="B234" s="114" t="s">
        <v>103</v>
      </c>
      <c r="C234" s="115"/>
      <c r="D234" s="107"/>
      <c r="E234" s="53" t="s">
        <v>104</v>
      </c>
      <c r="F234" s="116"/>
      <c r="G234" s="110"/>
      <c r="H234" s="53" t="s">
        <v>105</v>
      </c>
      <c r="I234" s="117"/>
      <c r="J234" s="118"/>
      <c r="K234" s="119" t="str">
        <f t="shared" ref="K234:K238" si="53">(I234-J234)/J234*1</f>
        <v>#DIV/0!</v>
      </c>
      <c r="L234" s="120">
        <v>0.4</v>
      </c>
      <c r="M234" s="121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 ht="15.75" customHeight="1" outlineLevel="1">
      <c r="A235" s="113"/>
      <c r="B235" s="114" t="s">
        <v>67</v>
      </c>
      <c r="C235" s="115"/>
      <c r="D235" s="107"/>
      <c r="E235" s="122" t="s">
        <v>106</v>
      </c>
      <c r="F235" s="123" t="str">
        <f t="shared" ref="F235:F238" si="54">C235</f>
        <v/>
      </c>
      <c r="G235" s="110"/>
      <c r="H235" s="114" t="s">
        <v>107</v>
      </c>
      <c r="I235" s="124"/>
      <c r="J235" s="125"/>
      <c r="K235" s="126" t="str">
        <f t="shared" si="53"/>
        <v>#DIV/0!</v>
      </c>
      <c r="L235" s="120">
        <v>-0.1</v>
      </c>
      <c r="M235" s="112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 ht="15.75" customHeight="1" outlineLevel="1">
      <c r="A236" s="113"/>
      <c r="B236" s="114" t="s">
        <v>72</v>
      </c>
      <c r="C236" s="115"/>
      <c r="D236" s="107"/>
      <c r="E236" s="122" t="s">
        <v>72</v>
      </c>
      <c r="F236" s="127" t="str">
        <f t="shared" si="54"/>
        <v/>
      </c>
      <c r="G236" s="110"/>
      <c r="H236" s="114" t="s">
        <v>108</v>
      </c>
      <c r="I236" s="124"/>
      <c r="J236" s="125"/>
      <c r="K236" s="126" t="str">
        <f t="shared" si="53"/>
        <v>#DIV/0!</v>
      </c>
      <c r="L236" s="120">
        <v>0.1</v>
      </c>
      <c r="M236" s="112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 ht="15.75" customHeight="1" outlineLevel="1">
      <c r="A237" s="113"/>
      <c r="B237" s="114" t="s">
        <v>109</v>
      </c>
      <c r="C237" s="128"/>
      <c r="D237" s="107"/>
      <c r="E237" s="122" t="s">
        <v>110</v>
      </c>
      <c r="F237" s="129" t="str">
        <f t="shared" si="54"/>
        <v/>
      </c>
      <c r="G237" s="110"/>
      <c r="H237" s="114" t="s">
        <v>111</v>
      </c>
      <c r="I237" s="130"/>
      <c r="J237" s="131"/>
      <c r="K237" s="126" t="str">
        <f t="shared" si="53"/>
        <v>#DIV/0!</v>
      </c>
      <c r="L237" s="120">
        <v>0.1</v>
      </c>
      <c r="M237" s="112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 ht="15.75" customHeight="1" outlineLevel="1">
      <c r="A238" s="113"/>
      <c r="B238" s="114" t="s">
        <v>112</v>
      </c>
      <c r="C238" s="128"/>
      <c r="D238" s="107"/>
      <c r="E238" s="122" t="s">
        <v>113</v>
      </c>
      <c r="F238" s="132" t="str">
        <f t="shared" si="54"/>
        <v/>
      </c>
      <c r="G238" s="110"/>
      <c r="H238" s="114" t="s">
        <v>114</v>
      </c>
      <c r="I238" s="133"/>
      <c r="J238" s="134"/>
      <c r="K238" s="126" t="str">
        <f t="shared" si="53"/>
        <v>#DIV/0!</v>
      </c>
      <c r="L238" s="120">
        <v>0.03</v>
      </c>
      <c r="M238" s="112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 ht="15.75" customHeight="1" outlineLevel="1">
      <c r="A239" s="135"/>
      <c r="B239" s="135"/>
      <c r="C239" s="135"/>
      <c r="D239" s="107"/>
      <c r="E239" s="135"/>
      <c r="G239" s="110"/>
      <c r="H239" s="135"/>
      <c r="I239" s="135"/>
      <c r="J239" s="135"/>
      <c r="K239" s="135"/>
      <c r="L239" s="135"/>
      <c r="M239" s="112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 ht="15.75" customHeight="1" outlineLevel="1">
      <c r="A240" s="113"/>
      <c r="B240" s="122" t="s">
        <v>115</v>
      </c>
      <c r="C240" s="136" t="str">
        <f>C234/C235</f>
        <v>#DIV/0!</v>
      </c>
      <c r="D240" s="107"/>
      <c r="E240" s="122" t="s">
        <v>116</v>
      </c>
      <c r="F240" s="137" t="str">
        <f>F242/F237</f>
        <v>#DIV/0!</v>
      </c>
      <c r="G240" s="110"/>
      <c r="H240" s="138" t="s">
        <v>116</v>
      </c>
      <c r="I240" s="137" t="str">
        <f>I234/I235</f>
        <v>#DIV/0!</v>
      </c>
      <c r="J240" s="135"/>
      <c r="K240" s="139" t="s">
        <v>117</v>
      </c>
      <c r="L240" s="62" t="s">
        <v>118</v>
      </c>
      <c r="M240" s="140" t="s">
        <v>4</v>
      </c>
      <c r="N240" s="62" t="s">
        <v>119</v>
      </c>
      <c r="O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 ht="15.75" customHeight="1" outlineLevel="1">
      <c r="A241" s="113"/>
      <c r="B241" s="122" t="s">
        <v>8</v>
      </c>
      <c r="C241" s="127" t="str">
        <f>C234/C242</f>
        <v>#DIV/0!</v>
      </c>
      <c r="D241" s="107"/>
      <c r="E241" s="122" t="s">
        <v>124</v>
      </c>
      <c r="F241" s="148" t="str">
        <f>F245/F242</f>
        <v>#DIV/0!</v>
      </c>
      <c r="G241" s="110"/>
      <c r="H241" s="122" t="s">
        <v>124</v>
      </c>
      <c r="I241" s="123" t="str">
        <f>I234/I242</f>
        <v>#DIV/0!</v>
      </c>
      <c r="J241" s="135"/>
      <c r="K241" s="122" t="s">
        <v>125</v>
      </c>
      <c r="L241" s="141">
        <v>0.2</v>
      </c>
      <c r="M241" s="127" t="str">
        <f>I245/100*L241*100</f>
        <v>#DIV/0!</v>
      </c>
      <c r="N241" s="142" t="str">
        <f>M241/I236</f>
        <v>#DIV/0!</v>
      </c>
      <c r="O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 ht="15.75" customHeight="1" outlineLevel="1">
      <c r="A242" s="113"/>
      <c r="B242" s="122" t="s">
        <v>71</v>
      </c>
      <c r="C242" s="148" t="str">
        <f>C240*C237</f>
        <v>#DIV/0!</v>
      </c>
      <c r="D242" s="107"/>
      <c r="E242" s="122" t="s">
        <v>128</v>
      </c>
      <c r="F242" s="148" t="str">
        <f>F243/F236</f>
        <v>#DIV/0!</v>
      </c>
      <c r="G242" s="110"/>
      <c r="H242" s="122" t="s">
        <v>128</v>
      </c>
      <c r="I242" s="148" t="str">
        <f>I240*I237</f>
        <v>#DIV/0!</v>
      </c>
      <c r="J242" s="135"/>
      <c r="K242" s="122" t="s">
        <v>129</v>
      </c>
      <c r="L242" s="133">
        <v>0.2</v>
      </c>
      <c r="M242" s="127" t="str">
        <f>I245/100*L242*100</f>
        <v>#DIV/0!</v>
      </c>
      <c r="N242" s="142" t="str">
        <f>M242/I236</f>
        <v>#DIV/0!</v>
      </c>
      <c r="O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 ht="15.75" customHeight="1" outlineLevel="1">
      <c r="A243" s="113"/>
      <c r="B243" s="122" t="s">
        <v>131</v>
      </c>
      <c r="C243" s="127" t="str">
        <f>(C240*C237)*C236</f>
        <v>#DIV/0!</v>
      </c>
      <c r="D243" s="107"/>
      <c r="E243" s="122" t="s">
        <v>131</v>
      </c>
      <c r="F243" s="127" t="str">
        <f>F234/F238</f>
        <v>#DIV/0!</v>
      </c>
      <c r="G243" s="110"/>
      <c r="H243" s="122" t="s">
        <v>132</v>
      </c>
      <c r="I243" s="127" t="str">
        <f>I240*I237*I236</f>
        <v>#DIV/0!</v>
      </c>
      <c r="J243" s="135"/>
      <c r="K243" s="122" t="s">
        <v>133</v>
      </c>
      <c r="L243" s="133">
        <v>0.3</v>
      </c>
      <c r="M243" s="127" t="str">
        <f>I245/100*L243*100</f>
        <v>#DIV/0!</v>
      </c>
      <c r="N243" s="142" t="str">
        <f>M243/I236</f>
        <v>#DIV/0!</v>
      </c>
      <c r="O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 ht="15.75" customHeight="1" outlineLevel="1">
      <c r="A244" s="113"/>
      <c r="B244" s="122" t="s">
        <v>135</v>
      </c>
      <c r="C244" s="150" t="str">
        <f>C243/C234</f>
        <v>#DIV/0!</v>
      </c>
      <c r="D244" s="107"/>
      <c r="E244" s="122" t="s">
        <v>135</v>
      </c>
      <c r="F244" s="150" t="str">
        <f>F243/F245</f>
        <v>#DIV/0!</v>
      </c>
      <c r="G244" s="110"/>
      <c r="H244" s="122" t="s">
        <v>135</v>
      </c>
      <c r="I244" s="150" t="str">
        <f>I243/I234</f>
        <v>#DIV/0!</v>
      </c>
      <c r="J244" s="135"/>
      <c r="K244" s="122" t="s">
        <v>136</v>
      </c>
      <c r="L244" s="133">
        <v>0.15</v>
      </c>
      <c r="M244" s="127" t="str">
        <f>I245/100*L244*100</f>
        <v>#DIV/0!</v>
      </c>
      <c r="N244" s="142" t="str">
        <f>M244/I236</f>
        <v>#DIV/0!</v>
      </c>
      <c r="O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 ht="15.75" customHeight="1" outlineLevel="1">
      <c r="A245" s="113"/>
      <c r="B245" s="53" t="s">
        <v>138</v>
      </c>
      <c r="C245" s="152" t="str">
        <f>C243*C238</f>
        <v>#DIV/0!</v>
      </c>
      <c r="D245" s="107"/>
      <c r="E245" s="53" t="s">
        <v>139</v>
      </c>
      <c r="F245" s="152" t="str">
        <f>F240*F235</f>
        <v>#DIV/0!</v>
      </c>
      <c r="G245" s="110"/>
      <c r="H245" s="53" t="s">
        <v>104</v>
      </c>
      <c r="I245" s="153" t="str">
        <f>I243*I238</f>
        <v>#DIV/0!</v>
      </c>
      <c r="J245" s="135"/>
      <c r="K245" s="122" t="s">
        <v>87</v>
      </c>
      <c r="L245" s="154">
        <v>0.15</v>
      </c>
      <c r="M245" s="127" t="str">
        <f>I245/100*L245*100</f>
        <v>#DIV/0!</v>
      </c>
      <c r="N245" s="142" t="str">
        <f>M245/I236</f>
        <v>#DIV/0!</v>
      </c>
      <c r="O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 ht="15.75" customHeight="1" outlineLevel="1">
      <c r="A246" s="113"/>
      <c r="B246" s="122" t="s">
        <v>142</v>
      </c>
      <c r="C246" s="150" t="str">
        <f>C245/C234</f>
        <v>#DIV/0!</v>
      </c>
      <c r="D246" s="107"/>
      <c r="E246" s="122" t="s">
        <v>143</v>
      </c>
      <c r="F246" s="150" t="str">
        <f>F234/F245</f>
        <v>#DIV/0!</v>
      </c>
      <c r="G246" s="110"/>
      <c r="H246" s="122" t="s">
        <v>142</v>
      </c>
      <c r="I246" s="155" t="str">
        <f>I245/I234</f>
        <v>#DIV/0!</v>
      </c>
      <c r="J246" s="135"/>
      <c r="K246" s="135"/>
      <c r="L246" s="156">
        <f>SUM(L241:L245)</f>
        <v>1</v>
      </c>
      <c r="N246" s="157" t="str">
        <f>SUM(N241:N245)</f>
        <v>#DIV/0!</v>
      </c>
      <c r="O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 ht="15.75" customHeight="1" outlineLevel="1">
      <c r="A247" s="135"/>
      <c r="B247" s="135"/>
      <c r="C247" s="135"/>
      <c r="D247" s="107"/>
      <c r="E247" s="107"/>
      <c r="F247" s="107"/>
      <c r="G247" s="110"/>
      <c r="H247" s="135"/>
      <c r="I247" s="135"/>
      <c r="J247" s="135"/>
      <c r="O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 ht="15.75" customHeight="1" outlineLevel="1">
      <c r="A248" s="104"/>
      <c r="B248" s="158" t="s">
        <v>146</v>
      </c>
      <c r="C248" s="41"/>
      <c r="D248" s="107"/>
      <c r="E248" s="158" t="s">
        <v>147</v>
      </c>
      <c r="F248" s="41"/>
      <c r="G248" s="110"/>
      <c r="H248" s="158" t="s">
        <v>148</v>
      </c>
      <c r="I248" s="41"/>
      <c r="J248" s="135"/>
      <c r="K248" s="62" t="s">
        <v>149</v>
      </c>
      <c r="L248" s="62" t="s">
        <v>150</v>
      </c>
      <c r="M248" s="62" t="s">
        <v>151</v>
      </c>
      <c r="N248" s="62" t="s">
        <v>152</v>
      </c>
      <c r="O248" s="62" t="s">
        <v>153</v>
      </c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 ht="15.75" customHeight="1" outlineLevel="1">
      <c r="A249" s="113"/>
      <c r="B249" s="122" t="s">
        <v>155</v>
      </c>
      <c r="C249" s="127">
        <f>C234/30</f>
        <v>0</v>
      </c>
      <c r="D249" s="107"/>
      <c r="E249" s="122" t="s">
        <v>155</v>
      </c>
      <c r="F249" s="127">
        <f>F234/30</f>
        <v>0</v>
      </c>
      <c r="G249" s="110"/>
      <c r="H249" s="122" t="s">
        <v>155</v>
      </c>
      <c r="I249" s="127">
        <f>I234/'Acompanhamento Geral'!B317</f>
        <v>0</v>
      </c>
      <c r="J249" s="135"/>
      <c r="K249" s="62" t="s">
        <v>118</v>
      </c>
      <c r="L249" s="159">
        <v>0.7</v>
      </c>
      <c r="M249" s="160">
        <v>0.3</v>
      </c>
      <c r="N249" s="161">
        <v>0.0</v>
      </c>
      <c r="O249" s="162">
        <f t="shared" ref="O249:O250" si="55">sum(L249:N249)</f>
        <v>1</v>
      </c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 ht="15.75" customHeight="1" outlineLevel="1">
      <c r="A250" s="113"/>
      <c r="B250" s="122" t="s">
        <v>156</v>
      </c>
      <c r="C250" s="148" t="str">
        <f>C240/30</f>
        <v>#DIV/0!</v>
      </c>
      <c r="D250" s="107"/>
      <c r="E250" s="122" t="s">
        <v>156</v>
      </c>
      <c r="F250" s="148" t="str">
        <f>F240/30</f>
        <v>#DIV/0!</v>
      </c>
      <c r="G250" s="110"/>
      <c r="H250" s="122" t="s">
        <v>156</v>
      </c>
      <c r="I250" s="148" t="str">
        <f>I240/'Acompanhamento Geral'!B317</f>
        <v>#DIV/0!</v>
      </c>
      <c r="J250" s="135"/>
      <c r="K250" s="165" t="s">
        <v>157</v>
      </c>
      <c r="L250" s="166">
        <f>I234*L249</f>
        <v>0</v>
      </c>
      <c r="M250" s="166">
        <f>I234*M249</f>
        <v>0</v>
      </c>
      <c r="N250" s="166">
        <f>I234*N249</f>
        <v>0</v>
      </c>
      <c r="O250" s="167">
        <f t="shared" si="55"/>
        <v>0</v>
      </c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 ht="15.75" customHeight="1" outlineLevel="1">
      <c r="A251" s="113"/>
      <c r="B251" s="122" t="s">
        <v>158</v>
      </c>
      <c r="C251" s="148" t="str">
        <f t="shared" ref="C251:C252" si="56">C242/30</f>
        <v>#DIV/0!</v>
      </c>
      <c r="D251" s="107"/>
      <c r="E251" s="122" t="s">
        <v>158</v>
      </c>
      <c r="F251" s="148" t="str">
        <f t="shared" ref="F251:F252" si="57">F242/30</f>
        <v>#DIV/0!</v>
      </c>
      <c r="G251" s="110"/>
      <c r="H251" s="122" t="s">
        <v>158</v>
      </c>
      <c r="I251" s="148" t="str">
        <f>I242/'Acompanhamento Geral'!B317</f>
        <v>#DIV/0!</v>
      </c>
      <c r="J251" s="135"/>
      <c r="K251" s="165" t="s">
        <v>159</v>
      </c>
      <c r="L251" s="168" t="str">
        <f>L250/'Acompanhamento Geral'!B248</f>
        <v>#VALUE!</v>
      </c>
      <c r="M251" s="168" t="str">
        <f>M250/'Acompanhamento Geral'!B248</f>
        <v>#VALUE!</v>
      </c>
      <c r="N251" s="168" t="str">
        <f>iferror(N250/'Acompanhamento Geral'!B248,"")</f>
        <v/>
      </c>
      <c r="O251" s="182" t="str">
        <f>SUM(L251:N251)</f>
        <v>#VALUE!</v>
      </c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 ht="15.75" customHeight="1" outlineLevel="1">
      <c r="A252" s="113"/>
      <c r="B252" s="122" t="s">
        <v>160</v>
      </c>
      <c r="C252" s="127" t="str">
        <f t="shared" si="56"/>
        <v>#DIV/0!</v>
      </c>
      <c r="D252" s="107"/>
      <c r="E252" s="122" t="s">
        <v>160</v>
      </c>
      <c r="F252" s="127" t="str">
        <f t="shared" si="57"/>
        <v>#DIV/0!</v>
      </c>
      <c r="G252" s="110"/>
      <c r="H252" s="122" t="s">
        <v>160</v>
      </c>
      <c r="I252" s="127" t="str">
        <f>I243/'Acompanhamento Geral'!B317</f>
        <v>#DIV/0!</v>
      </c>
      <c r="J252" s="135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 ht="15.75" customHeight="1" outlineLevel="1">
      <c r="A253" s="50"/>
      <c r="B253" s="50"/>
      <c r="C253" s="181"/>
      <c r="D253" s="50"/>
      <c r="E253" s="50"/>
      <c r="F253" s="181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 ht="30.0" customHeight="1" collapsed="1">
      <c r="A254" s="169"/>
      <c r="B254" s="170" t="s">
        <v>32</v>
      </c>
      <c r="D254" s="171"/>
      <c r="E254" s="171"/>
      <c r="F254" s="171"/>
      <c r="G254" s="172"/>
      <c r="H254" s="171"/>
      <c r="I254" s="171"/>
      <c r="J254" s="173"/>
      <c r="K254" s="173"/>
      <c r="L254" s="173"/>
      <c r="M254" s="174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</row>
    <row r="255" ht="15.75" hidden="1" customHeight="1" outlineLevel="1">
      <c r="A255" s="99"/>
      <c r="B255" s="99"/>
      <c r="C255" s="99"/>
      <c r="D255" s="100"/>
      <c r="E255" s="99"/>
      <c r="F255" s="99"/>
      <c r="G255" s="101"/>
      <c r="H255" s="99"/>
      <c r="I255" s="99"/>
      <c r="J255" s="99"/>
      <c r="K255" s="99"/>
      <c r="L255" s="99"/>
      <c r="M255" s="102"/>
      <c r="N255" s="103"/>
      <c r="O255" s="103"/>
      <c r="P255" s="103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 ht="15.75" hidden="1" customHeight="1" outlineLevel="1">
      <c r="A256" s="104"/>
      <c r="B256" s="178" t="s">
        <v>97</v>
      </c>
      <c r="C256" s="179"/>
      <c r="D256" s="107"/>
      <c r="E256" s="180" t="s">
        <v>98</v>
      </c>
      <c r="F256" s="41"/>
      <c r="G256" s="110"/>
      <c r="H256" s="180" t="s">
        <v>99</v>
      </c>
      <c r="I256" s="41"/>
      <c r="J256" s="180" t="s">
        <v>100</v>
      </c>
      <c r="K256" s="53" t="s">
        <v>101</v>
      </c>
      <c r="L256" s="53" t="s">
        <v>102</v>
      </c>
      <c r="M256" s="112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 ht="15.75" hidden="1" customHeight="1" outlineLevel="1">
      <c r="A257" s="113"/>
      <c r="B257" s="114" t="s">
        <v>103</v>
      </c>
      <c r="C257" s="115"/>
      <c r="D257" s="107"/>
      <c r="E257" s="53" t="s">
        <v>104</v>
      </c>
      <c r="F257" s="116"/>
      <c r="G257" s="110"/>
      <c r="H257" s="53" t="s">
        <v>105</v>
      </c>
      <c r="I257" s="117"/>
      <c r="J257" s="118"/>
      <c r="K257" s="119" t="str">
        <f t="shared" ref="K257:K261" si="58">(I257-J257)/J257*1</f>
        <v>#DIV/0!</v>
      </c>
      <c r="L257" s="120">
        <v>0.4</v>
      </c>
      <c r="M257" s="121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 ht="15.75" hidden="1" customHeight="1" outlineLevel="1">
      <c r="A258" s="113"/>
      <c r="B258" s="114" t="s">
        <v>67</v>
      </c>
      <c r="C258" s="115"/>
      <c r="D258" s="107"/>
      <c r="E258" s="122" t="s">
        <v>106</v>
      </c>
      <c r="F258" s="123" t="str">
        <f t="shared" ref="F258:F261" si="59">C258</f>
        <v/>
      </c>
      <c r="G258" s="110"/>
      <c r="H258" s="114" t="s">
        <v>107</v>
      </c>
      <c r="I258" s="124"/>
      <c r="J258" s="125"/>
      <c r="K258" s="126" t="str">
        <f t="shared" si="58"/>
        <v>#DIV/0!</v>
      </c>
      <c r="L258" s="120">
        <v>-0.1</v>
      </c>
      <c r="M258" s="112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 ht="15.75" hidden="1" customHeight="1" outlineLevel="1">
      <c r="A259" s="113"/>
      <c r="B259" s="114" t="s">
        <v>72</v>
      </c>
      <c r="C259" s="115"/>
      <c r="D259" s="107"/>
      <c r="E259" s="122" t="s">
        <v>72</v>
      </c>
      <c r="F259" s="127" t="str">
        <f t="shared" si="59"/>
        <v/>
      </c>
      <c r="G259" s="110"/>
      <c r="H259" s="114" t="s">
        <v>108</v>
      </c>
      <c r="I259" s="124"/>
      <c r="J259" s="125"/>
      <c r="K259" s="126" t="str">
        <f t="shared" si="58"/>
        <v>#DIV/0!</v>
      </c>
      <c r="L259" s="120">
        <v>0.1</v>
      </c>
      <c r="M259" s="112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 ht="15.75" hidden="1" customHeight="1" outlineLevel="1">
      <c r="A260" s="113"/>
      <c r="B260" s="114" t="s">
        <v>109</v>
      </c>
      <c r="C260" s="128"/>
      <c r="D260" s="107"/>
      <c r="E260" s="122" t="s">
        <v>110</v>
      </c>
      <c r="F260" s="129" t="str">
        <f t="shared" si="59"/>
        <v/>
      </c>
      <c r="G260" s="110"/>
      <c r="H260" s="114" t="s">
        <v>111</v>
      </c>
      <c r="I260" s="130"/>
      <c r="J260" s="131"/>
      <c r="K260" s="126" t="str">
        <f t="shared" si="58"/>
        <v>#DIV/0!</v>
      </c>
      <c r="L260" s="120">
        <v>0.1</v>
      </c>
      <c r="M260" s="112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 ht="15.75" hidden="1" customHeight="1" outlineLevel="1">
      <c r="A261" s="113"/>
      <c r="B261" s="114" t="s">
        <v>112</v>
      </c>
      <c r="C261" s="128"/>
      <c r="D261" s="107"/>
      <c r="E261" s="122" t="s">
        <v>113</v>
      </c>
      <c r="F261" s="132" t="str">
        <f t="shared" si="59"/>
        <v/>
      </c>
      <c r="G261" s="110"/>
      <c r="H261" s="114" t="s">
        <v>114</v>
      </c>
      <c r="I261" s="133"/>
      <c r="J261" s="134"/>
      <c r="K261" s="126" t="str">
        <f t="shared" si="58"/>
        <v>#DIV/0!</v>
      </c>
      <c r="L261" s="120">
        <v>0.03</v>
      </c>
      <c r="M261" s="112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 ht="15.75" hidden="1" customHeight="1" outlineLevel="1">
      <c r="A262" s="135"/>
      <c r="B262" s="135"/>
      <c r="C262" s="135"/>
      <c r="D262" s="107"/>
      <c r="E262" s="135"/>
      <c r="G262" s="110"/>
      <c r="H262" s="135"/>
      <c r="I262" s="135"/>
      <c r="J262" s="135"/>
      <c r="K262" s="135"/>
      <c r="L262" s="135"/>
      <c r="M262" s="112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 ht="15.75" hidden="1" customHeight="1" outlineLevel="1">
      <c r="A263" s="113"/>
      <c r="B263" s="122" t="s">
        <v>115</v>
      </c>
      <c r="C263" s="136" t="str">
        <f>C257/C258</f>
        <v>#DIV/0!</v>
      </c>
      <c r="D263" s="107"/>
      <c r="E263" s="122" t="s">
        <v>116</v>
      </c>
      <c r="F263" s="137" t="str">
        <f>F265/F260</f>
        <v>#DIV/0!</v>
      </c>
      <c r="G263" s="110"/>
      <c r="H263" s="138" t="s">
        <v>116</v>
      </c>
      <c r="I263" s="137" t="str">
        <f>I257/I258</f>
        <v>#DIV/0!</v>
      </c>
      <c r="J263" s="135"/>
      <c r="K263" s="139" t="s">
        <v>117</v>
      </c>
      <c r="L263" s="62" t="s">
        <v>118</v>
      </c>
      <c r="M263" s="140" t="s">
        <v>4</v>
      </c>
      <c r="N263" s="62" t="s">
        <v>119</v>
      </c>
      <c r="O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 ht="15.75" hidden="1" customHeight="1" outlineLevel="1">
      <c r="A264" s="113"/>
      <c r="B264" s="122" t="s">
        <v>8</v>
      </c>
      <c r="C264" s="127" t="str">
        <f>C257/C265</f>
        <v>#DIV/0!</v>
      </c>
      <c r="D264" s="107"/>
      <c r="E264" s="122" t="s">
        <v>124</v>
      </c>
      <c r="F264" s="148" t="str">
        <f>F268/F265</f>
        <v>#DIV/0!</v>
      </c>
      <c r="G264" s="110"/>
      <c r="H264" s="122" t="s">
        <v>124</v>
      </c>
      <c r="I264" s="123" t="str">
        <f>I257/I265</f>
        <v>#DIV/0!</v>
      </c>
      <c r="J264" s="135"/>
      <c r="K264" s="122" t="s">
        <v>125</v>
      </c>
      <c r="L264" s="141">
        <v>0.2</v>
      </c>
      <c r="M264" s="127" t="str">
        <f>I268/100*L264*100</f>
        <v>#DIV/0!</v>
      </c>
      <c r="N264" s="142" t="str">
        <f>M264/I259</f>
        <v>#DIV/0!</v>
      </c>
      <c r="O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 ht="15.75" hidden="1" customHeight="1" outlineLevel="1">
      <c r="A265" s="113"/>
      <c r="B265" s="122" t="s">
        <v>71</v>
      </c>
      <c r="C265" s="148" t="str">
        <f>C263*C260</f>
        <v>#DIV/0!</v>
      </c>
      <c r="D265" s="107"/>
      <c r="E265" s="122" t="s">
        <v>128</v>
      </c>
      <c r="F265" s="148" t="str">
        <f>F266/F259</f>
        <v>#DIV/0!</v>
      </c>
      <c r="G265" s="110"/>
      <c r="H265" s="122" t="s">
        <v>128</v>
      </c>
      <c r="I265" s="148" t="str">
        <f>I263*I260</f>
        <v>#DIV/0!</v>
      </c>
      <c r="J265" s="135"/>
      <c r="K265" s="122" t="s">
        <v>129</v>
      </c>
      <c r="L265" s="133">
        <v>0.2</v>
      </c>
      <c r="M265" s="127" t="str">
        <f>I268/100*L265*100</f>
        <v>#DIV/0!</v>
      </c>
      <c r="N265" s="142" t="str">
        <f>M265/I259</f>
        <v>#DIV/0!</v>
      </c>
      <c r="O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 ht="15.75" hidden="1" customHeight="1" outlineLevel="1">
      <c r="A266" s="113"/>
      <c r="B266" s="122" t="s">
        <v>131</v>
      </c>
      <c r="C266" s="127" t="str">
        <f>(C263*C260)*C259</f>
        <v>#DIV/0!</v>
      </c>
      <c r="D266" s="107"/>
      <c r="E266" s="122" t="s">
        <v>131</v>
      </c>
      <c r="F266" s="127" t="str">
        <f>F257/F261</f>
        <v>#DIV/0!</v>
      </c>
      <c r="G266" s="110"/>
      <c r="H266" s="122" t="s">
        <v>132</v>
      </c>
      <c r="I266" s="127" t="str">
        <f>I263*I260*I259</f>
        <v>#DIV/0!</v>
      </c>
      <c r="J266" s="135"/>
      <c r="K266" s="122" t="s">
        <v>133</v>
      </c>
      <c r="L266" s="133">
        <v>0.3</v>
      </c>
      <c r="M266" s="127" t="str">
        <f>I268/100*L266*100</f>
        <v>#DIV/0!</v>
      </c>
      <c r="N266" s="142" t="str">
        <f>M266/I259</f>
        <v>#DIV/0!</v>
      </c>
      <c r="O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 ht="15.75" hidden="1" customHeight="1" outlineLevel="1">
      <c r="A267" s="113"/>
      <c r="B267" s="122" t="s">
        <v>135</v>
      </c>
      <c r="C267" s="150" t="str">
        <f>C266/C257</f>
        <v>#DIV/0!</v>
      </c>
      <c r="D267" s="107"/>
      <c r="E267" s="122" t="s">
        <v>135</v>
      </c>
      <c r="F267" s="150" t="str">
        <f>F266/F268</f>
        <v>#DIV/0!</v>
      </c>
      <c r="G267" s="110"/>
      <c r="H267" s="122" t="s">
        <v>135</v>
      </c>
      <c r="I267" s="150" t="str">
        <f>I266/I257</f>
        <v>#DIV/0!</v>
      </c>
      <c r="J267" s="135"/>
      <c r="K267" s="122" t="s">
        <v>136</v>
      </c>
      <c r="L267" s="133">
        <v>0.15</v>
      </c>
      <c r="M267" s="127" t="str">
        <f>I268/100*L267*100</f>
        <v>#DIV/0!</v>
      </c>
      <c r="N267" s="142" t="str">
        <f>M267/I259</f>
        <v>#DIV/0!</v>
      </c>
      <c r="O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 ht="15.75" hidden="1" customHeight="1" outlineLevel="1">
      <c r="A268" s="113"/>
      <c r="B268" s="53" t="s">
        <v>138</v>
      </c>
      <c r="C268" s="152" t="str">
        <f>C266*C261</f>
        <v>#DIV/0!</v>
      </c>
      <c r="D268" s="107"/>
      <c r="E268" s="53" t="s">
        <v>139</v>
      </c>
      <c r="F268" s="152" t="str">
        <f>F263*F258</f>
        <v>#DIV/0!</v>
      </c>
      <c r="G268" s="110"/>
      <c r="H268" s="53" t="s">
        <v>104</v>
      </c>
      <c r="I268" s="153" t="str">
        <f>I266*I261</f>
        <v>#DIV/0!</v>
      </c>
      <c r="J268" s="135"/>
      <c r="K268" s="122" t="s">
        <v>87</v>
      </c>
      <c r="L268" s="154">
        <v>0.15</v>
      </c>
      <c r="M268" s="127" t="str">
        <f>I268/100*L268*100</f>
        <v>#DIV/0!</v>
      </c>
      <c r="N268" s="142" t="str">
        <f>M268/I259</f>
        <v>#DIV/0!</v>
      </c>
      <c r="O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 ht="15.75" hidden="1" customHeight="1" outlineLevel="1">
      <c r="A269" s="113"/>
      <c r="B269" s="122" t="s">
        <v>142</v>
      </c>
      <c r="C269" s="150" t="str">
        <f>C268/C257</f>
        <v>#DIV/0!</v>
      </c>
      <c r="D269" s="107"/>
      <c r="E269" s="122" t="s">
        <v>143</v>
      </c>
      <c r="F269" s="150" t="str">
        <f>F257/F268</f>
        <v>#DIV/0!</v>
      </c>
      <c r="G269" s="110"/>
      <c r="H269" s="122" t="s">
        <v>142</v>
      </c>
      <c r="I269" s="155" t="str">
        <f>I268/I257</f>
        <v>#DIV/0!</v>
      </c>
      <c r="J269" s="135"/>
      <c r="K269" s="135"/>
      <c r="L269" s="156">
        <f>SUM(L264:L268)</f>
        <v>1</v>
      </c>
      <c r="N269" s="157" t="str">
        <f>SUM(N264:N268)</f>
        <v>#DIV/0!</v>
      </c>
      <c r="O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 ht="15.75" hidden="1" customHeight="1" outlineLevel="1">
      <c r="A270" s="135"/>
      <c r="B270" s="135"/>
      <c r="C270" s="135"/>
      <c r="D270" s="107"/>
      <c r="E270" s="107"/>
      <c r="F270" s="107"/>
      <c r="G270" s="110"/>
      <c r="H270" s="135"/>
      <c r="I270" s="135"/>
      <c r="J270" s="135"/>
      <c r="O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 ht="15.75" hidden="1" customHeight="1" outlineLevel="1">
      <c r="A271" s="104"/>
      <c r="B271" s="158" t="s">
        <v>146</v>
      </c>
      <c r="C271" s="41"/>
      <c r="D271" s="107"/>
      <c r="E271" s="158" t="s">
        <v>147</v>
      </c>
      <c r="F271" s="41"/>
      <c r="G271" s="110"/>
      <c r="H271" s="158" t="s">
        <v>148</v>
      </c>
      <c r="I271" s="41"/>
      <c r="J271" s="135"/>
      <c r="K271" s="62" t="s">
        <v>149</v>
      </c>
      <c r="L271" s="62" t="s">
        <v>150</v>
      </c>
      <c r="M271" s="62" t="s">
        <v>151</v>
      </c>
      <c r="N271" s="62" t="s">
        <v>152</v>
      </c>
      <c r="O271" s="62" t="s">
        <v>153</v>
      </c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 ht="15.75" hidden="1" customHeight="1" outlineLevel="1">
      <c r="A272" s="113"/>
      <c r="B272" s="122" t="s">
        <v>155</v>
      </c>
      <c r="C272" s="127">
        <f>C257/30</f>
        <v>0</v>
      </c>
      <c r="D272" s="107"/>
      <c r="E272" s="122" t="s">
        <v>155</v>
      </c>
      <c r="F272" s="127">
        <f>F257/30</f>
        <v>0</v>
      </c>
      <c r="G272" s="110"/>
      <c r="H272" s="122" t="s">
        <v>155</v>
      </c>
      <c r="I272" s="127">
        <f>I257/'Acompanhamento Geral'!B348</f>
        <v>0</v>
      </c>
      <c r="J272" s="135"/>
      <c r="K272" s="62" t="s">
        <v>118</v>
      </c>
      <c r="L272" s="159">
        <v>0.7</v>
      </c>
      <c r="M272" s="160">
        <v>0.3</v>
      </c>
      <c r="N272" s="161">
        <v>0.0</v>
      </c>
      <c r="O272" s="162">
        <f t="shared" ref="O272:O273" si="60">sum(L272:N272)</f>
        <v>1</v>
      </c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 ht="15.75" hidden="1" customHeight="1" outlineLevel="1">
      <c r="A273" s="113"/>
      <c r="B273" s="122" t="s">
        <v>156</v>
      </c>
      <c r="C273" s="148" t="str">
        <f>C263/30</f>
        <v>#DIV/0!</v>
      </c>
      <c r="D273" s="107"/>
      <c r="E273" s="122" t="s">
        <v>156</v>
      </c>
      <c r="F273" s="148" t="str">
        <f>F263/30</f>
        <v>#DIV/0!</v>
      </c>
      <c r="G273" s="110"/>
      <c r="H273" s="122" t="s">
        <v>156</v>
      </c>
      <c r="I273" s="148" t="str">
        <f>I263/'Acompanhamento Geral'!B348</f>
        <v>#DIV/0!</v>
      </c>
      <c r="J273" s="135"/>
      <c r="K273" s="165" t="s">
        <v>157</v>
      </c>
      <c r="L273" s="166">
        <f>I257*L272</f>
        <v>0</v>
      </c>
      <c r="M273" s="166">
        <f>I257*M272</f>
        <v>0</v>
      </c>
      <c r="N273" s="166">
        <f>I257*N272</f>
        <v>0</v>
      </c>
      <c r="O273" s="167">
        <f t="shared" si="60"/>
        <v>0</v>
      </c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 ht="15.75" hidden="1" customHeight="1" outlineLevel="1">
      <c r="A274" s="113"/>
      <c r="B274" s="122" t="s">
        <v>158</v>
      </c>
      <c r="C274" s="148" t="str">
        <f t="shared" ref="C274:C275" si="61">C265/30</f>
        <v>#DIV/0!</v>
      </c>
      <c r="D274" s="107"/>
      <c r="E274" s="122" t="s">
        <v>158</v>
      </c>
      <c r="F274" s="148" t="str">
        <f t="shared" ref="F274:F275" si="62">F265/30</f>
        <v>#DIV/0!</v>
      </c>
      <c r="G274" s="110"/>
      <c r="H274" s="122" t="s">
        <v>158</v>
      </c>
      <c r="I274" s="148" t="str">
        <f>I265/'Acompanhamento Geral'!B348</f>
        <v>#DIV/0!</v>
      </c>
      <c r="J274" s="135"/>
      <c r="K274" s="165" t="s">
        <v>159</v>
      </c>
      <c r="L274" s="168" t="str">
        <f>L273/'Acompanhamento Geral'!B271</f>
        <v>#VALUE!</v>
      </c>
      <c r="M274" s="168" t="str">
        <f>M273/'Acompanhamento Geral'!B271</f>
        <v>#VALUE!</v>
      </c>
      <c r="N274" s="168" t="str">
        <f>iferror(N273/'Acompanhamento Geral'!B271,"")</f>
        <v/>
      </c>
      <c r="O274" s="182" t="str">
        <f>SUM(L274:N274)</f>
        <v>#VALUE!</v>
      </c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 ht="15.75" hidden="1" customHeight="1" outlineLevel="1">
      <c r="A275" s="113"/>
      <c r="B275" s="122" t="s">
        <v>160</v>
      </c>
      <c r="C275" s="127" t="str">
        <f t="shared" si="61"/>
        <v>#DIV/0!</v>
      </c>
      <c r="D275" s="107"/>
      <c r="E275" s="122" t="s">
        <v>160</v>
      </c>
      <c r="F275" s="127" t="str">
        <f t="shared" si="62"/>
        <v>#DIV/0!</v>
      </c>
      <c r="G275" s="110"/>
      <c r="H275" s="122" t="s">
        <v>160</v>
      </c>
      <c r="I275" s="127" t="str">
        <f>I266/'Acompanhamento Geral'!B348</f>
        <v>#DIV/0!</v>
      </c>
      <c r="J275" s="135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 ht="15.75" hidden="1" customHeight="1" outlineLevel="1">
      <c r="A276" s="50"/>
      <c r="B276" s="50"/>
      <c r="C276" s="181"/>
      <c r="D276" s="50"/>
      <c r="E276" s="50"/>
      <c r="F276" s="181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1:C1"/>
    <mergeCell ref="B3:C3"/>
    <mergeCell ref="E3:F3"/>
    <mergeCell ref="H3:I3"/>
    <mergeCell ref="E9:F9"/>
    <mergeCell ref="Q11:Q14"/>
    <mergeCell ref="Q15:Q18"/>
    <mergeCell ref="H18:I18"/>
    <mergeCell ref="B18:C18"/>
    <mergeCell ref="E18:F18"/>
    <mergeCell ref="B24:C24"/>
    <mergeCell ref="B26:C26"/>
    <mergeCell ref="E26:F26"/>
    <mergeCell ref="H26:I26"/>
    <mergeCell ref="E32:F32"/>
    <mergeCell ref="B41:C41"/>
    <mergeCell ref="E41:F41"/>
    <mergeCell ref="H41:I41"/>
    <mergeCell ref="B47:C47"/>
    <mergeCell ref="E49:F49"/>
    <mergeCell ref="H49:I49"/>
    <mergeCell ref="E55:F55"/>
    <mergeCell ref="B49:C49"/>
    <mergeCell ref="B64:C64"/>
    <mergeCell ref="E64:F64"/>
    <mergeCell ref="H64:I64"/>
    <mergeCell ref="B70:C70"/>
    <mergeCell ref="B72:C72"/>
    <mergeCell ref="H72:I72"/>
    <mergeCell ref="E72:F72"/>
    <mergeCell ref="E78:F78"/>
    <mergeCell ref="B87:C87"/>
    <mergeCell ref="E87:F87"/>
    <mergeCell ref="H87:I87"/>
    <mergeCell ref="B93:C93"/>
    <mergeCell ref="B95:C95"/>
    <mergeCell ref="E95:F95"/>
    <mergeCell ref="H95:I95"/>
    <mergeCell ref="E101:F101"/>
    <mergeCell ref="B110:C110"/>
    <mergeCell ref="E110:F110"/>
    <mergeCell ref="H110:I110"/>
    <mergeCell ref="B116:C116"/>
    <mergeCell ref="B118:C118"/>
    <mergeCell ref="E118:F118"/>
    <mergeCell ref="H118:I118"/>
    <mergeCell ref="E124:F124"/>
    <mergeCell ref="B133:C133"/>
    <mergeCell ref="E133:F133"/>
    <mergeCell ref="H133:I133"/>
    <mergeCell ref="B231:C231"/>
    <mergeCell ref="B233:C233"/>
    <mergeCell ref="E233:F233"/>
    <mergeCell ref="H233:I233"/>
    <mergeCell ref="E239:F239"/>
    <mergeCell ref="E248:F248"/>
    <mergeCell ref="H248:I248"/>
    <mergeCell ref="B248:C248"/>
    <mergeCell ref="B254:C254"/>
    <mergeCell ref="B256:C256"/>
    <mergeCell ref="E256:F256"/>
    <mergeCell ref="H256:I256"/>
    <mergeCell ref="E262:F262"/>
    <mergeCell ref="B271:C271"/>
    <mergeCell ref="B139:C139"/>
    <mergeCell ref="B141:C141"/>
    <mergeCell ref="E141:F141"/>
    <mergeCell ref="H141:I141"/>
    <mergeCell ref="E147:F147"/>
    <mergeCell ref="E156:F156"/>
    <mergeCell ref="H156:I156"/>
    <mergeCell ref="E179:F179"/>
    <mergeCell ref="H179:I179"/>
    <mergeCell ref="B156:C156"/>
    <mergeCell ref="B162:C162"/>
    <mergeCell ref="B164:C164"/>
    <mergeCell ref="E164:F164"/>
    <mergeCell ref="H164:I164"/>
    <mergeCell ref="E170:F170"/>
    <mergeCell ref="B179:C179"/>
    <mergeCell ref="B185:C185"/>
    <mergeCell ref="B187:C187"/>
    <mergeCell ref="E187:F187"/>
    <mergeCell ref="H187:I187"/>
    <mergeCell ref="E193:F193"/>
    <mergeCell ref="E202:F202"/>
    <mergeCell ref="H202:I202"/>
    <mergeCell ref="E225:F225"/>
    <mergeCell ref="H225:I225"/>
    <mergeCell ref="B202:C202"/>
    <mergeCell ref="B208:C208"/>
    <mergeCell ref="B210:C210"/>
    <mergeCell ref="E210:F210"/>
    <mergeCell ref="H210:I210"/>
    <mergeCell ref="E216:F216"/>
    <mergeCell ref="B225:C225"/>
    <mergeCell ref="E271:F271"/>
    <mergeCell ref="H271:I271"/>
  </mergeCells>
  <conditionalFormatting sqref="I15 I38 I61 I84 I107 I130 I153 I176 I199 I222 I245 I268">
    <cfRule type="cellIs" dxfId="0" priority="1" operator="greaterThanOrEqual">
      <formula>$F$4</formula>
    </cfRule>
  </conditionalFormatting>
  <conditionalFormatting sqref="I15 I38 I61 I84 I107 I130 I153 I176 I199 I222 I245 I268">
    <cfRule type="cellIs" dxfId="1" priority="2" operator="lessThan">
      <formula>$F$4</formula>
    </cfRule>
  </conditionalFormatting>
  <conditionalFormatting sqref="K4 K27 K50 K73 K96 K119 K142 K165 K188 K211 K234 K257">
    <cfRule type="cellIs" dxfId="2" priority="3" operator="greaterThanOrEqual">
      <formula>$L$4</formula>
    </cfRule>
  </conditionalFormatting>
  <conditionalFormatting sqref="K5 K28 K51 K74 K97 K120 K143 K166 K189 K212 K235 K258">
    <cfRule type="cellIs" dxfId="2" priority="4" operator="lessThan">
      <formula>$L$5</formula>
    </cfRule>
  </conditionalFormatting>
  <conditionalFormatting sqref="K6 K29 K52 K75 K98 K121 K144 K167 K190 K213 K236 K259">
    <cfRule type="cellIs" dxfId="2" priority="5" operator="greaterThanOrEqual">
      <formula>$L$6</formula>
    </cfRule>
  </conditionalFormatting>
  <conditionalFormatting sqref="K7 K30 K53 K76 K99 K122 K145 K168 K191 K214 K237 K260">
    <cfRule type="cellIs" dxfId="2" priority="6" operator="greaterThanOrEqual">
      <formula>$L$7</formula>
    </cfRule>
  </conditionalFormatting>
  <conditionalFormatting sqref="K8 K31 K54 K77 K100 K123 K146 K169 K192 K215 K238 K261">
    <cfRule type="cellIs" dxfId="2" priority="7" operator="greaterThanOrEqual">
      <formula>$L$8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39.5"/>
    <col customWidth="1" min="3" max="3" width="2.88"/>
    <col customWidth="1" min="4" max="4" width="39.5"/>
    <col customWidth="1" min="5" max="5" width="5.0"/>
    <col customWidth="1" min="6" max="6" width="12.63"/>
  </cols>
  <sheetData>
    <row r="1" ht="33.0" customHeight="1">
      <c r="A1" s="183"/>
      <c r="B1" s="184"/>
      <c r="C1" s="184"/>
      <c r="D1" s="185" t="s">
        <v>161</v>
      </c>
      <c r="E1" s="183"/>
      <c r="F1" s="186"/>
      <c r="G1" s="186"/>
      <c r="H1" s="186"/>
      <c r="I1" s="186"/>
      <c r="J1" s="183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0.5" customHeight="1">
      <c r="A2" s="187"/>
      <c r="B2" s="50"/>
      <c r="C2" s="50"/>
      <c r="D2" s="50"/>
      <c r="E2" s="187"/>
      <c r="F2" s="188"/>
      <c r="G2" s="188"/>
      <c r="H2" s="188"/>
      <c r="I2" s="188"/>
      <c r="J2" s="187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187"/>
      <c r="B3" s="189" t="s">
        <v>61</v>
      </c>
      <c r="C3" s="187"/>
      <c r="D3" s="189" t="s">
        <v>6</v>
      </c>
      <c r="E3" s="190"/>
      <c r="F3" s="191" t="s">
        <v>149</v>
      </c>
      <c r="G3" s="191" t="s">
        <v>150</v>
      </c>
      <c r="H3" s="191" t="s">
        <v>151</v>
      </c>
      <c r="I3" s="191" t="s">
        <v>152</v>
      </c>
      <c r="J3" s="187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187"/>
      <c r="B4" s="192">
        <v>10000.0</v>
      </c>
      <c r="D4" s="193">
        <v>0.3</v>
      </c>
      <c r="E4" s="190"/>
      <c r="F4" s="191" t="s">
        <v>118</v>
      </c>
      <c r="G4" s="194">
        <v>0.7</v>
      </c>
      <c r="H4" s="194">
        <v>0.4</v>
      </c>
      <c r="I4" s="194">
        <v>0.0</v>
      </c>
      <c r="J4" s="187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5.75" customHeight="1">
      <c r="A5" s="187"/>
      <c r="B5" s="187"/>
      <c r="D5" s="187"/>
      <c r="E5" s="190"/>
      <c r="F5" s="195" t="s">
        <v>157</v>
      </c>
      <c r="G5" s="168">
        <f t="shared" ref="G5:I5" si="1">G4*$B$4</f>
        <v>7000</v>
      </c>
      <c r="H5" s="168">
        <f t="shared" si="1"/>
        <v>4000</v>
      </c>
      <c r="I5" s="168">
        <f t="shared" si="1"/>
        <v>0</v>
      </c>
      <c r="J5" s="187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187"/>
      <c r="B6" s="189" t="s">
        <v>72</v>
      </c>
      <c r="D6" s="189" t="s">
        <v>73</v>
      </c>
      <c r="E6" s="187"/>
      <c r="F6" s="195" t="s">
        <v>159</v>
      </c>
      <c r="G6" s="168">
        <f>ROUNDUP((B4*G4)/30,0)</f>
        <v>234</v>
      </c>
      <c r="H6" s="168">
        <f>ROUNDUP((B4*H4)/30,0)</f>
        <v>134</v>
      </c>
      <c r="I6" s="168">
        <f>ROUNDUP((B4*I4)/30,0)</f>
        <v>0</v>
      </c>
      <c r="J6" s="167">
        <f>SUM(G6:I6)</f>
        <v>368</v>
      </c>
      <c r="K6" s="50"/>
      <c r="L6" s="50"/>
      <c r="M6" s="196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187"/>
      <c r="B7" s="197">
        <v>150.0</v>
      </c>
      <c r="D7" s="198">
        <v>0.015</v>
      </c>
      <c r="E7" s="187"/>
      <c r="F7" s="50"/>
      <c r="G7" s="50"/>
      <c r="H7" s="50"/>
      <c r="I7" s="50"/>
      <c r="J7" s="187"/>
      <c r="K7" s="50"/>
      <c r="L7" s="50"/>
      <c r="M7" s="199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5.75" customHeight="1">
      <c r="A8" s="187"/>
      <c r="B8" s="187"/>
      <c r="D8" s="187"/>
      <c r="E8" s="187"/>
      <c r="F8" s="50"/>
      <c r="G8" s="50"/>
      <c r="H8" s="50"/>
      <c r="I8" s="50"/>
      <c r="J8" s="187"/>
      <c r="K8" s="50"/>
      <c r="L8" s="50"/>
      <c r="M8" s="20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187"/>
      <c r="B9" s="201" t="s">
        <v>162</v>
      </c>
      <c r="D9" s="201" t="s">
        <v>163</v>
      </c>
      <c r="E9" s="187"/>
      <c r="F9" s="50"/>
      <c r="G9" s="50"/>
      <c r="H9" s="50"/>
      <c r="I9" s="50"/>
      <c r="J9" s="187"/>
      <c r="K9" s="50"/>
      <c r="L9" s="50"/>
      <c r="M9" s="202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187"/>
      <c r="B10" s="203">
        <f>B16/B4</f>
        <v>7.5</v>
      </c>
      <c r="D10" s="204">
        <f>B4/D4</f>
        <v>33333.33333</v>
      </c>
      <c r="E10" s="187"/>
      <c r="F10" s="50"/>
      <c r="G10" s="50"/>
      <c r="H10" s="50"/>
      <c r="I10" s="50"/>
      <c r="J10" s="187"/>
      <c r="K10" s="50"/>
      <c r="L10" s="50"/>
      <c r="M10" s="205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187"/>
      <c r="B11" s="187"/>
      <c r="D11" s="187"/>
      <c r="E11" s="187"/>
      <c r="F11" s="187"/>
      <c r="G11" s="187"/>
      <c r="H11" s="187"/>
      <c r="I11" s="50"/>
      <c r="J11" s="187"/>
      <c r="K11" s="50"/>
      <c r="L11" s="50"/>
      <c r="M11" s="206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187"/>
      <c r="B12" s="201" t="s">
        <v>8</v>
      </c>
      <c r="D12" s="201" t="s">
        <v>164</v>
      </c>
      <c r="E12" s="187"/>
      <c r="F12" s="187"/>
      <c r="G12" s="187"/>
      <c r="H12" s="187"/>
      <c r="I12" s="50"/>
      <c r="J12" s="50"/>
      <c r="K12" s="50"/>
      <c r="L12" s="50"/>
      <c r="M12" s="207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87"/>
      <c r="B13" s="208">
        <f>B4/D13</f>
        <v>20</v>
      </c>
      <c r="D13" s="204">
        <f>D10*D7</f>
        <v>500</v>
      </c>
      <c r="E13" s="187"/>
      <c r="F13" s="187"/>
      <c r="G13" s="187"/>
      <c r="H13" s="187"/>
      <c r="I13" s="50"/>
      <c r="J13" s="187"/>
      <c r="K13" s="50"/>
      <c r="L13" s="50"/>
      <c r="M13" s="20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187"/>
      <c r="B14" s="187"/>
      <c r="D14" s="187"/>
      <c r="E14" s="187"/>
      <c r="F14" s="187"/>
      <c r="G14" s="187"/>
      <c r="H14" s="187"/>
      <c r="I14" s="50"/>
      <c r="J14" s="187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187"/>
      <c r="B15" s="210" t="s">
        <v>4</v>
      </c>
      <c r="C15" s="211"/>
      <c r="D15" s="41"/>
      <c r="E15" s="187"/>
      <c r="F15" s="187"/>
      <c r="G15" s="187"/>
      <c r="H15" s="187"/>
      <c r="I15" s="50"/>
      <c r="J15" s="187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87"/>
      <c r="B16" s="212">
        <f>D13*B7</f>
        <v>75000</v>
      </c>
      <c r="C16" s="211"/>
      <c r="D16" s="41"/>
      <c r="E16" s="187"/>
      <c r="F16" s="187"/>
      <c r="G16" s="187"/>
      <c r="H16" s="187"/>
      <c r="I16" s="50"/>
      <c r="J16" s="187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187"/>
      <c r="B17" s="50"/>
      <c r="E17" s="187"/>
      <c r="F17" s="187"/>
      <c r="G17" s="187"/>
      <c r="H17" s="187"/>
      <c r="I17" s="187"/>
      <c r="J17" s="187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187"/>
      <c r="B18" s="213" t="s">
        <v>165</v>
      </c>
      <c r="C18" s="187"/>
      <c r="D18" s="213" t="s">
        <v>166</v>
      </c>
      <c r="E18" s="187"/>
      <c r="F18" s="187"/>
      <c r="G18" s="187"/>
      <c r="H18" s="187"/>
      <c r="I18" s="187"/>
      <c r="J18" s="187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190"/>
      <c r="B19" s="214" t="s">
        <v>167</v>
      </c>
      <c r="C19" s="190"/>
      <c r="D19" s="214" t="s">
        <v>168</v>
      </c>
      <c r="E19" s="187"/>
      <c r="F19" s="187"/>
      <c r="G19" s="187"/>
      <c r="H19" s="187"/>
      <c r="I19" s="187"/>
      <c r="J19" s="187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190"/>
      <c r="B20" s="215" t="s">
        <v>169</v>
      </c>
      <c r="C20" s="190"/>
      <c r="D20" s="216" t="s">
        <v>170</v>
      </c>
      <c r="E20" s="187"/>
      <c r="F20" s="187"/>
      <c r="G20" s="187"/>
      <c r="H20" s="187"/>
      <c r="I20" s="187"/>
      <c r="J20" s="187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190"/>
      <c r="B21" s="215" t="s">
        <v>171</v>
      </c>
      <c r="C21" s="190"/>
      <c r="D21" s="216" t="s">
        <v>172</v>
      </c>
      <c r="E21" s="187"/>
      <c r="F21" s="187"/>
      <c r="G21" s="187"/>
      <c r="H21" s="187"/>
      <c r="I21" s="187"/>
      <c r="J21" s="187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190"/>
      <c r="B22" s="216" t="s">
        <v>173</v>
      </c>
      <c r="C22" s="190"/>
      <c r="D22" s="216" t="s">
        <v>174</v>
      </c>
      <c r="E22" s="187"/>
      <c r="F22" s="187"/>
      <c r="G22" s="187"/>
      <c r="H22" s="187"/>
      <c r="I22" s="187"/>
      <c r="J22" s="187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190"/>
      <c r="B23" s="215" t="s">
        <v>175</v>
      </c>
      <c r="C23" s="190"/>
      <c r="D23" s="216" t="s">
        <v>176</v>
      </c>
      <c r="E23" s="187"/>
      <c r="F23" s="187"/>
      <c r="G23" s="187"/>
      <c r="H23" s="187"/>
      <c r="I23" s="187"/>
      <c r="J23" s="187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190"/>
      <c r="B24" s="215" t="s">
        <v>177</v>
      </c>
      <c r="C24" s="190"/>
      <c r="D24" s="216" t="s">
        <v>178</v>
      </c>
      <c r="E24" s="187"/>
      <c r="F24" s="187"/>
      <c r="G24" s="187"/>
      <c r="H24" s="187"/>
      <c r="I24" s="187"/>
      <c r="J24" s="187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190"/>
      <c r="B25" s="217" t="s">
        <v>121</v>
      </c>
      <c r="C25" s="190"/>
      <c r="D25" s="217" t="s">
        <v>179</v>
      </c>
      <c r="E25" s="187"/>
      <c r="F25" s="187"/>
      <c r="G25" s="187"/>
      <c r="H25" s="187"/>
      <c r="I25" s="187"/>
      <c r="J25" s="187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187"/>
      <c r="B26" s="217" t="s">
        <v>180</v>
      </c>
      <c r="C26" s="187"/>
      <c r="D26" s="50"/>
      <c r="E26" s="187"/>
      <c r="F26" s="187"/>
      <c r="G26" s="187"/>
      <c r="H26" s="187"/>
      <c r="I26" s="187"/>
      <c r="J26" s="187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187"/>
      <c r="B28" s="218" t="s">
        <v>181</v>
      </c>
      <c r="C28" s="187"/>
      <c r="D28" s="218" t="s">
        <v>181</v>
      </c>
      <c r="E28" s="187"/>
      <c r="F28" s="187"/>
      <c r="G28" s="187"/>
      <c r="H28" s="187"/>
      <c r="I28" s="187"/>
      <c r="J28" s="187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187"/>
      <c r="B29" s="219" t="s">
        <v>6</v>
      </c>
      <c r="C29" s="187"/>
      <c r="D29" s="219" t="s">
        <v>7</v>
      </c>
      <c r="E29" s="187"/>
      <c r="F29" s="187"/>
      <c r="G29" s="187"/>
      <c r="H29" s="187"/>
      <c r="I29" s="187"/>
      <c r="J29" s="187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187"/>
      <c r="B30" s="220">
        <v>0.35</v>
      </c>
      <c r="C30" s="187"/>
      <c r="D30" s="221">
        <v>0.005</v>
      </c>
      <c r="E30" s="187"/>
      <c r="F30" s="187"/>
      <c r="G30" s="187"/>
      <c r="H30" s="187"/>
      <c r="I30" s="187"/>
      <c r="J30" s="187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187"/>
      <c r="B31" s="222">
        <v>0.6</v>
      </c>
      <c r="C31" s="187"/>
      <c r="D31" s="223">
        <v>0.01</v>
      </c>
      <c r="E31" s="187"/>
      <c r="F31" s="187"/>
      <c r="G31" s="187"/>
      <c r="H31" s="187"/>
      <c r="I31" s="187"/>
      <c r="J31" s="187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224">
        <v>0.9</v>
      </c>
      <c r="C32" s="50"/>
      <c r="D32" s="225">
        <v>0.015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C14"/>
    <mergeCell ref="B15:D15"/>
    <mergeCell ref="B16:D16"/>
    <mergeCell ref="B17:D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27.0"/>
    <col customWidth="1" min="3" max="3" width="15.25"/>
    <col customWidth="1" min="4" max="4" width="8.25"/>
    <col customWidth="1" min="5" max="5" width="23.13"/>
    <col customWidth="1" min="6" max="6" width="14.0"/>
    <col customWidth="1" min="7" max="7" width="6.75"/>
    <col customWidth="1" min="8" max="8" width="6.63"/>
    <col customWidth="1" min="9" max="9" width="14.75"/>
    <col customWidth="1" min="10" max="19" width="12.63"/>
    <col customWidth="1" min="20" max="20" width="13.75"/>
    <col customWidth="1" min="22" max="22" width="14.13"/>
    <col customWidth="1" min="23" max="23" width="4.0"/>
  </cols>
  <sheetData>
    <row r="1" ht="33.0" customHeight="1">
      <c r="A1" s="183"/>
      <c r="B1" s="184"/>
      <c r="C1" s="184"/>
      <c r="D1" s="185"/>
      <c r="E1" s="183"/>
      <c r="F1" s="186"/>
      <c r="G1" s="186"/>
      <c r="H1" s="186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</row>
    <row r="2" ht="11.25" customHeight="1">
      <c r="A2" s="50"/>
      <c r="B2" s="50"/>
      <c r="C2" s="50"/>
      <c r="D2" s="50"/>
      <c r="E2" s="50"/>
      <c r="F2" s="50"/>
      <c r="G2" s="226"/>
      <c r="H2" s="227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ht="15.75" customHeight="1">
      <c r="A3" s="50"/>
      <c r="B3" s="228" t="s">
        <v>182</v>
      </c>
      <c r="C3" s="41"/>
      <c r="D3" s="50"/>
      <c r="E3" s="229" t="s">
        <v>183</v>
      </c>
      <c r="F3" s="41"/>
      <c r="G3" s="230"/>
      <c r="H3" s="50"/>
      <c r="I3" s="229" t="s">
        <v>183</v>
      </c>
      <c r="J3" s="211"/>
      <c r="K3" s="211"/>
      <c r="L3" s="211"/>
      <c r="M3" s="211"/>
      <c r="N3" s="211"/>
      <c r="O3" s="211"/>
      <c r="P3" s="211"/>
      <c r="Q3" s="211"/>
      <c r="R3" s="211"/>
      <c r="S3" s="41"/>
      <c r="T3" s="50"/>
      <c r="U3" s="50"/>
      <c r="V3" s="50"/>
      <c r="W3" s="50"/>
    </row>
    <row r="4" ht="15.75" customHeight="1">
      <c r="A4" s="50"/>
      <c r="B4" s="231" t="s">
        <v>184</v>
      </c>
      <c r="C4" s="41"/>
      <c r="D4" s="50"/>
      <c r="E4" s="232" t="s">
        <v>185</v>
      </c>
      <c r="F4" s="41"/>
      <c r="G4" s="230"/>
      <c r="H4" s="233">
        <v>0.25</v>
      </c>
      <c r="I4" s="234" t="s">
        <v>186</v>
      </c>
      <c r="J4" s="235">
        <f>C12</f>
        <v>5000</v>
      </c>
      <c r="K4" s="235">
        <f t="shared" ref="K4:S4" si="1">J4*(1+$H$4)</f>
        <v>6250</v>
      </c>
      <c r="L4" s="235">
        <f t="shared" si="1"/>
        <v>7812.5</v>
      </c>
      <c r="M4" s="235">
        <f t="shared" si="1"/>
        <v>9765.625</v>
      </c>
      <c r="N4" s="235">
        <f t="shared" si="1"/>
        <v>12207.03125</v>
      </c>
      <c r="O4" s="235">
        <f t="shared" si="1"/>
        <v>15258.78906</v>
      </c>
      <c r="P4" s="235">
        <f t="shared" si="1"/>
        <v>19073.48633</v>
      </c>
      <c r="Q4" s="235">
        <f t="shared" si="1"/>
        <v>23841.85791</v>
      </c>
      <c r="R4" s="235">
        <f t="shared" si="1"/>
        <v>29802.32239</v>
      </c>
      <c r="S4" s="235">
        <f t="shared" si="1"/>
        <v>37252.90298</v>
      </c>
      <c r="T4" s="50"/>
      <c r="U4" s="50"/>
      <c r="V4" s="50"/>
      <c r="W4" s="50"/>
    </row>
    <row r="5" ht="15.75" customHeight="1">
      <c r="A5" s="50"/>
      <c r="B5" s="236" t="s">
        <v>187</v>
      </c>
      <c r="C5" s="237">
        <v>10000.0</v>
      </c>
      <c r="D5" s="50"/>
      <c r="E5" s="238" t="s">
        <v>72</v>
      </c>
      <c r="F5" s="239">
        <f>C5/C6</f>
        <v>100</v>
      </c>
      <c r="G5" s="230"/>
      <c r="H5" s="50"/>
      <c r="I5" s="240">
        <v>1.0</v>
      </c>
      <c r="J5" s="241">
        <f t="shared" ref="J5:J27" si="2">($J$4*I5)-(($J$4*I5)*(SUM($G$6:$G$10)))-$J$4</f>
        <v>-3500</v>
      </c>
      <c r="K5" s="242">
        <f t="shared" ref="K5:K27" si="3">($K$4*I5)-(($K$4*I5)*(SUM($G$6:$G$10)))-$K$4</f>
        <v>-4375</v>
      </c>
      <c r="L5" s="242">
        <f t="shared" ref="L5:L27" si="4">($L$4*I5)-(($L$4*I5)*(SUM($G$6:$G$10)))-$L$4</f>
        <v>-5468.75</v>
      </c>
      <c r="M5" s="242">
        <f t="shared" ref="M5:M27" si="5">($M$4*I5)-(($M$4*I5)*(SUM($G$6:$G$10)))-$M$4</f>
        <v>-6835.9375</v>
      </c>
      <c r="N5" s="242">
        <f t="shared" ref="N5:N27" si="6">($N$4*I5)-(($N$4*I5)*(SUM($G$6:$G$10)))-$N$4</f>
        <v>-8544.921875</v>
      </c>
      <c r="O5" s="242">
        <f t="shared" ref="O5:O27" si="7">($O$4*I5)-(($O$4*I5)*(SUM($G$6:$G$10)))-$O$4</f>
        <v>-10681.15234</v>
      </c>
      <c r="P5" s="242">
        <f t="shared" ref="P5:P27" si="8">($P$4*I5)-(($P$4*I5)*(SUM($G$6:$G$10)))-$P$4</f>
        <v>-13351.44043</v>
      </c>
      <c r="Q5" s="242">
        <f t="shared" ref="Q5:Q27" si="9">($Q$4*I5)-(($Q$4*I5)*(SUM($G$6:$G$10)))-$Q$4</f>
        <v>-16689.30054</v>
      </c>
      <c r="R5" s="242">
        <f t="shared" ref="R5:R27" si="10">($R$4*I5)-(($R$4*I5)*(SUM($G$6:$G$10)))-$R$4</f>
        <v>-20861.62567</v>
      </c>
      <c r="S5" s="242">
        <f t="shared" ref="S5:S27" si="11">($S$4*I5)-(($S$4*I5)*(SUM($G$6:$G$10)))-$S$4</f>
        <v>-26077.03209</v>
      </c>
      <c r="T5" s="50"/>
      <c r="U5" s="50"/>
      <c r="V5" s="50"/>
      <c r="W5" s="50"/>
    </row>
    <row r="6" ht="15.75" customHeight="1">
      <c r="A6" s="50"/>
      <c r="B6" s="236" t="s">
        <v>188</v>
      </c>
      <c r="C6" s="243">
        <v>100.0</v>
      </c>
      <c r="D6" s="50"/>
      <c r="E6" s="238" t="s">
        <v>189</v>
      </c>
      <c r="F6" s="239">
        <f>C8*F5</f>
        <v>7</v>
      </c>
      <c r="G6" s="244">
        <f t="shared" ref="G6:G11" si="12">F6/$F$5</f>
        <v>0.07</v>
      </c>
      <c r="H6" s="50"/>
      <c r="I6" s="240">
        <v>1.5</v>
      </c>
      <c r="J6" s="241">
        <f t="shared" si="2"/>
        <v>-2750</v>
      </c>
      <c r="K6" s="242">
        <f t="shared" si="3"/>
        <v>-3437.5</v>
      </c>
      <c r="L6" s="242">
        <f t="shared" si="4"/>
        <v>-4296.875</v>
      </c>
      <c r="M6" s="242">
        <f t="shared" si="5"/>
        <v>-5371.09375</v>
      </c>
      <c r="N6" s="242">
        <f t="shared" si="6"/>
        <v>-6713.867188</v>
      </c>
      <c r="O6" s="242">
        <f t="shared" si="7"/>
        <v>-8392.333984</v>
      </c>
      <c r="P6" s="242">
        <f t="shared" si="8"/>
        <v>-10490.41748</v>
      </c>
      <c r="Q6" s="242">
        <f t="shared" si="9"/>
        <v>-13113.02185</v>
      </c>
      <c r="R6" s="242">
        <f t="shared" si="10"/>
        <v>-16391.27731</v>
      </c>
      <c r="S6" s="242">
        <f t="shared" si="11"/>
        <v>-20489.09664</v>
      </c>
      <c r="T6" s="50"/>
      <c r="U6" s="50"/>
      <c r="V6" s="50"/>
      <c r="W6" s="50"/>
    </row>
    <row r="7" ht="15.75" customHeight="1">
      <c r="A7" s="50"/>
      <c r="B7" s="236" t="s">
        <v>190</v>
      </c>
      <c r="C7" s="243">
        <v>0.0</v>
      </c>
      <c r="D7" s="50"/>
      <c r="E7" s="238" t="s">
        <v>191</v>
      </c>
      <c r="F7" s="239">
        <f>(C7/C6)*F5</f>
        <v>0</v>
      </c>
      <c r="G7" s="244">
        <f t="shared" si="12"/>
        <v>0</v>
      </c>
      <c r="H7" s="50"/>
      <c r="I7" s="240">
        <v>2.0</v>
      </c>
      <c r="J7" s="241">
        <f t="shared" si="2"/>
        <v>-2000</v>
      </c>
      <c r="K7" s="242">
        <f t="shared" si="3"/>
        <v>-2500</v>
      </c>
      <c r="L7" s="242">
        <f t="shared" si="4"/>
        <v>-3125</v>
      </c>
      <c r="M7" s="242">
        <f t="shared" si="5"/>
        <v>-3906.25</v>
      </c>
      <c r="N7" s="242">
        <f t="shared" si="6"/>
        <v>-4882.8125</v>
      </c>
      <c r="O7" s="242">
        <f t="shared" si="7"/>
        <v>-6103.515625</v>
      </c>
      <c r="P7" s="242">
        <f t="shared" si="8"/>
        <v>-7629.394531</v>
      </c>
      <c r="Q7" s="242">
        <f t="shared" si="9"/>
        <v>-9536.743164</v>
      </c>
      <c r="R7" s="242">
        <f t="shared" si="10"/>
        <v>-11920.92896</v>
      </c>
      <c r="S7" s="242">
        <f t="shared" si="11"/>
        <v>-14901.16119</v>
      </c>
      <c r="T7" s="50"/>
      <c r="U7" s="50"/>
      <c r="V7" s="50"/>
      <c r="W7" s="50"/>
    </row>
    <row r="8" ht="15.75" customHeight="1">
      <c r="A8" s="50"/>
      <c r="B8" s="236" t="s">
        <v>192</v>
      </c>
      <c r="C8" s="245">
        <v>0.07</v>
      </c>
      <c r="D8" s="50"/>
      <c r="E8" s="238" t="s">
        <v>193</v>
      </c>
      <c r="F8" s="239">
        <f>F5*C9</f>
        <v>8</v>
      </c>
      <c r="G8" s="244">
        <f t="shared" si="12"/>
        <v>0.08</v>
      </c>
      <c r="H8" s="50"/>
      <c r="I8" s="240">
        <v>2.5</v>
      </c>
      <c r="J8" s="241">
        <f t="shared" si="2"/>
        <v>-1250</v>
      </c>
      <c r="K8" s="242">
        <f t="shared" si="3"/>
        <v>-1562.5</v>
      </c>
      <c r="L8" s="242">
        <f t="shared" si="4"/>
        <v>-1953.125</v>
      </c>
      <c r="M8" s="242">
        <f t="shared" si="5"/>
        <v>-2441.40625</v>
      </c>
      <c r="N8" s="242">
        <f t="shared" si="6"/>
        <v>-3051.757813</v>
      </c>
      <c r="O8" s="242">
        <f t="shared" si="7"/>
        <v>-3814.697266</v>
      </c>
      <c r="P8" s="242">
        <f t="shared" si="8"/>
        <v>-4768.371582</v>
      </c>
      <c r="Q8" s="242">
        <f t="shared" si="9"/>
        <v>-5960.464478</v>
      </c>
      <c r="R8" s="242">
        <f t="shared" si="10"/>
        <v>-7450.580597</v>
      </c>
      <c r="S8" s="242">
        <f t="shared" si="11"/>
        <v>-9313.225746</v>
      </c>
      <c r="T8" s="50"/>
      <c r="U8" s="50"/>
      <c r="V8" s="50"/>
      <c r="W8" s="50"/>
    </row>
    <row r="9" ht="15.75" customHeight="1">
      <c r="A9" s="50"/>
      <c r="B9" s="236" t="s">
        <v>194</v>
      </c>
      <c r="C9" s="245">
        <v>0.08</v>
      </c>
      <c r="D9" s="50"/>
      <c r="E9" s="238" t="s">
        <v>195</v>
      </c>
      <c r="F9" s="239">
        <f>(1/C11)*F5</f>
        <v>40</v>
      </c>
      <c r="G9" s="244">
        <f t="shared" si="12"/>
        <v>0.4</v>
      </c>
      <c r="H9" s="50"/>
      <c r="I9" s="240">
        <v>3.0</v>
      </c>
      <c r="J9" s="241">
        <f t="shared" si="2"/>
        <v>-500</v>
      </c>
      <c r="K9" s="242">
        <f t="shared" si="3"/>
        <v>-625</v>
      </c>
      <c r="L9" s="242">
        <f t="shared" si="4"/>
        <v>-781.25</v>
      </c>
      <c r="M9" s="242">
        <f t="shared" si="5"/>
        <v>-976.5625</v>
      </c>
      <c r="N9" s="242">
        <f t="shared" si="6"/>
        <v>-1220.703125</v>
      </c>
      <c r="O9" s="242">
        <f t="shared" si="7"/>
        <v>-1525.878906</v>
      </c>
      <c r="P9" s="242">
        <f t="shared" si="8"/>
        <v>-1907.348633</v>
      </c>
      <c r="Q9" s="242">
        <f t="shared" si="9"/>
        <v>-2384.185791</v>
      </c>
      <c r="R9" s="242">
        <f t="shared" si="10"/>
        <v>-2980.232239</v>
      </c>
      <c r="S9" s="242">
        <f t="shared" si="11"/>
        <v>-3725.290298</v>
      </c>
      <c r="T9" s="50"/>
      <c r="U9" s="50"/>
      <c r="V9" s="50"/>
      <c r="W9" s="50"/>
    </row>
    <row r="10" ht="15.75" customHeight="1">
      <c r="A10" s="50"/>
      <c r="B10" s="236" t="s">
        <v>196</v>
      </c>
      <c r="C10" s="246">
        <v>1500.0</v>
      </c>
      <c r="D10" s="50"/>
      <c r="E10" s="238" t="s">
        <v>197</v>
      </c>
      <c r="F10" s="239">
        <f>C10/C6</f>
        <v>15</v>
      </c>
      <c r="G10" s="244">
        <f t="shared" si="12"/>
        <v>0.15</v>
      </c>
      <c r="H10" s="50"/>
      <c r="I10" s="240">
        <v>3.5</v>
      </c>
      <c r="J10" s="241">
        <f t="shared" si="2"/>
        <v>250</v>
      </c>
      <c r="K10" s="242">
        <f t="shared" si="3"/>
        <v>312.5</v>
      </c>
      <c r="L10" s="242">
        <f t="shared" si="4"/>
        <v>390.625</v>
      </c>
      <c r="M10" s="242">
        <f t="shared" si="5"/>
        <v>488.28125</v>
      </c>
      <c r="N10" s="242">
        <f t="shared" si="6"/>
        <v>610.3515625</v>
      </c>
      <c r="O10" s="242">
        <f t="shared" si="7"/>
        <v>762.9394531</v>
      </c>
      <c r="P10" s="242">
        <f t="shared" si="8"/>
        <v>953.6743164</v>
      </c>
      <c r="Q10" s="242">
        <f t="shared" si="9"/>
        <v>1192.092896</v>
      </c>
      <c r="R10" s="242">
        <f t="shared" si="10"/>
        <v>1490.116119</v>
      </c>
      <c r="S10" s="242">
        <f t="shared" si="11"/>
        <v>1862.645149</v>
      </c>
      <c r="T10" s="50"/>
      <c r="U10" s="50"/>
      <c r="V10" s="50"/>
      <c r="W10" s="50"/>
    </row>
    <row r="11" ht="15.75" customHeight="1">
      <c r="A11" s="50"/>
      <c r="B11" s="236" t="s">
        <v>198</v>
      </c>
      <c r="C11" s="247">
        <v>2.5</v>
      </c>
      <c r="D11" s="50"/>
      <c r="E11" s="248" t="s">
        <v>199</v>
      </c>
      <c r="F11" s="249">
        <f>F5-F6-F7-F8-F9-F10</f>
        <v>30</v>
      </c>
      <c r="G11" s="250">
        <f t="shared" si="12"/>
        <v>0.3</v>
      </c>
      <c r="H11" s="50"/>
      <c r="I11" s="240">
        <v>4.0</v>
      </c>
      <c r="J11" s="241">
        <f t="shared" si="2"/>
        <v>1000</v>
      </c>
      <c r="K11" s="242">
        <f t="shared" si="3"/>
        <v>1250</v>
      </c>
      <c r="L11" s="242">
        <f t="shared" si="4"/>
        <v>1562.5</v>
      </c>
      <c r="M11" s="242">
        <f t="shared" si="5"/>
        <v>1953.125</v>
      </c>
      <c r="N11" s="242">
        <f t="shared" si="6"/>
        <v>2441.40625</v>
      </c>
      <c r="O11" s="242">
        <f t="shared" si="7"/>
        <v>3051.757812</v>
      </c>
      <c r="P11" s="242">
        <f t="shared" si="8"/>
        <v>3814.697266</v>
      </c>
      <c r="Q11" s="242">
        <f t="shared" si="9"/>
        <v>4768.371582</v>
      </c>
      <c r="R11" s="242">
        <f t="shared" si="10"/>
        <v>5960.464478</v>
      </c>
      <c r="S11" s="242">
        <f t="shared" si="11"/>
        <v>7450.580597</v>
      </c>
      <c r="T11" s="50"/>
      <c r="U11" s="50"/>
      <c r="V11" s="50"/>
      <c r="W11" s="50"/>
    </row>
    <row r="12" ht="15.75" customHeight="1">
      <c r="A12" s="50"/>
      <c r="B12" s="251" t="s">
        <v>200</v>
      </c>
      <c r="C12" s="252">
        <v>5000.0</v>
      </c>
      <c r="D12" s="50"/>
      <c r="E12" s="238" t="s">
        <v>201</v>
      </c>
      <c r="F12" s="239">
        <f>(C12/C6)</f>
        <v>50</v>
      </c>
      <c r="G12" s="244">
        <f>F12/F5</f>
        <v>0.5</v>
      </c>
      <c r="H12" s="50"/>
      <c r="I12" s="240">
        <v>4.5</v>
      </c>
      <c r="J12" s="241">
        <f t="shared" si="2"/>
        <v>1750</v>
      </c>
      <c r="K12" s="242">
        <f t="shared" si="3"/>
        <v>2187.5</v>
      </c>
      <c r="L12" s="242">
        <f t="shared" si="4"/>
        <v>2734.375</v>
      </c>
      <c r="M12" s="242">
        <f t="shared" si="5"/>
        <v>3417.96875</v>
      </c>
      <c r="N12" s="242">
        <f t="shared" si="6"/>
        <v>4272.460937</v>
      </c>
      <c r="O12" s="242">
        <f t="shared" si="7"/>
        <v>5340.576172</v>
      </c>
      <c r="P12" s="242">
        <f t="shared" si="8"/>
        <v>6675.720215</v>
      </c>
      <c r="Q12" s="242">
        <f t="shared" si="9"/>
        <v>8344.650269</v>
      </c>
      <c r="R12" s="242">
        <f t="shared" si="10"/>
        <v>10430.81284</v>
      </c>
      <c r="S12" s="242">
        <f t="shared" si="11"/>
        <v>13038.51604</v>
      </c>
      <c r="T12" s="50"/>
      <c r="U12" s="50"/>
      <c r="V12" s="50"/>
      <c r="W12" s="50"/>
    </row>
    <row r="13" ht="15.75" customHeight="1">
      <c r="A13" s="50"/>
      <c r="B13" s="103"/>
      <c r="C13" s="253"/>
      <c r="D13" s="50"/>
      <c r="E13" s="248" t="s">
        <v>202</v>
      </c>
      <c r="F13" s="249">
        <f>F11-F12</f>
        <v>-20</v>
      </c>
      <c r="G13" s="250">
        <f>F13/F5</f>
        <v>-0.2</v>
      </c>
      <c r="H13" s="50"/>
      <c r="I13" s="240">
        <v>5.0</v>
      </c>
      <c r="J13" s="241">
        <f t="shared" si="2"/>
        <v>2500</v>
      </c>
      <c r="K13" s="242">
        <f t="shared" si="3"/>
        <v>3125</v>
      </c>
      <c r="L13" s="242">
        <f t="shared" si="4"/>
        <v>3906.25</v>
      </c>
      <c r="M13" s="242">
        <f t="shared" si="5"/>
        <v>4882.8125</v>
      </c>
      <c r="N13" s="242">
        <f t="shared" si="6"/>
        <v>6103.515625</v>
      </c>
      <c r="O13" s="242">
        <f t="shared" si="7"/>
        <v>7629.394531</v>
      </c>
      <c r="P13" s="242">
        <f t="shared" si="8"/>
        <v>9536.743164</v>
      </c>
      <c r="Q13" s="242">
        <f t="shared" si="9"/>
        <v>11920.92896</v>
      </c>
      <c r="R13" s="242">
        <f t="shared" si="10"/>
        <v>14901.16119</v>
      </c>
      <c r="S13" s="242">
        <f t="shared" si="11"/>
        <v>18626.45149</v>
      </c>
      <c r="T13" s="50"/>
      <c r="U13" s="50"/>
      <c r="V13" s="50"/>
      <c r="W13" s="50"/>
    </row>
    <row r="14" ht="15.75" customHeight="1">
      <c r="A14" s="50"/>
      <c r="B14" s="50"/>
      <c r="C14" s="50"/>
      <c r="D14" s="50"/>
      <c r="E14" s="103"/>
      <c r="F14" s="254"/>
      <c r="G14" s="255"/>
      <c r="H14" s="50"/>
      <c r="I14" s="240">
        <v>5.5</v>
      </c>
      <c r="J14" s="241">
        <f t="shared" si="2"/>
        <v>3250</v>
      </c>
      <c r="K14" s="242">
        <f t="shared" si="3"/>
        <v>4062.5</v>
      </c>
      <c r="L14" s="242">
        <f t="shared" si="4"/>
        <v>5078.125</v>
      </c>
      <c r="M14" s="242">
        <f t="shared" si="5"/>
        <v>6347.65625</v>
      </c>
      <c r="N14" s="242">
        <f t="shared" si="6"/>
        <v>7934.570312</v>
      </c>
      <c r="O14" s="242">
        <f t="shared" si="7"/>
        <v>9918.212891</v>
      </c>
      <c r="P14" s="242">
        <f t="shared" si="8"/>
        <v>12397.76611</v>
      </c>
      <c r="Q14" s="242">
        <f t="shared" si="9"/>
        <v>15497.20764</v>
      </c>
      <c r="R14" s="242">
        <f t="shared" si="10"/>
        <v>19371.50955</v>
      </c>
      <c r="S14" s="242">
        <f t="shared" si="11"/>
        <v>24214.38694</v>
      </c>
      <c r="T14" s="50"/>
      <c r="U14" s="50"/>
      <c r="V14" s="50"/>
      <c r="W14" s="50"/>
    </row>
    <row r="15" ht="15.75" customHeight="1">
      <c r="A15" s="50"/>
      <c r="B15" s="228" t="s">
        <v>203</v>
      </c>
      <c r="C15" s="41"/>
      <c r="D15" s="50"/>
      <c r="E15" s="248" t="s">
        <v>204</v>
      </c>
      <c r="F15" s="256">
        <f>F13/F5</f>
        <v>-0.2</v>
      </c>
      <c r="G15" s="255"/>
      <c r="H15" s="50"/>
      <c r="I15" s="240">
        <v>6.0</v>
      </c>
      <c r="J15" s="241">
        <f t="shared" si="2"/>
        <v>4000</v>
      </c>
      <c r="K15" s="242">
        <f t="shared" si="3"/>
        <v>5000</v>
      </c>
      <c r="L15" s="242">
        <f t="shared" si="4"/>
        <v>6250</v>
      </c>
      <c r="M15" s="242">
        <f t="shared" si="5"/>
        <v>7812.5</v>
      </c>
      <c r="N15" s="242">
        <f t="shared" si="6"/>
        <v>9765.625</v>
      </c>
      <c r="O15" s="242">
        <f t="shared" si="7"/>
        <v>12207.03125</v>
      </c>
      <c r="P15" s="242">
        <f t="shared" si="8"/>
        <v>15258.78906</v>
      </c>
      <c r="Q15" s="242">
        <f t="shared" si="9"/>
        <v>19073.48633</v>
      </c>
      <c r="R15" s="242">
        <f t="shared" si="10"/>
        <v>23841.85791</v>
      </c>
      <c r="S15" s="242">
        <f t="shared" si="11"/>
        <v>29802.32239</v>
      </c>
      <c r="T15" s="50"/>
      <c r="U15" s="50"/>
      <c r="V15" s="50"/>
      <c r="W15" s="50"/>
    </row>
    <row r="16" ht="15.75" customHeight="1">
      <c r="A16" s="50"/>
      <c r="B16" s="231" t="s">
        <v>184</v>
      </c>
      <c r="C16" s="41"/>
      <c r="D16" s="50"/>
      <c r="E16" s="248" t="s">
        <v>205</v>
      </c>
      <c r="F16" s="257">
        <f>C5/C12</f>
        <v>2</v>
      </c>
      <c r="G16" s="255"/>
      <c r="H16" s="50"/>
      <c r="I16" s="240">
        <v>6.5</v>
      </c>
      <c r="J16" s="241">
        <f t="shared" si="2"/>
        <v>4750</v>
      </c>
      <c r="K16" s="242">
        <f t="shared" si="3"/>
        <v>5937.5</v>
      </c>
      <c r="L16" s="242">
        <f t="shared" si="4"/>
        <v>7421.875</v>
      </c>
      <c r="M16" s="242">
        <f t="shared" si="5"/>
        <v>9277.34375</v>
      </c>
      <c r="N16" s="242">
        <f t="shared" si="6"/>
        <v>11596.67969</v>
      </c>
      <c r="O16" s="242">
        <f t="shared" si="7"/>
        <v>14495.84961</v>
      </c>
      <c r="P16" s="242">
        <f t="shared" si="8"/>
        <v>18119.81201</v>
      </c>
      <c r="Q16" s="242">
        <f t="shared" si="9"/>
        <v>22649.76501</v>
      </c>
      <c r="R16" s="242">
        <f t="shared" si="10"/>
        <v>28312.20627</v>
      </c>
      <c r="S16" s="242">
        <f t="shared" si="11"/>
        <v>35390.25784</v>
      </c>
      <c r="T16" s="50"/>
      <c r="U16" s="50"/>
      <c r="V16" s="50"/>
      <c r="W16" s="50"/>
    </row>
    <row r="17" ht="15.75" customHeight="1">
      <c r="A17" s="50"/>
      <c r="B17" s="236" t="s">
        <v>187</v>
      </c>
      <c r="C17" s="258"/>
      <c r="D17" s="50"/>
      <c r="E17" s="248" t="s">
        <v>206</v>
      </c>
      <c r="F17" s="259">
        <f>C5*F15</f>
        <v>-2000</v>
      </c>
      <c r="G17" s="255"/>
      <c r="H17" s="50"/>
      <c r="I17" s="240">
        <v>7.0</v>
      </c>
      <c r="J17" s="241">
        <f t="shared" si="2"/>
        <v>5500</v>
      </c>
      <c r="K17" s="242">
        <f t="shared" si="3"/>
        <v>6875</v>
      </c>
      <c r="L17" s="242">
        <f t="shared" si="4"/>
        <v>8593.75</v>
      </c>
      <c r="M17" s="242">
        <f t="shared" si="5"/>
        <v>10742.1875</v>
      </c>
      <c r="N17" s="242">
        <f t="shared" si="6"/>
        <v>13427.73438</v>
      </c>
      <c r="O17" s="242">
        <f t="shared" si="7"/>
        <v>16784.66797</v>
      </c>
      <c r="P17" s="242">
        <f t="shared" si="8"/>
        <v>20980.83496</v>
      </c>
      <c r="Q17" s="242">
        <f t="shared" si="9"/>
        <v>26226.0437</v>
      </c>
      <c r="R17" s="242">
        <f t="shared" si="10"/>
        <v>32782.55463</v>
      </c>
      <c r="S17" s="242">
        <f t="shared" si="11"/>
        <v>40978.19328</v>
      </c>
      <c r="T17" s="50"/>
      <c r="U17" s="50"/>
      <c r="V17" s="50"/>
      <c r="W17" s="50"/>
    </row>
    <row r="18" ht="15.75" customHeight="1">
      <c r="A18" s="50"/>
      <c r="B18" s="236" t="s">
        <v>188</v>
      </c>
      <c r="C18" s="243"/>
      <c r="D18" s="50"/>
      <c r="E18" s="248" t="s">
        <v>207</v>
      </c>
      <c r="F18" s="260">
        <f>1/G11</f>
        <v>3.333333333</v>
      </c>
      <c r="G18" s="230"/>
      <c r="H18" s="50"/>
      <c r="I18" s="240">
        <v>7.5</v>
      </c>
      <c r="J18" s="241">
        <f t="shared" si="2"/>
        <v>6250</v>
      </c>
      <c r="K18" s="242">
        <f t="shared" si="3"/>
        <v>7812.5</v>
      </c>
      <c r="L18" s="242">
        <f t="shared" si="4"/>
        <v>9765.625</v>
      </c>
      <c r="M18" s="242">
        <f t="shared" si="5"/>
        <v>12207.03125</v>
      </c>
      <c r="N18" s="242">
        <f t="shared" si="6"/>
        <v>15258.78906</v>
      </c>
      <c r="O18" s="242">
        <f t="shared" si="7"/>
        <v>19073.48633</v>
      </c>
      <c r="P18" s="242">
        <f t="shared" si="8"/>
        <v>23841.85791</v>
      </c>
      <c r="Q18" s="242">
        <f t="shared" si="9"/>
        <v>29802.32239</v>
      </c>
      <c r="R18" s="242">
        <f t="shared" si="10"/>
        <v>37252.90298</v>
      </c>
      <c r="S18" s="242">
        <f t="shared" si="11"/>
        <v>46566.12873</v>
      </c>
      <c r="T18" s="50"/>
      <c r="U18" s="50"/>
      <c r="V18" s="50"/>
      <c r="W18" s="50"/>
    </row>
    <row r="19" ht="15.75" customHeight="1">
      <c r="A19" s="50"/>
      <c r="B19" s="236" t="s">
        <v>190</v>
      </c>
      <c r="C19" s="243"/>
      <c r="D19" s="50"/>
      <c r="E19" s="50"/>
      <c r="F19" s="50"/>
      <c r="G19" s="230"/>
      <c r="H19" s="50"/>
      <c r="I19" s="240">
        <v>8.0</v>
      </c>
      <c r="J19" s="241">
        <f t="shared" si="2"/>
        <v>7000</v>
      </c>
      <c r="K19" s="242">
        <f t="shared" si="3"/>
        <v>8750</v>
      </c>
      <c r="L19" s="242">
        <f t="shared" si="4"/>
        <v>10937.5</v>
      </c>
      <c r="M19" s="242">
        <f t="shared" si="5"/>
        <v>13671.875</v>
      </c>
      <c r="N19" s="242">
        <f t="shared" si="6"/>
        <v>17089.84375</v>
      </c>
      <c r="O19" s="242">
        <f t="shared" si="7"/>
        <v>21362.30469</v>
      </c>
      <c r="P19" s="242">
        <f t="shared" si="8"/>
        <v>26702.88086</v>
      </c>
      <c r="Q19" s="242">
        <f t="shared" si="9"/>
        <v>33378.60107</v>
      </c>
      <c r="R19" s="242">
        <f t="shared" si="10"/>
        <v>41723.25134</v>
      </c>
      <c r="S19" s="242">
        <f t="shared" si="11"/>
        <v>52154.06418</v>
      </c>
      <c r="T19" s="50"/>
      <c r="U19" s="50"/>
      <c r="V19" s="50"/>
      <c r="W19" s="50"/>
    </row>
    <row r="20" ht="15.75" customHeight="1">
      <c r="A20" s="50"/>
      <c r="B20" s="236" t="s">
        <v>192</v>
      </c>
      <c r="C20" s="245"/>
      <c r="D20" s="50"/>
      <c r="E20" s="191" t="s">
        <v>5</v>
      </c>
      <c r="F20" s="191" t="s">
        <v>208</v>
      </c>
      <c r="G20" s="230"/>
      <c r="H20" s="50"/>
      <c r="I20" s="240">
        <v>8.5</v>
      </c>
      <c r="J20" s="241">
        <f t="shared" si="2"/>
        <v>7750</v>
      </c>
      <c r="K20" s="242">
        <f t="shared" si="3"/>
        <v>9687.5</v>
      </c>
      <c r="L20" s="242">
        <f t="shared" si="4"/>
        <v>12109.375</v>
      </c>
      <c r="M20" s="242">
        <f t="shared" si="5"/>
        <v>15136.71875</v>
      </c>
      <c r="N20" s="242">
        <f t="shared" si="6"/>
        <v>18920.89844</v>
      </c>
      <c r="O20" s="242">
        <f t="shared" si="7"/>
        <v>23651.12305</v>
      </c>
      <c r="P20" s="242">
        <f t="shared" si="8"/>
        <v>29563.90381</v>
      </c>
      <c r="Q20" s="242">
        <f t="shared" si="9"/>
        <v>36954.87976</v>
      </c>
      <c r="R20" s="242">
        <f t="shared" si="10"/>
        <v>46193.5997</v>
      </c>
      <c r="S20" s="242">
        <f t="shared" si="11"/>
        <v>57741.99963</v>
      </c>
      <c r="T20" s="50"/>
      <c r="U20" s="50"/>
      <c r="V20" s="50"/>
      <c r="W20" s="50"/>
    </row>
    <row r="21" ht="15.75" customHeight="1">
      <c r="A21" s="50"/>
      <c r="B21" s="236" t="s">
        <v>194</v>
      </c>
      <c r="C21" s="245"/>
      <c r="D21" s="50"/>
      <c r="E21" s="240">
        <v>1.0</v>
      </c>
      <c r="F21" s="86">
        <f t="shared" ref="F21:F33" si="13">($F$5-$F$6-$F$7-$F$8-$F$9-$F$10-($F$5/E21))/$F$5</f>
        <v>-0.7</v>
      </c>
      <c r="G21" s="230"/>
      <c r="H21" s="50"/>
      <c r="I21" s="240">
        <v>9.0</v>
      </c>
      <c r="J21" s="241">
        <f t="shared" si="2"/>
        <v>8500</v>
      </c>
      <c r="K21" s="242">
        <f t="shared" si="3"/>
        <v>10625</v>
      </c>
      <c r="L21" s="242">
        <f t="shared" si="4"/>
        <v>13281.25</v>
      </c>
      <c r="M21" s="242">
        <f t="shared" si="5"/>
        <v>16601.5625</v>
      </c>
      <c r="N21" s="242">
        <f t="shared" si="6"/>
        <v>20751.95313</v>
      </c>
      <c r="O21" s="242">
        <f t="shared" si="7"/>
        <v>25939.94141</v>
      </c>
      <c r="P21" s="242">
        <f t="shared" si="8"/>
        <v>32424.92676</v>
      </c>
      <c r="Q21" s="242">
        <f t="shared" si="9"/>
        <v>40531.15845</v>
      </c>
      <c r="R21" s="242">
        <f t="shared" si="10"/>
        <v>50663.94806</v>
      </c>
      <c r="S21" s="242">
        <f t="shared" si="11"/>
        <v>63329.93507</v>
      </c>
      <c r="T21" s="50"/>
      <c r="U21" s="50"/>
      <c r="V21" s="50"/>
      <c r="W21" s="50"/>
    </row>
    <row r="22" ht="15.75" customHeight="1">
      <c r="A22" s="50"/>
      <c r="B22" s="236" t="s">
        <v>196</v>
      </c>
      <c r="C22" s="246"/>
      <c r="D22" s="50"/>
      <c r="E22" s="240">
        <v>2.0</v>
      </c>
      <c r="F22" s="86">
        <f t="shared" si="13"/>
        <v>-0.2</v>
      </c>
      <c r="G22" s="230"/>
      <c r="H22" s="50"/>
      <c r="I22" s="240">
        <v>9.5</v>
      </c>
      <c r="J22" s="241">
        <f t="shared" si="2"/>
        <v>9250</v>
      </c>
      <c r="K22" s="242">
        <f t="shared" si="3"/>
        <v>11562.5</v>
      </c>
      <c r="L22" s="242">
        <f t="shared" si="4"/>
        <v>14453.125</v>
      </c>
      <c r="M22" s="242">
        <f t="shared" si="5"/>
        <v>18066.40625</v>
      </c>
      <c r="N22" s="242">
        <f t="shared" si="6"/>
        <v>22583.00781</v>
      </c>
      <c r="O22" s="242">
        <f t="shared" si="7"/>
        <v>28228.75977</v>
      </c>
      <c r="P22" s="242">
        <f t="shared" si="8"/>
        <v>35285.94971</v>
      </c>
      <c r="Q22" s="242">
        <f t="shared" si="9"/>
        <v>44107.43713</v>
      </c>
      <c r="R22" s="242">
        <f t="shared" si="10"/>
        <v>55134.29642</v>
      </c>
      <c r="S22" s="242">
        <f t="shared" si="11"/>
        <v>68917.87052</v>
      </c>
      <c r="T22" s="50"/>
      <c r="U22" s="50"/>
      <c r="V22" s="50"/>
      <c r="W22" s="50"/>
    </row>
    <row r="23" ht="15.75" customHeight="1">
      <c r="A23" s="50"/>
      <c r="B23" s="236" t="s">
        <v>198</v>
      </c>
      <c r="C23" s="247"/>
      <c r="D23" s="50"/>
      <c r="E23" s="240">
        <v>3.0</v>
      </c>
      <c r="F23" s="86">
        <f t="shared" si="13"/>
        <v>-0.03333333333</v>
      </c>
      <c r="G23" s="230"/>
      <c r="H23" s="50"/>
      <c r="I23" s="240">
        <v>10.0</v>
      </c>
      <c r="J23" s="261">
        <f t="shared" si="2"/>
        <v>10000</v>
      </c>
      <c r="K23" s="242">
        <f t="shared" si="3"/>
        <v>12500</v>
      </c>
      <c r="L23" s="242">
        <f t="shared" si="4"/>
        <v>15625</v>
      </c>
      <c r="M23" s="242">
        <f t="shared" si="5"/>
        <v>19531.25</v>
      </c>
      <c r="N23" s="242">
        <f t="shared" si="6"/>
        <v>24414.0625</v>
      </c>
      <c r="O23" s="242">
        <f t="shared" si="7"/>
        <v>30517.57813</v>
      </c>
      <c r="P23" s="242">
        <f t="shared" si="8"/>
        <v>38146.97266</v>
      </c>
      <c r="Q23" s="242">
        <f t="shared" si="9"/>
        <v>47683.71582</v>
      </c>
      <c r="R23" s="242">
        <f t="shared" si="10"/>
        <v>59604.64478</v>
      </c>
      <c r="S23" s="242">
        <f t="shared" si="11"/>
        <v>74505.80597</v>
      </c>
      <c r="T23" s="50"/>
      <c r="U23" s="50"/>
      <c r="V23" s="50"/>
      <c r="W23" s="50"/>
    </row>
    <row r="24" ht="15.75" customHeight="1">
      <c r="A24" s="50"/>
      <c r="B24" s="251" t="s">
        <v>200</v>
      </c>
      <c r="C24" s="252"/>
      <c r="D24" s="50"/>
      <c r="E24" s="240">
        <v>4.0</v>
      </c>
      <c r="F24" s="86">
        <f t="shared" si="13"/>
        <v>0.05</v>
      </c>
      <c r="G24" s="230"/>
      <c r="H24" s="50"/>
      <c r="I24" s="240">
        <v>10.5</v>
      </c>
      <c r="J24" s="241">
        <f t="shared" si="2"/>
        <v>10750</v>
      </c>
      <c r="K24" s="242">
        <f t="shared" si="3"/>
        <v>13437.5</v>
      </c>
      <c r="L24" s="242">
        <f t="shared" si="4"/>
        <v>16796.875</v>
      </c>
      <c r="M24" s="242">
        <f t="shared" si="5"/>
        <v>20996.09375</v>
      </c>
      <c r="N24" s="242">
        <f t="shared" si="6"/>
        <v>26245.11719</v>
      </c>
      <c r="O24" s="242">
        <f t="shared" si="7"/>
        <v>32806.39648</v>
      </c>
      <c r="P24" s="242">
        <f t="shared" si="8"/>
        <v>41007.99561</v>
      </c>
      <c r="Q24" s="242">
        <f t="shared" si="9"/>
        <v>51259.99451</v>
      </c>
      <c r="R24" s="242">
        <f t="shared" si="10"/>
        <v>64074.99313</v>
      </c>
      <c r="S24" s="242">
        <f t="shared" si="11"/>
        <v>80093.74142</v>
      </c>
      <c r="T24" s="50"/>
      <c r="U24" s="50"/>
      <c r="V24" s="50"/>
      <c r="W24" s="50"/>
    </row>
    <row r="25" ht="15.75" customHeight="1">
      <c r="A25" s="50"/>
      <c r="B25" s="50"/>
      <c r="C25" s="50"/>
      <c r="D25" s="50"/>
      <c r="E25" s="240">
        <v>5.0</v>
      </c>
      <c r="F25" s="86">
        <f t="shared" si="13"/>
        <v>0.1</v>
      </c>
      <c r="G25" s="50"/>
      <c r="H25" s="50"/>
      <c r="I25" s="240">
        <v>11.0</v>
      </c>
      <c r="J25" s="241">
        <f t="shared" si="2"/>
        <v>11500</v>
      </c>
      <c r="K25" s="242">
        <f t="shared" si="3"/>
        <v>14375</v>
      </c>
      <c r="L25" s="242">
        <f t="shared" si="4"/>
        <v>17968.75</v>
      </c>
      <c r="M25" s="242">
        <f t="shared" si="5"/>
        <v>22460.9375</v>
      </c>
      <c r="N25" s="242">
        <f t="shared" si="6"/>
        <v>28076.17188</v>
      </c>
      <c r="O25" s="242">
        <f t="shared" si="7"/>
        <v>35095.21484</v>
      </c>
      <c r="P25" s="242">
        <f t="shared" si="8"/>
        <v>43869.01855</v>
      </c>
      <c r="Q25" s="242">
        <f t="shared" si="9"/>
        <v>54836.27319</v>
      </c>
      <c r="R25" s="242">
        <f t="shared" si="10"/>
        <v>68545.34149</v>
      </c>
      <c r="S25" s="242">
        <f t="shared" si="11"/>
        <v>85681.67686</v>
      </c>
      <c r="T25" s="50"/>
      <c r="U25" s="50"/>
      <c r="V25" s="50"/>
      <c r="W25" s="50"/>
    </row>
    <row r="26" ht="15.75" customHeight="1">
      <c r="A26" s="50"/>
      <c r="B26" s="103"/>
      <c r="C26" s="103"/>
      <c r="D26" s="50"/>
      <c r="E26" s="240">
        <v>6.0</v>
      </c>
      <c r="F26" s="86">
        <f t="shared" si="13"/>
        <v>0.1333333333</v>
      </c>
      <c r="G26" s="50"/>
      <c r="H26" s="50"/>
      <c r="I26" s="262">
        <v>11.5</v>
      </c>
      <c r="J26" s="241">
        <f t="shared" si="2"/>
        <v>12250</v>
      </c>
      <c r="K26" s="242">
        <f t="shared" si="3"/>
        <v>15312.5</v>
      </c>
      <c r="L26" s="242">
        <f t="shared" si="4"/>
        <v>19140.625</v>
      </c>
      <c r="M26" s="242">
        <f t="shared" si="5"/>
        <v>23925.78125</v>
      </c>
      <c r="N26" s="242">
        <f t="shared" si="6"/>
        <v>29907.22656</v>
      </c>
      <c r="O26" s="242">
        <f t="shared" si="7"/>
        <v>37384.0332</v>
      </c>
      <c r="P26" s="242">
        <f t="shared" si="8"/>
        <v>46730.0415</v>
      </c>
      <c r="Q26" s="242">
        <f t="shared" si="9"/>
        <v>58412.55188</v>
      </c>
      <c r="R26" s="242">
        <f t="shared" si="10"/>
        <v>73015.68985</v>
      </c>
      <c r="S26" s="242">
        <f t="shared" si="11"/>
        <v>91269.61231</v>
      </c>
      <c r="T26" s="50"/>
      <c r="U26" s="50"/>
      <c r="V26" s="50"/>
      <c r="W26" s="50"/>
    </row>
    <row r="27" ht="15.75" customHeight="1">
      <c r="A27" s="50"/>
      <c r="B27" s="50"/>
      <c r="C27" s="50"/>
      <c r="D27" s="50"/>
      <c r="E27" s="240">
        <v>7.0</v>
      </c>
      <c r="F27" s="86">
        <f t="shared" si="13"/>
        <v>0.1571428571</v>
      </c>
      <c r="G27" s="50"/>
      <c r="H27" s="50"/>
      <c r="I27" s="240">
        <v>12.0</v>
      </c>
      <c r="J27" s="241">
        <f t="shared" si="2"/>
        <v>13000</v>
      </c>
      <c r="K27" s="242">
        <f t="shared" si="3"/>
        <v>16250</v>
      </c>
      <c r="L27" s="242">
        <f t="shared" si="4"/>
        <v>20312.5</v>
      </c>
      <c r="M27" s="242">
        <f t="shared" si="5"/>
        <v>25390.625</v>
      </c>
      <c r="N27" s="242">
        <f t="shared" si="6"/>
        <v>31738.28125</v>
      </c>
      <c r="O27" s="242">
        <f t="shared" si="7"/>
        <v>39672.85156</v>
      </c>
      <c r="P27" s="242">
        <f t="shared" si="8"/>
        <v>49591.06445</v>
      </c>
      <c r="Q27" s="242">
        <f t="shared" si="9"/>
        <v>61988.83057</v>
      </c>
      <c r="R27" s="242">
        <f t="shared" si="10"/>
        <v>77486.03821</v>
      </c>
      <c r="S27" s="242">
        <f t="shared" si="11"/>
        <v>96857.54776</v>
      </c>
      <c r="T27" s="50"/>
      <c r="U27" s="50"/>
      <c r="V27" s="50"/>
      <c r="W27" s="50"/>
    </row>
    <row r="28" ht="15.75" customHeight="1">
      <c r="A28" s="50"/>
      <c r="B28" s="50"/>
      <c r="C28" s="50"/>
      <c r="D28" s="50"/>
      <c r="E28" s="240">
        <v>8.0</v>
      </c>
      <c r="F28" s="86">
        <f t="shared" si="13"/>
        <v>0.175</v>
      </c>
      <c r="G28" s="50"/>
      <c r="H28" s="50"/>
      <c r="I28" s="50"/>
      <c r="J28" s="50"/>
      <c r="K28" s="263"/>
      <c r="L28" s="263"/>
      <c r="M28" s="263"/>
      <c r="N28" s="263"/>
      <c r="O28" s="263"/>
      <c r="P28" s="263"/>
      <c r="Q28" s="263"/>
      <c r="R28" s="50"/>
      <c r="S28" s="50"/>
      <c r="T28" s="50"/>
      <c r="U28" s="50"/>
      <c r="V28" s="50"/>
      <c r="W28" s="50"/>
    </row>
    <row r="29" ht="15.75" customHeight="1">
      <c r="A29" s="50"/>
      <c r="B29" s="50"/>
      <c r="C29" s="50"/>
      <c r="D29" s="50"/>
      <c r="E29" s="240">
        <v>9.0</v>
      </c>
      <c r="F29" s="86">
        <f t="shared" si="13"/>
        <v>0.1888888889</v>
      </c>
      <c r="G29" s="50"/>
      <c r="H29" s="50"/>
      <c r="I29" s="195" t="s">
        <v>209</v>
      </c>
      <c r="J29" s="264">
        <v>0.4</v>
      </c>
      <c r="K29" s="50"/>
      <c r="L29" s="50"/>
      <c r="M29" s="50"/>
      <c r="N29" s="50"/>
      <c r="O29" s="50"/>
      <c r="P29" s="263"/>
      <c r="Q29" s="263"/>
      <c r="R29" s="50"/>
      <c r="S29" s="50"/>
      <c r="T29" s="50"/>
      <c r="U29" s="50"/>
      <c r="V29" s="50"/>
      <c r="W29" s="50"/>
    </row>
    <row r="30" ht="15.75" customHeight="1">
      <c r="A30" s="50"/>
      <c r="B30" s="50"/>
      <c r="C30" s="50"/>
      <c r="D30" s="50"/>
      <c r="E30" s="240">
        <v>10.0</v>
      </c>
      <c r="F30" s="86">
        <f t="shared" si="13"/>
        <v>0.2</v>
      </c>
      <c r="G30" s="230"/>
      <c r="H30" s="50"/>
      <c r="I30" s="195" t="s">
        <v>210</v>
      </c>
      <c r="J30" s="265">
        <v>0.2</v>
      </c>
      <c r="K30" s="50"/>
      <c r="L30" s="50"/>
      <c r="M30" s="50"/>
      <c r="N30" s="50"/>
      <c r="O30" s="263"/>
      <c r="P30" s="263"/>
      <c r="Q30" s="263"/>
      <c r="R30" s="50"/>
      <c r="S30" s="50"/>
      <c r="T30" s="50"/>
      <c r="U30" s="50"/>
      <c r="V30" s="50"/>
      <c r="W30" s="50"/>
    </row>
    <row r="31" ht="15.75" customHeight="1">
      <c r="A31" s="50"/>
      <c r="B31" s="50"/>
      <c r="C31" s="50"/>
      <c r="D31" s="50"/>
      <c r="E31" s="240">
        <v>11.0</v>
      </c>
      <c r="F31" s="86">
        <f t="shared" si="13"/>
        <v>0.2090909091</v>
      </c>
      <c r="G31" s="230"/>
      <c r="H31" s="50"/>
      <c r="I31" s="191" t="s">
        <v>61</v>
      </c>
      <c r="J31" s="191" t="s">
        <v>211</v>
      </c>
      <c r="K31" s="191" t="s">
        <v>212</v>
      </c>
      <c r="L31" s="191" t="s">
        <v>213</v>
      </c>
      <c r="M31" s="191" t="s">
        <v>214</v>
      </c>
      <c r="N31" s="191" t="s">
        <v>215</v>
      </c>
      <c r="O31" s="191" t="s">
        <v>216</v>
      </c>
      <c r="P31" s="263"/>
      <c r="Q31" s="263"/>
      <c r="R31" s="50"/>
      <c r="S31" s="50"/>
      <c r="T31" s="50"/>
      <c r="U31" s="50"/>
      <c r="V31" s="50"/>
      <c r="W31" s="50"/>
    </row>
    <row r="32" ht="15.75" customHeight="1">
      <c r="A32" s="50"/>
      <c r="B32" s="50"/>
      <c r="C32" s="50"/>
      <c r="D32" s="50"/>
      <c r="E32" s="240">
        <v>12.0</v>
      </c>
      <c r="F32" s="86">
        <f t="shared" si="13"/>
        <v>0.2166666667</v>
      </c>
      <c r="G32" s="230"/>
      <c r="H32" s="266"/>
      <c r="I32" s="267">
        <f>J4</f>
        <v>5000</v>
      </c>
      <c r="J32" s="267">
        <f>C5</f>
        <v>10000</v>
      </c>
      <c r="K32" s="267">
        <f>F17</f>
        <v>-2000</v>
      </c>
      <c r="L32" s="267">
        <f>J32*(1-J29)</f>
        <v>6000</v>
      </c>
      <c r="M32" s="268">
        <f t="shared" ref="M32:M37" si="14">L32/$F$5</f>
        <v>60</v>
      </c>
      <c r="N32" s="269">
        <f t="shared" ref="N32:N37" si="15">(M32*$F$5*$J$30)*(1-(SUM($G$6:$G$10)))</f>
        <v>360</v>
      </c>
      <c r="O32" s="270">
        <f t="shared" ref="O32:O37" si="16">N32+K32</f>
        <v>-1640</v>
      </c>
      <c r="P32" s="263"/>
      <c r="Q32" s="263"/>
      <c r="R32" s="50"/>
      <c r="S32" s="50"/>
      <c r="T32" s="50"/>
      <c r="U32" s="50"/>
      <c r="V32" s="50"/>
      <c r="W32" s="50"/>
    </row>
    <row r="33" ht="15.75" customHeight="1">
      <c r="A33" s="50"/>
      <c r="B33" s="50"/>
      <c r="C33" s="50"/>
      <c r="D33" s="50"/>
      <c r="E33" s="240">
        <v>13.0</v>
      </c>
      <c r="F33" s="86">
        <f t="shared" si="13"/>
        <v>0.2230769231</v>
      </c>
      <c r="G33" s="230"/>
      <c r="H33" s="271">
        <f>-(1-I33/I32)</f>
        <v>0.5625</v>
      </c>
      <c r="I33" s="267">
        <f>J4*(L4/J4)</f>
        <v>7812.5</v>
      </c>
      <c r="J33" s="272">
        <f>I33*I19</f>
        <v>62500</v>
      </c>
      <c r="K33" s="273">
        <v>18083.0</v>
      </c>
      <c r="L33" s="274">
        <f>J33*(1-(J29*0.8))</f>
        <v>42500</v>
      </c>
      <c r="M33" s="275">
        <f t="shared" si="14"/>
        <v>425</v>
      </c>
      <c r="N33" s="276">
        <f t="shared" si="15"/>
        <v>2550</v>
      </c>
      <c r="O33" s="270">
        <f t="shared" si="16"/>
        <v>20633</v>
      </c>
      <c r="P33" s="277">
        <f>(O33/O32)-1</f>
        <v>-13.58109756</v>
      </c>
      <c r="Q33" s="50"/>
      <c r="R33" s="263"/>
      <c r="S33" s="50"/>
      <c r="T33" s="50"/>
      <c r="U33" s="50"/>
      <c r="V33" s="50"/>
      <c r="W33" s="50"/>
    </row>
    <row r="34" ht="15.75" customHeight="1">
      <c r="A34" s="50"/>
      <c r="B34" s="50"/>
      <c r="C34" s="50"/>
      <c r="D34" s="50"/>
      <c r="E34" s="50"/>
      <c r="F34" s="50"/>
      <c r="G34" s="230"/>
      <c r="H34" s="271">
        <f>-(1-I34/I32)</f>
        <v>1.44140625</v>
      </c>
      <c r="I34" s="267">
        <f>L4*(N4/L4)</f>
        <v>12207.03125</v>
      </c>
      <c r="J34" s="278">
        <f>I34*I16</f>
        <v>79345.70313</v>
      </c>
      <c r="K34" s="279">
        <v>18803.0</v>
      </c>
      <c r="L34" s="280">
        <f>J33*(1-(J29*0.7))</f>
        <v>45000</v>
      </c>
      <c r="M34" s="275">
        <f t="shared" si="14"/>
        <v>450</v>
      </c>
      <c r="N34" s="276">
        <f t="shared" si="15"/>
        <v>2700</v>
      </c>
      <c r="O34" s="270">
        <f t="shared" si="16"/>
        <v>21503</v>
      </c>
      <c r="P34" s="277">
        <f>(O34/O32)-1</f>
        <v>-14.11158537</v>
      </c>
      <c r="Q34" s="50"/>
      <c r="R34" s="50"/>
      <c r="S34" s="50"/>
      <c r="T34" s="50"/>
      <c r="U34" s="50"/>
      <c r="V34" s="50"/>
      <c r="W34" s="50"/>
    </row>
    <row r="35" ht="15.75" customHeight="1">
      <c r="A35" s="50"/>
      <c r="B35" s="50"/>
      <c r="C35" s="50"/>
      <c r="D35" s="50"/>
      <c r="E35" s="50"/>
      <c r="F35" s="50"/>
      <c r="G35" s="230"/>
      <c r="H35" s="271">
        <f>-(1-I35/I32)</f>
        <v>2.814697266</v>
      </c>
      <c r="I35" s="267">
        <f>N4*(N4/L4)</f>
        <v>19073.48633</v>
      </c>
      <c r="J35" s="278">
        <f>I35*I14</f>
        <v>104904.1748</v>
      </c>
      <c r="K35" s="279">
        <v>19520.0</v>
      </c>
      <c r="L35" s="280">
        <f>J35*(1-(J29*0.6))</f>
        <v>79727.17285</v>
      </c>
      <c r="M35" s="275">
        <f t="shared" si="14"/>
        <v>797.2717285</v>
      </c>
      <c r="N35" s="276">
        <f t="shared" si="15"/>
        <v>4783.630371</v>
      </c>
      <c r="O35" s="270">
        <f t="shared" si="16"/>
        <v>24303.63037</v>
      </c>
      <c r="P35" s="277">
        <f>(O35/O32)-1</f>
        <v>-15.81928681</v>
      </c>
      <c r="Q35" s="50"/>
      <c r="R35" s="50"/>
      <c r="S35" s="50"/>
      <c r="T35" s="50"/>
      <c r="U35" s="50"/>
      <c r="V35" s="50"/>
      <c r="W35" s="50"/>
    </row>
    <row r="36" ht="15.75" customHeight="1">
      <c r="A36" s="50"/>
      <c r="B36" s="50"/>
      <c r="C36" s="50"/>
      <c r="D36" s="50"/>
      <c r="E36" s="50"/>
      <c r="F36" s="281"/>
      <c r="G36" s="230"/>
      <c r="H36" s="271">
        <f>-(1-I36/I32)</f>
        <v>4.960464478</v>
      </c>
      <c r="I36" s="267">
        <f>P4*(P4/N4)</f>
        <v>29802.32239</v>
      </c>
      <c r="J36" s="278">
        <f>I36*I14</f>
        <v>163912.7731</v>
      </c>
      <c r="K36" s="279">
        <v>22795.84108767414</v>
      </c>
      <c r="L36" s="280">
        <f>J36*(1-(J29*0.5))</f>
        <v>131130.2185</v>
      </c>
      <c r="M36" s="275">
        <f t="shared" si="14"/>
        <v>1311.302185</v>
      </c>
      <c r="N36" s="276">
        <f t="shared" si="15"/>
        <v>7867.81311</v>
      </c>
      <c r="O36" s="270">
        <f t="shared" si="16"/>
        <v>30663.6542</v>
      </c>
      <c r="P36" s="277">
        <f>(O36/O32)-1</f>
        <v>-19.69735012</v>
      </c>
      <c r="Q36" s="50"/>
      <c r="R36" s="50"/>
      <c r="S36" s="50"/>
      <c r="T36" s="50"/>
      <c r="U36" s="50"/>
      <c r="V36" s="50"/>
      <c r="W36" s="50"/>
    </row>
    <row r="37" ht="15.75" customHeight="1">
      <c r="A37" s="50"/>
      <c r="B37" s="50"/>
      <c r="C37" s="50"/>
      <c r="D37" s="50"/>
      <c r="E37" s="50"/>
      <c r="F37" s="281"/>
      <c r="G37" s="230"/>
      <c r="H37" s="271">
        <f>-(1-I37/I32)</f>
        <v>6.450580597</v>
      </c>
      <c r="I37" s="267">
        <f>S4</f>
        <v>37252.90298</v>
      </c>
      <c r="J37" s="278">
        <f>I37*I12</f>
        <v>167638.0634</v>
      </c>
      <c r="K37" s="279">
        <v>18865.0</v>
      </c>
      <c r="L37" s="282">
        <f>J37*(1-(J29*0.4))</f>
        <v>140815.9733</v>
      </c>
      <c r="M37" s="275">
        <f t="shared" si="14"/>
        <v>1408.159733</v>
      </c>
      <c r="N37" s="276">
        <f t="shared" si="15"/>
        <v>8448.958397</v>
      </c>
      <c r="O37" s="270">
        <f t="shared" si="16"/>
        <v>27313.9584</v>
      </c>
      <c r="P37" s="277">
        <f>(O37/O32)-1</f>
        <v>-17.65485268</v>
      </c>
      <c r="Q37" s="50"/>
      <c r="R37" s="50"/>
      <c r="S37" s="50"/>
      <c r="T37" s="50"/>
      <c r="U37" s="50"/>
      <c r="V37" s="50"/>
      <c r="W37" s="50"/>
    </row>
    <row r="38" ht="15.75" customHeight="1">
      <c r="A38" s="50"/>
      <c r="B38" s="50"/>
      <c r="C38" s="50"/>
      <c r="D38" s="50"/>
      <c r="E38" s="50"/>
      <c r="F38" s="281"/>
      <c r="G38" s="23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 ht="15.75" customHeight="1">
      <c r="A39" s="50"/>
      <c r="B39" s="50"/>
      <c r="C39" s="50"/>
      <c r="D39" s="50"/>
      <c r="E39" s="50"/>
      <c r="F39" s="281"/>
      <c r="G39" s="23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</row>
    <row r="40" ht="15.75" customHeight="1">
      <c r="A40" s="50"/>
      <c r="B40" s="50"/>
      <c r="C40" s="50"/>
      <c r="D40" s="50"/>
      <c r="E40" s="50"/>
      <c r="F40" s="281"/>
      <c r="G40" s="23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 ht="15.75" customHeight="1">
      <c r="A41" s="50"/>
      <c r="B41" s="50"/>
      <c r="C41" s="50"/>
      <c r="D41" s="50"/>
      <c r="E41" s="50"/>
      <c r="F41" s="281"/>
      <c r="G41" s="23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</row>
    <row r="42" ht="15.75" customHeight="1">
      <c r="A42" s="50"/>
      <c r="B42" s="50"/>
      <c r="C42" s="50"/>
      <c r="D42" s="50"/>
      <c r="E42" s="50"/>
      <c r="F42" s="281"/>
      <c r="G42" s="230"/>
      <c r="H42" s="283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 ht="15.75" customHeight="1">
      <c r="A43" s="50"/>
      <c r="B43" s="50"/>
      <c r="C43" s="50"/>
      <c r="D43" s="50"/>
      <c r="E43" s="50"/>
      <c r="F43" s="281"/>
      <c r="G43" s="230"/>
      <c r="H43" s="50"/>
      <c r="I43" s="50"/>
      <c r="J43" s="50"/>
      <c r="K43" s="50"/>
      <c r="L43" s="50"/>
      <c r="M43" s="50"/>
      <c r="N43" s="50"/>
      <c r="O43" s="50"/>
      <c r="P43" s="284"/>
      <c r="Q43" s="50"/>
      <c r="R43" s="50"/>
      <c r="S43" s="50"/>
      <c r="T43" s="50"/>
      <c r="U43" s="50"/>
      <c r="V43" s="50"/>
      <c r="W43" s="50"/>
    </row>
    <row r="44" ht="15.75" customHeight="1">
      <c r="A44" s="50"/>
      <c r="B44" s="50"/>
      <c r="C44" s="50"/>
      <c r="D44" s="50"/>
      <c r="E44" s="50"/>
      <c r="F44" s="285"/>
      <c r="G44" s="23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</row>
    <row r="45" ht="15.75" customHeight="1">
      <c r="A45" s="50"/>
      <c r="B45" s="50"/>
      <c r="C45" s="50"/>
      <c r="D45" s="50"/>
      <c r="E45" s="50"/>
      <c r="F45" s="50"/>
      <c r="G45" s="23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ht="15.75" customHeight="1">
      <c r="A46" s="50"/>
      <c r="B46" s="50"/>
      <c r="C46" s="50"/>
      <c r="D46" s="50"/>
      <c r="E46" s="50"/>
      <c r="F46" s="284"/>
      <c r="G46" s="23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</row>
    <row r="47" ht="15.75" customHeight="1">
      <c r="A47" s="50"/>
      <c r="B47" s="50"/>
      <c r="C47" s="50"/>
      <c r="D47" s="50"/>
      <c r="E47" s="50"/>
      <c r="F47" s="281"/>
      <c r="G47" s="23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 ht="15.75" customHeight="1">
      <c r="A48" s="50"/>
      <c r="B48" s="50"/>
      <c r="C48" s="50"/>
      <c r="D48" s="50"/>
      <c r="E48" s="50"/>
      <c r="F48" s="281"/>
      <c r="G48" s="23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 ht="15.75" customHeight="1">
      <c r="A49" s="50"/>
      <c r="B49" s="50"/>
      <c r="C49" s="50"/>
      <c r="D49" s="50"/>
      <c r="E49" s="50"/>
      <c r="F49" s="281"/>
      <c r="G49" s="23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 ht="15.75" customHeight="1">
      <c r="A50" s="50"/>
      <c r="B50" s="50"/>
      <c r="C50" s="50"/>
      <c r="D50" s="50"/>
      <c r="E50" s="50"/>
      <c r="F50" s="281"/>
      <c r="G50" s="23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 ht="15.75" customHeight="1">
      <c r="A51" s="50"/>
      <c r="B51" s="50"/>
      <c r="C51" s="50"/>
      <c r="D51" s="50"/>
      <c r="E51" s="50"/>
      <c r="F51" s="281"/>
      <c r="G51" s="23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 ht="15.75" customHeight="1">
      <c r="A52" s="50"/>
      <c r="B52" s="50"/>
      <c r="C52" s="50"/>
      <c r="D52" s="50"/>
      <c r="E52" s="50"/>
      <c r="F52" s="281"/>
      <c r="G52" s="23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ht="15.75" customHeight="1">
      <c r="A53" s="50"/>
      <c r="B53" s="50"/>
      <c r="C53" s="50"/>
      <c r="D53" s="50"/>
      <c r="E53" s="50"/>
      <c r="F53" s="281"/>
      <c r="G53" s="23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 ht="15.75" customHeight="1">
      <c r="A54" s="50"/>
      <c r="B54" s="50"/>
      <c r="C54" s="50"/>
      <c r="D54" s="50"/>
      <c r="E54" s="50"/>
      <c r="F54" s="281"/>
      <c r="G54" s="23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 ht="15.75" customHeight="1">
      <c r="A55" s="50"/>
      <c r="B55" s="50"/>
      <c r="C55" s="50"/>
      <c r="D55" s="50"/>
      <c r="E55" s="50"/>
      <c r="F55" s="281"/>
      <c r="G55" s="23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 ht="15.75" customHeight="1">
      <c r="A56" s="50"/>
      <c r="B56" s="50"/>
      <c r="C56" s="50"/>
      <c r="D56" s="50"/>
      <c r="E56" s="50"/>
      <c r="F56" s="281"/>
      <c r="G56" s="23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ht="15.75" customHeight="1">
      <c r="A57" s="50"/>
      <c r="B57" s="50"/>
      <c r="C57" s="50"/>
      <c r="D57" s="50"/>
      <c r="E57" s="50"/>
      <c r="F57" s="281"/>
      <c r="G57" s="23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ht="15.75" customHeight="1">
      <c r="A58" s="50"/>
      <c r="B58" s="50"/>
      <c r="C58" s="50"/>
      <c r="D58" s="50"/>
      <c r="E58" s="50"/>
      <c r="F58" s="281"/>
      <c r="G58" s="23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ht="15.75" customHeight="1">
      <c r="A59" s="50"/>
      <c r="B59" s="50"/>
      <c r="C59" s="50"/>
      <c r="D59" s="50"/>
      <c r="E59" s="50"/>
      <c r="F59" s="281"/>
      <c r="G59" s="23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 ht="15.75" customHeight="1">
      <c r="A60" s="50"/>
      <c r="B60" s="50"/>
      <c r="C60" s="50"/>
      <c r="D60" s="50"/>
      <c r="E60" s="50"/>
      <c r="F60" s="281"/>
      <c r="G60" s="23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ht="15.75" customHeight="1">
      <c r="A61" s="50"/>
      <c r="B61" s="50"/>
      <c r="C61" s="50"/>
      <c r="D61" s="50"/>
      <c r="E61" s="50"/>
      <c r="F61" s="281"/>
      <c r="G61" s="23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ht="15.75" customHeight="1">
      <c r="A62" s="50"/>
      <c r="B62" s="50"/>
      <c r="C62" s="50"/>
      <c r="D62" s="50"/>
      <c r="E62" s="50"/>
      <c r="F62" s="281"/>
      <c r="G62" s="23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ht="15.75" customHeight="1">
      <c r="A63" s="50"/>
      <c r="B63" s="50"/>
      <c r="C63" s="50"/>
      <c r="D63" s="50"/>
      <c r="E63" s="50"/>
      <c r="F63" s="281"/>
      <c r="G63" s="23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 ht="15.75" customHeight="1">
      <c r="A64" s="50"/>
      <c r="B64" s="50"/>
      <c r="C64" s="50"/>
      <c r="D64" s="50"/>
      <c r="E64" s="50"/>
      <c r="F64" s="281"/>
      <c r="G64" s="23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 ht="15.75" customHeight="1">
      <c r="A65" s="50"/>
      <c r="B65" s="50"/>
      <c r="C65" s="50"/>
      <c r="D65" s="50"/>
      <c r="E65" s="50"/>
      <c r="F65" s="281"/>
      <c r="G65" s="23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 ht="15.75" customHeight="1">
      <c r="A66" s="50"/>
      <c r="B66" s="50"/>
      <c r="C66" s="50"/>
      <c r="D66" s="50"/>
      <c r="E66" s="50"/>
      <c r="F66" s="281"/>
      <c r="G66" s="23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 ht="15.75" customHeight="1">
      <c r="A67" s="50"/>
      <c r="B67" s="50"/>
      <c r="C67" s="50"/>
      <c r="D67" s="50"/>
      <c r="E67" s="50"/>
      <c r="F67" s="281"/>
      <c r="G67" s="23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 ht="15.75" customHeight="1">
      <c r="A68" s="50"/>
      <c r="B68" s="50"/>
      <c r="C68" s="50"/>
      <c r="D68" s="50"/>
      <c r="E68" s="50"/>
      <c r="F68" s="281"/>
      <c r="G68" s="23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ht="15.75" customHeight="1">
      <c r="A69" s="50"/>
      <c r="B69" s="50"/>
      <c r="C69" s="50"/>
      <c r="D69" s="50"/>
      <c r="E69" s="50"/>
      <c r="F69" s="281"/>
      <c r="G69" s="23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ht="15.75" customHeight="1">
      <c r="A70" s="50"/>
      <c r="B70" s="50"/>
      <c r="C70" s="50"/>
      <c r="D70" s="50"/>
      <c r="E70" s="50"/>
      <c r="F70" s="281"/>
      <c r="G70" s="23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ht="15.75" customHeight="1">
      <c r="A71" s="50"/>
      <c r="B71" s="50"/>
      <c r="C71" s="50"/>
      <c r="D71" s="50"/>
      <c r="E71" s="50"/>
      <c r="F71" s="281"/>
      <c r="G71" s="23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ht="15.75" customHeight="1">
      <c r="A72" s="50"/>
      <c r="B72" s="50"/>
      <c r="C72" s="50"/>
      <c r="D72" s="50"/>
      <c r="E72" s="50"/>
      <c r="F72" s="281"/>
      <c r="G72" s="23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ht="15.75" customHeight="1">
      <c r="A73" s="50"/>
      <c r="B73" s="50"/>
      <c r="C73" s="50"/>
      <c r="D73" s="50"/>
      <c r="E73" s="50"/>
      <c r="F73" s="281"/>
      <c r="G73" s="23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ht="15.75" customHeight="1">
      <c r="A74" s="50"/>
      <c r="B74" s="50"/>
      <c r="C74" s="50"/>
      <c r="D74" s="50"/>
      <c r="E74" s="50"/>
      <c r="F74" s="281"/>
      <c r="G74" s="23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ht="15.75" customHeight="1">
      <c r="A75" s="50"/>
      <c r="B75" s="50"/>
      <c r="C75" s="50"/>
      <c r="D75" s="50"/>
      <c r="E75" s="50"/>
      <c r="F75" s="281"/>
      <c r="G75" s="23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ht="15.75" customHeight="1">
      <c r="A76" s="50"/>
      <c r="B76" s="50"/>
      <c r="C76" s="50"/>
      <c r="D76" s="50"/>
      <c r="E76" s="50"/>
      <c r="F76" s="281"/>
      <c r="G76" s="23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ht="15.75" customHeight="1">
      <c r="A77" s="50"/>
      <c r="B77" s="50"/>
      <c r="C77" s="50"/>
      <c r="D77" s="50"/>
      <c r="E77" s="50"/>
      <c r="F77" s="281"/>
      <c r="G77" s="23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ht="15.75" customHeight="1">
      <c r="A78" s="50"/>
      <c r="B78" s="50"/>
      <c r="C78" s="50"/>
      <c r="D78" s="50"/>
      <c r="E78" s="50"/>
      <c r="F78" s="281"/>
      <c r="G78" s="23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 ht="15.75" customHeight="1">
      <c r="A79" s="50"/>
      <c r="B79" s="50"/>
      <c r="C79" s="50"/>
      <c r="D79" s="50"/>
      <c r="E79" s="50"/>
      <c r="F79" s="281"/>
      <c r="G79" s="23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 ht="15.75" customHeight="1">
      <c r="A80" s="50"/>
      <c r="B80" s="50"/>
      <c r="C80" s="50"/>
      <c r="D80" s="50"/>
      <c r="E80" s="50"/>
      <c r="F80" s="281"/>
      <c r="G80" s="23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 ht="15.75" customHeight="1">
      <c r="A81" s="50"/>
      <c r="B81" s="50"/>
      <c r="C81" s="50"/>
      <c r="D81" s="50"/>
      <c r="E81" s="50"/>
      <c r="F81" s="281"/>
      <c r="G81" s="23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 ht="15.75" customHeight="1">
      <c r="A82" s="50"/>
      <c r="B82" s="50"/>
      <c r="C82" s="50"/>
      <c r="D82" s="50"/>
      <c r="E82" s="50"/>
      <c r="F82" s="281"/>
      <c r="G82" s="23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 ht="15.75" customHeight="1">
      <c r="A83" s="50"/>
      <c r="B83" s="50"/>
      <c r="C83" s="50"/>
      <c r="D83" s="50"/>
      <c r="E83" s="50"/>
      <c r="F83" s="281"/>
      <c r="G83" s="23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 ht="15.75" customHeight="1">
      <c r="A84" s="50"/>
      <c r="B84" s="50"/>
      <c r="C84" s="50"/>
      <c r="D84" s="50"/>
      <c r="E84" s="50"/>
      <c r="F84" s="281"/>
      <c r="G84" s="23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 ht="15.75" customHeight="1">
      <c r="A85" s="50"/>
      <c r="B85" s="50"/>
      <c r="C85" s="50"/>
      <c r="D85" s="50"/>
      <c r="E85" s="50"/>
      <c r="F85" s="281"/>
      <c r="G85" s="23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 ht="15.75" customHeight="1">
      <c r="A86" s="50"/>
      <c r="B86" s="50"/>
      <c r="C86" s="50"/>
      <c r="D86" s="50"/>
      <c r="E86" s="50"/>
      <c r="F86" s="281"/>
      <c r="G86" s="23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 ht="15.75" customHeight="1">
      <c r="A87" s="50"/>
      <c r="B87" s="50"/>
      <c r="C87" s="50"/>
      <c r="D87" s="50"/>
      <c r="E87" s="50"/>
      <c r="F87" s="281"/>
      <c r="G87" s="23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 ht="15.75" customHeight="1">
      <c r="A88" s="50"/>
      <c r="B88" s="50"/>
      <c r="C88" s="50"/>
      <c r="D88" s="50"/>
      <c r="E88" s="50"/>
      <c r="F88" s="281"/>
      <c r="G88" s="23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 ht="15.75" customHeight="1">
      <c r="A89" s="50"/>
      <c r="B89" s="50"/>
      <c r="C89" s="50"/>
      <c r="D89" s="50"/>
      <c r="E89" s="50"/>
      <c r="F89" s="281"/>
      <c r="G89" s="23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 ht="15.75" customHeight="1">
      <c r="A90" s="50"/>
      <c r="B90" s="50"/>
      <c r="C90" s="50"/>
      <c r="D90" s="50"/>
      <c r="E90" s="50"/>
      <c r="F90" s="281"/>
      <c r="G90" s="23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 ht="15.75" customHeight="1">
      <c r="A91" s="50"/>
      <c r="B91" s="50"/>
      <c r="C91" s="50"/>
      <c r="D91" s="50"/>
      <c r="E91" s="50"/>
      <c r="F91" s="281"/>
      <c r="G91" s="23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 ht="15.75" customHeight="1">
      <c r="A92" s="50"/>
      <c r="B92" s="50"/>
      <c r="C92" s="50"/>
      <c r="D92" s="50"/>
      <c r="E92" s="50"/>
      <c r="F92" s="281"/>
      <c r="G92" s="23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 ht="15.75" customHeight="1">
      <c r="A93" s="50"/>
      <c r="B93" s="50"/>
      <c r="C93" s="50"/>
      <c r="D93" s="50"/>
      <c r="E93" s="50"/>
      <c r="F93" s="281"/>
      <c r="G93" s="23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 ht="15.75" customHeight="1">
      <c r="A94" s="50"/>
      <c r="B94" s="50"/>
      <c r="C94" s="50"/>
      <c r="D94" s="50"/>
      <c r="E94" s="50"/>
      <c r="F94" s="281"/>
      <c r="G94" s="23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 ht="15.75" customHeight="1">
      <c r="A95" s="50"/>
      <c r="B95" s="50"/>
      <c r="C95" s="50"/>
      <c r="D95" s="50"/>
      <c r="E95" s="50"/>
      <c r="F95" s="281"/>
      <c r="G95" s="23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 ht="15.75" customHeight="1">
      <c r="A96" s="50"/>
      <c r="B96" s="50"/>
      <c r="C96" s="50"/>
      <c r="D96" s="50"/>
      <c r="E96" s="50"/>
      <c r="F96" s="281"/>
      <c r="G96" s="23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 ht="15.75" customHeight="1">
      <c r="A97" s="50"/>
      <c r="B97" s="50"/>
      <c r="C97" s="50"/>
      <c r="D97" s="50"/>
      <c r="E97" s="50"/>
      <c r="F97" s="281"/>
      <c r="G97" s="23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 ht="15.75" customHeight="1">
      <c r="A98" s="50"/>
      <c r="B98" s="50"/>
      <c r="C98" s="50"/>
      <c r="D98" s="50"/>
      <c r="E98" s="50"/>
      <c r="F98" s="281"/>
      <c r="G98" s="23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 ht="15.75" customHeight="1">
      <c r="A99" s="50"/>
      <c r="B99" s="50"/>
      <c r="C99" s="50"/>
      <c r="D99" s="50"/>
      <c r="E99" s="50"/>
      <c r="F99" s="281"/>
      <c r="G99" s="23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 ht="15.75" customHeight="1">
      <c r="A100" s="50"/>
      <c r="B100" s="50"/>
      <c r="C100" s="50"/>
      <c r="D100" s="50"/>
      <c r="E100" s="50"/>
      <c r="F100" s="281"/>
      <c r="G100" s="23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 ht="15.75" customHeight="1">
      <c r="A101" s="50"/>
      <c r="B101" s="50"/>
      <c r="C101" s="50"/>
      <c r="D101" s="50"/>
      <c r="E101" s="50"/>
      <c r="F101" s="281"/>
      <c r="G101" s="23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</row>
    <row r="102" ht="15.75" customHeight="1">
      <c r="A102" s="50"/>
      <c r="B102" s="50"/>
      <c r="C102" s="50"/>
      <c r="D102" s="50"/>
      <c r="E102" s="50"/>
      <c r="F102" s="281"/>
      <c r="G102" s="23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</row>
    <row r="103" ht="15.75" customHeight="1">
      <c r="A103" s="50"/>
      <c r="B103" s="50"/>
      <c r="C103" s="50"/>
      <c r="D103" s="50"/>
      <c r="E103" s="50"/>
      <c r="F103" s="281"/>
      <c r="G103" s="23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</row>
    <row r="104" ht="15.75" customHeight="1">
      <c r="A104" s="50"/>
      <c r="B104" s="50"/>
      <c r="C104" s="50"/>
      <c r="D104" s="50"/>
      <c r="E104" s="50"/>
      <c r="F104" s="281"/>
      <c r="G104" s="23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</row>
    <row r="105" ht="15.75" customHeight="1">
      <c r="A105" s="50"/>
      <c r="B105" s="50"/>
      <c r="C105" s="50"/>
      <c r="D105" s="50"/>
      <c r="E105" s="50"/>
      <c r="F105" s="281"/>
      <c r="G105" s="23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</row>
    <row r="106" ht="15.75" customHeight="1">
      <c r="A106" s="50"/>
      <c r="B106" s="50"/>
      <c r="C106" s="50"/>
      <c r="D106" s="50"/>
      <c r="E106" s="50"/>
      <c r="F106" s="281"/>
      <c r="G106" s="23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</row>
    <row r="107" ht="15.75" customHeight="1">
      <c r="A107" s="50"/>
      <c r="B107" s="50"/>
      <c r="C107" s="50"/>
      <c r="D107" s="50"/>
      <c r="E107" s="50"/>
      <c r="F107" s="281"/>
      <c r="G107" s="23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</row>
    <row r="108" ht="15.75" customHeight="1">
      <c r="A108" s="50"/>
      <c r="B108" s="50"/>
      <c r="C108" s="50"/>
      <c r="D108" s="50"/>
      <c r="E108" s="50"/>
      <c r="F108" s="281"/>
      <c r="G108" s="23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</row>
    <row r="109" ht="15.75" customHeight="1">
      <c r="A109" s="50"/>
      <c r="B109" s="50"/>
      <c r="C109" s="50"/>
      <c r="D109" s="50"/>
      <c r="E109" s="50"/>
      <c r="F109" s="281"/>
      <c r="G109" s="23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</row>
    <row r="110" ht="15.75" customHeight="1">
      <c r="A110" s="50"/>
      <c r="B110" s="50"/>
      <c r="C110" s="50"/>
      <c r="D110" s="50"/>
      <c r="E110" s="50"/>
      <c r="F110" s="281"/>
      <c r="G110" s="23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</row>
    <row r="111" ht="15.75" customHeight="1">
      <c r="A111" s="50"/>
      <c r="B111" s="50"/>
      <c r="C111" s="50"/>
      <c r="D111" s="50"/>
      <c r="E111" s="50"/>
      <c r="F111" s="281"/>
      <c r="G111" s="23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</row>
    <row r="112" ht="15.75" customHeight="1">
      <c r="A112" s="50"/>
      <c r="B112" s="50"/>
      <c r="C112" s="50"/>
      <c r="D112" s="50"/>
      <c r="E112" s="50"/>
      <c r="F112" s="281"/>
      <c r="G112" s="23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</row>
    <row r="113" ht="15.75" customHeight="1">
      <c r="A113" s="50"/>
      <c r="B113" s="50"/>
      <c r="C113" s="50"/>
      <c r="D113" s="50"/>
      <c r="E113" s="50"/>
      <c r="F113" s="281"/>
      <c r="G113" s="23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</row>
    <row r="114" ht="15.75" customHeight="1">
      <c r="A114" s="50"/>
      <c r="B114" s="50"/>
      <c r="C114" s="50"/>
      <c r="D114" s="50"/>
      <c r="E114" s="50"/>
      <c r="F114" s="281"/>
      <c r="G114" s="23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</row>
    <row r="115" ht="15.75" customHeight="1">
      <c r="A115" s="50"/>
      <c r="B115" s="50"/>
      <c r="C115" s="50"/>
      <c r="D115" s="50"/>
      <c r="E115" s="50"/>
      <c r="F115" s="281"/>
      <c r="G115" s="23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</row>
    <row r="116" ht="15.75" customHeight="1">
      <c r="A116" s="50"/>
      <c r="B116" s="50"/>
      <c r="C116" s="50"/>
      <c r="D116" s="50"/>
      <c r="E116" s="50"/>
      <c r="F116" s="281"/>
      <c r="G116" s="23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</row>
    <row r="117" ht="15.75" customHeight="1">
      <c r="A117" s="50"/>
      <c r="B117" s="50"/>
      <c r="C117" s="50"/>
      <c r="D117" s="50"/>
      <c r="E117" s="50"/>
      <c r="F117" s="281"/>
      <c r="G117" s="23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</row>
    <row r="118" ht="15.75" customHeight="1">
      <c r="A118" s="50"/>
      <c r="B118" s="50"/>
      <c r="C118" s="50"/>
      <c r="D118" s="50"/>
      <c r="E118" s="50"/>
      <c r="F118" s="281"/>
      <c r="G118" s="23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</row>
    <row r="119" ht="15.75" customHeight="1">
      <c r="A119" s="50"/>
      <c r="B119" s="50"/>
      <c r="C119" s="50"/>
      <c r="D119" s="50"/>
      <c r="E119" s="50"/>
      <c r="F119" s="281"/>
      <c r="G119" s="23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</row>
    <row r="120" ht="15.75" customHeight="1">
      <c r="A120" s="50"/>
      <c r="B120" s="50"/>
      <c r="C120" s="50"/>
      <c r="D120" s="50"/>
      <c r="E120" s="50"/>
      <c r="F120" s="281"/>
      <c r="G120" s="23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</row>
    <row r="121" ht="15.75" customHeight="1">
      <c r="A121" s="50"/>
      <c r="B121" s="50"/>
      <c r="C121" s="50"/>
      <c r="D121" s="50"/>
      <c r="E121" s="50"/>
      <c r="F121" s="281"/>
      <c r="G121" s="23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</row>
    <row r="122" ht="15.75" customHeight="1">
      <c r="A122" s="50"/>
      <c r="B122" s="50"/>
      <c r="C122" s="50"/>
      <c r="D122" s="50"/>
      <c r="E122" s="50"/>
      <c r="F122" s="281"/>
      <c r="G122" s="23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</row>
    <row r="123" ht="15.75" customHeight="1">
      <c r="A123" s="50"/>
      <c r="B123" s="50"/>
      <c r="C123" s="50"/>
      <c r="D123" s="50"/>
      <c r="E123" s="50"/>
      <c r="F123" s="281"/>
      <c r="G123" s="23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</row>
    <row r="124" ht="15.75" customHeight="1">
      <c r="A124" s="50"/>
      <c r="B124" s="50"/>
      <c r="C124" s="50"/>
      <c r="D124" s="50"/>
      <c r="E124" s="50"/>
      <c r="F124" s="281"/>
      <c r="G124" s="23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15.75" customHeight="1">
      <c r="A125" s="50"/>
      <c r="B125" s="50"/>
      <c r="C125" s="50"/>
      <c r="D125" s="50"/>
      <c r="E125" s="50"/>
      <c r="F125" s="281"/>
      <c r="G125" s="23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15.75" customHeight="1">
      <c r="A126" s="50"/>
      <c r="B126" s="50"/>
      <c r="C126" s="50"/>
      <c r="D126" s="50"/>
      <c r="E126" s="50"/>
      <c r="F126" s="281"/>
      <c r="G126" s="23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15.75" customHeight="1">
      <c r="A127" s="50"/>
      <c r="B127" s="50"/>
      <c r="C127" s="50"/>
      <c r="D127" s="50"/>
      <c r="E127" s="50"/>
      <c r="F127" s="281"/>
      <c r="G127" s="23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15.75" customHeight="1">
      <c r="A128" s="50"/>
      <c r="B128" s="50"/>
      <c r="C128" s="50"/>
      <c r="D128" s="50"/>
      <c r="E128" s="50"/>
      <c r="F128" s="281"/>
      <c r="G128" s="23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15.75" customHeight="1">
      <c r="A129" s="50"/>
      <c r="B129" s="50"/>
      <c r="C129" s="50"/>
      <c r="D129" s="50"/>
      <c r="E129" s="50"/>
      <c r="F129" s="281"/>
      <c r="G129" s="23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15.75" customHeight="1">
      <c r="A130" s="50"/>
      <c r="B130" s="50"/>
      <c r="C130" s="50"/>
      <c r="D130" s="50"/>
      <c r="E130" s="50"/>
      <c r="F130" s="281"/>
      <c r="G130" s="23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15.75" customHeight="1">
      <c r="A131" s="50"/>
      <c r="B131" s="50"/>
      <c r="C131" s="50"/>
      <c r="D131" s="50"/>
      <c r="E131" s="50"/>
      <c r="F131" s="281"/>
      <c r="G131" s="23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15.75" customHeight="1">
      <c r="A132" s="50"/>
      <c r="B132" s="50"/>
      <c r="C132" s="50"/>
      <c r="D132" s="50"/>
      <c r="E132" s="50"/>
      <c r="F132" s="281"/>
      <c r="G132" s="23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15.75" customHeight="1">
      <c r="A133" s="50"/>
      <c r="B133" s="50"/>
      <c r="C133" s="50"/>
      <c r="D133" s="50"/>
      <c r="E133" s="50"/>
      <c r="F133" s="281"/>
      <c r="G133" s="23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15.75" customHeight="1">
      <c r="A134" s="50"/>
      <c r="B134" s="50"/>
      <c r="C134" s="50"/>
      <c r="D134" s="50"/>
      <c r="E134" s="50"/>
      <c r="F134" s="281"/>
      <c r="G134" s="23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15.75" customHeight="1">
      <c r="A135" s="50"/>
      <c r="B135" s="50"/>
      <c r="C135" s="50"/>
      <c r="D135" s="50"/>
      <c r="E135" s="50"/>
      <c r="F135" s="281"/>
      <c r="G135" s="23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15.75" customHeight="1">
      <c r="A136" s="50"/>
      <c r="B136" s="50"/>
      <c r="C136" s="50"/>
      <c r="D136" s="50"/>
      <c r="E136" s="50"/>
      <c r="F136" s="281"/>
      <c r="G136" s="23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15.75" customHeight="1">
      <c r="A137" s="50"/>
      <c r="B137" s="50"/>
      <c r="C137" s="50"/>
      <c r="D137" s="50"/>
      <c r="E137" s="50"/>
      <c r="F137" s="281"/>
      <c r="G137" s="23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15.75" customHeight="1">
      <c r="A138" s="50"/>
      <c r="B138" s="50"/>
      <c r="C138" s="50"/>
      <c r="D138" s="50"/>
      <c r="E138" s="50"/>
      <c r="F138" s="281"/>
      <c r="G138" s="23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15.75" customHeight="1">
      <c r="A139" s="50"/>
      <c r="B139" s="50"/>
      <c r="C139" s="50"/>
      <c r="D139" s="50"/>
      <c r="E139" s="50"/>
      <c r="F139" s="281"/>
      <c r="G139" s="23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15.75" customHeight="1">
      <c r="A140" s="50"/>
      <c r="B140" s="50"/>
      <c r="C140" s="50"/>
      <c r="D140" s="50"/>
      <c r="E140" s="50"/>
      <c r="F140" s="281"/>
      <c r="G140" s="23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15.75" customHeight="1">
      <c r="A141" s="50"/>
      <c r="B141" s="50"/>
      <c r="C141" s="50"/>
      <c r="D141" s="50"/>
      <c r="E141" s="50"/>
      <c r="F141" s="281"/>
      <c r="G141" s="23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15.75" customHeight="1">
      <c r="A142" s="50"/>
      <c r="B142" s="50"/>
      <c r="C142" s="50"/>
      <c r="D142" s="50"/>
      <c r="E142" s="50"/>
      <c r="F142" s="281"/>
      <c r="G142" s="23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15.75" customHeight="1">
      <c r="A143" s="50"/>
      <c r="B143" s="50"/>
      <c r="C143" s="50"/>
      <c r="D143" s="50"/>
      <c r="E143" s="50"/>
      <c r="F143" s="281"/>
      <c r="G143" s="23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15.75" customHeight="1">
      <c r="A144" s="50"/>
      <c r="B144" s="50"/>
      <c r="C144" s="50"/>
      <c r="D144" s="50"/>
      <c r="E144" s="50"/>
      <c r="F144" s="281"/>
      <c r="G144" s="23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15.75" customHeight="1">
      <c r="A145" s="50"/>
      <c r="B145" s="50"/>
      <c r="C145" s="50"/>
      <c r="D145" s="50"/>
      <c r="E145" s="50"/>
      <c r="F145" s="281"/>
      <c r="G145" s="23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15.75" customHeight="1">
      <c r="A146" s="50"/>
      <c r="B146" s="50"/>
      <c r="C146" s="50"/>
      <c r="D146" s="50"/>
      <c r="E146" s="50"/>
      <c r="F146" s="281"/>
      <c r="G146" s="23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15.75" customHeight="1">
      <c r="A147" s="50"/>
      <c r="B147" s="50"/>
      <c r="C147" s="50"/>
      <c r="D147" s="50"/>
      <c r="E147" s="50"/>
      <c r="F147" s="281"/>
      <c r="G147" s="23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15.75" customHeight="1">
      <c r="A148" s="50"/>
      <c r="B148" s="50"/>
      <c r="C148" s="50"/>
      <c r="D148" s="50"/>
      <c r="E148" s="50"/>
      <c r="F148" s="281"/>
      <c r="G148" s="23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15.75" customHeight="1">
      <c r="A149" s="50"/>
      <c r="B149" s="50"/>
      <c r="C149" s="50"/>
      <c r="D149" s="50"/>
      <c r="E149" s="50"/>
      <c r="F149" s="281"/>
      <c r="G149" s="23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15.75" customHeight="1">
      <c r="A150" s="50"/>
      <c r="B150" s="50"/>
      <c r="C150" s="50"/>
      <c r="D150" s="50"/>
      <c r="E150" s="50"/>
      <c r="F150" s="281"/>
      <c r="G150" s="23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15.75" customHeight="1">
      <c r="A151" s="50"/>
      <c r="B151" s="50"/>
      <c r="C151" s="50"/>
      <c r="D151" s="50"/>
      <c r="E151" s="50"/>
      <c r="F151" s="281"/>
      <c r="G151" s="23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15.75" customHeight="1">
      <c r="A152" s="50"/>
      <c r="B152" s="50"/>
      <c r="C152" s="50"/>
      <c r="D152" s="50"/>
      <c r="E152" s="50"/>
      <c r="F152" s="281"/>
      <c r="G152" s="23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15.75" customHeight="1">
      <c r="A153" s="50"/>
      <c r="B153" s="50"/>
      <c r="C153" s="50"/>
      <c r="D153" s="50"/>
      <c r="E153" s="50"/>
      <c r="F153" s="281"/>
      <c r="G153" s="23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15.75" customHeight="1">
      <c r="A154" s="50"/>
      <c r="B154" s="50"/>
      <c r="C154" s="50"/>
      <c r="D154" s="50"/>
      <c r="E154" s="50"/>
      <c r="F154" s="281"/>
      <c r="G154" s="23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15.75" customHeight="1">
      <c r="A155" s="50"/>
      <c r="B155" s="50"/>
      <c r="C155" s="50"/>
      <c r="D155" s="50"/>
      <c r="E155" s="50"/>
      <c r="F155" s="281"/>
      <c r="G155" s="23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15.75" customHeight="1">
      <c r="A156" s="50"/>
      <c r="B156" s="50"/>
      <c r="C156" s="50"/>
      <c r="D156" s="50"/>
      <c r="E156" s="50"/>
      <c r="F156" s="281"/>
      <c r="G156" s="23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15.75" customHeight="1">
      <c r="A157" s="50"/>
      <c r="B157" s="50"/>
      <c r="C157" s="50"/>
      <c r="D157" s="50"/>
      <c r="E157" s="50"/>
      <c r="F157" s="281"/>
      <c r="G157" s="23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15.75" customHeight="1">
      <c r="A158" s="50"/>
      <c r="B158" s="50"/>
      <c r="C158" s="50"/>
      <c r="D158" s="50"/>
      <c r="E158" s="50"/>
      <c r="F158" s="281"/>
      <c r="G158" s="23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15.75" customHeight="1">
      <c r="A159" s="50"/>
      <c r="B159" s="50"/>
      <c r="C159" s="50"/>
      <c r="D159" s="50"/>
      <c r="E159" s="50"/>
      <c r="F159" s="281"/>
      <c r="G159" s="23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15.75" customHeight="1">
      <c r="A160" s="50"/>
      <c r="B160" s="50"/>
      <c r="C160" s="50"/>
      <c r="D160" s="50"/>
      <c r="E160" s="50"/>
      <c r="F160" s="281"/>
      <c r="G160" s="23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15.75" customHeight="1">
      <c r="A161" s="50"/>
      <c r="B161" s="50"/>
      <c r="C161" s="50"/>
      <c r="D161" s="50"/>
      <c r="E161" s="50"/>
      <c r="F161" s="281"/>
      <c r="G161" s="23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15.75" customHeight="1">
      <c r="A162" s="50"/>
      <c r="B162" s="50"/>
      <c r="C162" s="50"/>
      <c r="D162" s="50"/>
      <c r="E162" s="50"/>
      <c r="F162" s="281"/>
      <c r="G162" s="23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15.75" customHeight="1">
      <c r="A163" s="50"/>
      <c r="B163" s="50"/>
      <c r="C163" s="50"/>
      <c r="D163" s="50"/>
      <c r="E163" s="50"/>
      <c r="F163" s="281"/>
      <c r="G163" s="23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15.75" customHeight="1">
      <c r="A164" s="50"/>
      <c r="B164" s="50"/>
      <c r="C164" s="50"/>
      <c r="D164" s="50"/>
      <c r="E164" s="50"/>
      <c r="F164" s="281"/>
      <c r="G164" s="23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15.75" customHeight="1">
      <c r="A165" s="50"/>
      <c r="B165" s="50"/>
      <c r="C165" s="50"/>
      <c r="D165" s="50"/>
      <c r="E165" s="50"/>
      <c r="F165" s="281"/>
      <c r="G165" s="23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15.75" customHeight="1">
      <c r="A166" s="50"/>
      <c r="B166" s="50"/>
      <c r="C166" s="50"/>
      <c r="D166" s="50"/>
      <c r="E166" s="50"/>
      <c r="F166" s="281"/>
      <c r="G166" s="23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15.75" customHeight="1">
      <c r="A167" s="50"/>
      <c r="B167" s="50"/>
      <c r="C167" s="50"/>
      <c r="D167" s="50"/>
      <c r="E167" s="50"/>
      <c r="F167" s="281"/>
      <c r="G167" s="23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15.75" customHeight="1">
      <c r="A168" s="50"/>
      <c r="B168" s="50"/>
      <c r="C168" s="50"/>
      <c r="D168" s="50"/>
      <c r="E168" s="50"/>
      <c r="F168" s="281"/>
      <c r="G168" s="23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15.75" customHeight="1">
      <c r="A169" s="50"/>
      <c r="B169" s="50"/>
      <c r="C169" s="50"/>
      <c r="D169" s="50"/>
      <c r="E169" s="50"/>
      <c r="F169" s="281"/>
      <c r="G169" s="23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15.75" customHeight="1">
      <c r="A170" s="50"/>
      <c r="B170" s="50"/>
      <c r="C170" s="50"/>
      <c r="D170" s="50"/>
      <c r="E170" s="50"/>
      <c r="F170" s="281"/>
      <c r="G170" s="23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15.75" customHeight="1">
      <c r="A171" s="50"/>
      <c r="B171" s="50"/>
      <c r="C171" s="50"/>
      <c r="D171" s="50"/>
      <c r="E171" s="50"/>
      <c r="F171" s="281"/>
      <c r="G171" s="23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15.75" customHeight="1">
      <c r="A172" s="50"/>
      <c r="B172" s="50"/>
      <c r="C172" s="50"/>
      <c r="D172" s="50"/>
      <c r="E172" s="50"/>
      <c r="F172" s="281"/>
      <c r="G172" s="23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15.75" customHeight="1">
      <c r="A173" s="50"/>
      <c r="B173" s="50"/>
      <c r="C173" s="50"/>
      <c r="D173" s="50"/>
      <c r="E173" s="50"/>
      <c r="F173" s="281"/>
      <c r="G173" s="23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15.75" customHeight="1">
      <c r="A174" s="50"/>
      <c r="B174" s="50"/>
      <c r="C174" s="50"/>
      <c r="D174" s="50"/>
      <c r="E174" s="50"/>
      <c r="F174" s="281"/>
      <c r="G174" s="23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15.75" customHeight="1">
      <c r="A175" s="50"/>
      <c r="B175" s="50"/>
      <c r="C175" s="50"/>
      <c r="D175" s="50"/>
      <c r="E175" s="50"/>
      <c r="F175" s="281"/>
      <c r="G175" s="23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15.75" customHeight="1">
      <c r="A176" s="50"/>
      <c r="B176" s="50"/>
      <c r="C176" s="50"/>
      <c r="D176" s="50"/>
      <c r="E176" s="50"/>
      <c r="F176" s="281"/>
      <c r="G176" s="23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15.75" customHeight="1">
      <c r="A177" s="50"/>
      <c r="B177" s="50"/>
      <c r="C177" s="50"/>
      <c r="D177" s="50"/>
      <c r="E177" s="50"/>
      <c r="F177" s="281"/>
      <c r="G177" s="23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15.75" customHeight="1">
      <c r="A178" s="50"/>
      <c r="B178" s="50"/>
      <c r="C178" s="50"/>
      <c r="D178" s="50"/>
      <c r="E178" s="50"/>
      <c r="F178" s="281"/>
      <c r="G178" s="23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15.75" customHeight="1">
      <c r="A179" s="50"/>
      <c r="B179" s="50"/>
      <c r="C179" s="50"/>
      <c r="D179" s="50"/>
      <c r="E179" s="50"/>
      <c r="F179" s="281"/>
      <c r="G179" s="23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15.75" customHeight="1">
      <c r="A180" s="50"/>
      <c r="B180" s="50"/>
      <c r="C180" s="50"/>
      <c r="D180" s="50"/>
      <c r="E180" s="50"/>
      <c r="F180" s="281"/>
      <c r="G180" s="23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15.75" customHeight="1">
      <c r="A181" s="50"/>
      <c r="B181" s="50"/>
      <c r="C181" s="50"/>
      <c r="D181" s="50"/>
      <c r="E181" s="50"/>
      <c r="F181" s="281"/>
      <c r="G181" s="23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15.75" customHeight="1">
      <c r="A182" s="50"/>
      <c r="B182" s="50"/>
      <c r="C182" s="50"/>
      <c r="D182" s="50"/>
      <c r="E182" s="50"/>
      <c r="F182" s="281"/>
      <c r="G182" s="23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15.75" customHeight="1">
      <c r="A183" s="50"/>
      <c r="B183" s="50"/>
      <c r="C183" s="50"/>
      <c r="D183" s="50"/>
      <c r="E183" s="50"/>
      <c r="F183" s="281"/>
      <c r="G183" s="23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15.75" customHeight="1">
      <c r="A184" s="50"/>
      <c r="B184" s="50"/>
      <c r="C184" s="50"/>
      <c r="D184" s="50"/>
      <c r="E184" s="50"/>
      <c r="F184" s="281"/>
      <c r="G184" s="23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15.75" customHeight="1">
      <c r="A185" s="50"/>
      <c r="B185" s="50"/>
      <c r="C185" s="50"/>
      <c r="D185" s="50"/>
      <c r="E185" s="50"/>
      <c r="F185" s="281"/>
      <c r="G185" s="23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15.75" customHeight="1">
      <c r="A186" s="50"/>
      <c r="B186" s="50"/>
      <c r="C186" s="50"/>
      <c r="D186" s="50"/>
      <c r="E186" s="50"/>
      <c r="F186" s="281"/>
      <c r="G186" s="23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15.75" customHeight="1">
      <c r="A187" s="50"/>
      <c r="B187" s="50"/>
      <c r="C187" s="50"/>
      <c r="D187" s="50"/>
      <c r="E187" s="50"/>
      <c r="F187" s="281"/>
      <c r="G187" s="23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15.75" customHeight="1">
      <c r="A188" s="50"/>
      <c r="B188" s="50"/>
      <c r="C188" s="50"/>
      <c r="D188" s="50"/>
      <c r="E188" s="50"/>
      <c r="F188" s="281"/>
      <c r="G188" s="23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15.75" customHeight="1">
      <c r="A189" s="50"/>
      <c r="B189" s="50"/>
      <c r="C189" s="50"/>
      <c r="D189" s="50"/>
      <c r="E189" s="50"/>
      <c r="F189" s="281"/>
      <c r="G189" s="23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15.75" customHeight="1">
      <c r="A190" s="50"/>
      <c r="B190" s="50"/>
      <c r="C190" s="50"/>
      <c r="D190" s="50"/>
      <c r="E190" s="50"/>
      <c r="F190" s="281"/>
      <c r="G190" s="23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15.75" customHeight="1">
      <c r="A191" s="50"/>
      <c r="B191" s="50"/>
      <c r="C191" s="50"/>
      <c r="D191" s="50"/>
      <c r="E191" s="50"/>
      <c r="F191" s="281"/>
      <c r="G191" s="23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15.75" customHeight="1">
      <c r="A192" s="50"/>
      <c r="B192" s="50"/>
      <c r="C192" s="50"/>
      <c r="D192" s="50"/>
      <c r="E192" s="50"/>
      <c r="F192" s="281"/>
      <c r="G192" s="23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15.75" customHeight="1">
      <c r="A193" s="50"/>
      <c r="B193" s="50"/>
      <c r="C193" s="50"/>
      <c r="D193" s="50"/>
      <c r="E193" s="50"/>
      <c r="F193" s="281"/>
      <c r="G193" s="23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15.75" customHeight="1">
      <c r="A194" s="50"/>
      <c r="B194" s="50"/>
      <c r="C194" s="50"/>
      <c r="D194" s="50"/>
      <c r="E194" s="50"/>
      <c r="F194" s="281"/>
      <c r="G194" s="23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15.75" customHeight="1">
      <c r="A195" s="50"/>
      <c r="B195" s="50"/>
      <c r="C195" s="50"/>
      <c r="D195" s="50"/>
      <c r="E195" s="50"/>
      <c r="F195" s="281"/>
      <c r="G195" s="23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15.75" customHeight="1">
      <c r="A196" s="50"/>
      <c r="B196" s="50"/>
      <c r="C196" s="50"/>
      <c r="D196" s="50"/>
      <c r="E196" s="50"/>
      <c r="F196" s="281"/>
      <c r="G196" s="23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15.75" customHeight="1">
      <c r="A197" s="50"/>
      <c r="B197" s="50"/>
      <c r="C197" s="50"/>
      <c r="D197" s="50"/>
      <c r="E197" s="50"/>
      <c r="F197" s="281"/>
      <c r="G197" s="23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15.75" customHeight="1">
      <c r="A198" s="50"/>
      <c r="B198" s="50"/>
      <c r="C198" s="50"/>
      <c r="D198" s="50"/>
      <c r="E198" s="50"/>
      <c r="F198" s="281"/>
      <c r="G198" s="23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15.75" customHeight="1">
      <c r="A199" s="50"/>
      <c r="B199" s="50"/>
      <c r="C199" s="50"/>
      <c r="D199" s="50"/>
      <c r="E199" s="50"/>
      <c r="F199" s="281"/>
      <c r="G199" s="23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15.75" customHeight="1">
      <c r="A200" s="50"/>
      <c r="B200" s="50"/>
      <c r="C200" s="50"/>
      <c r="D200" s="50"/>
      <c r="E200" s="50"/>
      <c r="F200" s="281"/>
      <c r="G200" s="23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15.75" customHeight="1">
      <c r="A201" s="50"/>
      <c r="B201" s="50"/>
      <c r="C201" s="50"/>
      <c r="D201" s="50"/>
      <c r="E201" s="50"/>
      <c r="F201" s="281"/>
      <c r="G201" s="23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15.75" customHeight="1">
      <c r="A202" s="50"/>
      <c r="B202" s="50"/>
      <c r="C202" s="50"/>
      <c r="D202" s="50"/>
      <c r="E202" s="50"/>
      <c r="F202" s="281"/>
      <c r="G202" s="23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15.75" customHeight="1">
      <c r="A203" s="50"/>
      <c r="B203" s="50"/>
      <c r="C203" s="50"/>
      <c r="D203" s="50"/>
      <c r="E203" s="50"/>
      <c r="F203" s="281"/>
      <c r="G203" s="23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15.75" customHeight="1">
      <c r="A204" s="50"/>
      <c r="B204" s="50"/>
      <c r="C204" s="50"/>
      <c r="D204" s="50"/>
      <c r="E204" s="50"/>
      <c r="F204" s="281"/>
      <c r="G204" s="23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15.75" customHeight="1">
      <c r="A205" s="50"/>
      <c r="B205" s="50"/>
      <c r="C205" s="50"/>
      <c r="D205" s="50"/>
      <c r="E205" s="50"/>
      <c r="F205" s="281"/>
      <c r="G205" s="23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15.75" customHeight="1">
      <c r="A206" s="50"/>
      <c r="B206" s="50"/>
      <c r="C206" s="50"/>
      <c r="D206" s="50"/>
      <c r="E206" s="50"/>
      <c r="F206" s="281"/>
      <c r="G206" s="23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</row>
    <row r="207" ht="15.75" customHeight="1">
      <c r="A207" s="50"/>
      <c r="B207" s="50"/>
      <c r="C207" s="50"/>
      <c r="D207" s="50"/>
      <c r="E207" s="50"/>
      <c r="F207" s="281"/>
      <c r="G207" s="23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</row>
    <row r="208" ht="15.75" customHeight="1">
      <c r="A208" s="50"/>
      <c r="B208" s="50"/>
      <c r="C208" s="50"/>
      <c r="D208" s="50"/>
      <c r="E208" s="50"/>
      <c r="F208" s="281"/>
      <c r="G208" s="23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</row>
    <row r="209" ht="15.75" customHeight="1">
      <c r="A209" s="50"/>
      <c r="B209" s="50"/>
      <c r="C209" s="50"/>
      <c r="D209" s="50"/>
      <c r="E209" s="50"/>
      <c r="F209" s="281"/>
      <c r="G209" s="23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</row>
    <row r="210" ht="15.75" customHeight="1">
      <c r="A210" s="50"/>
      <c r="B210" s="50"/>
      <c r="C210" s="50"/>
      <c r="D210" s="50"/>
      <c r="E210" s="50"/>
      <c r="F210" s="281"/>
      <c r="G210" s="23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</row>
    <row r="211" ht="15.75" customHeight="1">
      <c r="A211" s="50"/>
      <c r="B211" s="50"/>
      <c r="C211" s="50"/>
      <c r="D211" s="50"/>
      <c r="E211" s="50"/>
      <c r="F211" s="281"/>
      <c r="G211" s="23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</row>
    <row r="212" ht="15.75" customHeight="1">
      <c r="A212" s="50"/>
      <c r="B212" s="50"/>
      <c r="C212" s="50"/>
      <c r="D212" s="50"/>
      <c r="E212" s="50"/>
      <c r="F212" s="281"/>
      <c r="G212" s="23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</row>
    <row r="213" ht="15.75" customHeight="1">
      <c r="A213" s="50"/>
      <c r="B213" s="50"/>
      <c r="C213" s="50"/>
      <c r="D213" s="50"/>
      <c r="E213" s="50"/>
      <c r="F213" s="281"/>
      <c r="G213" s="23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</row>
    <row r="214" ht="15.75" customHeight="1">
      <c r="A214" s="50"/>
      <c r="B214" s="50"/>
      <c r="C214" s="50"/>
      <c r="D214" s="50"/>
      <c r="E214" s="50"/>
      <c r="F214" s="281"/>
      <c r="G214" s="23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</row>
    <row r="215" ht="15.75" customHeight="1">
      <c r="A215" s="50"/>
      <c r="B215" s="50"/>
      <c r="C215" s="50"/>
      <c r="D215" s="50"/>
      <c r="E215" s="50"/>
      <c r="F215" s="281"/>
      <c r="G215" s="23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</row>
    <row r="216" ht="15.75" customHeight="1">
      <c r="A216" s="50"/>
      <c r="B216" s="50"/>
      <c r="C216" s="50"/>
      <c r="D216" s="50"/>
      <c r="E216" s="50"/>
      <c r="F216" s="281"/>
      <c r="G216" s="23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</row>
    <row r="217" ht="15.75" customHeight="1">
      <c r="A217" s="50"/>
      <c r="B217" s="50"/>
      <c r="C217" s="50"/>
      <c r="D217" s="50"/>
      <c r="E217" s="50"/>
      <c r="F217" s="281"/>
      <c r="G217" s="23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</row>
    <row r="218" ht="15.75" customHeight="1">
      <c r="A218" s="50"/>
      <c r="B218" s="50"/>
      <c r="C218" s="50"/>
      <c r="D218" s="50"/>
      <c r="E218" s="50"/>
      <c r="F218" s="281"/>
      <c r="G218" s="23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</row>
    <row r="219" ht="15.75" customHeight="1">
      <c r="A219" s="50"/>
      <c r="B219" s="50"/>
      <c r="C219" s="50"/>
      <c r="D219" s="50"/>
      <c r="E219" s="50"/>
      <c r="F219" s="281"/>
      <c r="G219" s="23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</row>
    <row r="220" ht="15.75" customHeight="1">
      <c r="A220" s="50"/>
      <c r="B220" s="50"/>
      <c r="C220" s="50"/>
      <c r="D220" s="50"/>
      <c r="E220" s="50"/>
      <c r="F220" s="281"/>
      <c r="G220" s="23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</row>
    <row r="221" ht="15.75" customHeight="1">
      <c r="A221" s="50"/>
      <c r="B221" s="50"/>
      <c r="C221" s="50"/>
      <c r="D221" s="50"/>
      <c r="E221" s="50"/>
      <c r="F221" s="281"/>
      <c r="G221" s="23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</row>
    <row r="222" ht="15.75" customHeight="1">
      <c r="A222" s="50"/>
      <c r="B222" s="50"/>
      <c r="C222" s="50"/>
      <c r="D222" s="50"/>
      <c r="E222" s="50"/>
      <c r="F222" s="281"/>
      <c r="G222" s="23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</row>
    <row r="223" ht="15.75" customHeight="1">
      <c r="A223" s="50"/>
      <c r="B223" s="50"/>
      <c r="C223" s="50"/>
      <c r="D223" s="50"/>
      <c r="E223" s="50"/>
      <c r="F223" s="281"/>
      <c r="G223" s="23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</row>
    <row r="224" ht="15.75" customHeight="1">
      <c r="A224" s="50"/>
      <c r="B224" s="50"/>
      <c r="C224" s="50"/>
      <c r="D224" s="50"/>
      <c r="E224" s="50"/>
      <c r="F224" s="281"/>
      <c r="G224" s="23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</row>
    <row r="225" ht="15.75" customHeight="1">
      <c r="A225" s="50"/>
      <c r="B225" s="50"/>
      <c r="C225" s="50"/>
      <c r="D225" s="50"/>
      <c r="E225" s="50"/>
      <c r="F225" s="281"/>
      <c r="G225" s="23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</row>
    <row r="226" ht="15.75" customHeight="1">
      <c r="A226" s="50"/>
      <c r="B226" s="50"/>
      <c r="C226" s="50"/>
      <c r="D226" s="50"/>
      <c r="E226" s="50"/>
      <c r="F226" s="281"/>
      <c r="G226" s="23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</row>
    <row r="227" ht="15.75" customHeight="1">
      <c r="A227" s="50"/>
      <c r="B227" s="50"/>
      <c r="C227" s="50"/>
      <c r="D227" s="50"/>
      <c r="E227" s="50"/>
      <c r="F227" s="281"/>
      <c r="G227" s="23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</row>
    <row r="228" ht="15.75" customHeight="1">
      <c r="A228" s="50"/>
      <c r="B228" s="50"/>
      <c r="C228" s="50"/>
      <c r="D228" s="50"/>
      <c r="E228" s="50"/>
      <c r="F228" s="281"/>
      <c r="G228" s="23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</row>
    <row r="229" ht="15.75" customHeight="1">
      <c r="A229" s="50"/>
      <c r="B229" s="50"/>
      <c r="C229" s="50"/>
      <c r="D229" s="50"/>
      <c r="E229" s="50"/>
      <c r="F229" s="281"/>
      <c r="G229" s="23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</row>
    <row r="230" ht="15.75" customHeight="1">
      <c r="A230" s="50"/>
      <c r="B230" s="50"/>
      <c r="C230" s="50"/>
      <c r="D230" s="50"/>
      <c r="E230" s="50"/>
      <c r="F230" s="281"/>
      <c r="G230" s="23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</row>
    <row r="231" ht="15.75" customHeight="1">
      <c r="A231" s="50"/>
      <c r="B231" s="50"/>
      <c r="C231" s="50"/>
      <c r="D231" s="50"/>
      <c r="E231" s="50"/>
      <c r="F231" s="281"/>
      <c r="G231" s="23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</row>
    <row r="232" ht="15.75" customHeight="1">
      <c r="A232" s="50"/>
      <c r="B232" s="50"/>
      <c r="C232" s="50"/>
      <c r="D232" s="50"/>
      <c r="E232" s="50"/>
      <c r="F232" s="281"/>
      <c r="G232" s="23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</row>
    <row r="233" ht="15.75" customHeight="1">
      <c r="A233" s="50"/>
      <c r="B233" s="50"/>
      <c r="C233" s="50"/>
      <c r="D233" s="50"/>
      <c r="E233" s="50"/>
      <c r="F233" s="281"/>
      <c r="G233" s="23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</row>
    <row r="234" ht="15.75" customHeight="1">
      <c r="A234" s="50"/>
      <c r="B234" s="50"/>
      <c r="C234" s="50"/>
      <c r="D234" s="50"/>
      <c r="E234" s="50"/>
      <c r="F234" s="281"/>
      <c r="G234" s="23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</row>
    <row r="235" ht="15.75" customHeight="1">
      <c r="A235" s="50"/>
      <c r="B235" s="50"/>
      <c r="C235" s="50"/>
      <c r="D235" s="50"/>
      <c r="E235" s="50"/>
      <c r="F235" s="281"/>
      <c r="G235" s="23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</row>
    <row r="236" ht="15.75" customHeight="1">
      <c r="A236" s="50"/>
      <c r="B236" s="50"/>
      <c r="C236" s="50"/>
      <c r="D236" s="50"/>
      <c r="E236" s="50"/>
      <c r="F236" s="281"/>
      <c r="G236" s="23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</row>
    <row r="237" ht="15.75" customHeight="1">
      <c r="A237" s="50"/>
      <c r="B237" s="50"/>
      <c r="C237" s="50"/>
      <c r="D237" s="50"/>
      <c r="E237" s="50"/>
      <c r="F237" s="281"/>
      <c r="G237" s="23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E3:F3"/>
    <mergeCell ref="I3:S3"/>
    <mergeCell ref="B4:C4"/>
    <mergeCell ref="E4:F4"/>
    <mergeCell ref="B15:C15"/>
    <mergeCell ref="B16:C16"/>
  </mergeCells>
  <conditionalFormatting sqref="J5:S27">
    <cfRule type="colorScale" priority="1">
      <colorScale>
        <cfvo type="min"/>
        <cfvo type="formula" val="0"/>
        <cfvo type="max"/>
        <color rgb="FFCC0000"/>
        <color rgb="FFFFFFFF"/>
        <color rgb="FF6AA84F"/>
      </colorScale>
    </cfRule>
  </conditionalFormatting>
  <conditionalFormatting sqref="F20:F34">
    <cfRule type="colorScale" priority="2">
      <colorScale>
        <cfvo type="min"/>
        <cfvo type="formula" val="0"/>
        <cfvo type="max"/>
        <color rgb="FFEA9999"/>
        <color rgb="FFFFFFFF"/>
        <color rgb="FFB6D7A8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4.5"/>
    <col customWidth="1" min="3" max="3" width="3.63"/>
    <col customWidth="1" min="4" max="4" width="4.63"/>
    <col customWidth="1" min="5" max="5" width="3.75"/>
    <col customWidth="1" min="6" max="6" width="4.13"/>
    <col customWidth="1" min="7" max="7" width="4.25"/>
    <col customWidth="1" min="8" max="8" width="4.88"/>
    <col customWidth="1" min="9" max="9" width="3.63"/>
    <col customWidth="1" min="10" max="10" width="4.25"/>
    <col customWidth="1" min="11" max="11" width="3.63"/>
    <col customWidth="1" min="12" max="12" width="4.25"/>
    <col customWidth="1" min="13" max="13" width="3.75"/>
    <col customWidth="1" min="14" max="15" width="4.13"/>
    <col customWidth="1" min="16" max="16" width="4.88"/>
    <col customWidth="1" min="17" max="17" width="3.38"/>
    <col customWidth="1" min="18" max="18" width="4.13"/>
    <col customWidth="1" min="19" max="19" width="3.75"/>
    <col customWidth="1" min="20" max="20" width="4.5"/>
    <col customWidth="1" min="21" max="22" width="4.0"/>
    <col customWidth="1" min="23" max="23" width="4.13"/>
    <col customWidth="1" min="24" max="24" width="4.75"/>
    <col customWidth="1" min="26" max="26" width="9.38"/>
    <col customWidth="1" min="27" max="27" width="36.5"/>
    <col customWidth="1" min="28" max="28" width="7.25"/>
  </cols>
  <sheetData>
    <row r="1" ht="53.25" customHeight="1">
      <c r="A1" s="286"/>
      <c r="B1" s="286"/>
      <c r="C1" s="287" t="s">
        <v>217</v>
      </c>
      <c r="AA1" s="286"/>
      <c r="AB1" s="286"/>
    </row>
    <row r="2" ht="15.75" customHeigh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</row>
    <row r="3" ht="21.0" customHeight="1">
      <c r="A3" s="289"/>
      <c r="B3" s="290" t="s">
        <v>218</v>
      </c>
      <c r="I3" s="286"/>
      <c r="J3" s="290" t="s">
        <v>31</v>
      </c>
      <c r="Q3" s="286"/>
      <c r="R3" s="290" t="s">
        <v>219</v>
      </c>
      <c r="Y3" s="288"/>
      <c r="Z3" s="290" t="s">
        <v>220</v>
      </c>
      <c r="AB3" s="291"/>
    </row>
    <row r="4" ht="15.75" customHeight="1">
      <c r="A4" s="291"/>
      <c r="B4" s="292" t="s">
        <v>221</v>
      </c>
      <c r="C4" s="292" t="s">
        <v>222</v>
      </c>
      <c r="D4" s="292" t="s">
        <v>223</v>
      </c>
      <c r="E4" s="292" t="s">
        <v>224</v>
      </c>
      <c r="F4" s="292" t="s">
        <v>225</v>
      </c>
      <c r="G4" s="292" t="s">
        <v>226</v>
      </c>
      <c r="H4" s="292" t="s">
        <v>227</v>
      </c>
      <c r="I4" s="293"/>
      <c r="J4" s="292" t="s">
        <v>221</v>
      </c>
      <c r="K4" s="292" t="s">
        <v>222</v>
      </c>
      <c r="L4" s="292" t="s">
        <v>223</v>
      </c>
      <c r="M4" s="292" t="s">
        <v>224</v>
      </c>
      <c r="N4" s="292" t="s">
        <v>225</v>
      </c>
      <c r="O4" s="292" t="s">
        <v>226</v>
      </c>
      <c r="P4" s="292" t="s">
        <v>227</v>
      </c>
      <c r="Q4" s="293"/>
      <c r="R4" s="292" t="s">
        <v>221</v>
      </c>
      <c r="S4" s="292" t="s">
        <v>222</v>
      </c>
      <c r="T4" s="292" t="s">
        <v>223</v>
      </c>
      <c r="U4" s="292" t="s">
        <v>224</v>
      </c>
      <c r="V4" s="292" t="s">
        <v>225</v>
      </c>
      <c r="W4" s="292" t="s">
        <v>226</v>
      </c>
      <c r="X4" s="292" t="s">
        <v>227</v>
      </c>
      <c r="Y4" s="288"/>
      <c r="Z4" s="294">
        <v>45245.0</v>
      </c>
      <c r="AA4" s="295" t="s">
        <v>228</v>
      </c>
      <c r="AB4" s="291"/>
    </row>
    <row r="5" ht="15.75" customHeight="1">
      <c r="A5" s="291"/>
      <c r="B5" s="296"/>
      <c r="C5" s="296"/>
      <c r="D5" s="296"/>
      <c r="E5" s="296"/>
      <c r="F5" s="296"/>
      <c r="G5" s="296"/>
      <c r="H5" s="296"/>
      <c r="I5" s="288"/>
      <c r="J5" s="288"/>
      <c r="K5" s="288"/>
      <c r="L5" s="288"/>
      <c r="M5" s="288"/>
      <c r="N5" s="288"/>
      <c r="O5" s="297">
        <v>1.0</v>
      </c>
      <c r="P5" s="297">
        <v>2.0</v>
      </c>
      <c r="Q5" s="288"/>
      <c r="R5" s="297">
        <v>1.0</v>
      </c>
      <c r="S5" s="297">
        <v>2.0</v>
      </c>
      <c r="T5" s="297">
        <v>3.0</v>
      </c>
      <c r="U5" s="297">
        <v>4.0</v>
      </c>
      <c r="V5" s="297">
        <v>5.0</v>
      </c>
      <c r="W5" s="297">
        <v>6.0</v>
      </c>
      <c r="X5" s="297">
        <v>7.0</v>
      </c>
      <c r="Y5" s="288"/>
      <c r="Z5" s="294">
        <v>45252.0</v>
      </c>
      <c r="AA5" s="295" t="s">
        <v>229</v>
      </c>
      <c r="AB5" s="291"/>
    </row>
    <row r="6" ht="15.75" customHeight="1">
      <c r="A6" s="291"/>
      <c r="B6" s="296"/>
      <c r="C6" s="296"/>
      <c r="D6" s="296"/>
      <c r="E6" s="296"/>
      <c r="F6" s="296"/>
      <c r="G6" s="296"/>
      <c r="H6" s="296"/>
      <c r="I6" s="288"/>
      <c r="J6" s="297">
        <v>3.0</v>
      </c>
      <c r="K6" s="297">
        <v>4.0</v>
      </c>
      <c r="L6" s="297">
        <v>5.0</v>
      </c>
      <c r="M6" s="297">
        <v>6.0</v>
      </c>
      <c r="N6" s="297">
        <v>7.0</v>
      </c>
      <c r="O6" s="297">
        <v>8.0</v>
      </c>
      <c r="P6" s="297">
        <v>9.0</v>
      </c>
      <c r="Q6" s="288"/>
      <c r="R6" s="297">
        <v>8.0</v>
      </c>
      <c r="S6" s="297">
        <v>9.0</v>
      </c>
      <c r="T6" s="297">
        <v>10.0</v>
      </c>
      <c r="U6" s="297">
        <v>11.0</v>
      </c>
      <c r="V6" s="297">
        <v>12.0</v>
      </c>
      <c r="W6" s="297">
        <v>13.0</v>
      </c>
      <c r="X6" s="297">
        <v>14.0</v>
      </c>
      <c r="Y6" s="288"/>
      <c r="Z6" s="294">
        <v>45255.0</v>
      </c>
      <c r="AA6" s="295" t="s">
        <v>230</v>
      </c>
      <c r="AB6" s="291"/>
    </row>
    <row r="7" ht="15.75" customHeight="1">
      <c r="A7" s="291"/>
      <c r="B7" s="296"/>
      <c r="C7" s="296"/>
      <c r="D7" s="296"/>
      <c r="E7" s="296"/>
      <c r="F7" s="296"/>
      <c r="G7" s="296"/>
      <c r="H7" s="296"/>
      <c r="I7" s="288"/>
      <c r="J7" s="297">
        <v>10.0</v>
      </c>
      <c r="K7" s="297">
        <v>11.0</v>
      </c>
      <c r="L7" s="297">
        <v>12.0</v>
      </c>
      <c r="M7" s="297">
        <v>13.0</v>
      </c>
      <c r="N7" s="297">
        <v>14.0</v>
      </c>
      <c r="O7" s="297">
        <v>15.0</v>
      </c>
      <c r="P7" s="297">
        <v>16.0</v>
      </c>
      <c r="Q7" s="288"/>
      <c r="R7" s="297">
        <v>15.0</v>
      </c>
      <c r="S7" s="297">
        <v>16.0</v>
      </c>
      <c r="T7" s="297">
        <v>17.0</v>
      </c>
      <c r="U7" s="297">
        <v>18.0</v>
      </c>
      <c r="V7" s="297">
        <v>19.0</v>
      </c>
      <c r="W7" s="297">
        <v>20.0</v>
      </c>
      <c r="X7" s="297">
        <v>21.0</v>
      </c>
      <c r="Y7" s="288"/>
      <c r="Z7" s="294">
        <v>45285.0</v>
      </c>
      <c r="AA7" s="295" t="s">
        <v>231</v>
      </c>
      <c r="AB7" s="291"/>
    </row>
    <row r="8" ht="15.75" customHeight="1">
      <c r="A8" s="291"/>
      <c r="B8" s="296"/>
      <c r="C8" s="296"/>
      <c r="D8" s="296"/>
      <c r="E8" s="296"/>
      <c r="F8" s="296"/>
      <c r="G8" s="296"/>
      <c r="H8" s="296"/>
      <c r="I8" s="288"/>
      <c r="J8" s="297">
        <v>17.0</v>
      </c>
      <c r="K8" s="297">
        <v>18.0</v>
      </c>
      <c r="L8" s="297">
        <v>19.0</v>
      </c>
      <c r="M8" s="297">
        <v>20.0</v>
      </c>
      <c r="N8" s="297">
        <v>21.0</v>
      </c>
      <c r="O8" s="297">
        <v>22.0</v>
      </c>
      <c r="P8" s="297">
        <v>23.0</v>
      </c>
      <c r="Q8" s="288"/>
      <c r="R8" s="297">
        <v>22.0</v>
      </c>
      <c r="S8" s="297">
        <v>23.0</v>
      </c>
      <c r="T8" s="297">
        <v>24.0</v>
      </c>
      <c r="U8" s="297">
        <v>25.0</v>
      </c>
      <c r="V8" s="297">
        <v>26.0</v>
      </c>
      <c r="W8" s="297">
        <v>27.0</v>
      </c>
      <c r="X8" s="297">
        <v>28.0</v>
      </c>
      <c r="Y8" s="288"/>
      <c r="Z8" s="294">
        <v>45291.0</v>
      </c>
      <c r="AA8" s="295" t="s">
        <v>232</v>
      </c>
      <c r="AB8" s="291"/>
    </row>
    <row r="9" ht="15.75" customHeight="1">
      <c r="A9" s="291"/>
      <c r="B9" s="296"/>
      <c r="C9" s="296"/>
      <c r="D9" s="296"/>
      <c r="E9" s="296"/>
      <c r="F9" s="296"/>
      <c r="G9" s="296"/>
      <c r="H9" s="296"/>
      <c r="I9" s="288"/>
      <c r="J9" s="297">
        <v>24.0</v>
      </c>
      <c r="K9" s="297">
        <v>25.0</v>
      </c>
      <c r="L9" s="297">
        <v>26.0</v>
      </c>
      <c r="M9" s="297">
        <v>27.0</v>
      </c>
      <c r="N9" s="297">
        <v>28.0</v>
      </c>
      <c r="O9" s="297">
        <v>29.0</v>
      </c>
      <c r="P9" s="297">
        <v>30.0</v>
      </c>
      <c r="Q9" s="288"/>
      <c r="R9" s="297">
        <v>29.0</v>
      </c>
      <c r="S9" s="297">
        <v>30.0</v>
      </c>
      <c r="T9" s="297">
        <v>31.0</v>
      </c>
      <c r="U9" s="288"/>
      <c r="V9" s="288"/>
      <c r="W9" s="288"/>
      <c r="X9" s="288"/>
      <c r="Y9" s="288"/>
      <c r="Z9" s="298"/>
      <c r="AA9" s="291"/>
      <c r="AB9" s="291"/>
    </row>
    <row r="10" ht="15.75" customHeight="1">
      <c r="A10" s="291"/>
      <c r="B10" s="291"/>
      <c r="C10" s="291"/>
      <c r="D10" s="291"/>
      <c r="E10" s="291"/>
      <c r="F10" s="291"/>
      <c r="G10" s="291"/>
      <c r="H10" s="291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98"/>
      <c r="AA10" s="291"/>
      <c r="AB10" s="291"/>
    </row>
    <row r="11" ht="20.25" customHeight="1">
      <c r="A11" s="291"/>
      <c r="B11" s="291"/>
      <c r="C11" s="291"/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88"/>
      <c r="Z11" s="298"/>
      <c r="AA11" s="291"/>
      <c r="AB11" s="288"/>
    </row>
    <row r="12" ht="15.75" customHeight="1">
      <c r="A12" s="291"/>
      <c r="B12" s="291"/>
      <c r="C12" s="291"/>
      <c r="D12" s="291"/>
      <c r="E12" s="291"/>
      <c r="F12" s="291"/>
      <c r="G12" s="291"/>
      <c r="H12" s="291"/>
      <c r="I12" s="288"/>
      <c r="J12" s="291"/>
      <c r="K12" s="291"/>
      <c r="L12" s="291"/>
      <c r="M12" s="291"/>
      <c r="N12" s="291"/>
      <c r="O12" s="291"/>
      <c r="P12" s="291"/>
      <c r="Q12" s="288"/>
      <c r="R12" s="291"/>
      <c r="S12" s="291"/>
      <c r="T12" s="291"/>
      <c r="U12" s="291"/>
      <c r="V12" s="291"/>
      <c r="W12" s="291"/>
      <c r="X12" s="291"/>
      <c r="Y12" s="288"/>
      <c r="Z12" s="298"/>
      <c r="AA12" s="291"/>
      <c r="AB12" s="288"/>
    </row>
    <row r="13" ht="15.75" customHeight="1">
      <c r="A13" s="291"/>
      <c r="B13" s="291"/>
      <c r="C13" s="291"/>
      <c r="D13" s="291"/>
      <c r="E13" s="291"/>
      <c r="F13" s="291"/>
      <c r="G13" s="291"/>
      <c r="H13" s="291"/>
      <c r="I13" s="288"/>
      <c r="J13" s="291"/>
      <c r="K13" s="291"/>
      <c r="L13" s="291"/>
      <c r="M13" s="291"/>
      <c r="N13" s="291"/>
      <c r="O13" s="291"/>
      <c r="P13" s="291"/>
      <c r="Q13" s="288"/>
      <c r="R13" s="291"/>
      <c r="S13" s="291"/>
      <c r="T13" s="291"/>
      <c r="U13" s="291"/>
      <c r="V13" s="291"/>
      <c r="W13" s="291"/>
      <c r="X13" s="291"/>
      <c r="Y13" s="288"/>
      <c r="Z13" s="298"/>
      <c r="AA13" s="291"/>
      <c r="AB13" s="288"/>
    </row>
    <row r="14" ht="15.75" customHeight="1">
      <c r="A14" s="291"/>
      <c r="B14" s="291"/>
      <c r="C14" s="291"/>
      <c r="D14" s="291"/>
      <c r="E14" s="291"/>
      <c r="F14" s="291"/>
      <c r="G14" s="291"/>
      <c r="H14" s="291"/>
      <c r="I14" s="288"/>
      <c r="J14" s="291"/>
      <c r="K14" s="291"/>
      <c r="L14" s="291"/>
      <c r="M14" s="291"/>
      <c r="N14" s="291"/>
      <c r="O14" s="291"/>
      <c r="P14" s="291"/>
      <c r="Q14" s="288"/>
      <c r="R14" s="291"/>
      <c r="S14" s="291"/>
      <c r="T14" s="291"/>
      <c r="U14" s="291"/>
      <c r="V14" s="291"/>
      <c r="W14" s="291"/>
      <c r="X14" s="291"/>
      <c r="Y14" s="288"/>
      <c r="Z14" s="298"/>
      <c r="AA14" s="291"/>
      <c r="AB14" s="288"/>
    </row>
    <row r="15" ht="15.75" customHeight="1">
      <c r="A15" s="291"/>
      <c r="B15" s="291"/>
      <c r="C15" s="291"/>
      <c r="D15" s="291"/>
      <c r="E15" s="291"/>
      <c r="F15" s="291"/>
      <c r="G15" s="291"/>
      <c r="H15" s="291"/>
      <c r="I15" s="288"/>
      <c r="J15" s="291"/>
      <c r="K15" s="291"/>
      <c r="L15" s="291"/>
      <c r="M15" s="291"/>
      <c r="N15" s="291"/>
      <c r="O15" s="291"/>
      <c r="P15" s="291"/>
      <c r="Q15" s="288"/>
      <c r="R15" s="291"/>
      <c r="S15" s="291"/>
      <c r="T15" s="291"/>
      <c r="U15" s="291"/>
      <c r="V15" s="291"/>
      <c r="W15" s="291"/>
      <c r="X15" s="291"/>
      <c r="Y15" s="288"/>
      <c r="Z15" s="298"/>
      <c r="AA15" s="291"/>
      <c r="AB15" s="288"/>
    </row>
    <row r="16" ht="15.75" customHeight="1">
      <c r="A16" s="291"/>
      <c r="B16" s="291"/>
      <c r="C16" s="291"/>
      <c r="D16" s="291"/>
      <c r="E16" s="291"/>
      <c r="F16" s="291"/>
      <c r="G16" s="291"/>
      <c r="H16" s="291"/>
      <c r="I16" s="288"/>
      <c r="J16" s="291"/>
      <c r="K16" s="291"/>
      <c r="L16" s="291"/>
      <c r="M16" s="291"/>
      <c r="N16" s="291"/>
      <c r="O16" s="291"/>
      <c r="P16" s="291"/>
      <c r="Q16" s="288"/>
      <c r="R16" s="291"/>
      <c r="S16" s="291"/>
      <c r="T16" s="291"/>
      <c r="U16" s="291"/>
      <c r="V16" s="291"/>
      <c r="W16" s="291"/>
      <c r="X16" s="291"/>
      <c r="Y16" s="288"/>
      <c r="Z16" s="298"/>
      <c r="AA16" s="291"/>
      <c r="AB16" s="288"/>
    </row>
    <row r="17" ht="15.75" customHeight="1">
      <c r="A17" s="291"/>
      <c r="B17" s="291"/>
      <c r="C17" s="291"/>
      <c r="D17" s="291"/>
      <c r="E17" s="291"/>
      <c r="F17" s="291"/>
      <c r="G17" s="291"/>
      <c r="H17" s="291"/>
      <c r="I17" s="288"/>
      <c r="J17" s="291"/>
      <c r="K17" s="291"/>
      <c r="L17" s="291"/>
      <c r="M17" s="291"/>
      <c r="N17" s="291"/>
      <c r="O17" s="291"/>
      <c r="P17" s="291"/>
      <c r="Q17" s="288"/>
      <c r="R17" s="291"/>
      <c r="S17" s="291"/>
      <c r="T17" s="291"/>
      <c r="U17" s="291"/>
      <c r="V17" s="291"/>
      <c r="W17" s="291"/>
      <c r="X17" s="291"/>
      <c r="Y17" s="288"/>
      <c r="Z17" s="298"/>
      <c r="AA17" s="291"/>
      <c r="AB17" s="288"/>
    </row>
    <row r="18" ht="15.75" customHeight="1">
      <c r="A18" s="291"/>
      <c r="B18" s="291"/>
      <c r="C18" s="291"/>
      <c r="D18" s="291"/>
      <c r="E18" s="291"/>
      <c r="F18" s="291"/>
      <c r="G18" s="291"/>
      <c r="H18" s="291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99"/>
      <c r="AA18" s="291"/>
      <c r="AB18" s="288"/>
    </row>
    <row r="19" ht="19.5" customHeight="1">
      <c r="A19" s="291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88"/>
      <c r="Z19" s="299"/>
      <c r="AA19" s="291"/>
      <c r="AB19" s="288"/>
    </row>
    <row r="20" ht="15.75" customHeight="1">
      <c r="A20" s="291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88"/>
      <c r="Z20" s="299"/>
      <c r="AA20" s="291"/>
      <c r="AB20" s="288"/>
    </row>
    <row r="21" ht="15.75" customHeight="1">
      <c r="A21" s="288"/>
      <c r="B21" s="291"/>
      <c r="C21" s="291"/>
      <c r="D21" s="291"/>
      <c r="E21" s="291"/>
      <c r="F21" s="291"/>
      <c r="G21" s="291"/>
      <c r="H21" s="291"/>
      <c r="I21" s="288"/>
      <c r="J21" s="291"/>
      <c r="K21" s="291"/>
      <c r="L21" s="291"/>
      <c r="M21" s="291"/>
      <c r="N21" s="291"/>
      <c r="O21" s="291"/>
      <c r="P21" s="291"/>
      <c r="Q21" s="288"/>
      <c r="R21" s="291"/>
      <c r="S21" s="291"/>
      <c r="T21" s="291"/>
      <c r="U21" s="291"/>
      <c r="V21" s="291"/>
      <c r="W21" s="291"/>
      <c r="X21" s="291"/>
      <c r="Y21" s="288"/>
      <c r="Z21" s="299"/>
      <c r="AA21" s="291"/>
      <c r="AB21" s="288"/>
    </row>
    <row r="22" ht="15.75" customHeight="1">
      <c r="A22" s="288"/>
      <c r="B22" s="291"/>
      <c r="C22" s="291"/>
      <c r="D22" s="291"/>
      <c r="E22" s="291"/>
      <c r="F22" s="291"/>
      <c r="G22" s="291"/>
      <c r="H22" s="291"/>
      <c r="I22" s="288"/>
      <c r="J22" s="291"/>
      <c r="K22" s="291"/>
      <c r="L22" s="291"/>
      <c r="M22" s="291"/>
      <c r="N22" s="291"/>
      <c r="O22" s="291"/>
      <c r="P22" s="291"/>
      <c r="Q22" s="288"/>
      <c r="R22" s="291"/>
      <c r="S22" s="291"/>
      <c r="T22" s="291"/>
      <c r="U22" s="291"/>
      <c r="V22" s="291"/>
      <c r="W22" s="291"/>
      <c r="X22" s="291"/>
      <c r="Y22" s="291"/>
      <c r="Z22" s="299"/>
      <c r="AA22" s="291"/>
      <c r="AB22" s="288"/>
    </row>
    <row r="23" ht="15.75" customHeight="1">
      <c r="A23" s="288"/>
      <c r="B23" s="291"/>
      <c r="C23" s="291"/>
      <c r="D23" s="291"/>
      <c r="E23" s="291"/>
      <c r="F23" s="291"/>
      <c r="G23" s="291"/>
      <c r="H23" s="291"/>
      <c r="I23" s="288"/>
      <c r="J23" s="291"/>
      <c r="K23" s="291"/>
      <c r="L23" s="291"/>
      <c r="M23" s="291"/>
      <c r="N23" s="291"/>
      <c r="O23" s="291"/>
      <c r="P23" s="291"/>
      <c r="Q23" s="288"/>
      <c r="R23" s="291"/>
      <c r="S23" s="291"/>
      <c r="T23" s="291"/>
      <c r="U23" s="291"/>
      <c r="V23" s="291"/>
      <c r="W23" s="291"/>
      <c r="X23" s="291"/>
      <c r="Y23" s="291"/>
      <c r="Z23" s="299"/>
      <c r="AA23" s="291"/>
      <c r="AB23" s="288"/>
    </row>
    <row r="24" ht="15.75" customHeight="1">
      <c r="A24" s="288"/>
      <c r="B24" s="291"/>
      <c r="C24" s="291"/>
      <c r="D24" s="291"/>
      <c r="E24" s="291"/>
      <c r="F24" s="291"/>
      <c r="G24" s="291"/>
      <c r="H24" s="291"/>
      <c r="I24" s="288"/>
      <c r="J24" s="291"/>
      <c r="K24" s="291"/>
      <c r="L24" s="291"/>
      <c r="M24" s="291"/>
      <c r="N24" s="291"/>
      <c r="O24" s="291"/>
      <c r="P24" s="291"/>
      <c r="Q24" s="288"/>
      <c r="R24" s="291"/>
      <c r="S24" s="291"/>
      <c r="T24" s="291"/>
      <c r="U24" s="291"/>
      <c r="V24" s="291"/>
      <c r="W24" s="291"/>
      <c r="X24" s="291"/>
      <c r="Y24" s="291"/>
      <c r="Z24" s="299"/>
      <c r="AA24" s="291"/>
      <c r="AB24" s="288"/>
    </row>
    <row r="25" ht="15.75" customHeight="1">
      <c r="A25" s="288"/>
      <c r="B25" s="291"/>
      <c r="C25" s="291"/>
      <c r="D25" s="291"/>
      <c r="E25" s="288"/>
      <c r="F25" s="288"/>
      <c r="G25" s="288"/>
      <c r="H25" s="288"/>
      <c r="I25" s="288"/>
      <c r="J25" s="291"/>
      <c r="K25" s="291"/>
      <c r="L25" s="291"/>
      <c r="M25" s="291"/>
      <c r="N25" s="291"/>
      <c r="O25" s="291"/>
      <c r="P25" s="291"/>
      <c r="Q25" s="288"/>
      <c r="R25" s="291"/>
      <c r="S25" s="291"/>
      <c r="T25" s="291"/>
      <c r="U25" s="291"/>
      <c r="V25" s="291"/>
      <c r="W25" s="291"/>
      <c r="X25" s="291"/>
      <c r="Y25" s="291"/>
      <c r="Z25" s="288"/>
      <c r="AA25" s="288"/>
      <c r="AB25" s="288"/>
    </row>
    <row r="26" ht="15.75" customHeight="1">
      <c r="A26" s="288"/>
      <c r="B26" s="288"/>
      <c r="C26" s="291"/>
      <c r="D26" s="291"/>
      <c r="E26" s="291"/>
      <c r="F26" s="291"/>
      <c r="G26" s="291"/>
      <c r="H26" s="291"/>
      <c r="I26" s="288"/>
      <c r="J26" s="288"/>
      <c r="K26" s="288"/>
      <c r="L26" s="288"/>
      <c r="M26" s="288"/>
      <c r="N26" s="288"/>
      <c r="O26" s="288"/>
      <c r="P26" s="288"/>
      <c r="Q26" s="288"/>
      <c r="R26" s="291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</row>
    <row r="27" ht="15.75" customHeight="1">
      <c r="A27" s="288"/>
      <c r="B27" s="291"/>
      <c r="C27" s="291"/>
      <c r="D27" s="291"/>
      <c r="E27" s="291"/>
      <c r="F27" s="291"/>
      <c r="G27" s="291"/>
      <c r="H27" s="291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</row>
    <row r="28" ht="20.25" customHeight="1">
      <c r="A28" s="291"/>
      <c r="B28" s="291"/>
      <c r="C28" s="291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88"/>
      <c r="Z28" s="288"/>
      <c r="AA28" s="288"/>
      <c r="AB28" s="288"/>
    </row>
    <row r="29" ht="15.75" customHeight="1">
      <c r="A29" s="291"/>
      <c r="B29" s="291"/>
      <c r="C29" s="291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88"/>
      <c r="Z29" s="288"/>
      <c r="AA29" s="288"/>
      <c r="AB29" s="288"/>
    </row>
    <row r="30" ht="15.75" customHeight="1">
      <c r="A30" s="288"/>
      <c r="B30" s="291"/>
      <c r="C30" s="291"/>
      <c r="D30" s="291"/>
      <c r="E30" s="291"/>
      <c r="F30" s="291"/>
      <c r="G30" s="291"/>
      <c r="H30" s="291"/>
      <c r="I30" s="288"/>
      <c r="J30" s="291"/>
      <c r="K30" s="291"/>
      <c r="L30" s="288"/>
      <c r="M30" s="288"/>
      <c r="N30" s="291"/>
      <c r="O30" s="291"/>
      <c r="P30" s="291"/>
      <c r="Q30" s="288"/>
      <c r="R30" s="291"/>
      <c r="S30" s="291"/>
      <c r="T30" s="291"/>
      <c r="U30" s="291"/>
      <c r="V30" s="291"/>
      <c r="W30" s="288"/>
      <c r="X30" s="291"/>
      <c r="Y30" s="288"/>
      <c r="Z30" s="288"/>
      <c r="AA30" s="288"/>
      <c r="AB30" s="288"/>
    </row>
    <row r="31" ht="15.75" customHeight="1">
      <c r="A31" s="288"/>
      <c r="B31" s="291"/>
      <c r="C31" s="291"/>
      <c r="D31" s="291"/>
      <c r="E31" s="291"/>
      <c r="F31" s="291"/>
      <c r="G31" s="291"/>
      <c r="H31" s="291"/>
      <c r="I31" s="288"/>
      <c r="J31" s="291"/>
      <c r="K31" s="291"/>
      <c r="L31" s="291"/>
      <c r="M31" s="291"/>
      <c r="N31" s="291"/>
      <c r="O31" s="291"/>
      <c r="P31" s="291"/>
      <c r="Q31" s="288"/>
      <c r="R31" s="291"/>
      <c r="S31" s="291"/>
      <c r="T31" s="291"/>
      <c r="U31" s="291"/>
      <c r="V31" s="291"/>
      <c r="W31" s="291"/>
      <c r="X31" s="291"/>
      <c r="Y31" s="288"/>
      <c r="Z31" s="288"/>
      <c r="AA31" s="288"/>
      <c r="AB31" s="288"/>
    </row>
    <row r="32" ht="15.75" customHeight="1">
      <c r="A32" s="288"/>
      <c r="B32" s="291"/>
      <c r="C32" s="291"/>
      <c r="D32" s="291"/>
      <c r="E32" s="291"/>
      <c r="F32" s="291"/>
      <c r="G32" s="291"/>
      <c r="H32" s="291"/>
      <c r="I32" s="288"/>
      <c r="J32" s="291"/>
      <c r="K32" s="291"/>
      <c r="L32" s="291"/>
      <c r="M32" s="291"/>
      <c r="N32" s="291"/>
      <c r="O32" s="291"/>
      <c r="P32" s="291"/>
      <c r="Q32" s="288"/>
      <c r="R32" s="291"/>
      <c r="S32" s="291"/>
      <c r="T32" s="291"/>
      <c r="U32" s="291"/>
      <c r="V32" s="291"/>
      <c r="W32" s="291"/>
      <c r="X32" s="291"/>
      <c r="Y32" s="288"/>
      <c r="Z32" s="288"/>
      <c r="AA32" s="288"/>
      <c r="AB32" s="288"/>
    </row>
    <row r="33" ht="15.75" customHeight="1">
      <c r="A33" s="288"/>
      <c r="B33" s="291"/>
      <c r="C33" s="291"/>
      <c r="D33" s="291"/>
      <c r="E33" s="291"/>
      <c r="F33" s="291"/>
      <c r="G33" s="291"/>
      <c r="H33" s="291"/>
      <c r="I33" s="288"/>
      <c r="J33" s="291"/>
      <c r="K33" s="291"/>
      <c r="L33" s="291"/>
      <c r="M33" s="291"/>
      <c r="N33" s="291"/>
      <c r="O33" s="291"/>
      <c r="P33" s="291"/>
      <c r="Q33" s="288"/>
      <c r="R33" s="291"/>
      <c r="S33" s="291"/>
      <c r="T33" s="291"/>
      <c r="U33" s="291"/>
      <c r="V33" s="291"/>
      <c r="W33" s="291"/>
      <c r="X33" s="291"/>
      <c r="Y33" s="288"/>
      <c r="Z33" s="288"/>
      <c r="AA33" s="288"/>
      <c r="AB33" s="288"/>
    </row>
    <row r="34" ht="15.75" customHeight="1">
      <c r="A34" s="288"/>
      <c r="B34" s="291"/>
      <c r="C34" s="291"/>
      <c r="D34" s="291"/>
      <c r="E34" s="291"/>
      <c r="F34" s="288"/>
      <c r="G34" s="288"/>
      <c r="H34" s="288"/>
      <c r="I34" s="288"/>
      <c r="J34" s="291"/>
      <c r="K34" s="291"/>
      <c r="L34" s="291"/>
      <c r="M34" s="291"/>
      <c r="N34" s="291"/>
      <c r="O34" s="291"/>
      <c r="P34" s="291"/>
      <c r="Q34" s="288"/>
      <c r="R34" s="291"/>
      <c r="S34" s="291"/>
      <c r="T34" s="291"/>
      <c r="U34" s="291"/>
      <c r="V34" s="291"/>
      <c r="W34" s="291"/>
      <c r="X34" s="291"/>
      <c r="Y34" s="288"/>
      <c r="Z34" s="288"/>
      <c r="AA34" s="288"/>
      <c r="AB34" s="288"/>
    </row>
    <row r="35" ht="15.75" customHeight="1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91"/>
      <c r="S35" s="291"/>
      <c r="T35" s="288"/>
      <c r="U35" s="288"/>
      <c r="V35" s="288"/>
      <c r="W35" s="288"/>
      <c r="X35" s="288"/>
      <c r="Y35" s="288"/>
      <c r="Z35" s="288"/>
      <c r="AA35" s="288"/>
      <c r="AB35" s="288"/>
    </row>
    <row r="36" ht="15.75" customHeight="1">
      <c r="A36" s="288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</row>
    <row r="37" ht="15.75" customHeight="1">
      <c r="A37" s="288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</row>
    <row r="38" ht="15.75" customHeight="1">
      <c r="A38" s="28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</row>
    <row r="39" ht="15.75" customHeight="1">
      <c r="A39" s="288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</row>
    <row r="40" ht="15.75" customHeight="1">
      <c r="A40" s="28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</row>
    <row r="41" ht="15.75" customHeight="1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</row>
    <row r="42" ht="15.75" customHeight="1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</row>
    <row r="43" ht="15.75" customHeight="1">
      <c r="A43" s="288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</row>
    <row r="44" ht="15.75" customHeight="1">
      <c r="A44" s="288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</row>
    <row r="45" ht="15.75" customHeight="1">
      <c r="A45" s="288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</row>
    <row r="46" ht="15.75" customHeight="1">
      <c r="A46" s="288"/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</row>
    <row r="47" ht="15.75" customHeight="1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</row>
    <row r="48" ht="15.75" customHeight="1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</row>
    <row r="49" ht="15.75" customHeight="1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88"/>
      <c r="AB49" s="288"/>
    </row>
    <row r="50" ht="15.75" customHeight="1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</row>
    <row r="51" ht="15.75" customHeight="1">
      <c r="A51" s="288"/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</row>
    <row r="52" ht="15.75" customHeight="1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</row>
    <row r="53" ht="15.75" customHeight="1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</row>
    <row r="54" ht="15.75" customHeight="1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</row>
    <row r="55" ht="15.75" customHeight="1">
      <c r="A55" s="288"/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</row>
    <row r="56" ht="15.75" customHeight="1">
      <c r="A56" s="288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</row>
    <row r="57" ht="15.75" customHeight="1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</row>
    <row r="58" ht="15.75" customHeight="1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8"/>
    </row>
    <row r="59" ht="15.75" customHeight="1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88"/>
      <c r="AB59" s="288"/>
    </row>
    <row r="60" ht="15.75" customHeight="1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</row>
    <row r="61" ht="15.75" customHeight="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</row>
    <row r="62" ht="15.75" customHeight="1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  <c r="AA62" s="288"/>
      <c r="AB62" s="288"/>
    </row>
    <row r="63" ht="15.75" customHeight="1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</row>
    <row r="64" ht="15.75" customHeight="1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</row>
    <row r="65" ht="15.75" customHeight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  <c r="AA65" s="288"/>
      <c r="AB65" s="288"/>
    </row>
    <row r="66" ht="15.75" customHeight="1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  <c r="AA66" s="288"/>
      <c r="AB66" s="288"/>
    </row>
    <row r="67" ht="15.75" customHeight="1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</row>
    <row r="68" ht="15.75" customHeight="1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8"/>
      <c r="AB68" s="288"/>
    </row>
    <row r="69" ht="15.75" customHeight="1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</row>
    <row r="70" ht="15.7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</row>
    <row r="71" ht="15.75" customHeight="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</row>
    <row r="72" ht="15.75" customHeight="1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</row>
    <row r="73" ht="15.75" customHeight="1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88"/>
      <c r="AB73" s="288"/>
    </row>
    <row r="74" ht="15.75" customHeight="1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  <c r="AA74" s="288"/>
      <c r="AB74" s="288"/>
    </row>
    <row r="75" ht="15.75" customHeight="1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</row>
    <row r="76" ht="15.7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  <c r="AA76" s="288"/>
      <c r="AB76" s="288"/>
    </row>
    <row r="77" ht="15.75" customHeight="1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  <c r="AA77" s="288"/>
      <c r="AB77" s="288"/>
    </row>
    <row r="78" ht="15.75" customHeight="1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</row>
    <row r="79" ht="15.75" customHeight="1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</row>
    <row r="80" ht="15.75" customHeight="1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</row>
    <row r="81" ht="15.75" customHeight="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  <c r="AA81" s="288"/>
      <c r="AB81" s="288"/>
    </row>
    <row r="82" ht="15.75" customHeight="1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  <c r="AA82" s="288"/>
      <c r="AB82" s="288"/>
    </row>
    <row r="83" ht="15.75" customHeight="1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  <c r="AB83" s="288"/>
    </row>
    <row r="84" ht="15.75" customHeight="1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</row>
    <row r="85" ht="15.7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</row>
    <row r="86" ht="15.75" customHeight="1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</row>
    <row r="87" ht="15.75" customHeight="1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  <c r="AA87" s="288"/>
      <c r="AB87" s="288"/>
    </row>
    <row r="88" ht="15.75" customHeight="1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</row>
    <row r="89" ht="15.75" customHeight="1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88"/>
      <c r="AB89" s="288"/>
    </row>
    <row r="90" ht="15.75" customHeight="1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88"/>
      <c r="AB90" s="288"/>
    </row>
    <row r="91" ht="15.75" customHeight="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  <c r="AA91" s="288"/>
      <c r="AB91" s="288"/>
    </row>
    <row r="92" ht="15.75" customHeight="1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</row>
    <row r="93" ht="15.75" customHeight="1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</row>
    <row r="94" ht="15.75" customHeight="1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</row>
    <row r="95" ht="15.75" customHeight="1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</row>
    <row r="96" ht="15.75" customHeight="1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  <c r="AB96" s="288"/>
    </row>
    <row r="97" ht="15.75" customHeight="1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</row>
    <row r="98" ht="15.75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</row>
    <row r="99" ht="15.75" customHeight="1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</row>
    <row r="100" ht="15.75" customHeight="1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88"/>
      <c r="AB100" s="288"/>
    </row>
    <row r="101" ht="15.75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</row>
    <row r="102" ht="15.75" customHeight="1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  <c r="AA102" s="288"/>
      <c r="AB102" s="288"/>
    </row>
    <row r="103" ht="15.75" customHeight="1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  <c r="AA103" s="288"/>
      <c r="AB103" s="288"/>
    </row>
    <row r="104" ht="15.75" customHeight="1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  <c r="AA104" s="288"/>
      <c r="AB104" s="288"/>
    </row>
    <row r="105" ht="15.75" customHeight="1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88"/>
      <c r="AB105" s="288"/>
    </row>
    <row r="106" ht="15.75" customHeight="1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88"/>
      <c r="AB106" s="288"/>
    </row>
    <row r="107" ht="15.75" customHeight="1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  <c r="AA107" s="288"/>
      <c r="AB107" s="288"/>
    </row>
    <row r="108" ht="15.7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  <c r="AA108" s="288"/>
      <c r="AB108" s="288"/>
    </row>
    <row r="109" ht="15.75" customHeight="1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  <c r="AB109" s="288"/>
    </row>
    <row r="110" ht="15.75" customHeight="1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  <c r="AA110" s="288"/>
      <c r="AB110" s="288"/>
    </row>
    <row r="111" ht="15.75" customHeight="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</row>
    <row r="112" ht="15.75" customHeight="1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</row>
    <row r="113" ht="15.75" customHeight="1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  <c r="AA113" s="288"/>
      <c r="AB113" s="288"/>
    </row>
    <row r="114" ht="15.75" customHeight="1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</row>
    <row r="115" ht="15.75" customHeight="1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</row>
    <row r="116" ht="15.75" customHeight="1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88"/>
      <c r="AB116" s="288"/>
    </row>
    <row r="117" ht="15.75" customHeight="1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  <c r="AA117" s="288"/>
      <c r="AB117" s="288"/>
    </row>
    <row r="118" ht="15.75" customHeight="1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</row>
    <row r="119" ht="15.75" customHeight="1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</row>
    <row r="120" ht="15.75" customHeight="1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88"/>
      <c r="AB120" s="288"/>
    </row>
    <row r="121" ht="15.75" customHeight="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  <c r="AA121" s="288"/>
      <c r="AB121" s="288"/>
    </row>
    <row r="122" ht="15.75" customHeight="1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  <c r="AB122" s="288"/>
    </row>
    <row r="123" ht="15.75" customHeight="1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  <c r="AA123" s="288"/>
      <c r="AB123" s="288"/>
    </row>
    <row r="124" ht="15.75" customHeight="1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88"/>
      <c r="AB124" s="288"/>
    </row>
    <row r="125" ht="15.75" customHeight="1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88"/>
      <c r="AB125" s="288"/>
    </row>
    <row r="126" ht="15.75" customHeight="1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  <c r="AA126" s="288"/>
      <c r="AB126" s="288"/>
    </row>
    <row r="127" ht="15.75" customHeight="1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  <c r="AA127" s="288"/>
      <c r="AB127" s="288"/>
    </row>
    <row r="128" ht="15.75" customHeight="1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</row>
    <row r="129" ht="15.75" customHeight="1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88"/>
      <c r="AB129" s="288"/>
    </row>
    <row r="130" ht="15.75" customHeight="1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  <c r="AA130" s="288"/>
      <c r="AB130" s="288"/>
    </row>
    <row r="131" ht="15.75" customHeight="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  <c r="AA131" s="288"/>
      <c r="AB131" s="288"/>
    </row>
    <row r="132" ht="15.75" customHeight="1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88"/>
      <c r="AB132" s="288"/>
    </row>
    <row r="133" ht="15.75" customHeight="1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88"/>
      <c r="AB133" s="288"/>
    </row>
    <row r="134" ht="15.75" customHeight="1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  <c r="AA134" s="288"/>
      <c r="AB134" s="288"/>
    </row>
    <row r="135" ht="15.75" customHeight="1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  <c r="AB135" s="288"/>
    </row>
    <row r="136" ht="15.75" customHeight="1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88"/>
      <c r="AB136" s="288"/>
    </row>
    <row r="137" ht="15.75" customHeight="1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</row>
    <row r="138" ht="15.75" customHeight="1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88"/>
      <c r="AB138" s="288"/>
    </row>
    <row r="139" ht="15.75" customHeight="1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88"/>
      <c r="AB139" s="288"/>
    </row>
    <row r="140" ht="15.75" customHeight="1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  <c r="AA140" s="288"/>
      <c r="AB140" s="288"/>
    </row>
    <row r="141" ht="15.75" customHeight="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  <c r="AA141" s="288"/>
      <c r="AB141" s="288"/>
    </row>
    <row r="142" ht="15.75" customHeight="1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88"/>
      <c r="AB142" s="288"/>
    </row>
    <row r="143" ht="15.75" customHeight="1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88"/>
      <c r="AB143" s="288"/>
    </row>
    <row r="144" ht="15.75" customHeight="1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88"/>
      <c r="AB144" s="288"/>
    </row>
    <row r="145" ht="15.75" customHeight="1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88"/>
      <c r="AB145" s="288"/>
    </row>
    <row r="146" ht="15.75" customHeight="1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  <c r="AA146" s="288"/>
      <c r="AB146" s="288"/>
    </row>
    <row r="147" ht="15.75" customHeight="1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</row>
    <row r="148" ht="15.75" customHeight="1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  <c r="AB148" s="288"/>
    </row>
    <row r="149" ht="15.75" customHeight="1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88"/>
      <c r="AB149" s="288"/>
    </row>
    <row r="150" ht="15.75" customHeight="1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88"/>
      <c r="AB150" s="288"/>
    </row>
    <row r="151" ht="15.75" customHeight="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88"/>
      <c r="AB151" s="288"/>
    </row>
    <row r="152" ht="15.75" customHeight="1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</row>
    <row r="153" ht="15.75" customHeight="1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</row>
    <row r="154" ht="15.75" customHeight="1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</row>
    <row r="155" ht="15.75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</row>
    <row r="156" ht="15.75" customHeight="1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</row>
    <row r="157" ht="15.75" customHeight="1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  <c r="AA157" s="288"/>
      <c r="AB157" s="288"/>
    </row>
    <row r="158" ht="15.75" customHeight="1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  <c r="AA158" s="288"/>
      <c r="AB158" s="288"/>
    </row>
    <row r="159" ht="15.75" customHeight="1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</row>
    <row r="160" ht="15.75" customHeight="1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</row>
    <row r="161" ht="15.75" customHeight="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</row>
    <row r="162" ht="15.75" customHeight="1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</row>
    <row r="163" ht="15.75" customHeight="1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</row>
    <row r="164" ht="15.75" customHeight="1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</row>
    <row r="165" ht="15.75" customHeight="1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</row>
    <row r="166" ht="15.75" customHeight="1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</row>
    <row r="167" ht="15.75" customHeight="1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</row>
    <row r="168" ht="15.75" customHeight="1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</row>
    <row r="169" ht="15.75" customHeight="1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</row>
    <row r="170" ht="15.75" customHeight="1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</row>
    <row r="171" ht="15.75" customHeight="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</row>
    <row r="172" ht="15.75" customHeight="1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</row>
    <row r="173" ht="15.75" customHeight="1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  <c r="AA173" s="288"/>
      <c r="AB173" s="288"/>
    </row>
    <row r="174" ht="15.75" customHeight="1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  <c r="AB174" s="288"/>
    </row>
    <row r="175" ht="15.75" customHeight="1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  <c r="AA175" s="288"/>
      <c r="AB175" s="288"/>
    </row>
    <row r="176" ht="15.75" customHeight="1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88"/>
      <c r="AB176" s="288"/>
    </row>
    <row r="177" ht="15.75" customHeight="1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88"/>
      <c r="AB177" s="288"/>
    </row>
    <row r="178" ht="15.75" customHeight="1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88"/>
      <c r="AB178" s="288"/>
    </row>
    <row r="179" ht="15.75" customHeight="1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88"/>
      <c r="AB179" s="288"/>
    </row>
    <row r="180" ht="15.75" customHeight="1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  <c r="AA180" s="288"/>
      <c r="AB180" s="288"/>
    </row>
    <row r="181" ht="15.75" customHeight="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88"/>
      <c r="AB181" s="288"/>
    </row>
    <row r="182" ht="15.75" customHeight="1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  <c r="AA182" s="288"/>
      <c r="AB182" s="288"/>
    </row>
    <row r="183" ht="15.75" customHeight="1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  <c r="AA183" s="288"/>
      <c r="AB183" s="288"/>
    </row>
    <row r="184" ht="15.75" customHeight="1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  <c r="AA184" s="288"/>
      <c r="AB184" s="288"/>
    </row>
    <row r="185" ht="15.75" customHeight="1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88"/>
      <c r="AB185" s="288"/>
    </row>
    <row r="186" ht="15.75" customHeight="1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88"/>
      <c r="AB186" s="288"/>
    </row>
    <row r="187" ht="15.75" customHeight="1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  <c r="AB187" s="288"/>
    </row>
    <row r="188" ht="15.75" customHeight="1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  <c r="AA188" s="288"/>
      <c r="AB188" s="288"/>
    </row>
    <row r="189" ht="15.75" customHeight="1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  <c r="AA189" s="288"/>
      <c r="AB189" s="288"/>
    </row>
    <row r="190" ht="15.75" customHeight="1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88"/>
      <c r="AB190" s="288"/>
    </row>
    <row r="191" ht="15.75" customHeight="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88"/>
      <c r="AB191" s="288"/>
    </row>
    <row r="192" ht="15.75" customHeight="1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88"/>
      <c r="AB192" s="288"/>
    </row>
    <row r="193" ht="15.75" customHeight="1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  <c r="AA193" s="288"/>
      <c r="AB193" s="288"/>
    </row>
    <row r="194" ht="15.75" customHeight="1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  <c r="AA194" s="288"/>
      <c r="AB194" s="288"/>
    </row>
    <row r="195" ht="15.75" customHeight="1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88"/>
      <c r="AB195" s="288"/>
    </row>
    <row r="196" ht="15.75" customHeight="1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  <c r="AA196" s="288"/>
      <c r="AB196" s="288"/>
    </row>
    <row r="197" ht="15.75" customHeight="1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88"/>
      <c r="AB197" s="288"/>
    </row>
    <row r="198" ht="15.75" customHeight="1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88"/>
      <c r="AB198" s="288"/>
    </row>
    <row r="199" ht="15.75" customHeight="1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  <c r="AA199" s="288"/>
      <c r="AB199" s="288"/>
    </row>
    <row r="200" ht="15.75" customHeight="1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  <c r="AB200" s="288"/>
    </row>
    <row r="201" ht="15.75" customHeight="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  <c r="AA201" s="288"/>
      <c r="AB201" s="288"/>
    </row>
    <row r="202" ht="15.75" customHeight="1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  <c r="AA202" s="288"/>
      <c r="AB202" s="288"/>
    </row>
    <row r="203" ht="15.75" customHeight="1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88"/>
      <c r="AB203" s="288"/>
    </row>
    <row r="204" ht="15.75" customHeight="1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88"/>
      <c r="AB204" s="288"/>
    </row>
    <row r="205" ht="15.75" customHeight="1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  <c r="AA205" s="288"/>
      <c r="AB205" s="288"/>
    </row>
    <row r="206" ht="15.75" customHeight="1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88"/>
      <c r="AB206" s="288"/>
    </row>
    <row r="207" ht="15.75" customHeight="1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88"/>
      <c r="AB207" s="288"/>
    </row>
    <row r="208" ht="15.75" customHeight="1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88"/>
      <c r="AB208" s="288"/>
    </row>
    <row r="209" ht="15.75" customHeight="1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</row>
    <row r="210" ht="15.75" customHeight="1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  <c r="AA210" s="288"/>
      <c r="AB210" s="288"/>
    </row>
    <row r="211" ht="15.75" customHeight="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88"/>
      <c r="AB211" s="288"/>
    </row>
    <row r="212" ht="15.75" customHeight="1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</row>
    <row r="213" ht="15.75" customHeight="1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</row>
    <row r="214" ht="15.75" customHeight="1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  <c r="AA214" s="288"/>
      <c r="AB214" s="288"/>
    </row>
    <row r="215" ht="15.75" customHeight="1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</row>
    <row r="216" ht="15.75" customHeight="1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  <c r="AA216" s="288"/>
      <c r="AB216" s="288"/>
    </row>
    <row r="217" ht="15.75" customHeight="1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88"/>
      <c r="AB217" s="288"/>
    </row>
    <row r="218" ht="15.75" customHeight="1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</row>
    <row r="219" ht="15.75" customHeight="1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88"/>
      <c r="AB219" s="288"/>
    </row>
    <row r="220" ht="15.75" customHeight="1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</row>
    <row r="221" ht="15.75" customHeight="1">
      <c r="A221" s="28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</row>
    <row r="222" ht="15.75" customHeight="1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  <c r="AA222" s="288"/>
      <c r="AB222" s="288"/>
    </row>
    <row r="223" ht="15.75" customHeight="1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88"/>
      <c r="AB223" s="288"/>
    </row>
    <row r="224" ht="15.75" customHeight="1">
      <c r="A224" s="288"/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88"/>
      <c r="AB224" s="288"/>
    </row>
    <row r="225" ht="15.75" customHeight="1">
      <c r="A225" s="288"/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  <c r="AB225" s="288"/>
    </row>
    <row r="226" ht="15.75" customHeight="1">
      <c r="A226" s="28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88"/>
      <c r="AB226" s="288"/>
    </row>
    <row r="227" ht="15.75" customHeight="1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  <c r="AA227" s="288"/>
      <c r="AB227" s="288"/>
    </row>
    <row r="228" ht="15.75" customHeight="1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  <c r="AA228" s="288"/>
      <c r="AB228" s="288"/>
    </row>
    <row r="229" ht="15.75" customHeight="1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88"/>
      <c r="AB229" s="288"/>
    </row>
    <row r="230" ht="15.75" customHeight="1">
      <c r="A230" s="288"/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88"/>
      <c r="AB230" s="288"/>
    </row>
    <row r="231" ht="15.75" customHeight="1">
      <c r="A231" s="288"/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88"/>
      <c r="AB231" s="288"/>
    </row>
    <row r="232" ht="15.75" customHeight="1">
      <c r="A232" s="28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88"/>
      <c r="AB232" s="288"/>
    </row>
    <row r="233" ht="15.75" customHeight="1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  <c r="AA233" s="288"/>
      <c r="AB233" s="288"/>
    </row>
    <row r="234" ht="15.75" customHeight="1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  <c r="AA234" s="288"/>
      <c r="AB234" s="288"/>
    </row>
    <row r="235" ht="15.75" customHeight="1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88"/>
      <c r="AB235" s="288"/>
    </row>
    <row r="236" ht="15.75" customHeight="1">
      <c r="A236" s="288"/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88"/>
      <c r="AB236" s="288"/>
    </row>
    <row r="237" ht="15.75" customHeight="1">
      <c r="A237" s="288"/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  <c r="AB237" s="288"/>
    </row>
    <row r="238" ht="15.75" customHeight="1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  <c r="AA238" s="288"/>
      <c r="AB238" s="288"/>
    </row>
    <row r="239" ht="15.75" customHeight="1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  <c r="AA239" s="288"/>
      <c r="AB239" s="288"/>
    </row>
    <row r="240" ht="15.75" customHeight="1">
      <c r="A240" s="288"/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</row>
    <row r="241" ht="15.75" customHeight="1">
      <c r="A241" s="288"/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88"/>
      <c r="AB241" s="288"/>
    </row>
    <row r="242" ht="15.75" customHeight="1">
      <c r="A242" s="28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</row>
    <row r="243" ht="15.75" customHeight="1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  <c r="AA243" s="288"/>
      <c r="AB243" s="288"/>
    </row>
    <row r="244" ht="15.75" customHeight="1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</row>
    <row r="245" ht="15.75" customHeight="1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88"/>
      <c r="AB245" s="288"/>
    </row>
    <row r="246" ht="15.75" customHeight="1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88"/>
      <c r="AB246" s="288"/>
    </row>
    <row r="247" ht="15.75" customHeight="1">
      <c r="A247" s="288"/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88"/>
      <c r="AB247" s="288"/>
    </row>
    <row r="248" ht="15.75" customHeight="1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  <c r="AA248" s="288"/>
      <c r="AB248" s="288"/>
    </row>
    <row r="249" ht="15.75" customHeight="1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  <c r="AA249" s="288"/>
      <c r="AB249" s="288"/>
    </row>
    <row r="250" ht="15.75" customHeight="1">
      <c r="A250" s="288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88"/>
      <c r="AB250" s="288"/>
    </row>
    <row r="251" ht="15.75" customHeight="1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  <c r="AA251" s="288"/>
      <c r="AB251" s="288"/>
    </row>
    <row r="252" ht="15.75" customHeight="1">
      <c r="A252" s="28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88"/>
      <c r="AB252" s="288"/>
    </row>
    <row r="253" ht="15.75" customHeight="1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  <c r="AA253" s="288"/>
      <c r="AB253" s="288"/>
    </row>
    <row r="254" ht="15.75" customHeight="1">
      <c r="A254" s="288"/>
      <c r="B254" s="288"/>
      <c r="C254" s="288"/>
      <c r="D254" s="288"/>
      <c r="E254" s="288"/>
      <c r="F254" s="288"/>
      <c r="G254" s="288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  <c r="AA254" s="288"/>
      <c r="AB254" s="288"/>
    </row>
    <row r="255" ht="15.75" customHeight="1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88"/>
      <c r="AB255" s="288"/>
    </row>
    <row r="256" ht="15.75" customHeight="1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88"/>
      <c r="AB256" s="288"/>
    </row>
    <row r="257" ht="15.75" customHeight="1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  <c r="AA257" s="288"/>
      <c r="AB257" s="288"/>
    </row>
    <row r="258" ht="15.75" customHeight="1">
      <c r="A258" s="288"/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88"/>
      <c r="AB258" s="288"/>
    </row>
    <row r="259" ht="15.75" customHeight="1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  <c r="AA259" s="288"/>
      <c r="AB259" s="288"/>
    </row>
    <row r="260" ht="15.75" customHeight="1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  <c r="AA260" s="288"/>
      <c r="AB260" s="288"/>
    </row>
    <row r="261" ht="15.75" customHeight="1">
      <c r="A261" s="288"/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88"/>
      <c r="AB261" s="288"/>
    </row>
    <row r="262" ht="15.75" customHeight="1">
      <c r="A262" s="288"/>
      <c r="B262" s="288"/>
      <c r="C262" s="288"/>
      <c r="D262" s="288"/>
      <c r="E262" s="288"/>
      <c r="F262" s="288"/>
      <c r="G262" s="288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  <c r="AA262" s="288"/>
      <c r="AB262" s="288"/>
    </row>
    <row r="263" ht="15.75" customHeight="1">
      <c r="A263" s="288"/>
      <c r="B263" s="288"/>
      <c r="C263" s="288"/>
      <c r="D263" s="288"/>
      <c r="E263" s="288"/>
      <c r="F263" s="288"/>
      <c r="G263" s="288"/>
      <c r="H263" s="288"/>
      <c r="I263" s="288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  <c r="AA263" s="288"/>
      <c r="AB263" s="288"/>
    </row>
    <row r="264" ht="15.75" customHeight="1">
      <c r="A264" s="288"/>
      <c r="B264" s="28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  <c r="AA264" s="288"/>
      <c r="AB264" s="288"/>
    </row>
    <row r="265" ht="15.75" customHeight="1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  <c r="AA265" s="288"/>
      <c r="AB265" s="288"/>
    </row>
    <row r="266" ht="15.75" customHeight="1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  <c r="AA266" s="288"/>
      <c r="AB266" s="288"/>
    </row>
    <row r="267" ht="15.75" customHeight="1">
      <c r="A267" s="288"/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88"/>
      <c r="AB267" s="288"/>
    </row>
    <row r="268" ht="15.75" customHeight="1">
      <c r="A268" s="288"/>
      <c r="B268" s="288"/>
      <c r="C268" s="288"/>
      <c r="D268" s="288"/>
      <c r="E268" s="288"/>
      <c r="F268" s="288"/>
      <c r="G268" s="288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  <c r="AA268" s="288"/>
      <c r="AB268" s="288"/>
    </row>
    <row r="269" ht="15.75" customHeight="1">
      <c r="A269" s="288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  <c r="AA269" s="288"/>
      <c r="AB269" s="288"/>
    </row>
    <row r="270" ht="15.75" customHeight="1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  <c r="AA270" s="288"/>
      <c r="AB270" s="288"/>
    </row>
    <row r="271" ht="15.75" customHeight="1">
      <c r="A271" s="288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  <c r="AA271" s="288"/>
      <c r="AB271" s="288"/>
    </row>
    <row r="272" ht="15.75" customHeight="1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  <c r="AA272" s="288"/>
      <c r="AB272" s="288"/>
    </row>
    <row r="273" ht="15.75" customHeight="1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  <c r="AA273" s="288"/>
      <c r="AB273" s="288"/>
    </row>
    <row r="274" ht="15.75" customHeight="1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  <c r="AA274" s="288"/>
      <c r="AB274" s="288"/>
    </row>
    <row r="275" ht="15.75" customHeight="1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  <c r="AA275" s="288"/>
      <c r="AB275" s="288"/>
    </row>
    <row r="276" ht="15.75" customHeight="1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</row>
    <row r="277" ht="15.75" customHeight="1">
      <c r="A277" s="288"/>
      <c r="B277" s="288"/>
      <c r="C277" s="288"/>
      <c r="D277" s="288"/>
      <c r="E277" s="288"/>
      <c r="F277" s="288"/>
      <c r="G277" s="288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  <c r="AA277" s="288"/>
      <c r="AB277" s="288"/>
    </row>
    <row r="278" ht="15.75" customHeight="1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  <c r="AA278" s="288"/>
      <c r="AB278" s="288"/>
    </row>
    <row r="279" ht="15.75" customHeight="1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  <c r="AA279" s="288"/>
      <c r="AB279" s="288"/>
    </row>
    <row r="280" ht="15.75" customHeight="1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  <c r="AA280" s="288"/>
      <c r="AB280" s="288"/>
    </row>
    <row r="281" ht="15.75" customHeight="1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  <c r="AA281" s="288"/>
      <c r="AB281" s="288"/>
    </row>
    <row r="282" ht="15.75" customHeight="1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  <c r="AA282" s="288"/>
      <c r="AB282" s="288"/>
    </row>
    <row r="283" ht="15.75" customHeight="1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  <c r="AA283" s="288"/>
      <c r="AB283" s="288"/>
    </row>
    <row r="284" ht="15.75" customHeight="1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  <c r="AA284" s="288"/>
      <c r="AB284" s="288"/>
    </row>
    <row r="285" ht="15.75" customHeight="1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  <c r="AA285" s="288"/>
      <c r="AB285" s="288"/>
    </row>
    <row r="286" ht="15.75" customHeight="1">
      <c r="A286" s="288"/>
      <c r="B286" s="288"/>
      <c r="C286" s="288"/>
      <c r="D286" s="288"/>
      <c r="E286" s="288"/>
      <c r="F286" s="288"/>
      <c r="G286" s="288"/>
      <c r="H286" s="288"/>
      <c r="I286" s="288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  <c r="AA286" s="288"/>
      <c r="AB286" s="288"/>
    </row>
    <row r="287" ht="15.75" customHeight="1">
      <c r="A287" s="288"/>
      <c r="B287" s="288"/>
      <c r="C287" s="288"/>
      <c r="D287" s="288"/>
      <c r="E287" s="288"/>
      <c r="F287" s="288"/>
      <c r="G287" s="288"/>
      <c r="H287" s="288"/>
      <c r="I287" s="288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  <c r="AA287" s="288"/>
      <c r="AB287" s="288"/>
    </row>
    <row r="288" ht="15.75" customHeight="1">
      <c r="A288" s="288"/>
      <c r="B288" s="288"/>
      <c r="C288" s="288"/>
      <c r="D288" s="288"/>
      <c r="E288" s="288"/>
      <c r="F288" s="288"/>
      <c r="G288" s="288"/>
      <c r="H288" s="288"/>
      <c r="I288" s="288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  <c r="AA288" s="288"/>
      <c r="AB288" s="288"/>
    </row>
    <row r="289" ht="15.75" customHeight="1">
      <c r="A289" s="288"/>
      <c r="B289" s="288"/>
      <c r="C289" s="288"/>
      <c r="D289" s="288"/>
      <c r="E289" s="288"/>
      <c r="F289" s="288"/>
      <c r="G289" s="288"/>
      <c r="H289" s="288"/>
      <c r="I289" s="288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  <c r="AA289" s="288"/>
      <c r="AB289" s="288"/>
    </row>
    <row r="290" ht="15.75" customHeight="1">
      <c r="A290" s="288"/>
      <c r="B290" s="288"/>
      <c r="C290" s="288"/>
      <c r="D290" s="288"/>
      <c r="E290" s="288"/>
      <c r="F290" s="288"/>
      <c r="G290" s="288"/>
      <c r="H290" s="288"/>
      <c r="I290" s="288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  <c r="AA290" s="288"/>
      <c r="AB290" s="288"/>
    </row>
    <row r="291" ht="15.75" customHeight="1">
      <c r="A291" s="288"/>
      <c r="B291" s="288"/>
      <c r="C291" s="288"/>
      <c r="D291" s="288"/>
      <c r="E291" s="288"/>
      <c r="F291" s="288"/>
      <c r="G291" s="288"/>
      <c r="H291" s="288"/>
      <c r="I291" s="288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  <c r="AA291" s="288"/>
      <c r="AB291" s="288"/>
    </row>
    <row r="292" ht="15.75" customHeight="1">
      <c r="A292" s="28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</row>
    <row r="293" ht="15.75" customHeight="1">
      <c r="A293" s="288"/>
      <c r="B293" s="288"/>
      <c r="C293" s="288"/>
      <c r="D293" s="288"/>
      <c r="E293" s="288"/>
      <c r="F293" s="288"/>
      <c r="G293" s="288"/>
      <c r="H293" s="288"/>
      <c r="I293" s="288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  <c r="AA293" s="288"/>
      <c r="AB293" s="288"/>
    </row>
    <row r="294" ht="15.75" customHeight="1">
      <c r="A294" s="288"/>
      <c r="B294" s="288"/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  <c r="AA294" s="288"/>
      <c r="AB294" s="288"/>
    </row>
    <row r="295" ht="15.75" customHeight="1">
      <c r="A295" s="288"/>
      <c r="B295" s="288"/>
      <c r="C295" s="288"/>
      <c r="D295" s="288"/>
      <c r="E295" s="288"/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  <c r="AA295" s="288"/>
      <c r="AB295" s="288"/>
    </row>
    <row r="296" ht="15.75" customHeight="1">
      <c r="A296" s="288"/>
      <c r="B296" s="288"/>
      <c r="C296" s="288"/>
      <c r="D296" s="288"/>
      <c r="E296" s="288"/>
      <c r="F296" s="288"/>
      <c r="G296" s="288"/>
      <c r="H296" s="288"/>
      <c r="I296" s="288"/>
      <c r="J296" s="288"/>
      <c r="K296" s="288"/>
      <c r="L296" s="288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  <c r="AA296" s="288"/>
      <c r="AB296" s="288"/>
    </row>
    <row r="297" ht="15.75" customHeight="1">
      <c r="A297" s="288"/>
      <c r="B297" s="288"/>
      <c r="C297" s="288"/>
      <c r="D297" s="288"/>
      <c r="E297" s="288"/>
      <c r="F297" s="288"/>
      <c r="G297" s="288"/>
      <c r="H297" s="288"/>
      <c r="I297" s="288"/>
      <c r="J297" s="288"/>
      <c r="K297" s="288"/>
      <c r="L297" s="288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  <c r="AA297" s="288"/>
      <c r="AB297" s="288"/>
    </row>
    <row r="298" ht="15.75" customHeight="1">
      <c r="A298" s="288"/>
      <c r="B298" s="288"/>
      <c r="C298" s="288"/>
      <c r="D298" s="288"/>
      <c r="E298" s="288"/>
      <c r="F298" s="288"/>
      <c r="G298" s="288"/>
      <c r="H298" s="288"/>
      <c r="I298" s="288"/>
      <c r="J298" s="288"/>
      <c r="K298" s="288"/>
      <c r="L298" s="288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  <c r="AA298" s="288"/>
      <c r="AB298" s="288"/>
    </row>
    <row r="299" ht="15.75" customHeight="1">
      <c r="A299" s="288"/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  <c r="AA299" s="288"/>
      <c r="AB299" s="288"/>
    </row>
    <row r="300" ht="15.75" customHeight="1">
      <c r="A300" s="288"/>
      <c r="B300" s="288"/>
      <c r="C300" s="288"/>
      <c r="D300" s="288"/>
      <c r="E300" s="288"/>
      <c r="F300" s="288"/>
      <c r="G300" s="288"/>
      <c r="H300" s="288"/>
      <c r="I300" s="288"/>
      <c r="J300" s="288"/>
      <c r="K300" s="288"/>
      <c r="L300" s="288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  <c r="AA300" s="288"/>
      <c r="AB300" s="288"/>
    </row>
    <row r="301" ht="15.75" customHeight="1">
      <c r="A301" s="288"/>
      <c r="B301" s="288"/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  <c r="AA301" s="288"/>
      <c r="AB301" s="288"/>
    </row>
    <row r="302" ht="15.75" customHeight="1">
      <c r="A302" s="288"/>
      <c r="B302" s="288"/>
      <c r="C302" s="288"/>
      <c r="D302" s="288"/>
      <c r="E302" s="288"/>
      <c r="F302" s="288"/>
      <c r="G302" s="288"/>
      <c r="H302" s="288"/>
      <c r="I302" s="288"/>
      <c r="J302" s="288"/>
      <c r="K302" s="288"/>
      <c r="L302" s="288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  <c r="AA302" s="288"/>
      <c r="AB302" s="288"/>
    </row>
    <row r="303" ht="15.75" customHeight="1">
      <c r="A303" s="288"/>
      <c r="B303" s="288"/>
      <c r="C303" s="288"/>
      <c r="D303" s="288"/>
      <c r="E303" s="288"/>
      <c r="F303" s="288"/>
      <c r="G303" s="288"/>
      <c r="H303" s="288"/>
      <c r="I303" s="288"/>
      <c r="J303" s="288"/>
      <c r="K303" s="288"/>
      <c r="L303" s="288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  <c r="AA303" s="288"/>
      <c r="AB303" s="288"/>
    </row>
    <row r="304" ht="15.75" customHeight="1">
      <c r="A304" s="288"/>
      <c r="B304" s="288"/>
      <c r="C304" s="288"/>
      <c r="D304" s="288"/>
      <c r="E304" s="288"/>
      <c r="F304" s="288"/>
      <c r="G304" s="288"/>
      <c r="H304" s="288"/>
      <c r="I304" s="288"/>
      <c r="J304" s="288"/>
      <c r="K304" s="288"/>
      <c r="L304" s="288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  <c r="AA304" s="288"/>
      <c r="AB304" s="288"/>
    </row>
    <row r="305" ht="15.75" customHeight="1">
      <c r="A305" s="288"/>
      <c r="B305" s="288"/>
      <c r="C305" s="288"/>
      <c r="D305" s="288"/>
      <c r="E305" s="288"/>
      <c r="F305" s="288"/>
      <c r="G305" s="288"/>
      <c r="H305" s="288"/>
      <c r="I305" s="288"/>
      <c r="J305" s="288"/>
      <c r="K305" s="288"/>
      <c r="L305" s="288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  <c r="AA305" s="288"/>
      <c r="AB305" s="288"/>
    </row>
    <row r="306" ht="15.75" customHeight="1">
      <c r="A306" s="288"/>
      <c r="B306" s="288"/>
      <c r="C306" s="288"/>
      <c r="D306" s="288"/>
      <c r="E306" s="288"/>
      <c r="F306" s="288"/>
      <c r="G306" s="288"/>
      <c r="H306" s="288"/>
      <c r="I306" s="288"/>
      <c r="J306" s="288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  <c r="AA306" s="288"/>
      <c r="AB306" s="288"/>
    </row>
    <row r="307" ht="15.75" customHeight="1">
      <c r="A307" s="288"/>
      <c r="B307" s="288"/>
      <c r="C307" s="288"/>
      <c r="D307" s="288"/>
      <c r="E307" s="288"/>
      <c r="F307" s="288"/>
      <c r="G307" s="288"/>
      <c r="H307" s="288"/>
      <c r="I307" s="288"/>
      <c r="J307" s="288"/>
      <c r="K307" s="288"/>
      <c r="L307" s="288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  <c r="AA307" s="288"/>
      <c r="AB307" s="288"/>
    </row>
    <row r="308" ht="15.75" customHeight="1">
      <c r="A308" s="288"/>
      <c r="B308" s="288"/>
      <c r="C308" s="288"/>
      <c r="D308" s="288"/>
      <c r="E308" s="288"/>
      <c r="F308" s="288"/>
      <c r="G308" s="288"/>
      <c r="H308" s="288"/>
      <c r="I308" s="288"/>
      <c r="J308" s="288"/>
      <c r="K308" s="288"/>
      <c r="L308" s="288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  <c r="AA308" s="288"/>
      <c r="AB308" s="288"/>
    </row>
    <row r="309" ht="15.75" customHeight="1">
      <c r="A309" s="288"/>
      <c r="B309" s="288"/>
      <c r="C309" s="288"/>
      <c r="D309" s="288"/>
      <c r="E309" s="288"/>
      <c r="F309" s="288"/>
      <c r="G309" s="288"/>
      <c r="H309" s="288"/>
      <c r="I309" s="288"/>
      <c r="J309" s="288"/>
      <c r="K309" s="288"/>
      <c r="L309" s="288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  <c r="AA309" s="288"/>
      <c r="AB309" s="288"/>
    </row>
    <row r="310" ht="15.75" customHeight="1">
      <c r="A310" s="288"/>
      <c r="B310" s="288"/>
      <c r="C310" s="288"/>
      <c r="D310" s="288"/>
      <c r="E310" s="288"/>
      <c r="F310" s="288"/>
      <c r="G310" s="288"/>
      <c r="H310" s="288"/>
      <c r="I310" s="288"/>
      <c r="J310" s="288"/>
      <c r="K310" s="288"/>
      <c r="L310" s="288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  <c r="AA310" s="288"/>
      <c r="AB310" s="288"/>
    </row>
    <row r="311" ht="15.75" customHeight="1">
      <c r="A311" s="288"/>
      <c r="B311" s="288"/>
      <c r="C311" s="288"/>
      <c r="D311" s="288"/>
      <c r="E311" s="288"/>
      <c r="F311" s="288"/>
      <c r="G311" s="288"/>
      <c r="H311" s="288"/>
      <c r="I311" s="288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  <c r="AA311" s="288"/>
      <c r="AB311" s="288"/>
    </row>
    <row r="312" ht="15.75" customHeight="1">
      <c r="A312" s="288"/>
      <c r="B312" s="288"/>
      <c r="C312" s="288"/>
      <c r="D312" s="288"/>
      <c r="E312" s="288"/>
      <c r="F312" s="288"/>
      <c r="G312" s="288"/>
      <c r="H312" s="288"/>
      <c r="I312" s="288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  <c r="AA312" s="288"/>
      <c r="AB312" s="288"/>
    </row>
    <row r="313" ht="15.75" customHeight="1">
      <c r="A313" s="288"/>
      <c r="B313" s="288"/>
      <c r="C313" s="288"/>
      <c r="D313" s="288"/>
      <c r="E313" s="288"/>
      <c r="F313" s="288"/>
      <c r="G313" s="288"/>
      <c r="H313" s="288"/>
      <c r="I313" s="288"/>
      <c r="J313" s="288"/>
      <c r="K313" s="288"/>
      <c r="L313" s="288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  <c r="AA313" s="288"/>
      <c r="AB313" s="288"/>
    </row>
    <row r="314" ht="15.75" customHeight="1">
      <c r="A314" s="288"/>
      <c r="B314" s="288"/>
      <c r="C314" s="288"/>
      <c r="D314" s="288"/>
      <c r="E314" s="288"/>
      <c r="F314" s="288"/>
      <c r="G314" s="288"/>
      <c r="H314" s="288"/>
      <c r="I314" s="288"/>
      <c r="J314" s="288"/>
      <c r="K314" s="288"/>
      <c r="L314" s="288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  <c r="AA314" s="288"/>
      <c r="AB314" s="288"/>
    </row>
    <row r="315" ht="15.75" customHeight="1">
      <c r="A315" s="288"/>
      <c r="B315" s="288"/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  <c r="AA315" s="288"/>
      <c r="AB315" s="288"/>
    </row>
    <row r="316" ht="15.75" customHeight="1">
      <c r="A316" s="288"/>
      <c r="B316" s="288"/>
      <c r="C316" s="288"/>
      <c r="D316" s="288"/>
      <c r="E316" s="288"/>
      <c r="F316" s="288"/>
      <c r="G316" s="288"/>
      <c r="H316" s="288"/>
      <c r="I316" s="288"/>
      <c r="J316" s="288"/>
      <c r="K316" s="288"/>
      <c r="L316" s="288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  <c r="AA316" s="288"/>
      <c r="AB316" s="288"/>
    </row>
    <row r="317" ht="15.75" customHeight="1">
      <c r="A317" s="288"/>
      <c r="B317" s="288"/>
      <c r="C317" s="288"/>
      <c r="D317" s="288"/>
      <c r="E317" s="288"/>
      <c r="F317" s="288"/>
      <c r="G317" s="288"/>
      <c r="H317" s="288"/>
      <c r="I317" s="288"/>
      <c r="J317" s="288"/>
      <c r="K317" s="288"/>
      <c r="L317" s="288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  <c r="AA317" s="288"/>
      <c r="AB317" s="288"/>
    </row>
    <row r="318" ht="15.75" customHeight="1">
      <c r="A318" s="288"/>
      <c r="B318" s="288"/>
      <c r="C318" s="288"/>
      <c r="D318" s="288"/>
      <c r="E318" s="288"/>
      <c r="F318" s="288"/>
      <c r="G318" s="288"/>
      <c r="H318" s="288"/>
      <c r="I318" s="288"/>
      <c r="J318" s="288"/>
      <c r="K318" s="288"/>
      <c r="L318" s="288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  <c r="AA318" s="288"/>
      <c r="AB318" s="288"/>
    </row>
    <row r="319" ht="15.75" customHeight="1">
      <c r="A319" s="288"/>
      <c r="B319" s="288"/>
      <c r="C319" s="288"/>
      <c r="D319" s="288"/>
      <c r="E319" s="288"/>
      <c r="F319" s="288"/>
      <c r="G319" s="288"/>
      <c r="H319" s="288"/>
      <c r="I319" s="288"/>
      <c r="J319" s="288"/>
      <c r="K319" s="288"/>
      <c r="L319" s="288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  <c r="AA319" s="288"/>
      <c r="AB319" s="288"/>
    </row>
    <row r="320" ht="15.75" customHeight="1">
      <c r="A320" s="288"/>
      <c r="B320" s="288"/>
      <c r="C320" s="288"/>
      <c r="D320" s="288"/>
      <c r="E320" s="288"/>
      <c r="F320" s="288"/>
      <c r="G320" s="288"/>
      <c r="H320" s="288"/>
      <c r="I320" s="288"/>
      <c r="J320" s="288"/>
      <c r="K320" s="288"/>
      <c r="L320" s="288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  <c r="AA320" s="288"/>
      <c r="AB320" s="288"/>
    </row>
    <row r="321" ht="15.75" customHeight="1">
      <c r="A321" s="288"/>
      <c r="B321" s="288"/>
      <c r="C321" s="288"/>
      <c r="D321" s="288"/>
      <c r="E321" s="288"/>
      <c r="F321" s="288"/>
      <c r="G321" s="288"/>
      <c r="H321" s="288"/>
      <c r="I321" s="288"/>
      <c r="J321" s="288"/>
      <c r="K321" s="288"/>
      <c r="L321" s="288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  <c r="AA321" s="288"/>
      <c r="AB321" s="288"/>
    </row>
    <row r="322" ht="15.75" customHeight="1">
      <c r="A322" s="288"/>
      <c r="B322" s="288"/>
      <c r="C322" s="288"/>
      <c r="D322" s="288"/>
      <c r="E322" s="288"/>
      <c r="F322" s="288"/>
      <c r="G322" s="288"/>
      <c r="H322" s="288"/>
      <c r="I322" s="288"/>
      <c r="J322" s="288"/>
      <c r="K322" s="288"/>
      <c r="L322" s="288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  <c r="AA322" s="288"/>
      <c r="AB322" s="288"/>
    </row>
    <row r="323" ht="15.75" customHeight="1">
      <c r="A323" s="288"/>
      <c r="B323" s="288"/>
      <c r="C323" s="288"/>
      <c r="D323" s="288"/>
      <c r="E323" s="288"/>
      <c r="F323" s="288"/>
      <c r="G323" s="288"/>
      <c r="H323" s="288"/>
      <c r="I323" s="288"/>
      <c r="J323" s="288"/>
      <c r="K323" s="288"/>
      <c r="L323" s="288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  <c r="AA323" s="288"/>
      <c r="AB323" s="288"/>
    </row>
    <row r="324" ht="15.75" customHeight="1">
      <c r="A324" s="288"/>
      <c r="B324" s="288"/>
      <c r="C324" s="288"/>
      <c r="D324" s="288"/>
      <c r="E324" s="288"/>
      <c r="F324" s="288"/>
      <c r="G324" s="288"/>
      <c r="H324" s="288"/>
      <c r="I324" s="288"/>
      <c r="J324" s="288"/>
      <c r="K324" s="288"/>
      <c r="L324" s="288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  <c r="AA324" s="288"/>
      <c r="AB324" s="288"/>
    </row>
    <row r="325" ht="15.75" customHeight="1">
      <c r="A325" s="288"/>
      <c r="B325" s="288"/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  <c r="AA325" s="288"/>
      <c r="AB325" s="288"/>
    </row>
    <row r="326" ht="15.75" customHeight="1">
      <c r="A326" s="288"/>
      <c r="B326" s="288"/>
      <c r="C326" s="288"/>
      <c r="D326" s="288"/>
      <c r="E326" s="288"/>
      <c r="F326" s="288"/>
      <c r="G326" s="288"/>
      <c r="H326" s="288"/>
      <c r="I326" s="288"/>
      <c r="J326" s="288"/>
      <c r="K326" s="288"/>
      <c r="L326" s="288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  <c r="AA326" s="288"/>
      <c r="AB326" s="288"/>
    </row>
    <row r="327" ht="15.75" customHeight="1">
      <c r="A327" s="288"/>
      <c r="B327" s="288"/>
      <c r="C327" s="288"/>
      <c r="D327" s="288"/>
      <c r="E327" s="288"/>
      <c r="F327" s="288"/>
      <c r="G327" s="288"/>
      <c r="H327" s="288"/>
      <c r="I327" s="288"/>
      <c r="J327" s="288"/>
      <c r="K327" s="288"/>
      <c r="L327" s="288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  <c r="AA327" s="288"/>
      <c r="AB327" s="288"/>
    </row>
    <row r="328" ht="15.75" customHeight="1">
      <c r="A328" s="288"/>
      <c r="B328" s="288"/>
      <c r="C328" s="288"/>
      <c r="D328" s="288"/>
      <c r="E328" s="288"/>
      <c r="F328" s="288"/>
      <c r="G328" s="288"/>
      <c r="H328" s="288"/>
      <c r="I328" s="288"/>
      <c r="J328" s="288"/>
      <c r="K328" s="288"/>
      <c r="L328" s="288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  <c r="AA328" s="288"/>
      <c r="AB328" s="288"/>
    </row>
    <row r="329" ht="15.75" customHeight="1">
      <c r="A329" s="288"/>
      <c r="B329" s="288"/>
      <c r="C329" s="288"/>
      <c r="D329" s="288"/>
      <c r="E329" s="288"/>
      <c r="F329" s="288"/>
      <c r="G329" s="288"/>
      <c r="H329" s="288"/>
      <c r="I329" s="288"/>
      <c r="J329" s="288"/>
      <c r="K329" s="288"/>
      <c r="L329" s="288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  <c r="AA329" s="288"/>
      <c r="AB329" s="288"/>
    </row>
    <row r="330" ht="15.75" customHeight="1">
      <c r="A330" s="288"/>
      <c r="B330" s="288"/>
      <c r="C330" s="288"/>
      <c r="D330" s="288"/>
      <c r="E330" s="288"/>
      <c r="F330" s="288"/>
      <c r="G330" s="288"/>
      <c r="H330" s="288"/>
      <c r="I330" s="288"/>
      <c r="J330" s="288"/>
      <c r="K330" s="288"/>
      <c r="L330" s="288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  <c r="AA330" s="288"/>
      <c r="AB330" s="288"/>
    </row>
    <row r="331" ht="15.75" customHeight="1">
      <c r="A331" s="288"/>
      <c r="B331" s="288"/>
      <c r="C331" s="288"/>
      <c r="D331" s="288"/>
      <c r="E331" s="288"/>
      <c r="F331" s="288"/>
      <c r="G331" s="288"/>
      <c r="H331" s="288"/>
      <c r="I331" s="288"/>
      <c r="J331" s="288"/>
      <c r="K331" s="288"/>
      <c r="L331" s="288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  <c r="AA331" s="288"/>
      <c r="AB331" s="288"/>
    </row>
    <row r="332" ht="15.75" customHeight="1">
      <c r="A332" s="288"/>
      <c r="B332" s="288"/>
      <c r="C332" s="288"/>
      <c r="D332" s="288"/>
      <c r="E332" s="288"/>
      <c r="F332" s="288"/>
      <c r="G332" s="288"/>
      <c r="H332" s="288"/>
      <c r="I332" s="288"/>
      <c r="J332" s="288"/>
      <c r="K332" s="288"/>
      <c r="L332" s="288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  <c r="AA332" s="288"/>
      <c r="AB332" s="288"/>
    </row>
    <row r="333" ht="15.75" customHeight="1">
      <c r="A333" s="288"/>
      <c r="B333" s="288"/>
      <c r="C333" s="288"/>
      <c r="D333" s="288"/>
      <c r="E333" s="288"/>
      <c r="F333" s="288"/>
      <c r="G333" s="288"/>
      <c r="H333" s="288"/>
      <c r="I333" s="288"/>
      <c r="J333" s="288"/>
      <c r="K333" s="288"/>
      <c r="L333" s="288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  <c r="AA333" s="288"/>
      <c r="AB333" s="288"/>
    </row>
    <row r="334" ht="15.75" customHeight="1">
      <c r="A334" s="288"/>
      <c r="B334" s="288"/>
      <c r="C334" s="288"/>
      <c r="D334" s="288"/>
      <c r="E334" s="288"/>
      <c r="F334" s="288"/>
      <c r="G334" s="288"/>
      <c r="H334" s="288"/>
      <c r="I334" s="288"/>
      <c r="J334" s="288"/>
      <c r="K334" s="288"/>
      <c r="L334" s="288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  <c r="AA334" s="288"/>
      <c r="AB334" s="288"/>
    </row>
    <row r="335" ht="15.75" customHeight="1">
      <c r="A335" s="288"/>
      <c r="B335" s="288"/>
      <c r="C335" s="288"/>
      <c r="D335" s="288"/>
      <c r="E335" s="288"/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  <c r="AA335" s="288"/>
      <c r="AB335" s="288"/>
    </row>
    <row r="336" ht="15.75" customHeight="1">
      <c r="A336" s="288"/>
      <c r="B336" s="288"/>
      <c r="C336" s="288"/>
      <c r="D336" s="288"/>
      <c r="E336" s="288"/>
      <c r="F336" s="288"/>
      <c r="G336" s="288"/>
      <c r="H336" s="288"/>
      <c r="I336" s="288"/>
      <c r="J336" s="288"/>
      <c r="K336" s="288"/>
      <c r="L336" s="288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  <c r="AA336" s="288"/>
      <c r="AB336" s="288"/>
    </row>
    <row r="337" ht="15.75" customHeight="1">
      <c r="A337" s="288"/>
      <c r="B337" s="288"/>
      <c r="C337" s="288"/>
      <c r="D337" s="288"/>
      <c r="E337" s="288"/>
      <c r="F337" s="288"/>
      <c r="G337" s="288"/>
      <c r="H337" s="288"/>
      <c r="I337" s="288"/>
      <c r="J337" s="288"/>
      <c r="K337" s="288"/>
      <c r="L337" s="288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  <c r="AA337" s="288"/>
      <c r="AB337" s="288"/>
    </row>
    <row r="338" ht="15.75" customHeight="1">
      <c r="A338" s="288"/>
      <c r="B338" s="288"/>
      <c r="C338" s="288"/>
      <c r="D338" s="288"/>
      <c r="E338" s="288"/>
      <c r="F338" s="288"/>
      <c r="G338" s="288"/>
      <c r="H338" s="288"/>
      <c r="I338" s="288"/>
      <c r="J338" s="288"/>
      <c r="K338" s="288"/>
      <c r="L338" s="288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  <c r="AA338" s="288"/>
      <c r="AB338" s="288"/>
    </row>
    <row r="339" ht="15.75" customHeight="1">
      <c r="A339" s="288"/>
      <c r="B339" s="288"/>
      <c r="C339" s="288"/>
      <c r="D339" s="288"/>
      <c r="E339" s="288"/>
      <c r="F339" s="288"/>
      <c r="G339" s="288"/>
      <c r="H339" s="288"/>
      <c r="I339" s="288"/>
      <c r="J339" s="288"/>
      <c r="K339" s="288"/>
      <c r="L339" s="288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  <c r="AA339" s="288"/>
      <c r="AB339" s="288"/>
    </row>
    <row r="340" ht="15.75" customHeight="1">
      <c r="A340" s="288"/>
      <c r="B340" s="288"/>
      <c r="C340" s="288"/>
      <c r="D340" s="288"/>
      <c r="E340" s="288"/>
      <c r="F340" s="288"/>
      <c r="G340" s="288"/>
      <c r="H340" s="288"/>
      <c r="I340" s="288"/>
      <c r="J340" s="288"/>
      <c r="K340" s="288"/>
      <c r="L340" s="288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  <c r="AA340" s="288"/>
      <c r="AB340" s="288"/>
    </row>
    <row r="341" ht="15.75" customHeight="1">
      <c r="A341" s="288"/>
      <c r="B341" s="288"/>
      <c r="C341" s="288"/>
      <c r="D341" s="288"/>
      <c r="E341" s="288"/>
      <c r="F341" s="288"/>
      <c r="G341" s="288"/>
      <c r="H341" s="288"/>
      <c r="I341" s="288"/>
      <c r="J341" s="288"/>
      <c r="K341" s="288"/>
      <c r="L341" s="288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  <c r="AA341" s="288"/>
      <c r="AB341" s="288"/>
    </row>
    <row r="342" ht="15.75" customHeight="1">
      <c r="A342" s="288"/>
      <c r="B342" s="288"/>
      <c r="C342" s="288"/>
      <c r="D342" s="288"/>
      <c r="E342" s="288"/>
      <c r="F342" s="288"/>
      <c r="G342" s="288"/>
      <c r="H342" s="288"/>
      <c r="I342" s="288"/>
      <c r="J342" s="288"/>
      <c r="K342" s="288"/>
      <c r="L342" s="288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  <c r="AA342" s="288"/>
      <c r="AB342" s="288"/>
    </row>
    <row r="343" ht="15.75" customHeight="1">
      <c r="A343" s="288"/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  <c r="AA343" s="288"/>
      <c r="AB343" s="288"/>
    </row>
    <row r="344" ht="15.75" customHeight="1">
      <c r="A344" s="288"/>
      <c r="B344" s="288"/>
      <c r="C344" s="288"/>
      <c r="D344" s="288"/>
      <c r="E344" s="288"/>
      <c r="F344" s="288"/>
      <c r="G344" s="288"/>
      <c r="H344" s="288"/>
      <c r="I344" s="288"/>
      <c r="J344" s="288"/>
      <c r="K344" s="288"/>
      <c r="L344" s="288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  <c r="AA344" s="288"/>
      <c r="AB344" s="288"/>
    </row>
    <row r="345" ht="15.75" customHeight="1">
      <c r="A345" s="288"/>
      <c r="B345" s="288"/>
      <c r="C345" s="288"/>
      <c r="D345" s="288"/>
      <c r="E345" s="288"/>
      <c r="F345" s="288"/>
      <c r="G345" s="288"/>
      <c r="H345" s="288"/>
      <c r="I345" s="288"/>
      <c r="J345" s="288"/>
      <c r="K345" s="288"/>
      <c r="L345" s="288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  <c r="AA345" s="288"/>
      <c r="AB345" s="288"/>
    </row>
    <row r="346" ht="15.75" customHeight="1">
      <c r="A346" s="288"/>
      <c r="B346" s="288"/>
      <c r="C346" s="288"/>
      <c r="D346" s="288"/>
      <c r="E346" s="288"/>
      <c r="F346" s="288"/>
      <c r="G346" s="288"/>
      <c r="H346" s="288"/>
      <c r="I346" s="288"/>
      <c r="J346" s="288"/>
      <c r="K346" s="288"/>
      <c r="L346" s="288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  <c r="AA346" s="288"/>
      <c r="AB346" s="288"/>
    </row>
    <row r="347" ht="15.75" customHeight="1">
      <c r="A347" s="288"/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  <c r="AA347" s="288"/>
      <c r="AB347" s="288"/>
    </row>
    <row r="348" ht="15.75" customHeight="1">
      <c r="A348" s="288"/>
      <c r="B348" s="288"/>
      <c r="C348" s="288"/>
      <c r="D348" s="288"/>
      <c r="E348" s="288"/>
      <c r="F348" s="288"/>
      <c r="G348" s="288"/>
      <c r="H348" s="288"/>
      <c r="I348" s="288"/>
      <c r="J348" s="288"/>
      <c r="K348" s="288"/>
      <c r="L348" s="288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  <c r="AA348" s="288"/>
      <c r="AB348" s="288"/>
    </row>
    <row r="349" ht="15.75" customHeight="1">
      <c r="A349" s="288"/>
      <c r="B349" s="288"/>
      <c r="C349" s="288"/>
      <c r="D349" s="288"/>
      <c r="E349" s="288"/>
      <c r="F349" s="288"/>
      <c r="G349" s="288"/>
      <c r="H349" s="288"/>
      <c r="I349" s="288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  <c r="AA349" s="288"/>
      <c r="AB349" s="288"/>
    </row>
    <row r="350" ht="15.75" customHeight="1">
      <c r="A350" s="288"/>
      <c r="B350" s="288"/>
      <c r="C350" s="288"/>
      <c r="D350" s="288"/>
      <c r="E350" s="288"/>
      <c r="F350" s="288"/>
      <c r="G350" s="288"/>
      <c r="H350" s="288"/>
      <c r="I350" s="288"/>
      <c r="J350" s="288"/>
      <c r="K350" s="288"/>
      <c r="L350" s="288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  <c r="AA350" s="288"/>
      <c r="AB350" s="288"/>
    </row>
    <row r="351" ht="15.75" customHeight="1">
      <c r="A351" s="288"/>
      <c r="B351" s="288"/>
      <c r="C351" s="288"/>
      <c r="D351" s="288"/>
      <c r="E351" s="288"/>
      <c r="F351" s="288"/>
      <c r="G351" s="288"/>
      <c r="H351" s="288"/>
      <c r="I351" s="288"/>
      <c r="J351" s="288"/>
      <c r="K351" s="288"/>
      <c r="L351" s="288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  <c r="AA351" s="288"/>
      <c r="AB351" s="288"/>
    </row>
    <row r="352" ht="15.75" customHeight="1">
      <c r="A352" s="288"/>
      <c r="B352" s="288"/>
      <c r="C352" s="288"/>
      <c r="D352" s="288"/>
      <c r="E352" s="288"/>
      <c r="F352" s="288"/>
      <c r="G352" s="288"/>
      <c r="H352" s="288"/>
      <c r="I352" s="288"/>
      <c r="J352" s="288"/>
      <c r="K352" s="288"/>
      <c r="L352" s="288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  <c r="AA352" s="288"/>
      <c r="AB352" s="288"/>
    </row>
    <row r="353" ht="15.75" customHeight="1">
      <c r="A353" s="288"/>
      <c r="B353" s="288"/>
      <c r="C353" s="288"/>
      <c r="D353" s="288"/>
      <c r="E353" s="288"/>
      <c r="F353" s="288"/>
      <c r="G353" s="288"/>
      <c r="H353" s="288"/>
      <c r="I353" s="288"/>
      <c r="J353" s="288"/>
      <c r="K353" s="288"/>
      <c r="L353" s="288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  <c r="AA353" s="288"/>
      <c r="AB353" s="288"/>
    </row>
    <row r="354" ht="15.75" customHeight="1">
      <c r="A354" s="288"/>
      <c r="B354" s="288"/>
      <c r="C354" s="288"/>
      <c r="D354" s="288"/>
      <c r="E354" s="288"/>
      <c r="F354" s="288"/>
      <c r="G354" s="288"/>
      <c r="H354" s="288"/>
      <c r="I354" s="288"/>
      <c r="J354" s="288"/>
      <c r="K354" s="288"/>
      <c r="L354" s="288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  <c r="AA354" s="288"/>
      <c r="AB354" s="288"/>
    </row>
    <row r="355" ht="15.75" customHeight="1">
      <c r="A355" s="288"/>
      <c r="B355" s="288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  <c r="AA355" s="288"/>
      <c r="AB355" s="288"/>
    </row>
    <row r="356" ht="15.75" customHeight="1">
      <c r="A356" s="288"/>
      <c r="B356" s="288"/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  <c r="AA356" s="288"/>
      <c r="AB356" s="288"/>
    </row>
    <row r="357" ht="15.75" customHeight="1">
      <c r="A357" s="288"/>
      <c r="B357" s="288"/>
      <c r="C357" s="288"/>
      <c r="D357" s="288"/>
      <c r="E357" s="288"/>
      <c r="F357" s="288"/>
      <c r="G357" s="288"/>
      <c r="H357" s="288"/>
      <c r="I357" s="288"/>
      <c r="J357" s="288"/>
      <c r="K357" s="288"/>
      <c r="L357" s="288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  <c r="AA357" s="288"/>
      <c r="AB357" s="288"/>
    </row>
    <row r="358" ht="15.75" customHeight="1">
      <c r="A358" s="288"/>
      <c r="B358" s="288"/>
      <c r="C358" s="288"/>
      <c r="D358" s="288"/>
      <c r="E358" s="288"/>
      <c r="F358" s="288"/>
      <c r="G358" s="288"/>
      <c r="H358" s="288"/>
      <c r="I358" s="288"/>
      <c r="J358" s="288"/>
      <c r="K358" s="288"/>
      <c r="L358" s="288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  <c r="AA358" s="288"/>
      <c r="AB358" s="288"/>
    </row>
    <row r="359" ht="15.75" customHeight="1">
      <c r="A359" s="288"/>
      <c r="B359" s="288"/>
      <c r="C359" s="288"/>
      <c r="D359" s="288"/>
      <c r="E359" s="288"/>
      <c r="F359" s="288"/>
      <c r="G359" s="288"/>
      <c r="H359" s="288"/>
      <c r="I359" s="288"/>
      <c r="J359" s="288"/>
      <c r="K359" s="288"/>
      <c r="L359" s="288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  <c r="AA359" s="288"/>
      <c r="AB359" s="288"/>
    </row>
    <row r="360" ht="15.75" customHeight="1">
      <c r="A360" s="288"/>
      <c r="B360" s="288"/>
      <c r="C360" s="288"/>
      <c r="D360" s="288"/>
      <c r="E360" s="288"/>
      <c r="F360" s="288"/>
      <c r="G360" s="288"/>
      <c r="H360" s="288"/>
      <c r="I360" s="288"/>
      <c r="J360" s="288"/>
      <c r="K360" s="288"/>
      <c r="L360" s="288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  <c r="AA360" s="288"/>
      <c r="AB360" s="288"/>
    </row>
    <row r="361" ht="15.75" customHeight="1">
      <c r="A361" s="288"/>
      <c r="B361" s="288"/>
      <c r="C361" s="288"/>
      <c r="D361" s="288"/>
      <c r="E361" s="288"/>
      <c r="F361" s="288"/>
      <c r="G361" s="288"/>
      <c r="H361" s="288"/>
      <c r="I361" s="288"/>
      <c r="J361" s="288"/>
      <c r="K361" s="288"/>
      <c r="L361" s="288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  <c r="AA361" s="288"/>
      <c r="AB361" s="288"/>
    </row>
    <row r="362" ht="15.75" customHeight="1">
      <c r="A362" s="288"/>
      <c r="B362" s="288"/>
      <c r="C362" s="288"/>
      <c r="D362" s="288"/>
      <c r="E362" s="288"/>
      <c r="F362" s="288"/>
      <c r="G362" s="288"/>
      <c r="H362" s="288"/>
      <c r="I362" s="288"/>
      <c r="J362" s="288"/>
      <c r="K362" s="288"/>
      <c r="L362" s="288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  <c r="AA362" s="288"/>
      <c r="AB362" s="288"/>
    </row>
    <row r="363" ht="15.75" customHeight="1">
      <c r="A363" s="288"/>
      <c r="B363" s="288"/>
      <c r="C363" s="288"/>
      <c r="D363" s="288"/>
      <c r="E363" s="288"/>
      <c r="F363" s="288"/>
      <c r="G363" s="288"/>
      <c r="H363" s="288"/>
      <c r="I363" s="288"/>
      <c r="J363" s="288"/>
      <c r="K363" s="288"/>
      <c r="L363" s="288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  <c r="AA363" s="288"/>
      <c r="AB363" s="288"/>
    </row>
    <row r="364" ht="15.75" customHeight="1">
      <c r="A364" s="288"/>
      <c r="B364" s="288"/>
      <c r="C364" s="288"/>
      <c r="D364" s="288"/>
      <c r="E364" s="288"/>
      <c r="F364" s="288"/>
      <c r="G364" s="288"/>
      <c r="H364" s="288"/>
      <c r="I364" s="288"/>
      <c r="J364" s="288"/>
      <c r="K364" s="288"/>
      <c r="L364" s="288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  <c r="AA364" s="288"/>
      <c r="AB364" s="288"/>
    </row>
    <row r="365" ht="15.75" customHeight="1">
      <c r="A365" s="288"/>
      <c r="B365" s="288"/>
      <c r="C365" s="288"/>
      <c r="D365" s="288"/>
      <c r="E365" s="288"/>
      <c r="F365" s="288"/>
      <c r="G365" s="288"/>
      <c r="H365" s="288"/>
      <c r="I365" s="288"/>
      <c r="J365" s="288"/>
      <c r="K365" s="288"/>
      <c r="L365" s="288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  <c r="AA365" s="288"/>
      <c r="AB365" s="288"/>
    </row>
    <row r="366" ht="15.75" customHeight="1">
      <c r="A366" s="288"/>
      <c r="B366" s="288"/>
      <c r="C366" s="288"/>
      <c r="D366" s="288"/>
      <c r="E366" s="288"/>
      <c r="F366" s="288"/>
      <c r="G366" s="288"/>
      <c r="H366" s="288"/>
      <c r="I366" s="288"/>
      <c r="J366" s="288"/>
      <c r="K366" s="288"/>
      <c r="L366" s="288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  <c r="AA366" s="288"/>
      <c r="AB366" s="288"/>
    </row>
    <row r="367" ht="15.75" customHeight="1">
      <c r="A367" s="288"/>
      <c r="B367" s="288"/>
      <c r="C367" s="288"/>
      <c r="D367" s="288"/>
      <c r="E367" s="288"/>
      <c r="F367" s="288"/>
      <c r="G367" s="288"/>
      <c r="H367" s="288"/>
      <c r="I367" s="288"/>
      <c r="J367" s="288"/>
      <c r="K367" s="288"/>
      <c r="L367" s="288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  <c r="AA367" s="288"/>
      <c r="AB367" s="288"/>
    </row>
    <row r="368" ht="15.75" customHeight="1">
      <c r="A368" s="288"/>
      <c r="B368" s="288"/>
      <c r="C368" s="288"/>
      <c r="D368" s="288"/>
      <c r="E368" s="288"/>
      <c r="F368" s="288"/>
      <c r="G368" s="288"/>
      <c r="H368" s="288"/>
      <c r="I368" s="288"/>
      <c r="J368" s="288"/>
      <c r="K368" s="288"/>
      <c r="L368" s="288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  <c r="AA368" s="288"/>
      <c r="AB368" s="288"/>
    </row>
    <row r="369" ht="15.75" customHeight="1">
      <c r="A369" s="288"/>
      <c r="B369" s="288"/>
      <c r="C369" s="288"/>
      <c r="D369" s="288"/>
      <c r="E369" s="288"/>
      <c r="F369" s="288"/>
      <c r="G369" s="288"/>
      <c r="H369" s="288"/>
      <c r="I369" s="288"/>
      <c r="J369" s="288"/>
      <c r="K369" s="288"/>
      <c r="L369" s="288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  <c r="AA369" s="288"/>
      <c r="AB369" s="288"/>
    </row>
    <row r="370" ht="15.75" customHeight="1">
      <c r="A370" s="288"/>
      <c r="B370" s="288"/>
      <c r="C370" s="288"/>
      <c r="D370" s="288"/>
      <c r="E370" s="288"/>
      <c r="F370" s="288"/>
      <c r="G370" s="288"/>
      <c r="H370" s="288"/>
      <c r="I370" s="288"/>
      <c r="J370" s="288"/>
      <c r="K370" s="288"/>
      <c r="L370" s="288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  <c r="AA370" s="288"/>
      <c r="AB370" s="288"/>
    </row>
    <row r="371" ht="15.75" customHeight="1">
      <c r="A371" s="288"/>
      <c r="B371" s="288"/>
      <c r="C371" s="288"/>
      <c r="D371" s="288"/>
      <c r="E371" s="288"/>
      <c r="F371" s="288"/>
      <c r="G371" s="288"/>
      <c r="H371" s="288"/>
      <c r="I371" s="288"/>
      <c r="J371" s="288"/>
      <c r="K371" s="288"/>
      <c r="L371" s="288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  <c r="AA371" s="288"/>
      <c r="AB371" s="288"/>
    </row>
    <row r="372" ht="15.75" customHeight="1">
      <c r="A372" s="288"/>
      <c r="B372" s="288"/>
      <c r="C372" s="288"/>
      <c r="D372" s="288"/>
      <c r="E372" s="288"/>
      <c r="F372" s="288"/>
      <c r="G372" s="288"/>
      <c r="H372" s="288"/>
      <c r="I372" s="288"/>
      <c r="J372" s="288"/>
      <c r="K372" s="288"/>
      <c r="L372" s="288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  <c r="AA372" s="288"/>
      <c r="AB372" s="288"/>
    </row>
    <row r="373" ht="15.75" customHeight="1">
      <c r="A373" s="288"/>
      <c r="B373" s="288"/>
      <c r="C373" s="288"/>
      <c r="D373" s="288"/>
      <c r="E373" s="288"/>
      <c r="F373" s="288"/>
      <c r="G373" s="288"/>
      <c r="H373" s="288"/>
      <c r="I373" s="288"/>
      <c r="J373" s="288"/>
      <c r="K373" s="288"/>
      <c r="L373" s="288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  <c r="AA373" s="288"/>
      <c r="AB373" s="288"/>
    </row>
    <row r="374" ht="15.75" customHeight="1">
      <c r="A374" s="288"/>
      <c r="B374" s="288"/>
      <c r="C374" s="288"/>
      <c r="D374" s="288"/>
      <c r="E374" s="288"/>
      <c r="F374" s="288"/>
      <c r="G374" s="288"/>
      <c r="H374" s="288"/>
      <c r="I374" s="288"/>
      <c r="J374" s="288"/>
      <c r="K374" s="288"/>
      <c r="L374" s="288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  <c r="AA374" s="288"/>
      <c r="AB374" s="288"/>
    </row>
    <row r="375" ht="15.75" customHeight="1">
      <c r="A375" s="288"/>
      <c r="B375" s="288"/>
      <c r="C375" s="288"/>
      <c r="D375" s="288"/>
      <c r="E375" s="288"/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  <c r="AA375" s="288"/>
      <c r="AB375" s="288"/>
    </row>
    <row r="376" ht="15.75" customHeight="1">
      <c r="A376" s="288"/>
      <c r="B376" s="288"/>
      <c r="C376" s="288"/>
      <c r="D376" s="288"/>
      <c r="E376" s="288"/>
      <c r="F376" s="288"/>
      <c r="G376" s="288"/>
      <c r="H376" s="288"/>
      <c r="I376" s="288"/>
      <c r="J376" s="288"/>
      <c r="K376" s="288"/>
      <c r="L376" s="288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  <c r="AA376" s="288"/>
      <c r="AB376" s="288"/>
    </row>
    <row r="377" ht="15.75" customHeight="1">
      <c r="A377" s="288"/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  <c r="AA377" s="288"/>
      <c r="AB377" s="288"/>
    </row>
    <row r="378" ht="15.75" customHeight="1">
      <c r="A378" s="288"/>
      <c r="B378" s="288"/>
      <c r="C378" s="288"/>
      <c r="D378" s="288"/>
      <c r="E378" s="288"/>
      <c r="F378" s="288"/>
      <c r="G378" s="288"/>
      <c r="H378" s="288"/>
      <c r="I378" s="288"/>
      <c r="J378" s="288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  <c r="AA378" s="288"/>
      <c r="AB378" s="288"/>
    </row>
    <row r="379" ht="15.75" customHeight="1">
      <c r="A379" s="288"/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  <c r="AA379" s="288"/>
      <c r="AB379" s="288"/>
    </row>
    <row r="380" ht="15.75" customHeight="1">
      <c r="A380" s="288"/>
      <c r="B380" s="288"/>
      <c r="C380" s="288"/>
      <c r="D380" s="288"/>
      <c r="E380" s="288"/>
      <c r="F380" s="288"/>
      <c r="G380" s="288"/>
      <c r="H380" s="288"/>
      <c r="I380" s="288"/>
      <c r="J380" s="288"/>
      <c r="K380" s="288"/>
      <c r="L380" s="288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  <c r="AA380" s="288"/>
      <c r="AB380" s="288"/>
    </row>
    <row r="381" ht="15.75" customHeight="1">
      <c r="A381" s="288"/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  <c r="AA381" s="288"/>
      <c r="AB381" s="288"/>
    </row>
    <row r="382" ht="15.75" customHeight="1">
      <c r="A382" s="288"/>
      <c r="B382" s="288"/>
      <c r="C382" s="288"/>
      <c r="D382" s="288"/>
      <c r="E382" s="288"/>
      <c r="F382" s="288"/>
      <c r="G382" s="288"/>
      <c r="H382" s="288"/>
      <c r="I382" s="288"/>
      <c r="J382" s="288"/>
      <c r="K382" s="288"/>
      <c r="L382" s="288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  <c r="AA382" s="288"/>
      <c r="AB382" s="288"/>
    </row>
    <row r="383" ht="15.75" customHeight="1">
      <c r="A383" s="288"/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  <c r="AA383" s="288"/>
      <c r="AB383" s="288"/>
    </row>
    <row r="384" ht="15.75" customHeight="1">
      <c r="A384" s="288"/>
      <c r="B384" s="288"/>
      <c r="C384" s="288"/>
      <c r="D384" s="288"/>
      <c r="E384" s="288"/>
      <c r="F384" s="288"/>
      <c r="G384" s="288"/>
      <c r="H384" s="288"/>
      <c r="I384" s="288"/>
      <c r="J384" s="288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  <c r="AA384" s="288"/>
      <c r="AB384" s="288"/>
    </row>
    <row r="385" ht="15.75" customHeight="1">
      <c r="A385" s="288"/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  <c r="AA385" s="288"/>
      <c r="AB385" s="288"/>
    </row>
    <row r="386" ht="15.75" customHeight="1">
      <c r="A386" s="288"/>
      <c r="B386" s="288"/>
      <c r="C386" s="288"/>
      <c r="D386" s="288"/>
      <c r="E386" s="288"/>
      <c r="F386" s="288"/>
      <c r="G386" s="288"/>
      <c r="H386" s="288"/>
      <c r="I386" s="288"/>
      <c r="J386" s="288"/>
      <c r="K386" s="288"/>
      <c r="L386" s="288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  <c r="AA386" s="288"/>
      <c r="AB386" s="288"/>
    </row>
    <row r="387" ht="15.75" customHeight="1">
      <c r="A387" s="288"/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  <c r="AA387" s="288"/>
      <c r="AB387" s="288"/>
    </row>
    <row r="388" ht="15.75" customHeight="1">
      <c r="A388" s="288"/>
      <c r="B388" s="288"/>
      <c r="C388" s="288"/>
      <c r="D388" s="288"/>
      <c r="E388" s="288"/>
      <c r="F388" s="288"/>
      <c r="G388" s="288"/>
      <c r="H388" s="288"/>
      <c r="I388" s="288"/>
      <c r="J388" s="288"/>
      <c r="K388" s="288"/>
      <c r="L388" s="288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  <c r="AA388" s="288"/>
      <c r="AB388" s="288"/>
    </row>
    <row r="389" ht="15.75" customHeight="1">
      <c r="A389" s="288"/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  <c r="AA389" s="288"/>
      <c r="AB389" s="288"/>
    </row>
    <row r="390" ht="15.75" customHeight="1">
      <c r="A390" s="288"/>
      <c r="B390" s="288"/>
      <c r="C390" s="288"/>
      <c r="D390" s="288"/>
      <c r="E390" s="288"/>
      <c r="F390" s="288"/>
      <c r="G390" s="288"/>
      <c r="H390" s="288"/>
      <c r="I390" s="288"/>
      <c r="J390" s="288"/>
      <c r="K390" s="288"/>
      <c r="L390" s="288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  <c r="AA390" s="288"/>
      <c r="AB390" s="288"/>
    </row>
    <row r="391" ht="15.75" customHeight="1">
      <c r="A391" s="288"/>
      <c r="B391" s="288"/>
      <c r="C391" s="288"/>
      <c r="D391" s="288"/>
      <c r="E391" s="288"/>
      <c r="F391" s="288"/>
      <c r="G391" s="288"/>
      <c r="H391" s="288"/>
      <c r="I391" s="288"/>
      <c r="J391" s="288"/>
      <c r="K391" s="288"/>
      <c r="L391" s="288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  <c r="AA391" s="288"/>
      <c r="AB391" s="288"/>
    </row>
    <row r="392" ht="15.75" customHeight="1">
      <c r="A392" s="288"/>
      <c r="B392" s="288"/>
      <c r="C392" s="288"/>
      <c r="D392" s="288"/>
      <c r="E392" s="288"/>
      <c r="F392" s="288"/>
      <c r="G392" s="288"/>
      <c r="H392" s="288"/>
      <c r="I392" s="288"/>
      <c r="J392" s="288"/>
      <c r="K392" s="288"/>
      <c r="L392" s="288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  <c r="AA392" s="288"/>
      <c r="AB392" s="288"/>
    </row>
    <row r="393" ht="15.75" customHeight="1">
      <c r="A393" s="288"/>
      <c r="B393" s="288"/>
      <c r="C393" s="288"/>
      <c r="D393" s="288"/>
      <c r="E393" s="288"/>
      <c r="F393" s="288"/>
      <c r="G393" s="288"/>
      <c r="H393" s="288"/>
      <c r="I393" s="288"/>
      <c r="J393" s="288"/>
      <c r="K393" s="288"/>
      <c r="L393" s="288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  <c r="AA393" s="288"/>
      <c r="AB393" s="288"/>
    </row>
    <row r="394" ht="15.75" customHeight="1">
      <c r="A394" s="288"/>
      <c r="B394" s="288"/>
      <c r="C394" s="288"/>
      <c r="D394" s="288"/>
      <c r="E394" s="288"/>
      <c r="F394" s="288"/>
      <c r="G394" s="288"/>
      <c r="H394" s="288"/>
      <c r="I394" s="288"/>
      <c r="J394" s="288"/>
      <c r="K394" s="288"/>
      <c r="L394" s="288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  <c r="AA394" s="288"/>
      <c r="AB394" s="288"/>
    </row>
    <row r="395" ht="15.75" customHeight="1">
      <c r="A395" s="288"/>
      <c r="B395" s="288"/>
      <c r="C395" s="288"/>
      <c r="D395" s="288"/>
      <c r="E395" s="288"/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  <c r="AA395" s="288"/>
      <c r="AB395" s="288"/>
    </row>
    <row r="396" ht="15.75" customHeight="1">
      <c r="A396" s="288"/>
      <c r="B396" s="288"/>
      <c r="C396" s="288"/>
      <c r="D396" s="288"/>
      <c r="E396" s="288"/>
      <c r="F396" s="288"/>
      <c r="G396" s="288"/>
      <c r="H396" s="288"/>
      <c r="I396" s="288"/>
      <c r="J396" s="288"/>
      <c r="K396" s="288"/>
      <c r="L396" s="288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  <c r="AA396" s="288"/>
      <c r="AB396" s="288"/>
    </row>
    <row r="397" ht="15.75" customHeight="1">
      <c r="A397" s="288"/>
      <c r="B397" s="288"/>
      <c r="C397" s="288"/>
      <c r="D397" s="288"/>
      <c r="E397" s="288"/>
      <c r="F397" s="288"/>
      <c r="G397" s="288"/>
      <c r="H397" s="288"/>
      <c r="I397" s="288"/>
      <c r="J397" s="288"/>
      <c r="K397" s="288"/>
      <c r="L397" s="288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  <c r="AA397" s="288"/>
      <c r="AB397" s="288"/>
    </row>
    <row r="398" ht="15.75" customHeight="1">
      <c r="A398" s="288"/>
      <c r="B398" s="288"/>
      <c r="C398" s="288"/>
      <c r="D398" s="288"/>
      <c r="E398" s="288"/>
      <c r="F398" s="288"/>
      <c r="G398" s="288"/>
      <c r="H398" s="288"/>
      <c r="I398" s="288"/>
      <c r="J398" s="288"/>
      <c r="K398" s="288"/>
      <c r="L398" s="288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  <c r="AA398" s="288"/>
      <c r="AB398" s="288"/>
    </row>
    <row r="399" ht="15.75" customHeight="1">
      <c r="A399" s="288"/>
      <c r="B399" s="288"/>
      <c r="C399" s="288"/>
      <c r="D399" s="288"/>
      <c r="E399" s="288"/>
      <c r="F399" s="288"/>
      <c r="G399" s="288"/>
      <c r="H399" s="288"/>
      <c r="I399" s="288"/>
      <c r="J399" s="288"/>
      <c r="K399" s="288"/>
      <c r="L399" s="288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  <c r="AA399" s="288"/>
      <c r="AB399" s="288"/>
    </row>
    <row r="400" ht="15.75" customHeight="1">
      <c r="A400" s="288"/>
      <c r="B400" s="288"/>
      <c r="C400" s="288"/>
      <c r="D400" s="288"/>
      <c r="E400" s="288"/>
      <c r="F400" s="288"/>
      <c r="G400" s="288"/>
      <c r="H400" s="288"/>
      <c r="I400" s="288"/>
      <c r="J400" s="288"/>
      <c r="K400" s="288"/>
      <c r="L400" s="288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  <c r="AA400" s="288"/>
      <c r="AB400" s="288"/>
    </row>
    <row r="401" ht="15.75" customHeight="1">
      <c r="A401" s="288"/>
      <c r="B401" s="288"/>
      <c r="C401" s="288"/>
      <c r="D401" s="288"/>
      <c r="E401" s="288"/>
      <c r="F401" s="288"/>
      <c r="G401" s="288"/>
      <c r="H401" s="288"/>
      <c r="I401" s="288"/>
      <c r="J401" s="288"/>
      <c r="K401" s="288"/>
      <c r="L401" s="288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  <c r="AA401" s="288"/>
      <c r="AB401" s="288"/>
    </row>
    <row r="402" ht="15.75" customHeight="1">
      <c r="A402" s="288"/>
      <c r="B402" s="288"/>
      <c r="C402" s="288"/>
      <c r="D402" s="288"/>
      <c r="E402" s="288"/>
      <c r="F402" s="288"/>
      <c r="G402" s="288"/>
      <c r="H402" s="288"/>
      <c r="I402" s="288"/>
      <c r="J402" s="288"/>
      <c r="K402" s="288"/>
      <c r="L402" s="288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  <c r="AA402" s="288"/>
      <c r="AB402" s="288"/>
    </row>
    <row r="403" ht="15.75" customHeight="1">
      <c r="A403" s="288"/>
      <c r="B403" s="288"/>
      <c r="C403" s="288"/>
      <c r="D403" s="288"/>
      <c r="E403" s="288"/>
      <c r="F403" s="288"/>
      <c r="G403" s="288"/>
      <c r="H403" s="288"/>
      <c r="I403" s="288"/>
      <c r="J403" s="288"/>
      <c r="K403" s="288"/>
      <c r="L403" s="288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  <c r="AA403" s="288"/>
      <c r="AB403" s="288"/>
    </row>
    <row r="404" ht="15.75" customHeight="1">
      <c r="A404" s="288"/>
      <c r="B404" s="288"/>
      <c r="C404" s="288"/>
      <c r="D404" s="288"/>
      <c r="E404" s="288"/>
      <c r="F404" s="288"/>
      <c r="G404" s="288"/>
      <c r="H404" s="288"/>
      <c r="I404" s="288"/>
      <c r="J404" s="288"/>
      <c r="K404" s="288"/>
      <c r="L404" s="288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  <c r="AA404" s="288"/>
      <c r="AB404" s="288"/>
    </row>
    <row r="405" ht="15.75" customHeight="1">
      <c r="A405" s="288"/>
      <c r="B405" s="288"/>
      <c r="C405" s="288"/>
      <c r="D405" s="288"/>
      <c r="E405" s="288"/>
      <c r="F405" s="288"/>
      <c r="G405" s="288"/>
      <c r="H405" s="288"/>
      <c r="I405" s="288"/>
      <c r="J405" s="288"/>
      <c r="K405" s="288"/>
      <c r="L405" s="288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  <c r="AA405" s="288"/>
      <c r="AB405" s="288"/>
    </row>
    <row r="406" ht="15.75" customHeight="1">
      <c r="A406" s="288"/>
      <c r="B406" s="288"/>
      <c r="C406" s="288"/>
      <c r="D406" s="288"/>
      <c r="E406" s="288"/>
      <c r="F406" s="288"/>
      <c r="G406" s="288"/>
      <c r="H406" s="288"/>
      <c r="I406" s="288"/>
      <c r="J406" s="288"/>
      <c r="K406" s="288"/>
      <c r="L406" s="288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  <c r="AA406" s="288"/>
      <c r="AB406" s="288"/>
    </row>
    <row r="407" ht="15.75" customHeight="1">
      <c r="A407" s="288"/>
      <c r="B407" s="288"/>
      <c r="C407" s="288"/>
      <c r="D407" s="288"/>
      <c r="E407" s="288"/>
      <c r="F407" s="288"/>
      <c r="G407" s="288"/>
      <c r="H407" s="288"/>
      <c r="I407" s="288"/>
      <c r="J407" s="288"/>
      <c r="K407" s="288"/>
      <c r="L407" s="288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  <c r="AA407" s="288"/>
      <c r="AB407" s="288"/>
    </row>
    <row r="408" ht="15.75" customHeight="1">
      <c r="A408" s="288"/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  <c r="AA408" s="288"/>
      <c r="AB408" s="288"/>
    </row>
    <row r="409" ht="15.75" customHeight="1">
      <c r="A409" s="288"/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  <c r="AA409" s="288"/>
      <c r="AB409" s="288"/>
    </row>
    <row r="410" ht="15.75" customHeight="1">
      <c r="A410" s="288"/>
      <c r="B410" s="288"/>
      <c r="C410" s="288"/>
      <c r="D410" s="288"/>
      <c r="E410" s="288"/>
      <c r="F410" s="288"/>
      <c r="G410" s="288"/>
      <c r="H410" s="288"/>
      <c r="I410" s="288"/>
      <c r="J410" s="288"/>
      <c r="K410" s="288"/>
      <c r="L410" s="288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  <c r="AA410" s="288"/>
      <c r="AB410" s="288"/>
    </row>
    <row r="411" ht="15.75" customHeight="1">
      <c r="A411" s="288"/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  <c r="AA411" s="288"/>
      <c r="AB411" s="288"/>
    </row>
    <row r="412" ht="15.75" customHeight="1">
      <c r="A412" s="288"/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  <c r="AA412" s="288"/>
      <c r="AB412" s="288"/>
    </row>
    <row r="413" ht="15.75" customHeight="1">
      <c r="A413" s="288"/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  <c r="AA413" s="288"/>
      <c r="AB413" s="288"/>
    </row>
    <row r="414" ht="15.75" customHeight="1">
      <c r="A414" s="288"/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  <c r="AA414" s="288"/>
      <c r="AB414" s="288"/>
    </row>
    <row r="415" ht="15.75" customHeight="1">
      <c r="A415" s="288"/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  <c r="AA415" s="288"/>
      <c r="AB415" s="288"/>
    </row>
    <row r="416" ht="15.75" customHeight="1">
      <c r="A416" s="288"/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  <c r="AA416" s="288"/>
      <c r="AB416" s="288"/>
    </row>
    <row r="417" ht="15.75" customHeight="1">
      <c r="A417" s="288"/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  <c r="AA417" s="288"/>
      <c r="AB417" s="288"/>
    </row>
    <row r="418" ht="15.75" customHeight="1">
      <c r="A418" s="288"/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  <c r="AA418" s="288"/>
      <c r="AB418" s="288"/>
    </row>
    <row r="419" ht="15.75" customHeight="1">
      <c r="A419" s="288"/>
      <c r="B419" s="288"/>
      <c r="C419" s="288"/>
      <c r="D419" s="288"/>
      <c r="E419" s="288"/>
      <c r="F419" s="288"/>
      <c r="G419" s="288"/>
      <c r="H419" s="288"/>
      <c r="I419" s="288"/>
      <c r="J419" s="288"/>
      <c r="K419" s="288"/>
      <c r="L419" s="288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  <c r="AA419" s="288"/>
      <c r="AB419" s="288"/>
    </row>
    <row r="420" ht="15.75" customHeight="1">
      <c r="A420" s="288"/>
      <c r="B420" s="288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  <c r="AA420" s="288"/>
      <c r="AB420" s="288"/>
    </row>
    <row r="421" ht="15.75" customHeight="1">
      <c r="A421" s="288"/>
      <c r="B421" s="288"/>
      <c r="C421" s="288"/>
      <c r="D421" s="288"/>
      <c r="E421" s="288"/>
      <c r="F421" s="288"/>
      <c r="G421" s="288"/>
      <c r="H421" s="288"/>
      <c r="I421" s="288"/>
      <c r="J421" s="288"/>
      <c r="K421" s="288"/>
      <c r="L421" s="288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  <c r="AA421" s="288"/>
      <c r="AB421" s="288"/>
    </row>
    <row r="422" ht="15.75" customHeight="1">
      <c r="A422" s="288"/>
      <c r="B422" s="288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  <c r="AA422" s="288"/>
      <c r="AB422" s="288"/>
    </row>
    <row r="423" ht="15.75" customHeight="1">
      <c r="A423" s="288"/>
      <c r="B423" s="288"/>
      <c r="C423" s="288"/>
      <c r="D423" s="288"/>
      <c r="E423" s="288"/>
      <c r="F423" s="288"/>
      <c r="G423" s="288"/>
      <c r="H423" s="288"/>
      <c r="I423" s="288"/>
      <c r="J423" s="288"/>
      <c r="K423" s="288"/>
      <c r="L423" s="288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  <c r="AA423" s="288"/>
      <c r="AB423" s="288"/>
    </row>
    <row r="424" ht="15.75" customHeight="1">
      <c r="A424" s="288"/>
      <c r="B424" s="288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  <c r="AA424" s="288"/>
      <c r="AB424" s="288"/>
    </row>
    <row r="425" ht="15.75" customHeight="1">
      <c r="A425" s="288"/>
      <c r="B425" s="288"/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  <c r="AA425" s="288"/>
      <c r="AB425" s="288"/>
    </row>
    <row r="426" ht="15.75" customHeight="1">
      <c r="A426" s="288"/>
      <c r="B426" s="288"/>
      <c r="C426" s="288"/>
      <c r="D426" s="288"/>
      <c r="E426" s="288"/>
      <c r="F426" s="288"/>
      <c r="G426" s="288"/>
      <c r="H426" s="288"/>
      <c r="I426" s="288"/>
      <c r="J426" s="288"/>
      <c r="K426" s="288"/>
      <c r="L426" s="288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  <c r="AA426" s="288"/>
      <c r="AB426" s="288"/>
    </row>
    <row r="427" ht="15.75" customHeight="1">
      <c r="A427" s="288"/>
      <c r="B427" s="288"/>
      <c r="C427" s="288"/>
      <c r="D427" s="288"/>
      <c r="E427" s="288"/>
      <c r="F427" s="288"/>
      <c r="G427" s="288"/>
      <c r="H427" s="288"/>
      <c r="I427" s="288"/>
      <c r="J427" s="288"/>
      <c r="K427" s="288"/>
      <c r="L427" s="288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  <c r="AA427" s="288"/>
      <c r="AB427" s="288"/>
    </row>
    <row r="428" ht="15.75" customHeight="1">
      <c r="A428" s="288"/>
      <c r="B428" s="288"/>
      <c r="C428" s="288"/>
      <c r="D428" s="288"/>
      <c r="E428" s="288"/>
      <c r="F428" s="288"/>
      <c r="G428" s="288"/>
      <c r="H428" s="288"/>
      <c r="I428" s="288"/>
      <c r="J428" s="288"/>
      <c r="K428" s="288"/>
      <c r="L428" s="288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  <c r="AA428" s="288"/>
      <c r="AB428" s="288"/>
    </row>
    <row r="429" ht="15.75" customHeight="1">
      <c r="A429" s="288"/>
      <c r="B429" s="288"/>
      <c r="C429" s="288"/>
      <c r="D429" s="288"/>
      <c r="E429" s="288"/>
      <c r="F429" s="288"/>
      <c r="G429" s="288"/>
      <c r="H429" s="288"/>
      <c r="I429" s="288"/>
      <c r="J429" s="288"/>
      <c r="K429" s="288"/>
      <c r="L429" s="288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  <c r="AA429" s="288"/>
      <c r="AB429" s="288"/>
    </row>
    <row r="430" ht="15.75" customHeight="1">
      <c r="A430" s="288"/>
      <c r="B430" s="288"/>
      <c r="C430" s="288"/>
      <c r="D430" s="288"/>
      <c r="E430" s="288"/>
      <c r="F430" s="288"/>
      <c r="G430" s="288"/>
      <c r="H430" s="288"/>
      <c r="I430" s="288"/>
      <c r="J430" s="288"/>
      <c r="K430" s="288"/>
      <c r="L430" s="288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  <c r="AA430" s="288"/>
      <c r="AB430" s="288"/>
    </row>
    <row r="431" ht="15.75" customHeight="1">
      <c r="A431" s="288"/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  <c r="AA431" s="288"/>
      <c r="AB431" s="288"/>
    </row>
    <row r="432" ht="15.75" customHeight="1">
      <c r="A432" s="288"/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  <c r="AA432" s="288"/>
      <c r="AB432" s="288"/>
    </row>
    <row r="433" ht="15.75" customHeight="1">
      <c r="A433" s="288"/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  <c r="AA433" s="288"/>
      <c r="AB433" s="288"/>
    </row>
    <row r="434" ht="15.75" customHeight="1">
      <c r="A434" s="288"/>
      <c r="B434" s="288"/>
      <c r="C434" s="288"/>
      <c r="D434" s="288"/>
      <c r="E434" s="288"/>
      <c r="F434" s="288"/>
      <c r="G434" s="288"/>
      <c r="H434" s="288"/>
      <c r="I434" s="288"/>
      <c r="J434" s="288"/>
      <c r="K434" s="288"/>
      <c r="L434" s="288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  <c r="AA434" s="288"/>
      <c r="AB434" s="288"/>
    </row>
    <row r="435" ht="15.75" customHeight="1">
      <c r="A435" s="288"/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  <c r="AA435" s="288"/>
      <c r="AB435" s="288"/>
    </row>
    <row r="436" ht="15.75" customHeight="1">
      <c r="A436" s="288"/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  <c r="AA436" s="288"/>
      <c r="AB436" s="288"/>
    </row>
    <row r="437" ht="15.75" customHeight="1">
      <c r="A437" s="288"/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  <c r="AA437" s="288"/>
      <c r="AB437" s="288"/>
    </row>
    <row r="438" ht="15.75" customHeight="1">
      <c r="A438" s="288"/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  <c r="AA438" s="288"/>
      <c r="AB438" s="288"/>
    </row>
    <row r="439" ht="15.75" customHeight="1">
      <c r="A439" s="288"/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  <c r="AA439" s="288"/>
      <c r="AB439" s="288"/>
    </row>
    <row r="440" ht="15.75" customHeight="1">
      <c r="A440" s="288"/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  <c r="AA440" s="288"/>
      <c r="AB440" s="288"/>
    </row>
    <row r="441" ht="15.75" customHeight="1">
      <c r="A441" s="288"/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  <c r="AA441" s="288"/>
      <c r="AB441" s="288"/>
    </row>
    <row r="442" ht="15.75" customHeight="1">
      <c r="A442" s="288"/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  <c r="AA442" s="288"/>
      <c r="AB442" s="288"/>
    </row>
    <row r="443" ht="15.75" customHeight="1">
      <c r="A443" s="288"/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  <c r="AA443" s="288"/>
      <c r="AB443" s="288"/>
    </row>
    <row r="444" ht="15.75" customHeight="1">
      <c r="A444" s="288"/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  <c r="AA444" s="288"/>
      <c r="AB444" s="288"/>
    </row>
    <row r="445" ht="15.75" customHeight="1">
      <c r="A445" s="288"/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  <c r="AA445" s="288"/>
      <c r="AB445" s="288"/>
    </row>
    <row r="446" ht="15.75" customHeight="1">
      <c r="A446" s="288"/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  <c r="AA446" s="288"/>
      <c r="AB446" s="288"/>
    </row>
    <row r="447" ht="15.75" customHeight="1">
      <c r="A447" s="288"/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  <c r="AA447" s="288"/>
      <c r="AB447" s="288"/>
    </row>
    <row r="448" ht="15.75" customHeight="1">
      <c r="A448" s="288"/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  <c r="AA448" s="288"/>
      <c r="AB448" s="288"/>
    </row>
    <row r="449" ht="15.75" customHeight="1">
      <c r="A449" s="288"/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  <c r="AA449" s="288"/>
      <c r="AB449" s="288"/>
    </row>
    <row r="450" ht="15.75" customHeight="1">
      <c r="A450" s="288"/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  <c r="AA450" s="288"/>
      <c r="AB450" s="288"/>
    </row>
    <row r="451" ht="15.75" customHeight="1">
      <c r="A451" s="288"/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  <c r="AA451" s="288"/>
      <c r="AB451" s="288"/>
    </row>
    <row r="452" ht="15.75" customHeight="1">
      <c r="A452" s="288"/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  <c r="AA452" s="288"/>
      <c r="AB452" s="288"/>
    </row>
    <row r="453" ht="15.75" customHeight="1">
      <c r="A453" s="288"/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  <c r="AA453" s="288"/>
      <c r="AB453" s="288"/>
    </row>
    <row r="454" ht="15.75" customHeight="1">
      <c r="A454" s="288"/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  <c r="AA454" s="288"/>
      <c r="AB454" s="288"/>
    </row>
    <row r="455" ht="15.75" customHeight="1">
      <c r="A455" s="288"/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  <c r="AA455" s="288"/>
      <c r="AB455" s="288"/>
    </row>
    <row r="456" ht="15.75" customHeight="1">
      <c r="A456" s="288"/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  <c r="AA456" s="288"/>
      <c r="AB456" s="288"/>
    </row>
    <row r="457" ht="15.75" customHeight="1">
      <c r="A457" s="288"/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  <c r="AA457" s="288"/>
      <c r="AB457" s="288"/>
    </row>
    <row r="458" ht="15.75" customHeight="1">
      <c r="A458" s="288"/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  <c r="AA458" s="288"/>
      <c r="AB458" s="288"/>
    </row>
    <row r="459" ht="15.75" customHeight="1">
      <c r="A459" s="288"/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  <c r="AA459" s="288"/>
      <c r="AB459" s="288"/>
    </row>
    <row r="460" ht="15.75" customHeight="1">
      <c r="A460" s="288"/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  <c r="AA460" s="288"/>
      <c r="AB460" s="288"/>
    </row>
    <row r="461" ht="15.75" customHeight="1">
      <c r="A461" s="288"/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  <c r="AA461" s="288"/>
      <c r="AB461" s="288"/>
    </row>
    <row r="462" ht="15.75" customHeight="1">
      <c r="A462" s="288"/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  <c r="AA462" s="288"/>
      <c r="AB462" s="288"/>
    </row>
    <row r="463" ht="15.75" customHeight="1">
      <c r="A463" s="288"/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  <c r="AA463" s="288"/>
      <c r="AB463" s="288"/>
    </row>
    <row r="464" ht="15.75" customHeight="1">
      <c r="A464" s="288"/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  <c r="AA464" s="288"/>
      <c r="AB464" s="288"/>
    </row>
    <row r="465" ht="15.75" customHeight="1">
      <c r="A465" s="288"/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  <c r="AA465" s="288"/>
      <c r="AB465" s="288"/>
    </row>
    <row r="466" ht="15.75" customHeight="1">
      <c r="A466" s="288"/>
      <c r="B466" s="288"/>
      <c r="C466" s="288"/>
      <c r="D466" s="288"/>
      <c r="E466" s="288"/>
      <c r="F466" s="288"/>
      <c r="G466" s="288"/>
      <c r="H466" s="288"/>
      <c r="I466" s="288"/>
      <c r="J466" s="288"/>
      <c r="K466" s="288"/>
      <c r="L466" s="288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  <c r="AA466" s="288"/>
      <c r="AB466" s="288"/>
    </row>
    <row r="467" ht="15.75" customHeight="1">
      <c r="A467" s="288"/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  <c r="AA467" s="288"/>
      <c r="AB467" s="288"/>
    </row>
    <row r="468" ht="15.75" customHeight="1">
      <c r="A468" s="288"/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  <c r="AA468" s="288"/>
      <c r="AB468" s="288"/>
    </row>
    <row r="469" ht="15.75" customHeight="1">
      <c r="A469" s="288"/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  <c r="AA469" s="288"/>
      <c r="AB469" s="288"/>
    </row>
    <row r="470" ht="15.75" customHeight="1">
      <c r="A470" s="288"/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  <c r="AA470" s="288"/>
      <c r="AB470" s="288"/>
    </row>
    <row r="471" ht="15.75" customHeight="1">
      <c r="A471" s="288"/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  <c r="AA471" s="288"/>
      <c r="AB471" s="288"/>
    </row>
    <row r="472" ht="15.75" customHeight="1">
      <c r="A472" s="288"/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  <c r="AA472" s="288"/>
      <c r="AB472" s="288"/>
    </row>
    <row r="473" ht="15.75" customHeight="1">
      <c r="A473" s="288"/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  <c r="AA473" s="288"/>
      <c r="AB473" s="288"/>
    </row>
    <row r="474" ht="15.75" customHeight="1">
      <c r="A474" s="288"/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  <c r="AA474" s="288"/>
      <c r="AB474" s="288"/>
    </row>
    <row r="475" ht="15.75" customHeight="1">
      <c r="A475" s="288"/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  <c r="AA475" s="288"/>
      <c r="AB475" s="288"/>
    </row>
    <row r="476" ht="15.75" customHeight="1">
      <c r="A476" s="288"/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  <c r="AA476" s="288"/>
      <c r="AB476" s="288"/>
    </row>
    <row r="477" ht="15.75" customHeight="1">
      <c r="A477" s="288"/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  <c r="AA477" s="288"/>
      <c r="AB477" s="288"/>
    </row>
    <row r="478" ht="15.75" customHeight="1">
      <c r="A478" s="288"/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  <c r="AA478" s="288"/>
      <c r="AB478" s="288"/>
    </row>
    <row r="479" ht="15.75" customHeight="1">
      <c r="A479" s="288"/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  <c r="AA479" s="288"/>
      <c r="AB479" s="288"/>
    </row>
    <row r="480" ht="15.75" customHeight="1">
      <c r="A480" s="288"/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  <c r="AA480" s="288"/>
      <c r="AB480" s="288"/>
    </row>
    <row r="481" ht="15.75" customHeight="1">
      <c r="A481" s="288"/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  <c r="AA481" s="288"/>
      <c r="AB481" s="288"/>
    </row>
    <row r="482" ht="15.75" customHeight="1">
      <c r="A482" s="288"/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  <c r="AA482" s="288"/>
      <c r="AB482" s="288"/>
    </row>
    <row r="483" ht="15.75" customHeight="1">
      <c r="A483" s="288"/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  <c r="AA483" s="288"/>
      <c r="AB483" s="288"/>
    </row>
    <row r="484" ht="15.75" customHeight="1">
      <c r="A484" s="288"/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  <c r="AA484" s="288"/>
      <c r="AB484" s="288"/>
    </row>
    <row r="485" ht="15.75" customHeight="1">
      <c r="A485" s="288"/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  <c r="AA485" s="288"/>
      <c r="AB485" s="288"/>
    </row>
    <row r="486" ht="15.75" customHeight="1">
      <c r="A486" s="288"/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  <c r="AA486" s="288"/>
      <c r="AB486" s="288"/>
    </row>
    <row r="487" ht="15.75" customHeight="1">
      <c r="A487" s="288"/>
      <c r="B487" s="288"/>
      <c r="C487" s="288"/>
      <c r="D487" s="288"/>
      <c r="E487" s="288"/>
      <c r="F487" s="288"/>
      <c r="G487" s="288"/>
      <c r="H487" s="288"/>
      <c r="I487" s="288"/>
      <c r="J487" s="288"/>
      <c r="K487" s="288"/>
      <c r="L487" s="288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  <c r="AA487" s="288"/>
      <c r="AB487" s="288"/>
    </row>
    <row r="488" ht="15.75" customHeight="1">
      <c r="A488" s="288"/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  <c r="AA488" s="288"/>
      <c r="AB488" s="288"/>
    </row>
    <row r="489" ht="15.75" customHeight="1">
      <c r="A489" s="288"/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  <c r="AA489" s="288"/>
      <c r="AB489" s="288"/>
    </row>
    <row r="490" ht="15.75" customHeight="1">
      <c r="A490" s="288"/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  <c r="AA490" s="288"/>
      <c r="AB490" s="288"/>
    </row>
    <row r="491" ht="15.75" customHeight="1">
      <c r="A491" s="288"/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  <c r="AA491" s="288"/>
      <c r="AB491" s="288"/>
    </row>
    <row r="492" ht="15.75" customHeight="1">
      <c r="A492" s="288"/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  <c r="AA492" s="288"/>
      <c r="AB492" s="288"/>
    </row>
    <row r="493" ht="15.75" customHeight="1">
      <c r="A493" s="288"/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  <c r="AA493" s="288"/>
      <c r="AB493" s="288"/>
    </row>
    <row r="494" ht="15.75" customHeight="1">
      <c r="A494" s="288"/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  <c r="AA494" s="288"/>
      <c r="AB494" s="288"/>
    </row>
    <row r="495" ht="15.75" customHeight="1">
      <c r="A495" s="288"/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  <c r="AA495" s="288"/>
      <c r="AB495" s="288"/>
    </row>
    <row r="496" ht="15.75" customHeight="1">
      <c r="A496" s="288"/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  <c r="AA496" s="288"/>
      <c r="AB496" s="288"/>
    </row>
    <row r="497" ht="15.75" customHeight="1">
      <c r="A497" s="288"/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  <c r="AA497" s="288"/>
      <c r="AB497" s="288"/>
    </row>
    <row r="498" ht="15.75" customHeight="1">
      <c r="A498" s="288"/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  <c r="AA498" s="288"/>
      <c r="AB498" s="288"/>
    </row>
    <row r="499" ht="15.75" customHeight="1">
      <c r="A499" s="288"/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  <c r="AA499" s="288"/>
      <c r="AB499" s="288"/>
    </row>
    <row r="500" ht="15.75" customHeight="1">
      <c r="A500" s="288"/>
      <c r="B500" s="288"/>
      <c r="C500" s="288"/>
      <c r="D500" s="288"/>
      <c r="E500" s="288"/>
      <c r="F500" s="288"/>
      <c r="G500" s="288"/>
      <c r="H500" s="288"/>
      <c r="I500" s="288"/>
      <c r="J500" s="288"/>
      <c r="K500" s="288"/>
      <c r="L500" s="288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  <c r="AA500" s="288"/>
      <c r="AB500" s="288"/>
    </row>
    <row r="501" ht="15.75" customHeight="1">
      <c r="A501" s="288"/>
      <c r="B501" s="288"/>
      <c r="C501" s="288"/>
      <c r="D501" s="288"/>
      <c r="E501" s="288"/>
      <c r="F501" s="288"/>
      <c r="G501" s="288"/>
      <c r="H501" s="288"/>
      <c r="I501" s="288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  <c r="AA501" s="288"/>
      <c r="AB501" s="288"/>
    </row>
    <row r="502" ht="15.75" customHeight="1">
      <c r="A502" s="288"/>
      <c r="B502" s="288"/>
      <c r="C502" s="288"/>
      <c r="D502" s="288"/>
      <c r="E502" s="288"/>
      <c r="F502" s="288"/>
      <c r="G502" s="288"/>
      <c r="H502" s="288"/>
      <c r="I502" s="288"/>
      <c r="J502" s="288"/>
      <c r="K502" s="288"/>
      <c r="L502" s="288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  <c r="AA502" s="288"/>
      <c r="AB502" s="288"/>
    </row>
    <row r="503" ht="15.75" customHeight="1">
      <c r="A503" s="288"/>
      <c r="B503" s="288"/>
      <c r="C503" s="288"/>
      <c r="D503" s="288"/>
      <c r="E503" s="288"/>
      <c r="F503" s="288"/>
      <c r="G503" s="288"/>
      <c r="H503" s="288"/>
      <c r="I503" s="288"/>
      <c r="J503" s="288"/>
      <c r="K503" s="288"/>
      <c r="L503" s="288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  <c r="AA503" s="288"/>
      <c r="AB503" s="288"/>
    </row>
    <row r="504" ht="15.75" customHeight="1">
      <c r="A504" s="288"/>
      <c r="B504" s="288"/>
      <c r="C504" s="288"/>
      <c r="D504" s="288"/>
      <c r="E504" s="288"/>
      <c r="F504" s="288"/>
      <c r="G504" s="288"/>
      <c r="H504" s="288"/>
      <c r="I504" s="288"/>
      <c r="J504" s="288"/>
      <c r="K504" s="288"/>
      <c r="L504" s="288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  <c r="AA504" s="288"/>
      <c r="AB504" s="288"/>
    </row>
    <row r="505" ht="15.75" customHeight="1">
      <c r="A505" s="288"/>
      <c r="B505" s="288"/>
      <c r="C505" s="288"/>
      <c r="D505" s="288"/>
      <c r="E505" s="288"/>
      <c r="F505" s="288"/>
      <c r="G505" s="288"/>
      <c r="H505" s="288"/>
      <c r="I505" s="288"/>
      <c r="J505" s="288"/>
      <c r="K505" s="288"/>
      <c r="L505" s="288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  <c r="AA505" s="288"/>
      <c r="AB505" s="288"/>
    </row>
    <row r="506" ht="15.75" customHeight="1">
      <c r="A506" s="288"/>
      <c r="B506" s="288"/>
      <c r="C506" s="288"/>
      <c r="D506" s="288"/>
      <c r="E506" s="288"/>
      <c r="F506" s="288"/>
      <c r="G506" s="288"/>
      <c r="H506" s="288"/>
      <c r="I506" s="288"/>
      <c r="J506" s="288"/>
      <c r="K506" s="288"/>
      <c r="L506" s="288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  <c r="AA506" s="288"/>
      <c r="AB506" s="288"/>
    </row>
    <row r="507" ht="15.75" customHeight="1">
      <c r="A507" s="288"/>
      <c r="B507" s="288"/>
      <c r="C507" s="288"/>
      <c r="D507" s="288"/>
      <c r="E507" s="288"/>
      <c r="F507" s="288"/>
      <c r="G507" s="288"/>
      <c r="H507" s="288"/>
      <c r="I507" s="288"/>
      <c r="J507" s="288"/>
      <c r="K507" s="288"/>
      <c r="L507" s="288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  <c r="AA507" s="288"/>
      <c r="AB507" s="288"/>
    </row>
    <row r="508" ht="15.75" customHeight="1">
      <c r="A508" s="288"/>
      <c r="B508" s="288"/>
      <c r="C508" s="288"/>
      <c r="D508" s="288"/>
      <c r="E508" s="288"/>
      <c r="F508" s="288"/>
      <c r="G508" s="288"/>
      <c r="H508" s="288"/>
      <c r="I508" s="288"/>
      <c r="J508" s="288"/>
      <c r="K508" s="288"/>
      <c r="L508" s="288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  <c r="AA508" s="288"/>
      <c r="AB508" s="288"/>
    </row>
    <row r="509" ht="15.75" customHeight="1">
      <c r="A509" s="288"/>
      <c r="B509" s="288"/>
      <c r="C509" s="288"/>
      <c r="D509" s="288"/>
      <c r="E509" s="288"/>
      <c r="F509" s="288"/>
      <c r="G509" s="288"/>
      <c r="H509" s="288"/>
      <c r="I509" s="288"/>
      <c r="J509" s="288"/>
      <c r="K509" s="288"/>
      <c r="L509" s="288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  <c r="AA509" s="288"/>
      <c r="AB509" s="288"/>
    </row>
    <row r="510" ht="15.75" customHeight="1">
      <c r="A510" s="288"/>
      <c r="B510" s="288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  <c r="AA510" s="288"/>
      <c r="AB510" s="288"/>
    </row>
    <row r="511" ht="15.75" customHeight="1">
      <c r="A511" s="288"/>
      <c r="B511" s="288"/>
      <c r="C511" s="288"/>
      <c r="D511" s="288"/>
      <c r="E511" s="288"/>
      <c r="F511" s="288"/>
      <c r="G511" s="288"/>
      <c r="H511" s="288"/>
      <c r="I511" s="288"/>
      <c r="J511" s="288"/>
      <c r="K511" s="288"/>
      <c r="L511" s="288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  <c r="AA511" s="288"/>
      <c r="AB511" s="288"/>
    </row>
    <row r="512" ht="15.75" customHeight="1">
      <c r="A512" s="288"/>
      <c r="B512" s="288"/>
      <c r="C512" s="288"/>
      <c r="D512" s="288"/>
      <c r="E512" s="288"/>
      <c r="F512" s="288"/>
      <c r="G512" s="288"/>
      <c r="H512" s="288"/>
      <c r="I512" s="288"/>
      <c r="J512" s="288"/>
      <c r="K512" s="288"/>
      <c r="L512" s="288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  <c r="AA512" s="288"/>
      <c r="AB512" s="288"/>
    </row>
    <row r="513" ht="15.75" customHeight="1">
      <c r="A513" s="288"/>
      <c r="B513" s="288"/>
      <c r="C513" s="288"/>
      <c r="D513" s="288"/>
      <c r="E513" s="288"/>
      <c r="F513" s="288"/>
      <c r="G513" s="288"/>
      <c r="H513" s="288"/>
      <c r="I513" s="288"/>
      <c r="J513" s="288"/>
      <c r="K513" s="288"/>
      <c r="L513" s="288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  <c r="AA513" s="288"/>
      <c r="AB513" s="288"/>
    </row>
    <row r="514" ht="15.75" customHeight="1">
      <c r="A514" s="288"/>
      <c r="B514" s="288"/>
      <c r="C514" s="288"/>
      <c r="D514" s="288"/>
      <c r="E514" s="288"/>
      <c r="F514" s="288"/>
      <c r="G514" s="288"/>
      <c r="H514" s="288"/>
      <c r="I514" s="288"/>
      <c r="J514" s="288"/>
      <c r="K514" s="288"/>
      <c r="L514" s="288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  <c r="AA514" s="288"/>
      <c r="AB514" s="288"/>
    </row>
    <row r="515" ht="15.75" customHeight="1">
      <c r="A515" s="288"/>
      <c r="B515" s="288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  <c r="AA515" s="288"/>
      <c r="AB515" s="288"/>
    </row>
    <row r="516" ht="15.75" customHeight="1">
      <c r="A516" s="288"/>
      <c r="B516" s="288"/>
      <c r="C516" s="288"/>
      <c r="D516" s="288"/>
      <c r="E516" s="288"/>
      <c r="F516" s="288"/>
      <c r="G516" s="288"/>
      <c r="H516" s="288"/>
      <c r="I516" s="288"/>
      <c r="J516" s="288"/>
      <c r="K516" s="288"/>
      <c r="L516" s="288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  <c r="AA516" s="288"/>
      <c r="AB516" s="288"/>
    </row>
    <row r="517" ht="15.75" customHeight="1">
      <c r="A517" s="288"/>
      <c r="B517" s="288"/>
      <c r="C517" s="288"/>
      <c r="D517" s="288"/>
      <c r="E517" s="288"/>
      <c r="F517" s="288"/>
      <c r="G517" s="288"/>
      <c r="H517" s="288"/>
      <c r="I517" s="288"/>
      <c r="J517" s="288"/>
      <c r="K517" s="288"/>
      <c r="L517" s="288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  <c r="AA517" s="288"/>
      <c r="AB517" s="288"/>
    </row>
    <row r="518" ht="15.75" customHeight="1">
      <c r="A518" s="288"/>
      <c r="B518" s="288"/>
      <c r="C518" s="288"/>
      <c r="D518" s="288"/>
      <c r="E518" s="288"/>
      <c r="F518" s="288"/>
      <c r="G518" s="288"/>
      <c r="H518" s="288"/>
      <c r="I518" s="288"/>
      <c r="J518" s="288"/>
      <c r="K518" s="288"/>
      <c r="L518" s="288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  <c r="AA518" s="288"/>
      <c r="AB518" s="288"/>
    </row>
    <row r="519" ht="15.75" customHeight="1">
      <c r="A519" s="288"/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8"/>
      <c r="AB519" s="288"/>
    </row>
    <row r="520" ht="15.75" customHeight="1">
      <c r="A520" s="288"/>
      <c r="B520" s="288"/>
      <c r="C520" s="288"/>
      <c r="D520" s="288"/>
      <c r="E520" s="288"/>
      <c r="F520" s="288"/>
      <c r="G520" s="288"/>
      <c r="H520" s="288"/>
      <c r="I520" s="288"/>
      <c r="J520" s="288"/>
      <c r="K520" s="288"/>
      <c r="L520" s="288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  <c r="AA520" s="288"/>
      <c r="AB520" s="288"/>
    </row>
    <row r="521" ht="15.75" customHeight="1">
      <c r="A521" s="288"/>
      <c r="B521" s="288"/>
      <c r="C521" s="288"/>
      <c r="D521" s="288"/>
      <c r="E521" s="288"/>
      <c r="F521" s="288"/>
      <c r="G521" s="288"/>
      <c r="H521" s="288"/>
      <c r="I521" s="288"/>
      <c r="J521" s="288"/>
      <c r="K521" s="288"/>
      <c r="L521" s="288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  <c r="AA521" s="288"/>
      <c r="AB521" s="288"/>
    </row>
    <row r="522" ht="15.75" customHeight="1">
      <c r="A522" s="288"/>
      <c r="B522" s="288"/>
      <c r="C522" s="288"/>
      <c r="D522" s="288"/>
      <c r="E522" s="288"/>
      <c r="F522" s="288"/>
      <c r="G522" s="288"/>
      <c r="H522" s="288"/>
      <c r="I522" s="288"/>
      <c r="J522" s="288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  <c r="AA522" s="288"/>
      <c r="AB522" s="288"/>
    </row>
    <row r="523" ht="15.75" customHeight="1">
      <c r="A523" s="288"/>
      <c r="B523" s="288"/>
      <c r="C523" s="288"/>
      <c r="D523" s="288"/>
      <c r="E523" s="288"/>
      <c r="F523" s="288"/>
      <c r="G523" s="288"/>
      <c r="H523" s="288"/>
      <c r="I523" s="288"/>
      <c r="J523" s="288"/>
      <c r="K523" s="288"/>
      <c r="L523" s="288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  <c r="AA523" s="288"/>
      <c r="AB523" s="288"/>
    </row>
    <row r="524" ht="15.75" customHeight="1">
      <c r="A524" s="288"/>
      <c r="B524" s="288"/>
      <c r="C524" s="288"/>
      <c r="D524" s="288"/>
      <c r="E524" s="288"/>
      <c r="F524" s="288"/>
      <c r="G524" s="288"/>
      <c r="H524" s="288"/>
      <c r="I524" s="288"/>
      <c r="J524" s="288"/>
      <c r="K524" s="288"/>
      <c r="L524" s="288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  <c r="AA524" s="288"/>
      <c r="AB524" s="288"/>
    </row>
    <row r="525" ht="15.75" customHeight="1">
      <c r="A525" s="288"/>
      <c r="B525" s="288"/>
      <c r="C525" s="288"/>
      <c r="D525" s="288"/>
      <c r="E525" s="288"/>
      <c r="F525" s="288"/>
      <c r="G525" s="288"/>
      <c r="H525" s="288"/>
      <c r="I525" s="288"/>
      <c r="J525" s="288"/>
      <c r="K525" s="288"/>
      <c r="L525" s="288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  <c r="AA525" s="288"/>
      <c r="AB525" s="288"/>
    </row>
    <row r="526" ht="15.75" customHeight="1">
      <c r="A526" s="288"/>
      <c r="B526" s="288"/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  <c r="AA526" s="288"/>
      <c r="AB526" s="288"/>
    </row>
    <row r="527" ht="15.75" customHeight="1">
      <c r="A527" s="288"/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  <c r="AA527" s="288"/>
      <c r="AB527" s="288"/>
    </row>
    <row r="528" ht="15.75" customHeight="1">
      <c r="A528" s="288"/>
      <c r="B528" s="288"/>
      <c r="C528" s="288"/>
      <c r="D528" s="288"/>
      <c r="E528" s="288"/>
      <c r="F528" s="288"/>
      <c r="G528" s="288"/>
      <c r="H528" s="288"/>
      <c r="I528" s="288"/>
      <c r="J528" s="288"/>
      <c r="K528" s="288"/>
      <c r="L528" s="288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  <c r="AA528" s="288"/>
      <c r="AB528" s="288"/>
    </row>
    <row r="529" ht="15.75" customHeight="1">
      <c r="A529" s="288"/>
      <c r="B529" s="288"/>
      <c r="C529" s="288"/>
      <c r="D529" s="288"/>
      <c r="E529" s="288"/>
      <c r="F529" s="288"/>
      <c r="G529" s="288"/>
      <c r="H529" s="288"/>
      <c r="I529" s="288"/>
      <c r="J529" s="288"/>
      <c r="K529" s="288"/>
      <c r="L529" s="288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  <c r="AA529" s="288"/>
      <c r="AB529" s="288"/>
    </row>
    <row r="530" ht="15.75" customHeight="1">
      <c r="A530" s="288"/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  <c r="AA530" s="288"/>
      <c r="AB530" s="288"/>
    </row>
    <row r="531" ht="15.75" customHeight="1">
      <c r="A531" s="288"/>
      <c r="B531" s="288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  <c r="AA531" s="288"/>
      <c r="AB531" s="288"/>
    </row>
    <row r="532" ht="15.75" customHeight="1">
      <c r="A532" s="288"/>
      <c r="B532" s="288"/>
      <c r="C532" s="288"/>
      <c r="D532" s="288"/>
      <c r="E532" s="288"/>
      <c r="F532" s="288"/>
      <c r="G532" s="288"/>
      <c r="H532" s="288"/>
      <c r="I532" s="288"/>
      <c r="J532" s="288"/>
      <c r="K532" s="288"/>
      <c r="L532" s="288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  <c r="AA532" s="288"/>
      <c r="AB532" s="288"/>
    </row>
    <row r="533" ht="15.75" customHeight="1">
      <c r="A533" s="288"/>
      <c r="B533" s="288"/>
      <c r="C533" s="288"/>
      <c r="D533" s="288"/>
      <c r="E533" s="288"/>
      <c r="F533" s="288"/>
      <c r="G533" s="288"/>
      <c r="H533" s="288"/>
      <c r="I533" s="288"/>
      <c r="J533" s="288"/>
      <c r="K533" s="288"/>
      <c r="L533" s="288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  <c r="AA533" s="288"/>
      <c r="AB533" s="288"/>
    </row>
    <row r="534" ht="15.75" customHeight="1">
      <c r="A534" s="288"/>
      <c r="B534" s="288"/>
      <c r="C534" s="288"/>
      <c r="D534" s="288"/>
      <c r="E534" s="288"/>
      <c r="F534" s="288"/>
      <c r="G534" s="288"/>
      <c r="H534" s="288"/>
      <c r="I534" s="288"/>
      <c r="J534" s="288"/>
      <c r="K534" s="288"/>
      <c r="L534" s="288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  <c r="AA534" s="288"/>
      <c r="AB534" s="288"/>
    </row>
    <row r="535" ht="15.75" customHeight="1">
      <c r="A535" s="288"/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</row>
    <row r="536" ht="15.75" customHeight="1">
      <c r="A536" s="288"/>
      <c r="B536" s="288"/>
      <c r="C536" s="288"/>
      <c r="D536" s="288"/>
      <c r="E536" s="288"/>
      <c r="F536" s="288"/>
      <c r="G536" s="288"/>
      <c r="H536" s="288"/>
      <c r="I536" s="288"/>
      <c r="J536" s="288"/>
      <c r="K536" s="288"/>
      <c r="L536" s="288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  <c r="AA536" s="288"/>
      <c r="AB536" s="288"/>
    </row>
    <row r="537" ht="15.75" customHeight="1">
      <c r="A537" s="288"/>
      <c r="B537" s="288"/>
      <c r="C537" s="288"/>
      <c r="D537" s="288"/>
      <c r="E537" s="288"/>
      <c r="F537" s="288"/>
      <c r="G537" s="288"/>
      <c r="H537" s="288"/>
      <c r="I537" s="288"/>
      <c r="J537" s="288"/>
      <c r="K537" s="288"/>
      <c r="L537" s="288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  <c r="AA537" s="288"/>
      <c r="AB537" s="288"/>
    </row>
    <row r="538" ht="15.75" customHeight="1">
      <c r="A538" s="288"/>
      <c r="B538" s="288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  <c r="AA538" s="288"/>
      <c r="AB538" s="288"/>
    </row>
    <row r="539" ht="15.75" customHeight="1">
      <c r="A539" s="288"/>
      <c r="B539" s="288"/>
      <c r="C539" s="288"/>
      <c r="D539" s="288"/>
      <c r="E539" s="288"/>
      <c r="F539" s="288"/>
      <c r="G539" s="288"/>
      <c r="H539" s="288"/>
      <c r="I539" s="288"/>
      <c r="J539" s="288"/>
      <c r="K539" s="288"/>
      <c r="L539" s="288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  <c r="AA539" s="288"/>
      <c r="AB539" s="288"/>
    </row>
    <row r="540" ht="15.75" customHeight="1">
      <c r="A540" s="288"/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  <c r="AA540" s="288"/>
      <c r="AB540" s="288"/>
    </row>
    <row r="541" ht="15.75" customHeight="1">
      <c r="A541" s="288"/>
      <c r="B541" s="288"/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  <c r="AA541" s="288"/>
      <c r="AB541" s="288"/>
    </row>
    <row r="542" ht="15.75" customHeight="1">
      <c r="A542" s="288"/>
      <c r="B542" s="288"/>
      <c r="C542" s="288"/>
      <c r="D542" s="288"/>
      <c r="E542" s="288"/>
      <c r="F542" s="288"/>
      <c r="G542" s="288"/>
      <c r="H542" s="288"/>
      <c r="I542" s="288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  <c r="AA542" s="288"/>
      <c r="AB542" s="288"/>
    </row>
    <row r="543" ht="15.75" customHeight="1">
      <c r="A543" s="288"/>
      <c r="B543" s="288"/>
      <c r="C543" s="288"/>
      <c r="D543" s="288"/>
      <c r="E543" s="288"/>
      <c r="F543" s="288"/>
      <c r="G543" s="288"/>
      <c r="H543" s="288"/>
      <c r="I543" s="288"/>
      <c r="J543" s="288"/>
      <c r="K543" s="288"/>
      <c r="L543" s="288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  <c r="AA543" s="288"/>
      <c r="AB543" s="288"/>
    </row>
    <row r="544" ht="15.75" customHeight="1">
      <c r="A544" s="288"/>
      <c r="B544" s="288"/>
      <c r="C544" s="288"/>
      <c r="D544" s="288"/>
      <c r="E544" s="288"/>
      <c r="F544" s="288"/>
      <c r="G544" s="288"/>
      <c r="H544" s="288"/>
      <c r="I544" s="288"/>
      <c r="J544" s="288"/>
      <c r="K544" s="288"/>
      <c r="L544" s="288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  <c r="AA544" s="288"/>
      <c r="AB544" s="288"/>
    </row>
    <row r="545" ht="15.75" customHeight="1">
      <c r="A545" s="288"/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</row>
    <row r="546" ht="15.75" customHeight="1">
      <c r="A546" s="288"/>
      <c r="B546" s="288"/>
      <c r="C546" s="288"/>
      <c r="D546" s="288"/>
      <c r="E546" s="288"/>
      <c r="F546" s="288"/>
      <c r="G546" s="288"/>
      <c r="H546" s="288"/>
      <c r="I546" s="288"/>
      <c r="J546" s="288"/>
      <c r="K546" s="288"/>
      <c r="L546" s="288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  <c r="AA546" s="288"/>
      <c r="AB546" s="288"/>
    </row>
    <row r="547" ht="15.75" customHeight="1">
      <c r="A547" s="288"/>
      <c r="B547" s="288"/>
      <c r="C547" s="288"/>
      <c r="D547" s="288"/>
      <c r="E547" s="288"/>
      <c r="F547" s="288"/>
      <c r="G547" s="288"/>
      <c r="H547" s="288"/>
      <c r="I547" s="288"/>
      <c r="J547" s="288"/>
      <c r="K547" s="288"/>
      <c r="L547" s="288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  <c r="AA547" s="288"/>
      <c r="AB547" s="288"/>
    </row>
    <row r="548" ht="15.75" customHeight="1">
      <c r="A548" s="288"/>
      <c r="B548" s="288"/>
      <c r="C548" s="288"/>
      <c r="D548" s="288"/>
      <c r="E548" s="288"/>
      <c r="F548" s="288"/>
      <c r="G548" s="288"/>
      <c r="H548" s="288"/>
      <c r="I548" s="288"/>
      <c r="J548" s="288"/>
      <c r="K548" s="288"/>
      <c r="L548" s="288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  <c r="AA548" s="288"/>
      <c r="AB548" s="288"/>
    </row>
    <row r="549" ht="15.75" customHeight="1">
      <c r="A549" s="288"/>
      <c r="B549" s="288"/>
      <c r="C549" s="288"/>
      <c r="D549" s="288"/>
      <c r="E549" s="288"/>
      <c r="F549" s="288"/>
      <c r="G549" s="288"/>
      <c r="H549" s="288"/>
      <c r="I549" s="288"/>
      <c r="J549" s="288"/>
      <c r="K549" s="288"/>
      <c r="L549" s="288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  <c r="AA549" s="288"/>
      <c r="AB549" s="288"/>
    </row>
    <row r="550" ht="15.75" customHeight="1">
      <c r="A550" s="288"/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</row>
    <row r="551" ht="15.75" customHeight="1">
      <c r="A551" s="288"/>
      <c r="B551" s="288"/>
      <c r="C551" s="288"/>
      <c r="D551" s="288"/>
      <c r="E551" s="288"/>
      <c r="F551" s="288"/>
      <c r="G551" s="288"/>
      <c r="H551" s="288"/>
      <c r="I551" s="288"/>
      <c r="J551" s="288"/>
      <c r="K551" s="288"/>
      <c r="L551" s="288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  <c r="AA551" s="288"/>
      <c r="AB551" s="288"/>
    </row>
    <row r="552" ht="15.75" customHeight="1">
      <c r="A552" s="288"/>
      <c r="B552" s="288"/>
      <c r="C552" s="288"/>
      <c r="D552" s="288"/>
      <c r="E552" s="288"/>
      <c r="F552" s="288"/>
      <c r="G552" s="288"/>
      <c r="H552" s="288"/>
      <c r="I552" s="288"/>
      <c r="J552" s="288"/>
      <c r="K552" s="288"/>
      <c r="L552" s="288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  <c r="AA552" s="288"/>
      <c r="AB552" s="288"/>
    </row>
    <row r="553" ht="15.75" customHeight="1">
      <c r="A553" s="288"/>
      <c r="B553" s="288"/>
      <c r="C553" s="288"/>
      <c r="D553" s="288"/>
      <c r="E553" s="288"/>
      <c r="F553" s="288"/>
      <c r="G553" s="288"/>
      <c r="H553" s="288"/>
      <c r="I553" s="288"/>
      <c r="J553" s="288"/>
      <c r="K553" s="288"/>
      <c r="L553" s="288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  <c r="AA553" s="288"/>
      <c r="AB553" s="288"/>
    </row>
    <row r="554" ht="15.75" customHeight="1">
      <c r="A554" s="288"/>
      <c r="B554" s="288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  <c r="AA554" s="288"/>
      <c r="AB554" s="288"/>
    </row>
    <row r="555" ht="15.75" customHeight="1">
      <c r="A555" s="288"/>
      <c r="B555" s="288"/>
      <c r="C555" s="288"/>
      <c r="D555" s="288"/>
      <c r="E555" s="288"/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  <c r="AA555" s="288"/>
      <c r="AB555" s="288"/>
    </row>
    <row r="556" ht="15.75" customHeight="1">
      <c r="A556" s="288"/>
      <c r="B556" s="288"/>
      <c r="C556" s="288"/>
      <c r="D556" s="288"/>
      <c r="E556" s="288"/>
      <c r="F556" s="288"/>
      <c r="G556" s="288"/>
      <c r="H556" s="288"/>
      <c r="I556" s="288"/>
      <c r="J556" s="288"/>
      <c r="K556" s="288"/>
      <c r="L556" s="288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  <c r="AA556" s="288"/>
      <c r="AB556" s="288"/>
    </row>
    <row r="557" ht="15.75" customHeight="1">
      <c r="A557" s="288"/>
      <c r="B557" s="288"/>
      <c r="C557" s="288"/>
      <c r="D557" s="288"/>
      <c r="E557" s="288"/>
      <c r="F557" s="288"/>
      <c r="G557" s="288"/>
      <c r="H557" s="288"/>
      <c r="I557" s="288"/>
      <c r="J557" s="288"/>
      <c r="K557" s="288"/>
      <c r="L557" s="288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  <c r="AA557" s="288"/>
      <c r="AB557" s="288"/>
    </row>
    <row r="558" ht="15.75" customHeight="1">
      <c r="A558" s="288"/>
      <c r="B558" s="288"/>
      <c r="C558" s="288"/>
      <c r="D558" s="288"/>
      <c r="E558" s="288"/>
      <c r="F558" s="288"/>
      <c r="G558" s="288"/>
      <c r="H558" s="288"/>
      <c r="I558" s="288"/>
      <c r="J558" s="288"/>
      <c r="K558" s="288"/>
      <c r="L558" s="288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  <c r="AA558" s="288"/>
      <c r="AB558" s="288"/>
    </row>
    <row r="559" ht="15.75" customHeight="1">
      <c r="A559" s="288"/>
      <c r="B559" s="288"/>
      <c r="C559" s="288"/>
      <c r="D559" s="288"/>
      <c r="E559" s="288"/>
      <c r="F559" s="288"/>
      <c r="G559" s="288"/>
      <c r="H559" s="288"/>
      <c r="I559" s="288"/>
      <c r="J559" s="288"/>
      <c r="K559" s="288"/>
      <c r="L559" s="288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  <c r="AA559" s="288"/>
      <c r="AB559" s="288"/>
    </row>
    <row r="560" ht="15.75" customHeight="1">
      <c r="A560" s="288"/>
      <c r="B560" s="288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  <c r="AA560" s="288"/>
      <c r="AB560" s="288"/>
    </row>
    <row r="561" ht="15.75" customHeight="1">
      <c r="A561" s="288"/>
      <c r="B561" s="288"/>
      <c r="C561" s="288"/>
      <c r="D561" s="288"/>
      <c r="E561" s="288"/>
      <c r="F561" s="288"/>
      <c r="G561" s="288"/>
      <c r="H561" s="288"/>
      <c r="I561" s="288"/>
      <c r="J561" s="288"/>
      <c r="K561" s="288"/>
      <c r="L561" s="288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  <c r="AA561" s="288"/>
      <c r="AB561" s="288"/>
    </row>
    <row r="562" ht="15.75" customHeight="1">
      <c r="A562" s="288"/>
      <c r="B562" s="288"/>
      <c r="C562" s="288"/>
      <c r="D562" s="288"/>
      <c r="E562" s="288"/>
      <c r="F562" s="288"/>
      <c r="G562" s="288"/>
      <c r="H562" s="288"/>
      <c r="I562" s="288"/>
      <c r="J562" s="288"/>
      <c r="K562" s="288"/>
      <c r="L562" s="288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  <c r="AA562" s="288"/>
      <c r="AB562" s="288"/>
    </row>
    <row r="563" ht="15.75" customHeight="1">
      <c r="A563" s="288"/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8"/>
      <c r="AB563" s="288"/>
    </row>
    <row r="564" ht="15.75" customHeight="1">
      <c r="A564" s="288"/>
      <c r="B564" s="288"/>
      <c r="C564" s="288"/>
      <c r="D564" s="288"/>
      <c r="E564" s="288"/>
      <c r="F564" s="288"/>
      <c r="G564" s="288"/>
      <c r="H564" s="288"/>
      <c r="I564" s="288"/>
      <c r="J564" s="288"/>
      <c r="K564" s="288"/>
      <c r="L564" s="288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  <c r="AA564" s="288"/>
      <c r="AB564" s="288"/>
    </row>
    <row r="565" ht="15.75" customHeight="1">
      <c r="A565" s="288"/>
      <c r="B565" s="288"/>
      <c r="C565" s="288"/>
      <c r="D565" s="288"/>
      <c r="E565" s="288"/>
      <c r="F565" s="288"/>
      <c r="G565" s="288"/>
      <c r="H565" s="288"/>
      <c r="I565" s="288"/>
      <c r="J565" s="288"/>
      <c r="K565" s="288"/>
      <c r="L565" s="288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  <c r="AA565" s="288"/>
      <c r="AB565" s="288"/>
    </row>
    <row r="566" ht="15.75" customHeight="1">
      <c r="A566" s="288"/>
      <c r="B566" s="288"/>
      <c r="C566" s="288"/>
      <c r="D566" s="288"/>
      <c r="E566" s="288"/>
      <c r="F566" s="288"/>
      <c r="G566" s="288"/>
      <c r="H566" s="288"/>
      <c r="I566" s="288"/>
      <c r="J566" s="288"/>
      <c r="K566" s="288"/>
      <c r="L566" s="288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  <c r="AA566" s="288"/>
      <c r="AB566" s="288"/>
    </row>
    <row r="567" ht="15.75" customHeight="1">
      <c r="A567" s="288"/>
      <c r="B567" s="288"/>
      <c r="C567" s="288"/>
      <c r="D567" s="288"/>
      <c r="E567" s="288"/>
      <c r="F567" s="288"/>
      <c r="G567" s="288"/>
      <c r="H567" s="288"/>
      <c r="I567" s="288"/>
      <c r="J567" s="288"/>
      <c r="K567" s="288"/>
      <c r="L567" s="288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  <c r="AA567" s="288"/>
      <c r="AB567" s="288"/>
    </row>
    <row r="568" ht="15.75" customHeight="1">
      <c r="A568" s="288"/>
      <c r="B568" s="288"/>
      <c r="C568" s="288"/>
      <c r="D568" s="288"/>
      <c r="E568" s="288"/>
      <c r="F568" s="288"/>
      <c r="G568" s="288"/>
      <c r="H568" s="288"/>
      <c r="I568" s="288"/>
      <c r="J568" s="288"/>
      <c r="K568" s="288"/>
      <c r="L568" s="288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  <c r="AA568" s="288"/>
      <c r="AB568" s="288"/>
    </row>
    <row r="569" ht="15.75" customHeight="1">
      <c r="A569" s="288"/>
      <c r="B569" s="288"/>
      <c r="C569" s="288"/>
      <c r="D569" s="288"/>
      <c r="E569" s="288"/>
      <c r="F569" s="288"/>
      <c r="G569" s="288"/>
      <c r="H569" s="288"/>
      <c r="I569" s="288"/>
      <c r="J569" s="288"/>
      <c r="K569" s="288"/>
      <c r="L569" s="288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  <c r="AA569" s="288"/>
      <c r="AB569" s="288"/>
    </row>
    <row r="570" ht="15.75" customHeight="1">
      <c r="A570" s="288"/>
      <c r="B570" s="288"/>
      <c r="C570" s="288"/>
      <c r="D570" s="288"/>
      <c r="E570" s="288"/>
      <c r="F570" s="288"/>
      <c r="G570" s="288"/>
      <c r="H570" s="288"/>
      <c r="I570" s="288"/>
      <c r="J570" s="288"/>
      <c r="K570" s="288"/>
      <c r="L570" s="288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  <c r="AA570" s="288"/>
      <c r="AB570" s="288"/>
    </row>
    <row r="571" ht="15.75" customHeight="1">
      <c r="A571" s="288"/>
      <c r="B571" s="288"/>
      <c r="C571" s="288"/>
      <c r="D571" s="288"/>
      <c r="E571" s="288"/>
      <c r="F571" s="288"/>
      <c r="G571" s="288"/>
      <c r="H571" s="288"/>
      <c r="I571" s="288"/>
      <c r="J571" s="288"/>
      <c r="K571" s="288"/>
      <c r="L571" s="288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  <c r="AA571" s="288"/>
      <c r="AB571" s="288"/>
    </row>
    <row r="572" ht="15.75" customHeight="1">
      <c r="A572" s="288"/>
      <c r="B572" s="288"/>
      <c r="C572" s="288"/>
      <c r="D572" s="288"/>
      <c r="E572" s="288"/>
      <c r="F572" s="288"/>
      <c r="G572" s="288"/>
      <c r="H572" s="288"/>
      <c r="I572" s="288"/>
      <c r="J572" s="288"/>
      <c r="K572" s="288"/>
      <c r="L572" s="288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  <c r="AA572" s="288"/>
      <c r="AB572" s="288"/>
    </row>
    <row r="573" ht="15.75" customHeight="1">
      <c r="A573" s="288"/>
      <c r="B573" s="288"/>
      <c r="C573" s="288"/>
      <c r="D573" s="288"/>
      <c r="E573" s="288"/>
      <c r="F573" s="288"/>
      <c r="G573" s="288"/>
      <c r="H573" s="288"/>
      <c r="I573" s="288"/>
      <c r="J573" s="288"/>
      <c r="K573" s="288"/>
      <c r="L573" s="288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  <c r="AA573" s="288"/>
      <c r="AB573" s="288"/>
    </row>
    <row r="574" ht="15.75" customHeight="1">
      <c r="A574" s="288"/>
      <c r="B574" s="288"/>
      <c r="C574" s="288"/>
      <c r="D574" s="288"/>
      <c r="E574" s="288"/>
      <c r="F574" s="288"/>
      <c r="G574" s="288"/>
      <c r="H574" s="288"/>
      <c r="I574" s="288"/>
      <c r="J574" s="288"/>
      <c r="K574" s="288"/>
      <c r="L574" s="288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  <c r="AA574" s="288"/>
      <c r="AB574" s="288"/>
    </row>
    <row r="575" ht="15.75" customHeight="1">
      <c r="A575" s="288"/>
      <c r="B575" s="288"/>
      <c r="C575" s="288"/>
      <c r="D575" s="288"/>
      <c r="E575" s="288"/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  <c r="AA575" s="288"/>
      <c r="AB575" s="288"/>
    </row>
    <row r="576" ht="15.75" customHeight="1">
      <c r="A576" s="288"/>
      <c r="B576" s="288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  <c r="AA576" s="288"/>
      <c r="AB576" s="288"/>
    </row>
    <row r="577" ht="15.75" customHeight="1">
      <c r="A577" s="288"/>
      <c r="B577" s="288"/>
      <c r="C577" s="288"/>
      <c r="D577" s="288"/>
      <c r="E577" s="288"/>
      <c r="F577" s="288"/>
      <c r="G577" s="288"/>
      <c r="H577" s="288"/>
      <c r="I577" s="288"/>
      <c r="J577" s="288"/>
      <c r="K577" s="288"/>
      <c r="L577" s="288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  <c r="AA577" s="288"/>
      <c r="AB577" s="288"/>
    </row>
    <row r="578" ht="15.75" customHeight="1">
      <c r="A578" s="288"/>
      <c r="B578" s="288"/>
      <c r="C578" s="288"/>
      <c r="D578" s="288"/>
      <c r="E578" s="288"/>
      <c r="F578" s="288"/>
      <c r="G578" s="288"/>
      <c r="H578" s="288"/>
      <c r="I578" s="288"/>
      <c r="J578" s="288"/>
      <c r="K578" s="288"/>
      <c r="L578" s="288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  <c r="AA578" s="288"/>
      <c r="AB578" s="288"/>
    </row>
    <row r="579" ht="15.75" customHeight="1">
      <c r="A579" s="288"/>
      <c r="B579" s="288"/>
      <c r="C579" s="288"/>
      <c r="D579" s="288"/>
      <c r="E579" s="288"/>
      <c r="F579" s="288"/>
      <c r="G579" s="288"/>
      <c r="H579" s="288"/>
      <c r="I579" s="288"/>
      <c r="J579" s="288"/>
      <c r="K579" s="288"/>
      <c r="L579" s="288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  <c r="AA579" s="288"/>
      <c r="AB579" s="288"/>
    </row>
    <row r="580" ht="15.75" customHeight="1">
      <c r="A580" s="288"/>
      <c r="B580" s="288"/>
      <c r="C580" s="288"/>
      <c r="D580" s="288"/>
      <c r="E580" s="288"/>
      <c r="F580" s="288"/>
      <c r="G580" s="288"/>
      <c r="H580" s="288"/>
      <c r="I580" s="288"/>
      <c r="J580" s="288"/>
      <c r="K580" s="288"/>
      <c r="L580" s="288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  <c r="AA580" s="288"/>
      <c r="AB580" s="288"/>
    </row>
    <row r="581" ht="15.75" customHeight="1">
      <c r="A581" s="288"/>
      <c r="B581" s="288"/>
      <c r="C581" s="288"/>
      <c r="D581" s="288"/>
      <c r="E581" s="288"/>
      <c r="F581" s="288"/>
      <c r="G581" s="288"/>
      <c r="H581" s="288"/>
      <c r="I581" s="288"/>
      <c r="J581" s="288"/>
      <c r="K581" s="288"/>
      <c r="L581" s="288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  <c r="AA581" s="288"/>
      <c r="AB581" s="288"/>
    </row>
    <row r="582" ht="15.75" customHeight="1">
      <c r="A582" s="288"/>
      <c r="B582" s="288"/>
      <c r="C582" s="288"/>
      <c r="D582" s="288"/>
      <c r="E582" s="288"/>
      <c r="F582" s="288"/>
      <c r="G582" s="288"/>
      <c r="H582" s="288"/>
      <c r="I582" s="288"/>
      <c r="J582" s="288"/>
      <c r="K582" s="288"/>
      <c r="L582" s="288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  <c r="AA582" s="288"/>
      <c r="AB582" s="288"/>
    </row>
    <row r="583" ht="15.75" customHeight="1">
      <c r="A583" s="288"/>
      <c r="B583" s="288"/>
      <c r="C583" s="288"/>
      <c r="D583" s="288"/>
      <c r="E583" s="288"/>
      <c r="F583" s="288"/>
      <c r="G583" s="288"/>
      <c r="H583" s="288"/>
      <c r="I583" s="288"/>
      <c r="J583" s="288"/>
      <c r="K583" s="288"/>
      <c r="L583" s="288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  <c r="AA583" s="288"/>
      <c r="AB583" s="288"/>
    </row>
    <row r="584" ht="15.75" customHeight="1">
      <c r="A584" s="288"/>
      <c r="B584" s="288"/>
      <c r="C584" s="288"/>
      <c r="D584" s="288"/>
      <c r="E584" s="288"/>
      <c r="F584" s="288"/>
      <c r="G584" s="288"/>
      <c r="H584" s="288"/>
      <c r="I584" s="288"/>
      <c r="J584" s="288"/>
      <c r="K584" s="288"/>
      <c r="L584" s="288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  <c r="AA584" s="288"/>
      <c r="AB584" s="288"/>
    </row>
    <row r="585" ht="15.75" customHeight="1">
      <c r="A585" s="288"/>
      <c r="B585" s="288"/>
      <c r="C585" s="288"/>
      <c r="D585" s="288"/>
      <c r="E585" s="288"/>
      <c r="F585" s="288"/>
      <c r="G585" s="288"/>
      <c r="H585" s="288"/>
      <c r="I585" s="288"/>
      <c r="J585" s="288"/>
      <c r="K585" s="288"/>
      <c r="L585" s="288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  <c r="AA585" s="288"/>
      <c r="AB585" s="288"/>
    </row>
    <row r="586" ht="15.75" customHeight="1">
      <c r="A586" s="288"/>
      <c r="B586" s="288"/>
      <c r="C586" s="288"/>
      <c r="D586" s="288"/>
      <c r="E586" s="288"/>
      <c r="F586" s="288"/>
      <c r="G586" s="288"/>
      <c r="H586" s="288"/>
      <c r="I586" s="288"/>
      <c r="J586" s="288"/>
      <c r="K586" s="288"/>
      <c r="L586" s="288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  <c r="AA586" s="288"/>
      <c r="AB586" s="288"/>
    </row>
    <row r="587" ht="15.75" customHeight="1">
      <c r="A587" s="288"/>
      <c r="B587" s="288"/>
      <c r="C587" s="288"/>
      <c r="D587" s="288"/>
      <c r="E587" s="288"/>
      <c r="F587" s="288"/>
      <c r="G587" s="288"/>
      <c r="H587" s="288"/>
      <c r="I587" s="288"/>
      <c r="J587" s="288"/>
      <c r="K587" s="288"/>
      <c r="L587" s="288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  <c r="AA587" s="288"/>
      <c r="AB587" s="288"/>
    </row>
    <row r="588" ht="15.75" customHeight="1">
      <c r="A588" s="288"/>
      <c r="B588" s="288"/>
      <c r="C588" s="288"/>
      <c r="D588" s="288"/>
      <c r="E588" s="288"/>
      <c r="F588" s="288"/>
      <c r="G588" s="288"/>
      <c r="H588" s="288"/>
      <c r="I588" s="288"/>
      <c r="J588" s="288"/>
      <c r="K588" s="288"/>
      <c r="L588" s="288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  <c r="AA588" s="288"/>
      <c r="AB588" s="288"/>
    </row>
    <row r="589" ht="15.75" customHeight="1">
      <c r="A589" s="288"/>
      <c r="B589" s="288"/>
      <c r="C589" s="288"/>
      <c r="D589" s="288"/>
      <c r="E589" s="288"/>
      <c r="F589" s="288"/>
      <c r="G589" s="288"/>
      <c r="H589" s="288"/>
      <c r="I589" s="288"/>
      <c r="J589" s="288"/>
      <c r="K589" s="288"/>
      <c r="L589" s="288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  <c r="AA589" s="288"/>
      <c r="AB589" s="288"/>
    </row>
    <row r="590" ht="15.75" customHeight="1">
      <c r="A590" s="288"/>
      <c r="B590" s="288"/>
      <c r="C590" s="288"/>
      <c r="D590" s="288"/>
      <c r="E590" s="288"/>
      <c r="F590" s="288"/>
      <c r="G590" s="288"/>
      <c r="H590" s="288"/>
      <c r="I590" s="288"/>
      <c r="J590" s="288"/>
      <c r="K590" s="288"/>
      <c r="L590" s="288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  <c r="AA590" s="288"/>
      <c r="AB590" s="288"/>
    </row>
    <row r="591" ht="15.75" customHeight="1">
      <c r="A591" s="288"/>
      <c r="B591" s="288"/>
      <c r="C591" s="288"/>
      <c r="D591" s="288"/>
      <c r="E591" s="288"/>
      <c r="F591" s="288"/>
      <c r="G591" s="288"/>
      <c r="H591" s="288"/>
      <c r="I591" s="288"/>
      <c r="J591" s="288"/>
      <c r="K591" s="288"/>
      <c r="L591" s="288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  <c r="AA591" s="288"/>
      <c r="AB591" s="288"/>
    </row>
    <row r="592" ht="15.75" customHeight="1">
      <c r="A592" s="288"/>
      <c r="B592" s="288"/>
      <c r="C592" s="288"/>
      <c r="D592" s="288"/>
      <c r="E592" s="288"/>
      <c r="F592" s="288"/>
      <c r="G592" s="288"/>
      <c r="H592" s="288"/>
      <c r="I592" s="288"/>
      <c r="J592" s="288"/>
      <c r="K592" s="288"/>
      <c r="L592" s="288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  <c r="AA592" s="288"/>
      <c r="AB592" s="288"/>
    </row>
    <row r="593" ht="15.75" customHeight="1">
      <c r="A593" s="288"/>
      <c r="B593" s="288"/>
      <c r="C593" s="288"/>
      <c r="D593" s="288"/>
      <c r="E593" s="288"/>
      <c r="F593" s="288"/>
      <c r="G593" s="288"/>
      <c r="H593" s="288"/>
      <c r="I593" s="288"/>
      <c r="J593" s="288"/>
      <c r="K593" s="288"/>
      <c r="L593" s="288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  <c r="AA593" s="288"/>
      <c r="AB593" s="288"/>
    </row>
    <row r="594" ht="15.75" customHeight="1">
      <c r="A594" s="288"/>
      <c r="B594" s="288"/>
      <c r="C594" s="288"/>
      <c r="D594" s="288"/>
      <c r="E594" s="288"/>
      <c r="F594" s="288"/>
      <c r="G594" s="288"/>
      <c r="H594" s="288"/>
      <c r="I594" s="288"/>
      <c r="J594" s="288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  <c r="AA594" s="288"/>
      <c r="AB594" s="288"/>
    </row>
    <row r="595" ht="15.75" customHeight="1">
      <c r="A595" s="288"/>
      <c r="B595" s="288"/>
      <c r="C595" s="288"/>
      <c r="D595" s="288"/>
      <c r="E595" s="288"/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  <c r="AA595" s="288"/>
      <c r="AB595" s="288"/>
    </row>
    <row r="596" ht="15.75" customHeight="1">
      <c r="A596" s="288"/>
      <c r="B596" s="288"/>
      <c r="C596" s="288"/>
      <c r="D596" s="288"/>
      <c r="E596" s="288"/>
      <c r="F596" s="288"/>
      <c r="G596" s="288"/>
      <c r="H596" s="288"/>
      <c r="I596" s="288"/>
      <c r="J596" s="288"/>
      <c r="K596" s="288"/>
      <c r="L596" s="288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  <c r="AA596" s="288"/>
      <c r="AB596" s="288"/>
    </row>
    <row r="597" ht="15.75" customHeight="1">
      <c r="A597" s="288"/>
      <c r="B597" s="288"/>
      <c r="C597" s="288"/>
      <c r="D597" s="288"/>
      <c r="E597" s="288"/>
      <c r="F597" s="288"/>
      <c r="G597" s="288"/>
      <c r="H597" s="288"/>
      <c r="I597" s="288"/>
      <c r="J597" s="288"/>
      <c r="K597" s="288"/>
      <c r="L597" s="288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  <c r="AA597" s="288"/>
      <c r="AB597" s="288"/>
    </row>
    <row r="598" ht="15.75" customHeight="1">
      <c r="A598" s="288"/>
      <c r="B598" s="288"/>
      <c r="C598" s="288"/>
      <c r="D598" s="288"/>
      <c r="E598" s="288"/>
      <c r="F598" s="288"/>
      <c r="G598" s="288"/>
      <c r="H598" s="288"/>
      <c r="I598" s="288"/>
      <c r="J598" s="288"/>
      <c r="K598" s="288"/>
      <c r="L598" s="288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  <c r="AA598" s="288"/>
      <c r="AB598" s="288"/>
    </row>
    <row r="599" ht="15.75" customHeight="1">
      <c r="A599" s="288"/>
      <c r="B599" s="288"/>
      <c r="C599" s="288"/>
      <c r="D599" s="288"/>
      <c r="E599" s="288"/>
      <c r="F599" s="288"/>
      <c r="G599" s="288"/>
      <c r="H599" s="288"/>
      <c r="I599" s="288"/>
      <c r="J599" s="288"/>
      <c r="K599" s="288"/>
      <c r="L599" s="288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  <c r="AA599" s="288"/>
      <c r="AB599" s="288"/>
    </row>
    <row r="600" ht="15.75" customHeight="1">
      <c r="A600" s="288"/>
      <c r="B600" s="288"/>
      <c r="C600" s="288"/>
      <c r="D600" s="288"/>
      <c r="E600" s="288"/>
      <c r="F600" s="288"/>
      <c r="G600" s="288"/>
      <c r="H600" s="288"/>
      <c r="I600" s="288"/>
      <c r="J600" s="288"/>
      <c r="K600" s="288"/>
      <c r="L600" s="288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  <c r="AA600" s="288"/>
      <c r="AB600" s="288"/>
    </row>
    <row r="601" ht="15.75" customHeight="1">
      <c r="A601" s="288"/>
      <c r="B601" s="288"/>
      <c r="C601" s="288"/>
      <c r="D601" s="288"/>
      <c r="E601" s="288"/>
      <c r="F601" s="288"/>
      <c r="G601" s="288"/>
      <c r="H601" s="288"/>
      <c r="I601" s="288"/>
      <c r="J601" s="288"/>
      <c r="K601" s="288"/>
      <c r="L601" s="288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  <c r="AA601" s="288"/>
      <c r="AB601" s="288"/>
    </row>
    <row r="602" ht="15.75" customHeight="1">
      <c r="A602" s="288"/>
      <c r="B602" s="288"/>
      <c r="C602" s="288"/>
      <c r="D602" s="288"/>
      <c r="E602" s="288"/>
      <c r="F602" s="288"/>
      <c r="G602" s="288"/>
      <c r="H602" s="288"/>
      <c r="I602" s="288"/>
      <c r="J602" s="288"/>
      <c r="K602" s="288"/>
      <c r="L602" s="288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  <c r="AA602" s="288"/>
      <c r="AB602" s="288"/>
    </row>
    <row r="603" ht="15.75" customHeight="1">
      <c r="A603" s="288"/>
      <c r="B603" s="288"/>
      <c r="C603" s="288"/>
      <c r="D603" s="288"/>
      <c r="E603" s="288"/>
      <c r="F603" s="288"/>
      <c r="G603" s="288"/>
      <c r="H603" s="288"/>
      <c r="I603" s="288"/>
      <c r="J603" s="288"/>
      <c r="K603" s="288"/>
      <c r="L603" s="288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  <c r="AA603" s="288"/>
      <c r="AB603" s="288"/>
    </row>
    <row r="604" ht="15.75" customHeight="1">
      <c r="A604" s="288"/>
      <c r="B604" s="288"/>
      <c r="C604" s="288"/>
      <c r="D604" s="288"/>
      <c r="E604" s="288"/>
      <c r="F604" s="288"/>
      <c r="G604" s="288"/>
      <c r="H604" s="288"/>
      <c r="I604" s="288"/>
      <c r="J604" s="288"/>
      <c r="K604" s="288"/>
      <c r="L604" s="288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  <c r="AA604" s="288"/>
      <c r="AB604" s="288"/>
    </row>
    <row r="605" ht="15.75" customHeight="1">
      <c r="A605" s="288"/>
      <c r="B605" s="288"/>
      <c r="C605" s="288"/>
      <c r="D605" s="288"/>
      <c r="E605" s="288"/>
      <c r="F605" s="288"/>
      <c r="G605" s="288"/>
      <c r="H605" s="288"/>
      <c r="I605" s="288"/>
      <c r="J605" s="288"/>
      <c r="K605" s="288"/>
      <c r="L605" s="288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  <c r="AA605" s="288"/>
      <c r="AB605" s="288"/>
    </row>
    <row r="606" ht="15.75" customHeight="1">
      <c r="A606" s="288"/>
      <c r="B606" s="288"/>
      <c r="C606" s="288"/>
      <c r="D606" s="288"/>
      <c r="E606" s="288"/>
      <c r="F606" s="288"/>
      <c r="G606" s="288"/>
      <c r="H606" s="288"/>
      <c r="I606" s="288"/>
      <c r="J606" s="288"/>
      <c r="K606" s="288"/>
      <c r="L606" s="288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  <c r="AA606" s="288"/>
      <c r="AB606" s="288"/>
    </row>
    <row r="607" ht="15.75" customHeight="1">
      <c r="A607" s="288"/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8"/>
      <c r="AB607" s="288"/>
    </row>
    <row r="608" ht="15.75" customHeight="1">
      <c r="A608" s="288"/>
      <c r="B608" s="288"/>
      <c r="C608" s="288"/>
      <c r="D608" s="288"/>
      <c r="E608" s="288"/>
      <c r="F608" s="288"/>
      <c r="G608" s="288"/>
      <c r="H608" s="288"/>
      <c r="I608" s="288"/>
      <c r="J608" s="288"/>
      <c r="K608" s="288"/>
      <c r="L608" s="288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  <c r="AA608" s="288"/>
      <c r="AB608" s="288"/>
    </row>
    <row r="609" ht="15.75" customHeight="1">
      <c r="A609" s="288"/>
      <c r="B609" s="288"/>
      <c r="C609" s="288"/>
      <c r="D609" s="288"/>
      <c r="E609" s="288"/>
      <c r="F609" s="288"/>
      <c r="G609" s="288"/>
      <c r="H609" s="288"/>
      <c r="I609" s="288"/>
      <c r="J609" s="288"/>
      <c r="K609" s="288"/>
      <c r="L609" s="288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  <c r="AA609" s="288"/>
      <c r="AB609" s="288"/>
    </row>
    <row r="610" ht="15.75" customHeight="1">
      <c r="A610" s="288"/>
      <c r="B610" s="288"/>
      <c r="C610" s="288"/>
      <c r="D610" s="288"/>
      <c r="E610" s="288"/>
      <c r="F610" s="288"/>
      <c r="G610" s="288"/>
      <c r="H610" s="288"/>
      <c r="I610" s="288"/>
      <c r="J610" s="288"/>
      <c r="K610" s="288"/>
      <c r="L610" s="288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  <c r="AA610" s="288"/>
      <c r="AB610" s="288"/>
    </row>
    <row r="611" ht="15.75" customHeight="1">
      <c r="A611" s="288"/>
      <c r="B611" s="288"/>
      <c r="C611" s="288"/>
      <c r="D611" s="288"/>
      <c r="E611" s="288"/>
      <c r="F611" s="288"/>
      <c r="G611" s="288"/>
      <c r="H611" s="288"/>
      <c r="I611" s="288"/>
      <c r="J611" s="288"/>
      <c r="K611" s="288"/>
      <c r="L611" s="288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  <c r="AA611" s="288"/>
      <c r="AB611" s="288"/>
    </row>
    <row r="612" ht="15.75" customHeight="1">
      <c r="A612" s="288"/>
      <c r="B612" s="288"/>
      <c r="C612" s="288"/>
      <c r="D612" s="288"/>
      <c r="E612" s="288"/>
      <c r="F612" s="288"/>
      <c r="G612" s="288"/>
      <c r="H612" s="288"/>
      <c r="I612" s="288"/>
      <c r="J612" s="288"/>
      <c r="K612" s="288"/>
      <c r="L612" s="288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  <c r="AA612" s="288"/>
      <c r="AB612" s="288"/>
    </row>
    <row r="613" ht="15.75" customHeight="1">
      <c r="A613" s="288"/>
      <c r="B613" s="288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  <c r="AA613" s="288"/>
      <c r="AB613" s="288"/>
    </row>
    <row r="614" ht="15.75" customHeight="1">
      <c r="A614" s="288"/>
      <c r="B614" s="288"/>
      <c r="C614" s="288"/>
      <c r="D614" s="288"/>
      <c r="E614" s="288"/>
      <c r="F614" s="288"/>
      <c r="G614" s="288"/>
      <c r="H614" s="288"/>
      <c r="I614" s="288"/>
      <c r="J614" s="288"/>
      <c r="K614" s="288"/>
      <c r="L614" s="288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  <c r="AA614" s="288"/>
      <c r="AB614" s="288"/>
    </row>
    <row r="615" ht="15.75" customHeight="1">
      <c r="A615" s="288"/>
      <c r="B615" s="288"/>
      <c r="C615" s="288"/>
      <c r="D615" s="288"/>
      <c r="E615" s="288"/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  <c r="AA615" s="288"/>
      <c r="AB615" s="288"/>
    </row>
    <row r="616" ht="15.75" customHeight="1">
      <c r="A616" s="288"/>
      <c r="B616" s="288"/>
      <c r="C616" s="288"/>
      <c r="D616" s="288"/>
      <c r="E616" s="288"/>
      <c r="F616" s="288"/>
      <c r="G616" s="288"/>
      <c r="H616" s="288"/>
      <c r="I616" s="288"/>
      <c r="J616" s="288"/>
      <c r="K616" s="288"/>
      <c r="L616" s="288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  <c r="AA616" s="288"/>
      <c r="AB616" s="288"/>
    </row>
    <row r="617" ht="15.75" customHeight="1">
      <c r="A617" s="288"/>
      <c r="B617" s="288"/>
      <c r="C617" s="288"/>
      <c r="D617" s="288"/>
      <c r="E617" s="288"/>
      <c r="F617" s="288"/>
      <c r="G617" s="288"/>
      <c r="H617" s="288"/>
      <c r="I617" s="288"/>
      <c r="J617" s="288"/>
      <c r="K617" s="288"/>
      <c r="L617" s="288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  <c r="AA617" s="288"/>
      <c r="AB617" s="288"/>
    </row>
    <row r="618" ht="15.75" customHeight="1">
      <c r="A618" s="288"/>
      <c r="B618" s="288"/>
      <c r="C618" s="288"/>
      <c r="D618" s="288"/>
      <c r="E618" s="288"/>
      <c r="F618" s="288"/>
      <c r="G618" s="288"/>
      <c r="H618" s="288"/>
      <c r="I618" s="288"/>
      <c r="J618" s="288"/>
      <c r="K618" s="288"/>
      <c r="L618" s="288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  <c r="AA618" s="288"/>
      <c r="AB618" s="288"/>
    </row>
    <row r="619" ht="15.75" customHeight="1">
      <c r="A619" s="288"/>
      <c r="B619" s="288"/>
      <c r="C619" s="288"/>
      <c r="D619" s="288"/>
      <c r="E619" s="288"/>
      <c r="F619" s="288"/>
      <c r="G619" s="288"/>
      <c r="H619" s="288"/>
      <c r="I619" s="288"/>
      <c r="J619" s="288"/>
      <c r="K619" s="288"/>
      <c r="L619" s="288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  <c r="AA619" s="288"/>
      <c r="AB619" s="288"/>
    </row>
    <row r="620" ht="15.75" customHeight="1">
      <c r="A620" s="288"/>
      <c r="B620" s="288"/>
      <c r="C620" s="288"/>
      <c r="D620" s="288"/>
      <c r="E620" s="288"/>
      <c r="F620" s="288"/>
      <c r="G620" s="288"/>
      <c r="H620" s="288"/>
      <c r="I620" s="288"/>
      <c r="J620" s="288"/>
      <c r="K620" s="288"/>
      <c r="L620" s="288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  <c r="AA620" s="288"/>
      <c r="AB620" s="288"/>
    </row>
    <row r="621" ht="15.75" customHeight="1">
      <c r="A621" s="288"/>
      <c r="B621" s="288"/>
      <c r="C621" s="288"/>
      <c r="D621" s="288"/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  <c r="AA621" s="288"/>
      <c r="AB621" s="288"/>
    </row>
    <row r="622" ht="15.75" customHeight="1">
      <c r="A622" s="288"/>
      <c r="B622" s="288"/>
      <c r="C622" s="288"/>
      <c r="D622" s="288"/>
      <c r="E622" s="288"/>
      <c r="F622" s="288"/>
      <c r="G622" s="288"/>
      <c r="H622" s="288"/>
      <c r="I622" s="288"/>
      <c r="J622" s="288"/>
      <c r="K622" s="288"/>
      <c r="L622" s="288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  <c r="AA622" s="288"/>
      <c r="AB622" s="288"/>
    </row>
    <row r="623" ht="15.75" customHeight="1">
      <c r="A623" s="288"/>
      <c r="B623" s="288"/>
      <c r="C623" s="288"/>
      <c r="D623" s="288"/>
      <c r="E623" s="288"/>
      <c r="F623" s="288"/>
      <c r="G623" s="288"/>
      <c r="H623" s="288"/>
      <c r="I623" s="288"/>
      <c r="J623" s="288"/>
      <c r="K623" s="288"/>
      <c r="L623" s="288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  <c r="AA623" s="288"/>
      <c r="AB623" s="288"/>
    </row>
    <row r="624" ht="15.75" customHeight="1">
      <c r="A624" s="288"/>
      <c r="B624" s="288"/>
      <c r="C624" s="288"/>
      <c r="D624" s="288"/>
      <c r="E624" s="288"/>
      <c r="F624" s="288"/>
      <c r="G624" s="288"/>
      <c r="H624" s="288"/>
      <c r="I624" s="288"/>
      <c r="J624" s="288"/>
      <c r="K624" s="288"/>
      <c r="L624" s="288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  <c r="AA624" s="288"/>
      <c r="AB624" s="288"/>
    </row>
    <row r="625" ht="15.75" customHeight="1">
      <c r="A625" s="288"/>
      <c r="B625" s="288"/>
      <c r="C625" s="288"/>
      <c r="D625" s="288"/>
      <c r="E625" s="288"/>
      <c r="F625" s="288"/>
      <c r="G625" s="288"/>
      <c r="H625" s="288"/>
      <c r="I625" s="288"/>
      <c r="J625" s="288"/>
      <c r="K625" s="288"/>
      <c r="L625" s="288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  <c r="AA625" s="288"/>
      <c r="AB625" s="288"/>
    </row>
    <row r="626" ht="15.75" customHeight="1">
      <c r="A626" s="288"/>
      <c r="B626" s="288"/>
      <c r="C626" s="288"/>
      <c r="D626" s="288"/>
      <c r="E626" s="288"/>
      <c r="F626" s="288"/>
      <c r="G626" s="288"/>
      <c r="H626" s="288"/>
      <c r="I626" s="288"/>
      <c r="J626" s="288"/>
      <c r="K626" s="288"/>
      <c r="L626" s="288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  <c r="AA626" s="288"/>
      <c r="AB626" s="288"/>
    </row>
    <row r="627" ht="15.75" customHeight="1">
      <c r="A627" s="288"/>
      <c r="B627" s="288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  <c r="AA627" s="288"/>
      <c r="AB627" s="288"/>
    </row>
    <row r="628" ht="15.75" customHeight="1">
      <c r="A628" s="288"/>
      <c r="B628" s="288"/>
      <c r="C628" s="288"/>
      <c r="D628" s="288"/>
      <c r="E628" s="288"/>
      <c r="F628" s="288"/>
      <c r="G628" s="288"/>
      <c r="H628" s="288"/>
      <c r="I628" s="288"/>
      <c r="J628" s="288"/>
      <c r="K628" s="288"/>
      <c r="L628" s="288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  <c r="AA628" s="288"/>
      <c r="AB628" s="288"/>
    </row>
    <row r="629" ht="15.75" customHeight="1">
      <c r="A629" s="288"/>
      <c r="B629" s="288"/>
      <c r="C629" s="288"/>
      <c r="D629" s="288"/>
      <c r="E629" s="288"/>
      <c r="F629" s="288"/>
      <c r="G629" s="288"/>
      <c r="H629" s="288"/>
      <c r="I629" s="288"/>
      <c r="J629" s="288"/>
      <c r="K629" s="288"/>
      <c r="L629" s="288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  <c r="AA629" s="288"/>
      <c r="AB629" s="288"/>
    </row>
    <row r="630" ht="15.75" customHeight="1">
      <c r="A630" s="288"/>
      <c r="B630" s="288"/>
      <c r="C630" s="288"/>
      <c r="D630" s="288"/>
      <c r="E630" s="288"/>
      <c r="F630" s="288"/>
      <c r="G630" s="288"/>
      <c r="H630" s="288"/>
      <c r="I630" s="288"/>
      <c r="J630" s="288"/>
      <c r="K630" s="288"/>
      <c r="L630" s="288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  <c r="AA630" s="288"/>
      <c r="AB630" s="288"/>
    </row>
    <row r="631" ht="15.75" customHeight="1">
      <c r="A631" s="288"/>
      <c r="B631" s="288"/>
      <c r="C631" s="288"/>
      <c r="D631" s="288"/>
      <c r="E631" s="288"/>
      <c r="F631" s="288"/>
      <c r="G631" s="288"/>
      <c r="H631" s="288"/>
      <c r="I631" s="288"/>
      <c r="J631" s="288"/>
      <c r="K631" s="288"/>
      <c r="L631" s="288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  <c r="AA631" s="288"/>
      <c r="AB631" s="288"/>
    </row>
    <row r="632" ht="15.75" customHeight="1">
      <c r="A632" s="288"/>
      <c r="B632" s="288"/>
      <c r="C632" s="288"/>
      <c r="D632" s="288"/>
      <c r="E632" s="288"/>
      <c r="F632" s="288"/>
      <c r="G632" s="288"/>
      <c r="H632" s="288"/>
      <c r="I632" s="288"/>
      <c r="J632" s="288"/>
      <c r="K632" s="288"/>
      <c r="L632" s="288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  <c r="AA632" s="288"/>
      <c r="AB632" s="288"/>
    </row>
    <row r="633" ht="15.75" customHeight="1">
      <c r="A633" s="288"/>
      <c r="B633" s="288"/>
      <c r="C633" s="288"/>
      <c r="D633" s="288"/>
      <c r="E633" s="288"/>
      <c r="F633" s="288"/>
      <c r="G633" s="288"/>
      <c r="H633" s="288"/>
      <c r="I633" s="288"/>
      <c r="J633" s="288"/>
      <c r="K633" s="288"/>
      <c r="L633" s="288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  <c r="AA633" s="288"/>
      <c r="AB633" s="288"/>
    </row>
    <row r="634" ht="15.75" customHeight="1">
      <c r="A634" s="288"/>
      <c r="B634" s="288"/>
      <c r="C634" s="288"/>
      <c r="D634" s="288"/>
      <c r="E634" s="288"/>
      <c r="F634" s="288"/>
      <c r="G634" s="288"/>
      <c r="H634" s="288"/>
      <c r="I634" s="288"/>
      <c r="J634" s="288"/>
      <c r="K634" s="288"/>
      <c r="L634" s="288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  <c r="AA634" s="288"/>
      <c r="AB634" s="288"/>
    </row>
    <row r="635" ht="15.75" customHeight="1">
      <c r="A635" s="288"/>
      <c r="B635" s="288"/>
      <c r="C635" s="288"/>
      <c r="D635" s="288"/>
      <c r="E635" s="288"/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  <c r="AA635" s="288"/>
      <c r="AB635" s="288"/>
    </row>
    <row r="636" ht="15.75" customHeight="1">
      <c r="A636" s="288"/>
      <c r="B636" s="288"/>
      <c r="C636" s="288"/>
      <c r="D636" s="288"/>
      <c r="E636" s="288"/>
      <c r="F636" s="288"/>
      <c r="G636" s="288"/>
      <c r="H636" s="288"/>
      <c r="I636" s="288"/>
      <c r="J636" s="288"/>
      <c r="K636" s="288"/>
      <c r="L636" s="288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  <c r="AA636" s="288"/>
      <c r="AB636" s="288"/>
    </row>
    <row r="637" ht="15.75" customHeight="1">
      <c r="A637" s="288"/>
      <c r="B637" s="288"/>
      <c r="C637" s="288"/>
      <c r="D637" s="288"/>
      <c r="E637" s="288"/>
      <c r="F637" s="288"/>
      <c r="G637" s="288"/>
      <c r="H637" s="288"/>
      <c r="I637" s="288"/>
      <c r="J637" s="288"/>
      <c r="K637" s="288"/>
      <c r="L637" s="288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  <c r="AA637" s="288"/>
      <c r="AB637" s="288"/>
    </row>
    <row r="638" ht="15.75" customHeight="1">
      <c r="A638" s="288"/>
      <c r="B638" s="288"/>
      <c r="C638" s="288"/>
      <c r="D638" s="288"/>
      <c r="E638" s="288"/>
      <c r="F638" s="288"/>
      <c r="G638" s="288"/>
      <c r="H638" s="288"/>
      <c r="I638" s="288"/>
      <c r="J638" s="288"/>
      <c r="K638" s="288"/>
      <c r="L638" s="288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  <c r="AA638" s="288"/>
      <c r="AB638" s="288"/>
    </row>
    <row r="639" ht="15.75" customHeight="1">
      <c r="A639" s="288"/>
      <c r="B639" s="288"/>
      <c r="C639" s="288"/>
      <c r="D639" s="288"/>
      <c r="E639" s="288"/>
      <c r="F639" s="288"/>
      <c r="G639" s="288"/>
      <c r="H639" s="288"/>
      <c r="I639" s="288"/>
      <c r="J639" s="288"/>
      <c r="K639" s="288"/>
      <c r="L639" s="288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  <c r="AA639" s="288"/>
      <c r="AB639" s="288"/>
    </row>
    <row r="640" ht="15.75" customHeight="1">
      <c r="A640" s="288"/>
      <c r="B640" s="288"/>
      <c r="C640" s="288"/>
      <c r="D640" s="288"/>
      <c r="E640" s="288"/>
      <c r="F640" s="288"/>
      <c r="G640" s="288"/>
      <c r="H640" s="288"/>
      <c r="I640" s="288"/>
      <c r="J640" s="288"/>
      <c r="K640" s="288"/>
      <c r="L640" s="288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  <c r="AA640" s="288"/>
      <c r="AB640" s="288"/>
    </row>
    <row r="641" ht="15.75" customHeight="1">
      <c r="A641" s="288"/>
      <c r="B641" s="288"/>
      <c r="C641" s="288"/>
      <c r="D641" s="288"/>
      <c r="E641" s="288"/>
      <c r="F641" s="288"/>
      <c r="G641" s="288"/>
      <c r="H641" s="288"/>
      <c r="I641" s="288"/>
      <c r="J641" s="288"/>
      <c r="K641" s="288"/>
      <c r="L641" s="288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  <c r="AA641" s="288"/>
      <c r="AB641" s="288"/>
    </row>
    <row r="642" ht="15.75" customHeight="1">
      <c r="A642" s="288"/>
      <c r="B642" s="288"/>
      <c r="C642" s="288"/>
      <c r="D642" s="288"/>
      <c r="E642" s="288"/>
      <c r="F642" s="288"/>
      <c r="G642" s="288"/>
      <c r="H642" s="288"/>
      <c r="I642" s="288"/>
      <c r="J642" s="288"/>
      <c r="K642" s="288"/>
      <c r="L642" s="288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  <c r="AA642" s="288"/>
      <c r="AB642" s="288"/>
    </row>
    <row r="643" ht="15.75" customHeight="1">
      <c r="A643" s="288"/>
      <c r="B643" s="288"/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  <c r="AA643" s="288"/>
      <c r="AB643" s="288"/>
    </row>
    <row r="644" ht="15.75" customHeight="1">
      <c r="A644" s="288"/>
      <c r="B644" s="288"/>
      <c r="C644" s="288"/>
      <c r="D644" s="288"/>
      <c r="E644" s="288"/>
      <c r="F644" s="288"/>
      <c r="G644" s="288"/>
      <c r="H644" s="288"/>
      <c r="I644" s="288"/>
      <c r="J644" s="288"/>
      <c r="K644" s="288"/>
      <c r="L644" s="288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  <c r="AA644" s="288"/>
      <c r="AB644" s="288"/>
    </row>
    <row r="645" ht="15.75" customHeight="1">
      <c r="A645" s="288"/>
      <c r="B645" s="288"/>
      <c r="C645" s="288"/>
      <c r="D645" s="288"/>
      <c r="E645" s="288"/>
      <c r="F645" s="288"/>
      <c r="G645" s="288"/>
      <c r="H645" s="288"/>
      <c r="I645" s="288"/>
      <c r="J645" s="288"/>
      <c r="K645" s="288"/>
      <c r="L645" s="288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  <c r="AA645" s="288"/>
      <c r="AB645" s="288"/>
    </row>
    <row r="646" ht="15.75" customHeight="1">
      <c r="A646" s="288"/>
      <c r="B646" s="288"/>
      <c r="C646" s="288"/>
      <c r="D646" s="288"/>
      <c r="E646" s="288"/>
      <c r="F646" s="288"/>
      <c r="G646" s="288"/>
      <c r="H646" s="288"/>
      <c r="I646" s="288"/>
      <c r="J646" s="288"/>
      <c r="K646" s="288"/>
      <c r="L646" s="288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  <c r="AA646" s="288"/>
      <c r="AB646" s="288"/>
    </row>
    <row r="647" ht="15.75" customHeight="1">
      <c r="A647" s="288"/>
      <c r="B647" s="288"/>
      <c r="C647" s="288"/>
      <c r="D647" s="288"/>
      <c r="E647" s="288"/>
      <c r="F647" s="288"/>
      <c r="G647" s="288"/>
      <c r="H647" s="288"/>
      <c r="I647" s="288"/>
      <c r="J647" s="288"/>
      <c r="K647" s="288"/>
      <c r="L647" s="288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  <c r="AA647" s="288"/>
      <c r="AB647" s="288"/>
    </row>
    <row r="648" ht="15.75" customHeight="1">
      <c r="A648" s="288"/>
      <c r="B648" s="288"/>
      <c r="C648" s="288"/>
      <c r="D648" s="288"/>
      <c r="E648" s="288"/>
      <c r="F648" s="288"/>
      <c r="G648" s="288"/>
      <c r="H648" s="288"/>
      <c r="I648" s="288"/>
      <c r="J648" s="288"/>
      <c r="K648" s="288"/>
      <c r="L648" s="288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  <c r="AA648" s="288"/>
      <c r="AB648" s="288"/>
    </row>
    <row r="649" ht="15.75" customHeight="1">
      <c r="A649" s="288"/>
      <c r="B649" s="288"/>
      <c r="C649" s="288"/>
      <c r="D649" s="288"/>
      <c r="E649" s="288"/>
      <c r="F649" s="288"/>
      <c r="G649" s="288"/>
      <c r="H649" s="288"/>
      <c r="I649" s="288"/>
      <c r="J649" s="288"/>
      <c r="K649" s="288"/>
      <c r="L649" s="288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  <c r="AA649" s="288"/>
      <c r="AB649" s="288"/>
    </row>
    <row r="650" ht="15.75" customHeight="1">
      <c r="A650" s="288"/>
      <c r="B650" s="288"/>
      <c r="C650" s="288"/>
      <c r="D650" s="288"/>
      <c r="E650" s="288"/>
      <c r="F650" s="288"/>
      <c r="G650" s="288"/>
      <c r="H650" s="288"/>
      <c r="I650" s="288"/>
      <c r="J650" s="288"/>
      <c r="K650" s="288"/>
      <c r="L650" s="288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  <c r="AA650" s="288"/>
      <c r="AB650" s="288"/>
    </row>
    <row r="651" ht="15.75" customHeight="1">
      <c r="A651" s="288"/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8"/>
      <c r="AB651" s="288"/>
    </row>
    <row r="652" ht="15.75" customHeight="1">
      <c r="A652" s="288"/>
      <c r="B652" s="288"/>
      <c r="C652" s="288"/>
      <c r="D652" s="288"/>
      <c r="E652" s="288"/>
      <c r="F652" s="288"/>
      <c r="G652" s="288"/>
      <c r="H652" s="288"/>
      <c r="I652" s="288"/>
      <c r="J652" s="288"/>
      <c r="K652" s="288"/>
      <c r="L652" s="288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  <c r="AA652" s="288"/>
      <c r="AB652" s="288"/>
    </row>
    <row r="653" ht="15.75" customHeight="1">
      <c r="A653" s="288"/>
      <c r="B653" s="288"/>
      <c r="C653" s="288"/>
      <c r="D653" s="288"/>
      <c r="E653" s="288"/>
      <c r="F653" s="288"/>
      <c r="G653" s="288"/>
      <c r="H653" s="288"/>
      <c r="I653" s="288"/>
      <c r="J653" s="288"/>
      <c r="K653" s="288"/>
      <c r="L653" s="288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  <c r="AA653" s="288"/>
      <c r="AB653" s="288"/>
    </row>
    <row r="654" ht="15.75" customHeight="1">
      <c r="A654" s="288"/>
      <c r="B654" s="288"/>
      <c r="C654" s="288"/>
      <c r="D654" s="288"/>
      <c r="E654" s="288"/>
      <c r="F654" s="288"/>
      <c r="G654" s="288"/>
      <c r="H654" s="288"/>
      <c r="I654" s="288"/>
      <c r="J654" s="288"/>
      <c r="K654" s="288"/>
      <c r="L654" s="288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  <c r="AA654" s="288"/>
      <c r="AB654" s="288"/>
    </row>
    <row r="655" ht="15.75" customHeight="1">
      <c r="A655" s="288"/>
      <c r="B655" s="288"/>
      <c r="C655" s="288"/>
      <c r="D655" s="288"/>
      <c r="E655" s="288"/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  <c r="AA655" s="288"/>
      <c r="AB655" s="288"/>
    </row>
    <row r="656" ht="15.75" customHeight="1">
      <c r="A656" s="288"/>
      <c r="B656" s="288"/>
      <c r="C656" s="288"/>
      <c r="D656" s="288"/>
      <c r="E656" s="288"/>
      <c r="F656" s="288"/>
      <c r="G656" s="288"/>
      <c r="H656" s="288"/>
      <c r="I656" s="288"/>
      <c r="J656" s="288"/>
      <c r="K656" s="288"/>
      <c r="L656" s="288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  <c r="AA656" s="288"/>
      <c r="AB656" s="288"/>
    </row>
    <row r="657" ht="15.75" customHeight="1">
      <c r="A657" s="288"/>
      <c r="B657" s="288"/>
      <c r="C657" s="288"/>
      <c r="D657" s="288"/>
      <c r="E657" s="288"/>
      <c r="F657" s="288"/>
      <c r="G657" s="288"/>
      <c r="H657" s="288"/>
      <c r="I657" s="288"/>
      <c r="J657" s="288"/>
      <c r="K657" s="288"/>
      <c r="L657" s="288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  <c r="AA657" s="288"/>
      <c r="AB657" s="288"/>
    </row>
    <row r="658" ht="15.75" customHeight="1">
      <c r="A658" s="288"/>
      <c r="B658" s="288"/>
      <c r="C658" s="288"/>
      <c r="D658" s="288"/>
      <c r="E658" s="288"/>
      <c r="F658" s="288"/>
      <c r="G658" s="288"/>
      <c r="H658" s="288"/>
      <c r="I658" s="288"/>
      <c r="J658" s="288"/>
      <c r="K658" s="288"/>
      <c r="L658" s="288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  <c r="AA658" s="288"/>
      <c r="AB658" s="288"/>
    </row>
    <row r="659" ht="15.75" customHeight="1">
      <c r="A659" s="288"/>
      <c r="B659" s="288"/>
      <c r="C659" s="288"/>
      <c r="D659" s="288"/>
      <c r="E659" s="288"/>
      <c r="F659" s="288"/>
      <c r="G659" s="288"/>
      <c r="H659" s="288"/>
      <c r="I659" s="288"/>
      <c r="J659" s="288"/>
      <c r="K659" s="288"/>
      <c r="L659" s="288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  <c r="AA659" s="288"/>
      <c r="AB659" s="288"/>
    </row>
    <row r="660" ht="15.75" customHeight="1">
      <c r="A660" s="288"/>
      <c r="B660" s="288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  <c r="AA660" s="288"/>
      <c r="AB660" s="288"/>
    </row>
    <row r="661" ht="15.75" customHeight="1">
      <c r="A661" s="288"/>
      <c r="B661" s="288"/>
      <c r="C661" s="288"/>
      <c r="D661" s="288"/>
      <c r="E661" s="288"/>
      <c r="F661" s="288"/>
      <c r="G661" s="288"/>
      <c r="H661" s="288"/>
      <c r="I661" s="288"/>
      <c r="J661" s="288"/>
      <c r="K661" s="288"/>
      <c r="L661" s="288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  <c r="AA661" s="288"/>
      <c r="AB661" s="288"/>
    </row>
    <row r="662" ht="15.75" customHeight="1">
      <c r="A662" s="288"/>
      <c r="B662" s="288"/>
      <c r="C662" s="288"/>
      <c r="D662" s="288"/>
      <c r="E662" s="288"/>
      <c r="F662" s="288"/>
      <c r="G662" s="288"/>
      <c r="H662" s="288"/>
      <c r="I662" s="288"/>
      <c r="J662" s="288"/>
      <c r="K662" s="288"/>
      <c r="L662" s="288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  <c r="AA662" s="288"/>
      <c r="AB662" s="288"/>
    </row>
    <row r="663" ht="15.75" customHeight="1">
      <c r="A663" s="288"/>
      <c r="B663" s="288"/>
      <c r="C663" s="288"/>
      <c r="D663" s="288"/>
      <c r="E663" s="288"/>
      <c r="F663" s="288"/>
      <c r="G663" s="288"/>
      <c r="H663" s="288"/>
      <c r="I663" s="288"/>
      <c r="J663" s="288"/>
      <c r="K663" s="288"/>
      <c r="L663" s="288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  <c r="AA663" s="288"/>
      <c r="AB663" s="288"/>
    </row>
    <row r="664" ht="15.75" customHeight="1">
      <c r="A664" s="288"/>
      <c r="B664" s="288"/>
      <c r="C664" s="288"/>
      <c r="D664" s="288"/>
      <c r="E664" s="288"/>
      <c r="F664" s="288"/>
      <c r="G664" s="288"/>
      <c r="H664" s="288"/>
      <c r="I664" s="288"/>
      <c r="J664" s="288"/>
      <c r="K664" s="288"/>
      <c r="L664" s="288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  <c r="AA664" s="288"/>
      <c r="AB664" s="288"/>
    </row>
    <row r="665" ht="15.75" customHeight="1">
      <c r="A665" s="288"/>
      <c r="B665" s="288"/>
      <c r="C665" s="288"/>
      <c r="D665" s="288"/>
      <c r="E665" s="288"/>
      <c r="F665" s="288"/>
      <c r="G665" s="288"/>
      <c r="H665" s="288"/>
      <c r="I665" s="288"/>
      <c r="J665" s="288"/>
      <c r="K665" s="288"/>
      <c r="L665" s="288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  <c r="AA665" s="288"/>
      <c r="AB665" s="288"/>
    </row>
    <row r="666" ht="15.75" customHeight="1">
      <c r="A666" s="288"/>
      <c r="B666" s="288"/>
      <c r="C666" s="288"/>
      <c r="D666" s="288"/>
      <c r="E666" s="288"/>
      <c r="F666" s="288"/>
      <c r="G666" s="288"/>
      <c r="H666" s="288"/>
      <c r="I666" s="288"/>
      <c r="J666" s="288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  <c r="AA666" s="288"/>
      <c r="AB666" s="288"/>
    </row>
    <row r="667" ht="15.75" customHeight="1">
      <c r="A667" s="288"/>
      <c r="B667" s="288"/>
      <c r="C667" s="288"/>
      <c r="D667" s="288"/>
      <c r="E667" s="288"/>
      <c r="F667" s="288"/>
      <c r="G667" s="288"/>
      <c r="H667" s="288"/>
      <c r="I667" s="288"/>
      <c r="J667" s="288"/>
      <c r="K667" s="288"/>
      <c r="L667" s="288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  <c r="AA667" s="288"/>
      <c r="AB667" s="288"/>
    </row>
    <row r="668" ht="15.75" customHeight="1">
      <c r="A668" s="288"/>
      <c r="B668" s="288"/>
      <c r="C668" s="288"/>
      <c r="D668" s="288"/>
      <c r="E668" s="288"/>
      <c r="F668" s="288"/>
      <c r="G668" s="288"/>
      <c r="H668" s="288"/>
      <c r="I668" s="288"/>
      <c r="J668" s="288"/>
      <c r="K668" s="288"/>
      <c r="L668" s="288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  <c r="AA668" s="288"/>
      <c r="AB668" s="288"/>
    </row>
    <row r="669" ht="15.75" customHeight="1">
      <c r="A669" s="288"/>
      <c r="B669" s="288"/>
      <c r="C669" s="288"/>
      <c r="D669" s="288"/>
      <c r="E669" s="288"/>
      <c r="F669" s="288"/>
      <c r="G669" s="288"/>
      <c r="H669" s="288"/>
      <c r="I669" s="288"/>
      <c r="J669" s="288"/>
      <c r="K669" s="288"/>
      <c r="L669" s="288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  <c r="AA669" s="288"/>
      <c r="AB669" s="288"/>
    </row>
    <row r="670" ht="15.75" customHeight="1">
      <c r="A670" s="288"/>
      <c r="B670" s="288"/>
      <c r="C670" s="288"/>
      <c r="D670" s="288"/>
      <c r="E670" s="288"/>
      <c r="F670" s="288"/>
      <c r="G670" s="288"/>
      <c r="H670" s="288"/>
      <c r="I670" s="288"/>
      <c r="J670" s="288"/>
      <c r="K670" s="288"/>
      <c r="L670" s="288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  <c r="AA670" s="288"/>
      <c r="AB670" s="288"/>
    </row>
    <row r="671" ht="15.75" customHeight="1">
      <c r="A671" s="288"/>
      <c r="B671" s="288"/>
      <c r="C671" s="288"/>
      <c r="D671" s="288"/>
      <c r="E671" s="288"/>
      <c r="F671" s="288"/>
      <c r="G671" s="288"/>
      <c r="H671" s="288"/>
      <c r="I671" s="288"/>
      <c r="J671" s="288"/>
      <c r="K671" s="288"/>
      <c r="L671" s="288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  <c r="AA671" s="288"/>
      <c r="AB671" s="288"/>
    </row>
    <row r="672" ht="15.75" customHeight="1">
      <c r="A672" s="288"/>
      <c r="B672" s="288"/>
      <c r="C672" s="288"/>
      <c r="D672" s="288"/>
      <c r="E672" s="288"/>
      <c r="F672" s="288"/>
      <c r="G672" s="288"/>
      <c r="H672" s="288"/>
      <c r="I672" s="288"/>
      <c r="J672" s="288"/>
      <c r="K672" s="288"/>
      <c r="L672" s="288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  <c r="AA672" s="288"/>
      <c r="AB672" s="288"/>
    </row>
    <row r="673" ht="15.75" customHeight="1">
      <c r="A673" s="288"/>
      <c r="B673" s="288"/>
      <c r="C673" s="288"/>
      <c r="D673" s="288"/>
      <c r="E673" s="288"/>
      <c r="F673" s="288"/>
      <c r="G673" s="288"/>
      <c r="H673" s="288"/>
      <c r="I673" s="288"/>
      <c r="J673" s="288"/>
      <c r="K673" s="288"/>
      <c r="L673" s="288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  <c r="AA673" s="288"/>
      <c r="AB673" s="288"/>
    </row>
    <row r="674" ht="15.75" customHeight="1">
      <c r="A674" s="288"/>
      <c r="B674" s="288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  <c r="AA674" s="288"/>
      <c r="AB674" s="288"/>
    </row>
    <row r="675" ht="15.75" customHeight="1">
      <c r="A675" s="288"/>
      <c r="B675" s="288"/>
      <c r="C675" s="288"/>
      <c r="D675" s="288"/>
      <c r="E675" s="288"/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  <c r="AA675" s="288"/>
      <c r="AB675" s="288"/>
    </row>
    <row r="676" ht="15.75" customHeight="1">
      <c r="A676" s="288"/>
      <c r="B676" s="288"/>
      <c r="C676" s="288"/>
      <c r="D676" s="288"/>
      <c r="E676" s="288"/>
      <c r="F676" s="288"/>
      <c r="G676" s="288"/>
      <c r="H676" s="288"/>
      <c r="I676" s="288"/>
      <c r="J676" s="288"/>
      <c r="K676" s="288"/>
      <c r="L676" s="288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  <c r="AA676" s="288"/>
      <c r="AB676" s="288"/>
    </row>
    <row r="677" ht="15.75" customHeight="1">
      <c r="A677" s="288"/>
      <c r="B677" s="288"/>
      <c r="C677" s="288"/>
      <c r="D677" s="288"/>
      <c r="E677" s="288"/>
      <c r="F677" s="288"/>
      <c r="G677" s="288"/>
      <c r="H677" s="288"/>
      <c r="I677" s="288"/>
      <c r="J677" s="288"/>
      <c r="K677" s="288"/>
      <c r="L677" s="288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  <c r="AA677" s="288"/>
      <c r="AB677" s="288"/>
    </row>
    <row r="678" ht="15.75" customHeight="1">
      <c r="A678" s="288"/>
      <c r="B678" s="288"/>
      <c r="C678" s="288"/>
      <c r="D678" s="288"/>
      <c r="E678" s="288"/>
      <c r="F678" s="288"/>
      <c r="G678" s="288"/>
      <c r="H678" s="288"/>
      <c r="I678" s="288"/>
      <c r="J678" s="288"/>
      <c r="K678" s="288"/>
      <c r="L678" s="288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  <c r="AA678" s="288"/>
      <c r="AB678" s="288"/>
    </row>
    <row r="679" ht="15.75" customHeight="1">
      <c r="A679" s="288"/>
      <c r="B679" s="288"/>
      <c r="C679" s="288"/>
      <c r="D679" s="288"/>
      <c r="E679" s="288"/>
      <c r="F679" s="288"/>
      <c r="G679" s="288"/>
      <c r="H679" s="288"/>
      <c r="I679" s="288"/>
      <c r="J679" s="288"/>
      <c r="K679" s="288"/>
      <c r="L679" s="288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  <c r="AA679" s="288"/>
      <c r="AB679" s="288"/>
    </row>
    <row r="680" ht="15.75" customHeight="1">
      <c r="A680" s="288"/>
      <c r="B680" s="288"/>
      <c r="C680" s="288"/>
      <c r="D680" s="288"/>
      <c r="E680" s="288"/>
      <c r="F680" s="288"/>
      <c r="G680" s="288"/>
      <c r="H680" s="288"/>
      <c r="I680" s="288"/>
      <c r="J680" s="288"/>
      <c r="K680" s="288"/>
      <c r="L680" s="288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  <c r="AA680" s="288"/>
      <c r="AB680" s="288"/>
    </row>
    <row r="681" ht="15.75" customHeight="1">
      <c r="A681" s="288"/>
      <c r="B681" s="288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  <c r="AA681" s="288"/>
      <c r="AB681" s="288"/>
    </row>
    <row r="682" ht="15.75" customHeight="1">
      <c r="A682" s="288"/>
      <c r="B682" s="288"/>
      <c r="C682" s="288"/>
      <c r="D682" s="288"/>
      <c r="E682" s="288"/>
      <c r="F682" s="288"/>
      <c r="G682" s="288"/>
      <c r="H682" s="288"/>
      <c r="I682" s="288"/>
      <c r="J682" s="288"/>
      <c r="K682" s="288"/>
      <c r="L682" s="288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  <c r="AA682" s="288"/>
      <c r="AB682" s="288"/>
    </row>
    <row r="683" ht="15.75" customHeight="1">
      <c r="A683" s="288"/>
      <c r="B683" s="288"/>
      <c r="C683" s="288"/>
      <c r="D683" s="288"/>
      <c r="E683" s="288"/>
      <c r="F683" s="288"/>
      <c r="G683" s="288"/>
      <c r="H683" s="288"/>
      <c r="I683" s="288"/>
      <c r="J683" s="288"/>
      <c r="K683" s="288"/>
      <c r="L683" s="288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  <c r="AA683" s="288"/>
      <c r="AB683" s="288"/>
    </row>
    <row r="684" ht="15.75" customHeight="1">
      <c r="A684" s="288"/>
      <c r="B684" s="288"/>
      <c r="C684" s="288"/>
      <c r="D684" s="288"/>
      <c r="E684" s="288"/>
      <c r="F684" s="288"/>
      <c r="G684" s="288"/>
      <c r="H684" s="288"/>
      <c r="I684" s="288"/>
      <c r="J684" s="288"/>
      <c r="K684" s="288"/>
      <c r="L684" s="288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  <c r="AA684" s="288"/>
      <c r="AB684" s="288"/>
    </row>
    <row r="685" ht="15.75" customHeight="1">
      <c r="A685" s="288"/>
      <c r="B685" s="288"/>
      <c r="C685" s="288"/>
      <c r="D685" s="288"/>
      <c r="E685" s="288"/>
      <c r="F685" s="288"/>
      <c r="G685" s="288"/>
      <c r="H685" s="288"/>
      <c r="I685" s="288"/>
      <c r="J685" s="288"/>
      <c r="K685" s="288"/>
      <c r="L685" s="288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  <c r="AA685" s="288"/>
      <c r="AB685" s="288"/>
    </row>
    <row r="686" ht="15.75" customHeight="1">
      <c r="A686" s="288"/>
      <c r="B686" s="288"/>
      <c r="C686" s="288"/>
      <c r="D686" s="288"/>
      <c r="E686" s="288"/>
      <c r="F686" s="288"/>
      <c r="G686" s="288"/>
      <c r="H686" s="288"/>
      <c r="I686" s="288"/>
      <c r="J686" s="288"/>
      <c r="K686" s="288"/>
      <c r="L686" s="288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  <c r="AA686" s="288"/>
      <c r="AB686" s="288"/>
    </row>
    <row r="687" ht="15.75" customHeight="1">
      <c r="A687" s="288"/>
      <c r="B687" s="288"/>
      <c r="C687" s="288"/>
      <c r="D687" s="288"/>
      <c r="E687" s="288"/>
      <c r="F687" s="288"/>
      <c r="G687" s="288"/>
      <c r="H687" s="288"/>
      <c r="I687" s="288"/>
      <c r="J687" s="288"/>
      <c r="K687" s="288"/>
      <c r="L687" s="288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  <c r="AA687" s="288"/>
      <c r="AB687" s="288"/>
    </row>
    <row r="688" ht="15.75" customHeight="1">
      <c r="A688" s="288"/>
      <c r="B688" s="288"/>
      <c r="C688" s="288"/>
      <c r="D688" s="288"/>
      <c r="E688" s="288"/>
      <c r="F688" s="288"/>
      <c r="G688" s="288"/>
      <c r="H688" s="288"/>
      <c r="I688" s="288"/>
      <c r="J688" s="288"/>
      <c r="K688" s="288"/>
      <c r="L688" s="288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  <c r="AA688" s="288"/>
      <c r="AB688" s="288"/>
    </row>
    <row r="689" ht="15.75" customHeight="1">
      <c r="A689" s="288"/>
      <c r="B689" s="288"/>
      <c r="C689" s="288"/>
      <c r="D689" s="288"/>
      <c r="E689" s="288"/>
      <c r="F689" s="288"/>
      <c r="G689" s="288"/>
      <c r="H689" s="288"/>
      <c r="I689" s="288"/>
      <c r="J689" s="288"/>
      <c r="K689" s="288"/>
      <c r="L689" s="288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  <c r="AA689" s="288"/>
      <c r="AB689" s="288"/>
    </row>
    <row r="690" ht="15.75" customHeight="1">
      <c r="A690" s="288"/>
      <c r="B690" s="288"/>
      <c r="C690" s="288"/>
      <c r="D690" s="288"/>
      <c r="E690" s="288"/>
      <c r="F690" s="288"/>
      <c r="G690" s="288"/>
      <c r="H690" s="288"/>
      <c r="I690" s="288"/>
      <c r="J690" s="288"/>
      <c r="K690" s="288"/>
      <c r="L690" s="288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  <c r="AA690" s="288"/>
      <c r="AB690" s="288"/>
    </row>
    <row r="691" ht="15.75" customHeight="1">
      <c r="A691" s="288"/>
      <c r="B691" s="288"/>
      <c r="C691" s="288"/>
      <c r="D691" s="288"/>
      <c r="E691" s="288"/>
      <c r="F691" s="288"/>
      <c r="G691" s="288"/>
      <c r="H691" s="288"/>
      <c r="I691" s="288"/>
      <c r="J691" s="288"/>
      <c r="K691" s="288"/>
      <c r="L691" s="288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  <c r="AA691" s="288"/>
      <c r="AB691" s="288"/>
    </row>
    <row r="692" ht="15.75" customHeight="1">
      <c r="A692" s="288"/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</row>
    <row r="693" ht="15.75" customHeight="1">
      <c r="A693" s="288"/>
      <c r="B693" s="288"/>
      <c r="C693" s="288"/>
      <c r="D693" s="288"/>
      <c r="E693" s="288"/>
      <c r="F693" s="288"/>
      <c r="G693" s="288"/>
      <c r="H693" s="288"/>
      <c r="I693" s="288"/>
      <c r="J693" s="288"/>
      <c r="K693" s="288"/>
      <c r="L693" s="288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  <c r="AA693" s="288"/>
      <c r="AB693" s="288"/>
    </row>
    <row r="694" ht="15.75" customHeight="1">
      <c r="A694" s="288"/>
      <c r="B694" s="288"/>
      <c r="C694" s="288"/>
      <c r="D694" s="288"/>
      <c r="E694" s="288"/>
      <c r="F694" s="288"/>
      <c r="G694" s="288"/>
      <c r="H694" s="288"/>
      <c r="I694" s="288"/>
      <c r="J694" s="288"/>
      <c r="K694" s="288"/>
      <c r="L694" s="288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  <c r="AA694" s="288"/>
      <c r="AB694" s="288"/>
    </row>
    <row r="695" ht="15.75" customHeight="1">
      <c r="A695" s="288"/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8"/>
      <c r="AB695" s="288"/>
    </row>
    <row r="696" ht="15.75" customHeight="1">
      <c r="A696" s="288"/>
      <c r="B696" s="288"/>
      <c r="C696" s="288"/>
      <c r="D696" s="288"/>
      <c r="E696" s="288"/>
      <c r="F696" s="288"/>
      <c r="G696" s="288"/>
      <c r="H696" s="288"/>
      <c r="I696" s="288"/>
      <c r="J696" s="288"/>
      <c r="K696" s="288"/>
      <c r="L696" s="288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  <c r="AA696" s="288"/>
      <c r="AB696" s="288"/>
    </row>
    <row r="697" ht="15.75" customHeight="1">
      <c r="A697" s="288"/>
      <c r="B697" s="288"/>
      <c r="C697" s="288"/>
      <c r="D697" s="288"/>
      <c r="E697" s="288"/>
      <c r="F697" s="288"/>
      <c r="G697" s="288"/>
      <c r="H697" s="288"/>
      <c r="I697" s="288"/>
      <c r="J697" s="288"/>
      <c r="K697" s="288"/>
      <c r="L697" s="288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  <c r="AA697" s="288"/>
      <c r="AB697" s="288"/>
    </row>
    <row r="698" ht="15.75" customHeight="1">
      <c r="A698" s="288"/>
      <c r="B698" s="288"/>
      <c r="C698" s="288"/>
      <c r="D698" s="288"/>
      <c r="E698" s="288"/>
      <c r="F698" s="288"/>
      <c r="G698" s="288"/>
      <c r="H698" s="288"/>
      <c r="I698" s="288"/>
      <c r="J698" s="288"/>
      <c r="K698" s="288"/>
      <c r="L698" s="288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  <c r="AA698" s="288"/>
      <c r="AB698" s="288"/>
    </row>
    <row r="699" ht="15.75" customHeight="1">
      <c r="A699" s="288"/>
      <c r="B699" s="288"/>
      <c r="C699" s="288"/>
      <c r="D699" s="288"/>
      <c r="E699" s="288"/>
      <c r="F699" s="288"/>
      <c r="G699" s="288"/>
      <c r="H699" s="288"/>
      <c r="I699" s="288"/>
      <c r="J699" s="288"/>
      <c r="K699" s="288"/>
      <c r="L699" s="288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  <c r="AA699" s="288"/>
      <c r="AB699" s="288"/>
    </row>
    <row r="700" ht="15.75" customHeight="1">
      <c r="A700" s="288"/>
      <c r="B700" s="288"/>
      <c r="C700" s="288"/>
      <c r="D700" s="288"/>
      <c r="E700" s="288"/>
      <c r="F700" s="288"/>
      <c r="G700" s="288"/>
      <c r="H700" s="288"/>
      <c r="I700" s="288"/>
      <c r="J700" s="288"/>
      <c r="K700" s="288"/>
      <c r="L700" s="288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  <c r="AA700" s="288"/>
      <c r="AB700" s="288"/>
    </row>
    <row r="701" ht="15.75" customHeight="1">
      <c r="A701" s="288"/>
      <c r="B701" s="288"/>
      <c r="C701" s="288"/>
      <c r="D701" s="288"/>
      <c r="E701" s="288"/>
      <c r="F701" s="288"/>
      <c r="G701" s="288"/>
      <c r="H701" s="288"/>
      <c r="I701" s="288"/>
      <c r="J701" s="288"/>
      <c r="K701" s="288"/>
      <c r="L701" s="288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  <c r="AA701" s="288"/>
      <c r="AB701" s="288"/>
    </row>
    <row r="702" ht="15.75" customHeight="1">
      <c r="A702" s="288"/>
      <c r="B702" s="288"/>
      <c r="C702" s="288"/>
      <c r="D702" s="288"/>
      <c r="E702" s="288"/>
      <c r="F702" s="288"/>
      <c r="G702" s="288"/>
      <c r="H702" s="288"/>
      <c r="I702" s="288"/>
      <c r="J702" s="288"/>
      <c r="K702" s="288"/>
      <c r="L702" s="288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  <c r="AA702" s="288"/>
      <c r="AB702" s="288"/>
    </row>
    <row r="703" ht="15.75" customHeight="1">
      <c r="A703" s="288"/>
      <c r="B703" s="288"/>
      <c r="C703" s="288"/>
      <c r="D703" s="288"/>
      <c r="E703" s="288"/>
      <c r="F703" s="288"/>
      <c r="G703" s="288"/>
      <c r="H703" s="288"/>
      <c r="I703" s="288"/>
      <c r="J703" s="288"/>
      <c r="K703" s="288"/>
      <c r="L703" s="288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  <c r="AA703" s="288"/>
      <c r="AB703" s="288"/>
    </row>
    <row r="704" ht="15.75" customHeight="1">
      <c r="A704" s="288"/>
      <c r="B704" s="288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  <c r="AA704" s="288"/>
      <c r="AB704" s="288"/>
    </row>
    <row r="705" ht="15.75" customHeight="1">
      <c r="A705" s="288"/>
      <c r="B705" s="288"/>
      <c r="C705" s="288"/>
      <c r="D705" s="288"/>
      <c r="E705" s="288"/>
      <c r="F705" s="288"/>
      <c r="G705" s="288"/>
      <c r="H705" s="288"/>
      <c r="I705" s="288"/>
      <c r="J705" s="288"/>
      <c r="K705" s="288"/>
      <c r="L705" s="288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  <c r="AA705" s="288"/>
      <c r="AB705" s="288"/>
    </row>
    <row r="706" ht="15.75" customHeight="1">
      <c r="A706" s="288"/>
      <c r="B706" s="288"/>
      <c r="C706" s="288"/>
      <c r="D706" s="288"/>
      <c r="E706" s="288"/>
      <c r="F706" s="288"/>
      <c r="G706" s="288"/>
      <c r="H706" s="288"/>
      <c r="I706" s="288"/>
      <c r="J706" s="288"/>
      <c r="K706" s="288"/>
      <c r="L706" s="288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  <c r="AA706" s="288"/>
      <c r="AB706" s="288"/>
    </row>
    <row r="707" ht="15.75" customHeight="1">
      <c r="A707" s="288"/>
      <c r="B707" s="288"/>
      <c r="C707" s="288"/>
      <c r="D707" s="288"/>
      <c r="E707" s="288"/>
      <c r="F707" s="288"/>
      <c r="G707" s="288"/>
      <c r="H707" s="288"/>
      <c r="I707" s="288"/>
      <c r="J707" s="288"/>
      <c r="K707" s="288"/>
      <c r="L707" s="288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  <c r="AA707" s="288"/>
      <c r="AB707" s="288"/>
    </row>
    <row r="708" ht="15.75" customHeight="1">
      <c r="A708" s="288"/>
      <c r="B708" s="288"/>
      <c r="C708" s="288"/>
      <c r="D708" s="288"/>
      <c r="E708" s="288"/>
      <c r="F708" s="288"/>
      <c r="G708" s="288"/>
      <c r="H708" s="288"/>
      <c r="I708" s="288"/>
      <c r="J708" s="288"/>
      <c r="K708" s="288"/>
      <c r="L708" s="288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  <c r="AA708" s="288"/>
      <c r="AB708" s="288"/>
    </row>
    <row r="709" ht="15.75" customHeight="1">
      <c r="A709" s="288"/>
      <c r="B709" s="288"/>
      <c r="C709" s="288"/>
      <c r="D709" s="288"/>
      <c r="E709" s="288"/>
      <c r="F709" s="288"/>
      <c r="G709" s="288"/>
      <c r="H709" s="288"/>
      <c r="I709" s="288"/>
      <c r="J709" s="288"/>
      <c r="K709" s="288"/>
      <c r="L709" s="288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  <c r="AA709" s="288"/>
      <c r="AB709" s="288"/>
    </row>
    <row r="710" ht="15.75" customHeight="1">
      <c r="A710" s="288"/>
      <c r="B710" s="288"/>
      <c r="C710" s="288"/>
      <c r="D710" s="288"/>
      <c r="E710" s="288"/>
      <c r="F710" s="288"/>
      <c r="G710" s="288"/>
      <c r="H710" s="288"/>
      <c r="I710" s="288"/>
      <c r="J710" s="288"/>
      <c r="K710" s="288"/>
      <c r="L710" s="288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  <c r="AA710" s="288"/>
      <c r="AB710" s="288"/>
    </row>
    <row r="711" ht="15.75" customHeight="1">
      <c r="A711" s="288"/>
      <c r="B711" s="288"/>
      <c r="C711" s="288"/>
      <c r="D711" s="288"/>
      <c r="E711" s="288"/>
      <c r="F711" s="288"/>
      <c r="G711" s="288"/>
      <c r="H711" s="288"/>
      <c r="I711" s="288"/>
      <c r="J711" s="288"/>
      <c r="K711" s="288"/>
      <c r="L711" s="288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  <c r="AA711" s="288"/>
      <c r="AB711" s="288"/>
    </row>
    <row r="712" ht="15.75" customHeight="1">
      <c r="A712" s="288"/>
      <c r="B712" s="288"/>
      <c r="C712" s="288"/>
      <c r="D712" s="288"/>
      <c r="E712" s="288"/>
      <c r="F712" s="288"/>
      <c r="G712" s="288"/>
      <c r="H712" s="288"/>
      <c r="I712" s="288"/>
      <c r="J712" s="288"/>
      <c r="K712" s="288"/>
      <c r="L712" s="288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  <c r="AA712" s="288"/>
      <c r="AB712" s="288"/>
    </row>
    <row r="713" ht="15.75" customHeight="1">
      <c r="A713" s="288"/>
      <c r="B713" s="288"/>
      <c r="C713" s="288"/>
      <c r="D713" s="288"/>
      <c r="E713" s="288"/>
      <c r="F713" s="288"/>
      <c r="G713" s="288"/>
      <c r="H713" s="288"/>
      <c r="I713" s="288"/>
      <c r="J713" s="288"/>
      <c r="K713" s="288"/>
      <c r="L713" s="288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  <c r="AA713" s="288"/>
      <c r="AB713" s="288"/>
    </row>
    <row r="714" ht="15.75" customHeight="1">
      <c r="A714" s="288"/>
      <c r="B714" s="288"/>
      <c r="C714" s="288"/>
      <c r="D714" s="288"/>
      <c r="E714" s="288"/>
      <c r="F714" s="288"/>
      <c r="G714" s="288"/>
      <c r="H714" s="288"/>
      <c r="I714" s="288"/>
      <c r="J714" s="288"/>
      <c r="K714" s="288"/>
      <c r="L714" s="288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  <c r="AA714" s="288"/>
      <c r="AB714" s="288"/>
    </row>
    <row r="715" ht="15.75" customHeight="1">
      <c r="A715" s="288"/>
      <c r="B715" s="288"/>
      <c r="C715" s="288"/>
      <c r="D715" s="288"/>
      <c r="E715" s="288"/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  <c r="AA715" s="288"/>
      <c r="AB715" s="288"/>
    </row>
    <row r="716" ht="15.75" customHeight="1">
      <c r="A716" s="288"/>
      <c r="B716" s="288"/>
      <c r="C716" s="288"/>
      <c r="D716" s="288"/>
      <c r="E716" s="288"/>
      <c r="F716" s="288"/>
      <c r="G716" s="288"/>
      <c r="H716" s="288"/>
      <c r="I716" s="288"/>
      <c r="J716" s="288"/>
      <c r="K716" s="288"/>
      <c r="L716" s="288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  <c r="AA716" s="288"/>
      <c r="AB716" s="288"/>
    </row>
    <row r="717" ht="15.75" customHeight="1">
      <c r="A717" s="288"/>
      <c r="B717" s="288"/>
      <c r="C717" s="288"/>
      <c r="D717" s="288"/>
      <c r="E717" s="288"/>
      <c r="F717" s="288"/>
      <c r="G717" s="288"/>
      <c r="H717" s="288"/>
      <c r="I717" s="288"/>
      <c r="J717" s="288"/>
      <c r="K717" s="288"/>
      <c r="L717" s="288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  <c r="AA717" s="288"/>
      <c r="AB717" s="288"/>
    </row>
    <row r="718" ht="15.75" customHeight="1">
      <c r="A718" s="288"/>
      <c r="B718" s="288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  <c r="AA718" s="288"/>
      <c r="AB718" s="288"/>
    </row>
    <row r="719" ht="15.75" customHeight="1">
      <c r="A719" s="288"/>
      <c r="B719" s="288"/>
      <c r="C719" s="288"/>
      <c r="D719" s="288"/>
      <c r="E719" s="288"/>
      <c r="F719" s="288"/>
      <c r="G719" s="288"/>
      <c r="H719" s="288"/>
      <c r="I719" s="288"/>
      <c r="J719" s="288"/>
      <c r="K719" s="288"/>
      <c r="L719" s="288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  <c r="AA719" s="288"/>
      <c r="AB719" s="288"/>
    </row>
    <row r="720" ht="15.75" customHeight="1">
      <c r="A720" s="288"/>
      <c r="B720" s="288"/>
      <c r="C720" s="288"/>
      <c r="D720" s="288"/>
      <c r="E720" s="288"/>
      <c r="F720" s="288"/>
      <c r="G720" s="288"/>
      <c r="H720" s="288"/>
      <c r="I720" s="288"/>
      <c r="J720" s="288"/>
      <c r="K720" s="288"/>
      <c r="L720" s="288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  <c r="AA720" s="288"/>
      <c r="AB720" s="288"/>
    </row>
    <row r="721" ht="15.75" customHeight="1">
      <c r="A721" s="288"/>
      <c r="B721" s="288"/>
      <c r="C721" s="288"/>
      <c r="D721" s="288"/>
      <c r="E721" s="288"/>
      <c r="F721" s="288"/>
      <c r="G721" s="288"/>
      <c r="H721" s="288"/>
      <c r="I721" s="288"/>
      <c r="J721" s="288"/>
      <c r="K721" s="288"/>
      <c r="L721" s="288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  <c r="AA721" s="288"/>
      <c r="AB721" s="288"/>
    </row>
    <row r="722" ht="15.75" customHeight="1">
      <c r="A722" s="288"/>
      <c r="B722" s="288"/>
      <c r="C722" s="288"/>
      <c r="D722" s="288"/>
      <c r="E722" s="288"/>
      <c r="F722" s="288"/>
      <c r="G722" s="288"/>
      <c r="H722" s="288"/>
      <c r="I722" s="288"/>
      <c r="J722" s="288"/>
      <c r="K722" s="288"/>
      <c r="L722" s="288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  <c r="AA722" s="288"/>
      <c r="AB722" s="288"/>
    </row>
    <row r="723" ht="15.75" customHeight="1">
      <c r="A723" s="288"/>
      <c r="B723" s="288"/>
      <c r="C723" s="288"/>
      <c r="D723" s="288"/>
      <c r="E723" s="288"/>
      <c r="F723" s="288"/>
      <c r="G723" s="288"/>
      <c r="H723" s="288"/>
      <c r="I723" s="288"/>
      <c r="J723" s="288"/>
      <c r="K723" s="288"/>
      <c r="L723" s="288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  <c r="AA723" s="288"/>
      <c r="AB723" s="288"/>
    </row>
    <row r="724" ht="15.75" customHeight="1">
      <c r="A724" s="288"/>
      <c r="B724" s="288"/>
      <c r="C724" s="288"/>
      <c r="D724" s="288"/>
      <c r="E724" s="288"/>
      <c r="F724" s="288"/>
      <c r="G724" s="288"/>
      <c r="H724" s="288"/>
      <c r="I724" s="288"/>
      <c r="J724" s="288"/>
      <c r="K724" s="288"/>
      <c r="L724" s="288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  <c r="AA724" s="288"/>
      <c r="AB724" s="288"/>
    </row>
    <row r="725" ht="15.75" customHeight="1">
      <c r="A725" s="288"/>
      <c r="B725" s="288"/>
      <c r="C725" s="288"/>
      <c r="D725" s="288"/>
      <c r="E725" s="288"/>
      <c r="F725" s="288"/>
      <c r="G725" s="288"/>
      <c r="H725" s="288"/>
      <c r="I725" s="288"/>
      <c r="J725" s="288"/>
      <c r="K725" s="288"/>
      <c r="L725" s="288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  <c r="AA725" s="288"/>
      <c r="AB725" s="288"/>
    </row>
    <row r="726" ht="15.75" customHeight="1">
      <c r="A726" s="288"/>
      <c r="B726" s="288"/>
      <c r="C726" s="288"/>
      <c r="D726" s="288"/>
      <c r="E726" s="288"/>
      <c r="F726" s="288"/>
      <c r="G726" s="288"/>
      <c r="H726" s="288"/>
      <c r="I726" s="288"/>
      <c r="J726" s="288"/>
      <c r="K726" s="288"/>
      <c r="L726" s="288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  <c r="AA726" s="288"/>
      <c r="AB726" s="288"/>
    </row>
    <row r="727" ht="15.75" customHeight="1">
      <c r="A727" s="288"/>
      <c r="B727" s="288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  <c r="AA727" s="288"/>
      <c r="AB727" s="288"/>
    </row>
    <row r="728" ht="15.75" customHeight="1">
      <c r="A728" s="288"/>
      <c r="B728" s="288"/>
      <c r="C728" s="288"/>
      <c r="D728" s="288"/>
      <c r="E728" s="288"/>
      <c r="F728" s="288"/>
      <c r="G728" s="288"/>
      <c r="H728" s="288"/>
      <c r="I728" s="288"/>
      <c r="J728" s="288"/>
      <c r="K728" s="288"/>
      <c r="L728" s="288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  <c r="AA728" s="288"/>
      <c r="AB728" s="288"/>
    </row>
    <row r="729" ht="15.75" customHeight="1">
      <c r="A729" s="288"/>
      <c r="B729" s="288"/>
      <c r="C729" s="288"/>
      <c r="D729" s="288"/>
      <c r="E729" s="288"/>
      <c r="F729" s="288"/>
      <c r="G729" s="288"/>
      <c r="H729" s="288"/>
      <c r="I729" s="288"/>
      <c r="J729" s="288"/>
      <c r="K729" s="288"/>
      <c r="L729" s="288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  <c r="AA729" s="288"/>
      <c r="AB729" s="288"/>
    </row>
    <row r="730" ht="15.75" customHeight="1">
      <c r="A730" s="288"/>
      <c r="B730" s="288"/>
      <c r="C730" s="288"/>
      <c r="D730" s="288"/>
      <c r="E730" s="288"/>
      <c r="F730" s="288"/>
      <c r="G730" s="288"/>
      <c r="H730" s="288"/>
      <c r="I730" s="288"/>
      <c r="J730" s="288"/>
      <c r="K730" s="288"/>
      <c r="L730" s="288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  <c r="AA730" s="288"/>
      <c r="AB730" s="288"/>
    </row>
    <row r="731" ht="15.75" customHeight="1">
      <c r="A731" s="288"/>
      <c r="B731" s="288"/>
      <c r="C731" s="288"/>
      <c r="D731" s="288"/>
      <c r="E731" s="288"/>
      <c r="F731" s="288"/>
      <c r="G731" s="288"/>
      <c r="H731" s="288"/>
      <c r="I731" s="288"/>
      <c r="J731" s="288"/>
      <c r="K731" s="288"/>
      <c r="L731" s="288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  <c r="AA731" s="288"/>
      <c r="AB731" s="288"/>
    </row>
    <row r="732" ht="15.75" customHeight="1">
      <c r="A732" s="288"/>
      <c r="B732" s="288"/>
      <c r="C732" s="288"/>
      <c r="D732" s="288"/>
      <c r="E732" s="288"/>
      <c r="F732" s="288"/>
      <c r="G732" s="288"/>
      <c r="H732" s="288"/>
      <c r="I732" s="288"/>
      <c r="J732" s="288"/>
      <c r="K732" s="288"/>
      <c r="L732" s="288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  <c r="AA732" s="288"/>
      <c r="AB732" s="288"/>
    </row>
    <row r="733" ht="15.75" customHeight="1">
      <c r="A733" s="288"/>
      <c r="B733" s="288"/>
      <c r="C733" s="288"/>
      <c r="D733" s="288"/>
      <c r="E733" s="288"/>
      <c r="F733" s="288"/>
      <c r="G733" s="288"/>
      <c r="H733" s="288"/>
      <c r="I733" s="288"/>
      <c r="J733" s="288"/>
      <c r="K733" s="288"/>
      <c r="L733" s="288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  <c r="AA733" s="288"/>
      <c r="AB733" s="288"/>
    </row>
    <row r="734" ht="15.75" customHeight="1">
      <c r="A734" s="288"/>
      <c r="B734" s="288"/>
      <c r="C734" s="288"/>
      <c r="D734" s="288"/>
      <c r="E734" s="288"/>
      <c r="F734" s="288"/>
      <c r="G734" s="288"/>
      <c r="H734" s="288"/>
      <c r="I734" s="288"/>
      <c r="J734" s="288"/>
      <c r="K734" s="288"/>
      <c r="L734" s="288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  <c r="AA734" s="288"/>
      <c r="AB734" s="288"/>
    </row>
    <row r="735" ht="15.75" customHeight="1">
      <c r="A735" s="288"/>
      <c r="B735" s="288"/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  <c r="AA735" s="288"/>
      <c r="AB735" s="288"/>
    </row>
    <row r="736" ht="15.75" customHeight="1">
      <c r="A736" s="288"/>
      <c r="B736" s="288"/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  <c r="AA736" s="288"/>
      <c r="AB736" s="288"/>
    </row>
    <row r="737" ht="15.75" customHeight="1">
      <c r="A737" s="288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8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</row>
    <row r="738" ht="15.75" customHeight="1">
      <c r="A738" s="288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</row>
    <row r="739" ht="15.75" customHeight="1">
      <c r="A739" s="288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</row>
    <row r="740" ht="15.75" customHeight="1">
      <c r="A740" s="288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8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</row>
    <row r="741" ht="15.75" customHeight="1">
      <c r="A741" s="288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</row>
    <row r="742" ht="15.75" customHeight="1">
      <c r="A742" s="288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8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</row>
    <row r="743" ht="15.75" customHeight="1">
      <c r="A743" s="288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8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</row>
    <row r="744" ht="15.75" customHeight="1">
      <c r="A744" s="288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8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</row>
    <row r="745" ht="15.75" customHeight="1">
      <c r="A745" s="288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8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</row>
    <row r="746" ht="15.75" customHeight="1">
      <c r="A746" s="288"/>
      <c r="B746" s="288"/>
      <c r="C746" s="288"/>
      <c r="D746" s="288"/>
      <c r="E746" s="288"/>
      <c r="F746" s="288"/>
      <c r="G746" s="288"/>
      <c r="H746" s="288"/>
      <c r="I746" s="288"/>
      <c r="J746" s="288"/>
      <c r="K746" s="288"/>
      <c r="L746" s="288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  <c r="AA746" s="288"/>
      <c r="AB746" s="288"/>
    </row>
    <row r="747" ht="15.75" customHeight="1">
      <c r="A747" s="288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8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</row>
    <row r="748" ht="15.75" customHeight="1">
      <c r="A748" s="288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8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</row>
    <row r="749" ht="15.75" customHeight="1">
      <c r="A749" s="288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8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</row>
    <row r="750" ht="15.75" customHeight="1">
      <c r="A750" s="288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8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</row>
    <row r="751" ht="15.75" customHeight="1">
      <c r="A751" s="288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8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</row>
    <row r="752" ht="15.75" customHeight="1">
      <c r="A752" s="288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8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</row>
    <row r="753" ht="15.75" customHeight="1">
      <c r="A753" s="288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8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</row>
    <row r="754" ht="15.75" customHeight="1">
      <c r="A754" s="288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8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</row>
    <row r="755" ht="15.75" customHeight="1">
      <c r="A755" s="288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</row>
    <row r="756" ht="15.75" customHeight="1">
      <c r="A756" s="288"/>
      <c r="B756" s="288"/>
      <c r="C756" s="288"/>
      <c r="D756" s="288"/>
      <c r="E756" s="288"/>
      <c r="F756" s="288"/>
      <c r="G756" s="288"/>
      <c r="H756" s="288"/>
      <c r="I756" s="288"/>
      <c r="J756" s="288"/>
      <c r="K756" s="288"/>
      <c r="L756" s="288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  <c r="AA756" s="288"/>
      <c r="AB756" s="288"/>
    </row>
    <row r="757" ht="15.75" customHeight="1">
      <c r="A757" s="288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8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</row>
    <row r="758" ht="15.75" customHeight="1">
      <c r="A758" s="288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8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</row>
    <row r="759" ht="15.75" customHeight="1">
      <c r="A759" s="288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</row>
    <row r="760" ht="15.75" customHeight="1">
      <c r="A760" s="288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8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</row>
    <row r="761" ht="15.75" customHeight="1">
      <c r="A761" s="288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8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</row>
    <row r="762" ht="15.75" customHeight="1">
      <c r="A762" s="288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8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</row>
    <row r="763" ht="15.75" customHeight="1">
      <c r="A763" s="288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8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</row>
    <row r="764" ht="15.75" customHeight="1">
      <c r="A764" s="288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8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</row>
    <row r="765" ht="15.75" customHeight="1">
      <c r="A765" s="288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8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</row>
    <row r="766" ht="15.75" customHeight="1">
      <c r="A766" s="288"/>
      <c r="B766" s="288"/>
      <c r="C766" s="288"/>
      <c r="D766" s="288"/>
      <c r="E766" s="288"/>
      <c r="F766" s="288"/>
      <c r="G766" s="288"/>
      <c r="H766" s="288"/>
      <c r="I766" s="288"/>
      <c r="J766" s="288"/>
      <c r="K766" s="288"/>
      <c r="L766" s="288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  <c r="AA766" s="288"/>
      <c r="AB766" s="288"/>
    </row>
    <row r="767" ht="15.75" customHeight="1">
      <c r="A767" s="288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8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</row>
    <row r="768" ht="15.75" customHeight="1">
      <c r="A768" s="288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8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</row>
    <row r="769" ht="15.75" customHeight="1">
      <c r="A769" s="288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8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</row>
    <row r="770" ht="15.75" customHeight="1">
      <c r="A770" s="288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8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</row>
    <row r="771" ht="15.75" customHeight="1">
      <c r="A771" s="288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8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</row>
    <row r="772" ht="15.75" customHeight="1">
      <c r="A772" s="288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8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</row>
    <row r="773" ht="15.75" customHeight="1">
      <c r="A773" s="288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</row>
    <row r="774" ht="15.75" customHeight="1">
      <c r="A774" s="288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8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</row>
    <row r="775" ht="15.75" customHeight="1">
      <c r="A775" s="288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</row>
    <row r="776" ht="15.75" customHeight="1">
      <c r="A776" s="288"/>
      <c r="B776" s="288"/>
      <c r="C776" s="288"/>
      <c r="D776" s="288"/>
      <c r="E776" s="288"/>
      <c r="F776" s="288"/>
      <c r="G776" s="288"/>
      <c r="H776" s="288"/>
      <c r="I776" s="288"/>
      <c r="J776" s="288"/>
      <c r="K776" s="288"/>
      <c r="L776" s="288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  <c r="AA776" s="288"/>
      <c r="AB776" s="288"/>
    </row>
    <row r="777" ht="15.75" customHeight="1">
      <c r="A777" s="288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8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</row>
    <row r="778" ht="15.75" customHeight="1">
      <c r="A778" s="288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8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</row>
    <row r="779" ht="15.75" customHeight="1">
      <c r="A779" s="288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8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</row>
    <row r="780" ht="15.75" customHeight="1">
      <c r="A780" s="288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</row>
    <row r="781" ht="15.75" customHeight="1">
      <c r="A781" s="288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8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</row>
    <row r="782" ht="15.75" customHeight="1">
      <c r="A782" s="288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</row>
    <row r="783" ht="15.75" customHeight="1">
      <c r="A783" s="288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</row>
    <row r="784" ht="15.75" customHeight="1">
      <c r="A784" s="288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8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</row>
    <row r="785" ht="15.75" customHeight="1">
      <c r="A785" s="288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8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</row>
    <row r="786" ht="15.75" customHeight="1">
      <c r="A786" s="288"/>
      <c r="B786" s="288"/>
      <c r="C786" s="288"/>
      <c r="D786" s="288"/>
      <c r="E786" s="288"/>
      <c r="F786" s="288"/>
      <c r="G786" s="288"/>
      <c r="H786" s="288"/>
      <c r="I786" s="288"/>
      <c r="J786" s="288"/>
      <c r="K786" s="288"/>
      <c r="L786" s="288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  <c r="AA786" s="288"/>
      <c r="AB786" s="288"/>
    </row>
    <row r="787" ht="15.75" customHeight="1">
      <c r="A787" s="288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8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</row>
    <row r="788" ht="15.75" customHeight="1">
      <c r="A788" s="288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8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</row>
    <row r="789" ht="15.75" customHeight="1">
      <c r="A789" s="288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8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</row>
    <row r="790" ht="15.75" customHeight="1">
      <c r="A790" s="288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8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</row>
    <row r="791" ht="15.75" customHeight="1">
      <c r="A791" s="288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8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</row>
    <row r="792" ht="15.75" customHeight="1">
      <c r="A792" s="288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8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</row>
    <row r="793" ht="15.75" customHeight="1">
      <c r="A793" s="288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8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</row>
    <row r="794" ht="15.75" customHeight="1">
      <c r="A794" s="288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8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</row>
    <row r="795" ht="15.75" customHeight="1">
      <c r="A795" s="288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</row>
    <row r="796" ht="15.75" customHeight="1">
      <c r="A796" s="288"/>
      <c r="B796" s="288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  <c r="AA796" s="288"/>
      <c r="AB796" s="288"/>
    </row>
    <row r="797" ht="15.75" customHeight="1">
      <c r="A797" s="288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8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</row>
    <row r="798" ht="15.75" customHeight="1">
      <c r="A798" s="288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8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</row>
    <row r="799" ht="15.75" customHeight="1">
      <c r="A799" s="288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8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</row>
    <row r="800" ht="15.75" customHeight="1">
      <c r="A800" s="288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8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</row>
    <row r="801" ht="15.75" customHeight="1">
      <c r="A801" s="288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8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</row>
    <row r="802" ht="15.75" customHeight="1">
      <c r="A802" s="288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8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</row>
    <row r="803" ht="15.75" customHeight="1">
      <c r="A803" s="288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8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</row>
    <row r="804" ht="15.75" customHeight="1">
      <c r="A804" s="288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8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</row>
    <row r="805" ht="15.75" customHeight="1">
      <c r="A805" s="288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8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</row>
    <row r="806" ht="15.75" customHeight="1">
      <c r="A806" s="288"/>
      <c r="B806" s="288"/>
      <c r="C806" s="288"/>
      <c r="D806" s="288"/>
      <c r="E806" s="288"/>
      <c r="F806" s="288"/>
      <c r="G806" s="288"/>
      <c r="H806" s="288"/>
      <c r="I806" s="288"/>
      <c r="J806" s="288"/>
      <c r="K806" s="288"/>
      <c r="L806" s="288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  <c r="AA806" s="288"/>
      <c r="AB806" s="288"/>
    </row>
    <row r="807" ht="15.75" customHeight="1">
      <c r="A807" s="288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8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</row>
    <row r="808" ht="15.75" customHeight="1">
      <c r="A808" s="288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8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</row>
    <row r="809" ht="15.75" customHeight="1">
      <c r="A809" s="288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8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</row>
    <row r="810" ht="15.75" customHeight="1">
      <c r="A810" s="288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</row>
    <row r="811" ht="15.75" customHeight="1">
      <c r="A811" s="288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8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</row>
    <row r="812" ht="15.75" customHeight="1">
      <c r="A812" s="288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8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</row>
    <row r="813" ht="15.75" customHeight="1">
      <c r="A813" s="288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8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</row>
    <row r="814" ht="15.75" customHeight="1">
      <c r="A814" s="288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8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</row>
    <row r="815" ht="15.75" customHeight="1">
      <c r="A815" s="288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</row>
    <row r="816" ht="15.75" customHeight="1">
      <c r="A816" s="288"/>
      <c r="B816" s="288"/>
      <c r="C816" s="288"/>
      <c r="D816" s="288"/>
      <c r="E816" s="288"/>
      <c r="F816" s="288"/>
      <c r="G816" s="288"/>
      <c r="H816" s="288"/>
      <c r="I816" s="288"/>
      <c r="J816" s="288"/>
      <c r="K816" s="288"/>
      <c r="L816" s="288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  <c r="AA816" s="288"/>
      <c r="AB816" s="288"/>
    </row>
    <row r="817" ht="15.75" customHeight="1">
      <c r="A817" s="288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8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</row>
    <row r="818" ht="15.75" customHeight="1">
      <c r="A818" s="288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8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</row>
    <row r="819" ht="15.75" customHeight="1">
      <c r="A819" s="288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8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</row>
    <row r="820" ht="15.75" customHeight="1">
      <c r="A820" s="288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8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</row>
    <row r="821" ht="15.75" customHeight="1">
      <c r="A821" s="288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8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</row>
    <row r="822" ht="15.75" customHeight="1">
      <c r="A822" s="288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8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</row>
    <row r="823" ht="15.75" customHeight="1">
      <c r="A823" s="288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8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</row>
    <row r="824" ht="15.75" customHeight="1">
      <c r="A824" s="288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8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</row>
    <row r="825" ht="15.75" customHeight="1">
      <c r="A825" s="288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8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</row>
    <row r="826" ht="15.75" customHeight="1">
      <c r="A826" s="288"/>
      <c r="B826" s="288"/>
      <c r="C826" s="288"/>
      <c r="D826" s="288"/>
      <c r="E826" s="288"/>
      <c r="F826" s="288"/>
      <c r="G826" s="288"/>
      <c r="H826" s="288"/>
      <c r="I826" s="288"/>
      <c r="J826" s="288"/>
      <c r="K826" s="288"/>
      <c r="L826" s="288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  <c r="AA826" s="288"/>
      <c r="AB826" s="288"/>
    </row>
    <row r="827" ht="15.75" customHeight="1">
      <c r="A827" s="288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</row>
    <row r="828" ht="15.75" customHeight="1">
      <c r="A828" s="288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8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</row>
    <row r="829" ht="15.75" customHeight="1">
      <c r="A829" s="288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8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</row>
    <row r="830" ht="15.75" customHeight="1">
      <c r="A830" s="288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8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</row>
    <row r="831" ht="15.75" customHeight="1">
      <c r="A831" s="288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8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</row>
    <row r="832" ht="15.75" customHeight="1">
      <c r="A832" s="288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8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</row>
    <row r="833" ht="15.75" customHeight="1">
      <c r="A833" s="288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8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</row>
    <row r="834" ht="15.75" customHeight="1">
      <c r="A834" s="288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8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</row>
    <row r="835" ht="15.75" customHeight="1">
      <c r="A835" s="288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</row>
    <row r="836" ht="15.75" customHeight="1">
      <c r="A836" s="288"/>
      <c r="B836" s="288"/>
      <c r="C836" s="288"/>
      <c r="D836" s="288"/>
      <c r="E836" s="288"/>
      <c r="F836" s="288"/>
      <c r="G836" s="288"/>
      <c r="H836" s="288"/>
      <c r="I836" s="288"/>
      <c r="J836" s="288"/>
      <c r="K836" s="288"/>
      <c r="L836" s="288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  <c r="AA836" s="288"/>
      <c r="AB836" s="288"/>
    </row>
    <row r="837" ht="15.75" customHeight="1">
      <c r="A837" s="288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8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</row>
    <row r="838" ht="15.75" customHeight="1">
      <c r="A838" s="288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8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</row>
    <row r="839" ht="15.75" customHeight="1">
      <c r="A839" s="288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8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</row>
    <row r="840" ht="15.75" customHeight="1">
      <c r="A840" s="288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8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</row>
    <row r="841" ht="15.75" customHeight="1">
      <c r="A841" s="288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8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</row>
    <row r="842" ht="15.75" customHeight="1">
      <c r="A842" s="288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8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</row>
    <row r="843" ht="15.75" customHeight="1">
      <c r="A843" s="288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8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</row>
    <row r="844" ht="15.75" customHeight="1">
      <c r="A844" s="288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8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</row>
    <row r="845" ht="15.75" customHeight="1">
      <c r="A845" s="288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8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</row>
    <row r="846" ht="15.75" customHeight="1">
      <c r="A846" s="288"/>
      <c r="B846" s="288"/>
      <c r="C846" s="288"/>
      <c r="D846" s="288"/>
      <c r="E846" s="288"/>
      <c r="F846" s="288"/>
      <c r="G846" s="288"/>
      <c r="H846" s="288"/>
      <c r="I846" s="288"/>
      <c r="J846" s="288"/>
      <c r="K846" s="288"/>
      <c r="L846" s="288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  <c r="AA846" s="288"/>
      <c r="AB846" s="288"/>
    </row>
    <row r="847" ht="15.75" customHeight="1">
      <c r="A847" s="288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8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</row>
    <row r="848" ht="15.75" customHeight="1">
      <c r="A848" s="288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8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</row>
    <row r="849" ht="15.75" customHeight="1">
      <c r="A849" s="288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8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</row>
    <row r="850" ht="15.75" customHeight="1">
      <c r="A850" s="288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8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</row>
    <row r="851" ht="15.75" customHeight="1">
      <c r="A851" s="288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8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</row>
    <row r="852" ht="15.75" customHeight="1">
      <c r="A852" s="288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8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</row>
    <row r="853" ht="15.75" customHeight="1">
      <c r="A853" s="288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8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</row>
    <row r="854" ht="15.75" customHeight="1">
      <c r="A854" s="288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8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</row>
    <row r="855" ht="15.75" customHeight="1">
      <c r="A855" s="288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</row>
    <row r="856" ht="15.75" customHeight="1">
      <c r="A856" s="288"/>
      <c r="B856" s="288"/>
      <c r="C856" s="288"/>
      <c r="D856" s="288"/>
      <c r="E856" s="288"/>
      <c r="F856" s="288"/>
      <c r="G856" s="288"/>
      <c r="H856" s="288"/>
      <c r="I856" s="288"/>
      <c r="J856" s="288"/>
      <c r="K856" s="288"/>
      <c r="L856" s="288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  <c r="AA856" s="288"/>
      <c r="AB856" s="288"/>
    </row>
    <row r="857" ht="15.75" customHeight="1">
      <c r="A857" s="288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8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</row>
    <row r="858" ht="15.75" customHeight="1">
      <c r="A858" s="288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8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</row>
    <row r="859" ht="15.75" customHeight="1">
      <c r="A859" s="288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8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</row>
    <row r="860" ht="15.75" customHeight="1">
      <c r="A860" s="288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8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</row>
    <row r="861" ht="15.75" customHeight="1">
      <c r="A861" s="288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8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</row>
    <row r="862" ht="15.75" customHeight="1">
      <c r="A862" s="288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8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</row>
    <row r="863" ht="15.75" customHeight="1">
      <c r="A863" s="288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8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</row>
    <row r="864" ht="15.75" customHeight="1">
      <c r="A864" s="288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8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</row>
    <row r="865" ht="15.75" customHeight="1">
      <c r="A865" s="288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8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</row>
    <row r="866" ht="15.75" customHeight="1">
      <c r="A866" s="288"/>
      <c r="B866" s="288"/>
      <c r="C866" s="288"/>
      <c r="D866" s="288"/>
      <c r="E866" s="288"/>
      <c r="F866" s="288"/>
      <c r="G866" s="288"/>
      <c r="H866" s="288"/>
      <c r="I866" s="288"/>
      <c r="J866" s="288"/>
      <c r="K866" s="288"/>
      <c r="L866" s="288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  <c r="AA866" s="288"/>
      <c r="AB866" s="288"/>
    </row>
    <row r="867" ht="15.75" customHeight="1">
      <c r="A867" s="288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8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</row>
    <row r="868" ht="15.75" customHeight="1">
      <c r="A868" s="288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8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</row>
    <row r="869" ht="15.75" customHeight="1">
      <c r="A869" s="288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8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</row>
    <row r="870" ht="15.75" customHeight="1">
      <c r="A870" s="288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8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</row>
    <row r="871" ht="15.75" customHeight="1">
      <c r="A871" s="288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</row>
    <row r="872" ht="15.75" customHeight="1">
      <c r="A872" s="288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8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</row>
    <row r="873" ht="15.75" customHeight="1">
      <c r="A873" s="288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8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</row>
    <row r="874" ht="15.75" customHeight="1">
      <c r="A874" s="288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8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</row>
    <row r="875" ht="15.75" customHeight="1">
      <c r="A875" s="288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</row>
    <row r="876" ht="15.75" customHeight="1">
      <c r="A876" s="288"/>
      <c r="B876" s="288"/>
      <c r="C876" s="288"/>
      <c r="D876" s="288"/>
      <c r="E876" s="288"/>
      <c r="F876" s="288"/>
      <c r="G876" s="288"/>
      <c r="H876" s="288"/>
      <c r="I876" s="288"/>
      <c r="J876" s="288"/>
      <c r="K876" s="288"/>
      <c r="L876" s="288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  <c r="AA876" s="288"/>
      <c r="AB876" s="288"/>
    </row>
    <row r="877" ht="15.75" customHeight="1">
      <c r="A877" s="288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8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</row>
    <row r="878" ht="15.75" customHeight="1">
      <c r="A878" s="288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8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</row>
    <row r="879" ht="15.75" customHeight="1">
      <c r="A879" s="288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8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</row>
    <row r="880" ht="15.75" customHeight="1">
      <c r="A880" s="288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8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</row>
    <row r="881" ht="15.75" customHeight="1">
      <c r="A881" s="288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8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</row>
    <row r="882" ht="15.75" customHeight="1">
      <c r="A882" s="288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8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</row>
    <row r="883" ht="15.75" customHeight="1">
      <c r="A883" s="288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8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</row>
    <row r="884" ht="15.75" customHeight="1">
      <c r="A884" s="288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8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</row>
    <row r="885" ht="15.75" customHeight="1">
      <c r="A885" s="288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8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</row>
    <row r="886" ht="15.75" customHeight="1">
      <c r="A886" s="288"/>
      <c r="B886" s="288"/>
      <c r="C886" s="288"/>
      <c r="D886" s="288"/>
      <c r="E886" s="288"/>
      <c r="F886" s="288"/>
      <c r="G886" s="288"/>
      <c r="H886" s="288"/>
      <c r="I886" s="288"/>
      <c r="J886" s="288"/>
      <c r="K886" s="288"/>
      <c r="L886" s="288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  <c r="AA886" s="288"/>
      <c r="AB886" s="288"/>
    </row>
    <row r="887" ht="15.75" customHeight="1">
      <c r="A887" s="288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8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</row>
    <row r="888" ht="15.75" customHeight="1">
      <c r="A888" s="288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8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</row>
    <row r="889" ht="15.75" customHeight="1">
      <c r="A889" s="288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8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</row>
    <row r="890" ht="15.75" customHeight="1">
      <c r="A890" s="288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8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</row>
    <row r="891" ht="15.75" customHeight="1">
      <c r="A891" s="288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8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</row>
    <row r="892" ht="15.75" customHeight="1">
      <c r="A892" s="288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8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</row>
    <row r="893" ht="15.75" customHeight="1">
      <c r="A893" s="288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8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</row>
    <row r="894" ht="15.75" customHeight="1">
      <c r="A894" s="288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8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</row>
    <row r="895" ht="15.75" customHeight="1">
      <c r="A895" s="288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</row>
    <row r="896" ht="15.75" customHeight="1">
      <c r="A896" s="288"/>
      <c r="B896" s="288"/>
      <c r="C896" s="288"/>
      <c r="D896" s="288"/>
      <c r="E896" s="288"/>
      <c r="F896" s="288"/>
      <c r="G896" s="288"/>
      <c r="H896" s="288"/>
      <c r="I896" s="288"/>
      <c r="J896" s="288"/>
      <c r="K896" s="288"/>
      <c r="L896" s="288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  <c r="AA896" s="288"/>
      <c r="AB896" s="288"/>
    </row>
    <row r="897" ht="15.75" customHeight="1">
      <c r="A897" s="288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8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</row>
    <row r="898" ht="15.75" customHeight="1">
      <c r="A898" s="288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8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</row>
    <row r="899" ht="15.75" customHeight="1">
      <c r="A899" s="288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8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</row>
    <row r="900" ht="15.75" customHeight="1">
      <c r="A900" s="288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8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</row>
    <row r="901" ht="15.75" customHeight="1">
      <c r="A901" s="288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8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</row>
    <row r="902" ht="15.75" customHeight="1">
      <c r="A902" s="288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8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</row>
    <row r="903" ht="15.75" customHeight="1">
      <c r="A903" s="288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8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</row>
    <row r="904" ht="15.75" customHeight="1">
      <c r="A904" s="288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8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</row>
    <row r="905" ht="15.75" customHeight="1">
      <c r="A905" s="288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8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</row>
    <row r="906" ht="15.75" customHeight="1">
      <c r="A906" s="288"/>
      <c r="B906" s="288"/>
      <c r="C906" s="288"/>
      <c r="D906" s="288"/>
      <c r="E906" s="288"/>
      <c r="F906" s="288"/>
      <c r="G906" s="288"/>
      <c r="H906" s="288"/>
      <c r="I906" s="288"/>
      <c r="J906" s="288"/>
      <c r="K906" s="288"/>
      <c r="L906" s="288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  <c r="AA906" s="288"/>
      <c r="AB906" s="288"/>
    </row>
    <row r="907" ht="15.75" customHeight="1">
      <c r="A907" s="288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8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</row>
    <row r="908" ht="15.75" customHeight="1">
      <c r="A908" s="288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8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</row>
    <row r="909" ht="15.75" customHeight="1">
      <c r="A909" s="288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8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</row>
    <row r="910" ht="15.75" customHeight="1">
      <c r="A910" s="288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8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</row>
    <row r="911" ht="15.75" customHeight="1">
      <c r="A911" s="288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8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</row>
    <row r="912" ht="15.75" customHeight="1">
      <c r="A912" s="288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8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</row>
    <row r="913" ht="15.75" customHeight="1">
      <c r="A913" s="288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8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</row>
    <row r="914" ht="15.75" customHeight="1">
      <c r="A914" s="288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8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</row>
    <row r="915" ht="15.75" customHeight="1">
      <c r="A915" s="288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</row>
    <row r="916" ht="15.75" customHeight="1">
      <c r="A916" s="288"/>
      <c r="B916" s="288"/>
      <c r="C916" s="288"/>
      <c r="D916" s="288"/>
      <c r="E916" s="288"/>
      <c r="F916" s="288"/>
      <c r="G916" s="288"/>
      <c r="H916" s="288"/>
      <c r="I916" s="288"/>
      <c r="J916" s="288"/>
      <c r="K916" s="288"/>
      <c r="L916" s="288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  <c r="AA916" s="288"/>
      <c r="AB916" s="288"/>
    </row>
    <row r="917" ht="15.75" customHeight="1">
      <c r="A917" s="288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8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</row>
    <row r="918" ht="15.75" customHeight="1">
      <c r="A918" s="288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8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</row>
    <row r="919" ht="15.75" customHeight="1">
      <c r="A919" s="288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8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</row>
    <row r="920" ht="15.75" customHeight="1">
      <c r="A920" s="288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8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</row>
    <row r="921" ht="15.75" customHeight="1">
      <c r="A921" s="288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8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</row>
    <row r="922" ht="15.75" customHeight="1">
      <c r="A922" s="288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8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</row>
    <row r="923" ht="15.75" customHeight="1">
      <c r="A923" s="288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8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</row>
    <row r="924" ht="15.75" customHeight="1">
      <c r="A924" s="288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8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</row>
    <row r="925" ht="15.75" customHeight="1">
      <c r="A925" s="288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8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</row>
    <row r="926" ht="15.75" customHeight="1">
      <c r="A926" s="288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8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</row>
    <row r="927" ht="15.75" customHeight="1">
      <c r="A927" s="288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8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</row>
    <row r="928" ht="15.75" customHeight="1">
      <c r="A928" s="288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8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</row>
    <row r="929" ht="15.75" customHeight="1">
      <c r="A929" s="288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8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</row>
    <row r="930" ht="15.75" customHeight="1">
      <c r="A930" s="288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8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</row>
    <row r="931" ht="15.75" customHeight="1">
      <c r="A931" s="288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8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</row>
    <row r="932" ht="15.75" customHeight="1">
      <c r="A932" s="288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8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</row>
    <row r="933" ht="15.75" customHeight="1">
      <c r="A933" s="288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8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</row>
    <row r="934" ht="15.75" customHeight="1">
      <c r="A934" s="288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8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</row>
    <row r="935" ht="15.75" customHeight="1">
      <c r="A935" s="288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</row>
    <row r="936" ht="15.75" customHeight="1">
      <c r="A936" s="288"/>
      <c r="B936" s="288"/>
      <c r="C936" s="288"/>
      <c r="D936" s="288"/>
      <c r="E936" s="288"/>
      <c r="F936" s="288"/>
      <c r="G936" s="288"/>
      <c r="H936" s="288"/>
      <c r="I936" s="288"/>
      <c r="J936" s="288"/>
      <c r="K936" s="288"/>
      <c r="L936" s="288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  <c r="AA936" s="288"/>
      <c r="AB936" s="288"/>
    </row>
    <row r="937" ht="15.75" customHeight="1">
      <c r="A937" s="288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8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</row>
    <row r="938" ht="15.75" customHeight="1">
      <c r="A938" s="288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8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</row>
    <row r="939" ht="15.75" customHeight="1">
      <c r="A939" s="288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8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</row>
    <row r="940" ht="15.75" customHeight="1">
      <c r="A940" s="288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8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</row>
    <row r="941" ht="15.75" customHeight="1">
      <c r="A941" s="288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8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</row>
    <row r="942" ht="15.75" customHeight="1">
      <c r="A942" s="288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8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</row>
    <row r="943" ht="15.75" customHeight="1">
      <c r="A943" s="288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8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</row>
    <row r="944" ht="15.75" customHeight="1">
      <c r="A944" s="288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8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</row>
    <row r="945" ht="15.75" customHeight="1">
      <c r="A945" s="288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8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</row>
    <row r="946" ht="15.75" customHeight="1">
      <c r="A946" s="288"/>
      <c r="B946" s="288"/>
      <c r="C946" s="288"/>
      <c r="D946" s="288"/>
      <c r="E946" s="288"/>
      <c r="F946" s="288"/>
      <c r="G946" s="288"/>
      <c r="H946" s="288"/>
      <c r="I946" s="288"/>
      <c r="J946" s="288"/>
      <c r="K946" s="288"/>
      <c r="L946" s="288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  <c r="AA946" s="288"/>
      <c r="AB946" s="288"/>
    </row>
    <row r="947" ht="15.75" customHeight="1">
      <c r="A947" s="288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8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</row>
    <row r="948" ht="15.75" customHeight="1">
      <c r="A948" s="288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8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</row>
    <row r="949" ht="15.75" customHeight="1">
      <c r="A949" s="288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8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</row>
    <row r="950" ht="15.75" customHeight="1">
      <c r="A950" s="288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8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</row>
    <row r="951" ht="15.75" customHeight="1">
      <c r="A951" s="288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8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</row>
    <row r="952" ht="15.75" customHeight="1">
      <c r="A952" s="288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8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</row>
    <row r="953" ht="15.75" customHeight="1">
      <c r="A953" s="288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8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</row>
    <row r="954" ht="15.75" customHeight="1">
      <c r="A954" s="288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8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</row>
    <row r="955" ht="15.75" customHeight="1">
      <c r="A955" s="288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</row>
    <row r="956" ht="15.75" customHeight="1">
      <c r="A956" s="288"/>
      <c r="B956" s="288"/>
      <c r="C956" s="288"/>
      <c r="D956" s="288"/>
      <c r="E956" s="288"/>
      <c r="F956" s="288"/>
      <c r="G956" s="288"/>
      <c r="H956" s="288"/>
      <c r="I956" s="288"/>
      <c r="J956" s="288"/>
      <c r="K956" s="288"/>
      <c r="L956" s="288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  <c r="AA956" s="288"/>
      <c r="AB956" s="288"/>
    </row>
    <row r="957" ht="15.75" customHeight="1">
      <c r="A957" s="288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8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</row>
    <row r="958" ht="15.75" customHeight="1">
      <c r="A958" s="288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8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</row>
    <row r="959" ht="15.75" customHeight="1">
      <c r="A959" s="288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</row>
    <row r="960" ht="15.75" customHeight="1">
      <c r="A960" s="288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8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</row>
    <row r="961" ht="15.75" customHeight="1">
      <c r="A961" s="288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8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</row>
    <row r="962" ht="15.75" customHeight="1">
      <c r="A962" s="288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8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</row>
    <row r="963" ht="15.75" customHeight="1">
      <c r="A963" s="288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8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</row>
    <row r="964" ht="15.75" customHeight="1">
      <c r="A964" s="288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8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</row>
    <row r="965" ht="15.75" customHeight="1">
      <c r="A965" s="288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8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</row>
    <row r="966" ht="15.75" customHeight="1">
      <c r="A966" s="288"/>
      <c r="B966" s="288"/>
      <c r="C966" s="288"/>
      <c r="D966" s="288"/>
      <c r="E966" s="288"/>
      <c r="F966" s="288"/>
      <c r="G966" s="288"/>
      <c r="H966" s="288"/>
      <c r="I966" s="288"/>
      <c r="J966" s="288"/>
      <c r="K966" s="288"/>
      <c r="L966" s="288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  <c r="AA966" s="288"/>
      <c r="AB966" s="288"/>
    </row>
    <row r="967" ht="15.75" customHeight="1">
      <c r="A967" s="288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8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</row>
    <row r="968" ht="15.75" customHeight="1">
      <c r="A968" s="288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8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</row>
    <row r="969" ht="15.75" customHeight="1">
      <c r="A969" s="288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8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</row>
    <row r="970" ht="15.75" customHeight="1">
      <c r="A970" s="288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8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</row>
    <row r="971" ht="15.75" customHeight="1">
      <c r="A971" s="288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8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</row>
    <row r="972" ht="15.75" customHeight="1">
      <c r="A972" s="288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8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</row>
    <row r="973" ht="15.75" customHeight="1">
      <c r="A973" s="288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8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</row>
    <row r="974" ht="15.75" customHeight="1">
      <c r="A974" s="288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8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</row>
    <row r="975" ht="15.75" customHeight="1">
      <c r="A975" s="288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</row>
    <row r="976" ht="15.75" customHeight="1">
      <c r="A976" s="300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00"/>
      <c r="AA976" s="300"/>
      <c r="AB976" s="300"/>
    </row>
    <row r="977" ht="15.75" customHeight="1">
      <c r="A977" s="300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00"/>
      <c r="AA977" s="300"/>
      <c r="AB977" s="300"/>
    </row>
    <row r="978" ht="15.75" customHeight="1">
      <c r="A978" s="300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00"/>
      <c r="AA978" s="300"/>
      <c r="AB978" s="300"/>
    </row>
    <row r="979" ht="15.75" customHeight="1">
      <c r="A979" s="300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00"/>
      <c r="AA979" s="300"/>
      <c r="AB979" s="300"/>
    </row>
    <row r="980" ht="15.75" customHeight="1">
      <c r="A980" s="300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00"/>
      <c r="AA980" s="300"/>
      <c r="AB980" s="300"/>
    </row>
    <row r="981" ht="15.75" customHeight="1">
      <c r="A981" s="300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00"/>
      <c r="AA981" s="300"/>
      <c r="AB981" s="300"/>
    </row>
    <row r="982" ht="15.75" customHeight="1">
      <c r="A982" s="300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00"/>
      <c r="AA982" s="300"/>
      <c r="AB982" s="300"/>
    </row>
    <row r="983" ht="15.75" customHeight="1">
      <c r="A983" s="300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00"/>
      <c r="AA983" s="300"/>
      <c r="AB983" s="300"/>
    </row>
    <row r="984" ht="15.75" customHeight="1">
      <c r="A984" s="300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00"/>
      <c r="AA984" s="300"/>
      <c r="AB984" s="300"/>
    </row>
    <row r="985" ht="15.75" customHeight="1">
      <c r="A985" s="300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00"/>
      <c r="AA985" s="300"/>
      <c r="AB985" s="300"/>
    </row>
    <row r="986" ht="15.75" customHeight="1">
      <c r="A986" s="300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  <c r="AB986" s="300"/>
    </row>
    <row r="987" ht="15.75" customHeight="1">
      <c r="A987" s="300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00"/>
      <c r="AA987" s="300"/>
      <c r="AB987" s="300"/>
    </row>
    <row r="988" ht="15.75" customHeight="1">
      <c r="A988" s="300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00"/>
      <c r="AA988" s="300"/>
      <c r="AB988" s="300"/>
    </row>
    <row r="989" ht="15.75" customHeight="1">
      <c r="A989" s="300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00"/>
      <c r="AA989" s="300"/>
      <c r="AB989" s="300"/>
    </row>
    <row r="990" ht="15.75" customHeight="1">
      <c r="A990" s="300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00"/>
      <c r="AA990" s="300"/>
      <c r="AB990" s="300"/>
    </row>
    <row r="991" ht="15.75" customHeight="1">
      <c r="A991" s="300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00"/>
      <c r="AA991" s="300"/>
      <c r="AB991" s="300"/>
    </row>
    <row r="992" ht="15.75" customHeight="1">
      <c r="A992" s="300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00"/>
      <c r="AA992" s="300"/>
      <c r="AB992" s="300"/>
    </row>
    <row r="993" ht="15.75" customHeight="1">
      <c r="A993" s="300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00"/>
      <c r="AA993" s="300"/>
      <c r="AB993" s="300"/>
    </row>
    <row r="994" ht="15.75" customHeight="1">
      <c r="A994" s="300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00"/>
      <c r="AA994" s="300"/>
      <c r="AB994" s="300"/>
    </row>
    <row r="995" ht="15.75" customHeight="1">
      <c r="A995" s="300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00"/>
      <c r="AA995" s="300"/>
      <c r="AB995" s="300"/>
    </row>
    <row r="996" ht="15.75" customHeight="1">
      <c r="A996" s="300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00"/>
      <c r="AA996" s="300"/>
      <c r="AB996" s="300"/>
    </row>
    <row r="997" ht="15.75" customHeight="1">
      <c r="A997" s="300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00"/>
      <c r="AA997" s="300"/>
      <c r="AB997" s="300"/>
    </row>
    <row r="998" ht="15.75" customHeight="1">
      <c r="A998" s="300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00"/>
      <c r="AA998" s="300"/>
      <c r="AB998" s="300"/>
    </row>
    <row r="999" ht="15.75" customHeight="1">
      <c r="A999" s="300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300"/>
      <c r="AA999" s="300"/>
      <c r="AB999" s="300"/>
    </row>
    <row r="1000" ht="15.75" customHeight="1">
      <c r="A1000" s="300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300"/>
      <c r="AA1000" s="300"/>
      <c r="AB1000" s="300"/>
    </row>
  </sheetData>
  <mergeCells count="5">
    <mergeCell ref="C1:Z1"/>
    <mergeCell ref="B3:H3"/>
    <mergeCell ref="J3:P3"/>
    <mergeCell ref="R3:X3"/>
    <mergeCell ref="Z3:AA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233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07"/>
      <c r="C4" s="307"/>
      <c r="D4" s="308"/>
      <c r="E4" s="309">
        <v>1.0</v>
      </c>
      <c r="F4" s="309">
        <v>2.0</v>
      </c>
      <c r="G4" s="309">
        <v>3.0</v>
      </c>
      <c r="H4" s="310">
        <v>4.0</v>
      </c>
      <c r="J4" s="311" t="s">
        <v>242</v>
      </c>
      <c r="K4" s="312"/>
    </row>
    <row r="5" ht="45.0" customHeight="1">
      <c r="B5" s="313"/>
      <c r="C5" s="313"/>
      <c r="D5" s="314"/>
      <c r="E5" s="315"/>
      <c r="F5" s="315"/>
      <c r="G5" s="315"/>
      <c r="H5" s="316"/>
      <c r="J5" s="317" t="s">
        <v>243</v>
      </c>
      <c r="K5" s="318"/>
    </row>
    <row r="6" ht="15.75" customHeight="1">
      <c r="A6" s="319"/>
      <c r="B6" s="310">
        <v>5.0</v>
      </c>
      <c r="C6" s="310">
        <v>6.0</v>
      </c>
      <c r="D6" s="310">
        <v>7.0</v>
      </c>
      <c r="E6" s="310">
        <v>8.0</v>
      </c>
      <c r="F6" s="310">
        <v>9.0</v>
      </c>
      <c r="G6" s="310">
        <v>10.0</v>
      </c>
      <c r="H6" s="310">
        <v>11.0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/>
      <c r="H7" s="316"/>
      <c r="J7" s="321" t="s">
        <v>245</v>
      </c>
    </row>
    <row r="8" ht="15.75" customHeight="1">
      <c r="A8" s="319"/>
      <c r="B8" s="322">
        <v>12.0</v>
      </c>
      <c r="C8" s="322">
        <v>13.0</v>
      </c>
      <c r="D8" s="310">
        <v>14.0</v>
      </c>
      <c r="E8" s="310">
        <v>15.0</v>
      </c>
      <c r="F8" s="310">
        <v>16.0</v>
      </c>
      <c r="G8" s="310">
        <v>17.0</v>
      </c>
      <c r="H8" s="310">
        <v>18.0</v>
      </c>
      <c r="J8" s="323" t="s">
        <v>246</v>
      </c>
    </row>
    <row r="9" ht="45.0" customHeight="1">
      <c r="B9" s="316" t="s">
        <v>247</v>
      </c>
      <c r="C9" s="316" t="s">
        <v>247</v>
      </c>
      <c r="D9" s="316"/>
      <c r="E9" s="316"/>
      <c r="F9" s="316"/>
      <c r="G9" s="316"/>
      <c r="H9" s="316"/>
    </row>
    <row r="10" ht="15.75" customHeight="1">
      <c r="A10" s="319"/>
      <c r="B10" s="324">
        <v>19.0</v>
      </c>
      <c r="C10" s="310">
        <v>20.0</v>
      </c>
      <c r="D10" s="310">
        <v>21.0</v>
      </c>
      <c r="E10" s="310">
        <v>22.0</v>
      </c>
      <c r="F10" s="310">
        <v>23.0</v>
      </c>
      <c r="G10" s="310">
        <v>24.0</v>
      </c>
      <c r="H10" s="310">
        <v>25.0</v>
      </c>
    </row>
    <row r="11" ht="45.0" customHeight="1">
      <c r="B11" s="325" t="s">
        <v>248</v>
      </c>
      <c r="C11" s="325"/>
      <c r="D11" s="325"/>
      <c r="E11" s="316"/>
      <c r="F11" s="316"/>
      <c r="G11" s="316"/>
      <c r="H11" s="316"/>
    </row>
    <row r="12" ht="15.75" customHeight="1">
      <c r="A12" s="319"/>
      <c r="B12" s="310">
        <v>26.0</v>
      </c>
      <c r="C12" s="310">
        <v>27.0</v>
      </c>
      <c r="D12" s="310">
        <v>28.0</v>
      </c>
      <c r="E12" s="310">
        <v>29.0</v>
      </c>
      <c r="F12" s="326"/>
      <c r="G12" s="326"/>
      <c r="H12" s="326"/>
    </row>
    <row r="13" ht="45.0" customHeight="1">
      <c r="B13" s="316"/>
      <c r="C13" s="316"/>
      <c r="D13" s="316"/>
      <c r="E13" s="327"/>
      <c r="F13" s="177"/>
      <c r="G13" s="177"/>
      <c r="H13" s="177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250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07"/>
      <c r="C4" s="307"/>
      <c r="D4" s="308"/>
      <c r="E4" s="308"/>
      <c r="F4" s="309">
        <v>1.0</v>
      </c>
      <c r="G4" s="309">
        <v>2.0</v>
      </c>
      <c r="H4" s="310">
        <v>3.0</v>
      </c>
      <c r="J4" s="311" t="s">
        <v>242</v>
      </c>
      <c r="K4" s="312"/>
    </row>
    <row r="5" ht="45.0" customHeight="1">
      <c r="B5" s="313"/>
      <c r="C5" s="313"/>
      <c r="D5" s="314"/>
      <c r="E5" s="314"/>
      <c r="F5" s="315"/>
      <c r="G5" s="315"/>
      <c r="H5" s="316"/>
      <c r="J5" s="317" t="s">
        <v>243</v>
      </c>
      <c r="K5" s="318"/>
    </row>
    <row r="6" ht="15.75" customHeight="1">
      <c r="A6" s="319"/>
      <c r="B6" s="310">
        <v>4.0</v>
      </c>
      <c r="C6" s="310">
        <v>5.0</v>
      </c>
      <c r="D6" s="310">
        <v>6.0</v>
      </c>
      <c r="E6" s="310">
        <v>7.0</v>
      </c>
      <c r="F6" s="336">
        <v>8.0</v>
      </c>
      <c r="G6" s="310">
        <v>9.0</v>
      </c>
      <c r="H6" s="310">
        <v>10.0</v>
      </c>
      <c r="J6" s="320" t="s">
        <v>244</v>
      </c>
    </row>
    <row r="7" ht="45.0" customHeight="1">
      <c r="B7" s="316"/>
      <c r="C7" s="316"/>
      <c r="D7" s="316"/>
      <c r="E7" s="316"/>
      <c r="F7" s="316" t="s">
        <v>251</v>
      </c>
      <c r="G7" s="316"/>
      <c r="H7" s="316"/>
      <c r="J7" s="321" t="s">
        <v>245</v>
      </c>
    </row>
    <row r="8" ht="15.75" customHeight="1">
      <c r="A8" s="319"/>
      <c r="B8" s="310">
        <v>11.0</v>
      </c>
      <c r="C8" s="310">
        <v>12.0</v>
      </c>
      <c r="D8" s="310">
        <v>13.0</v>
      </c>
      <c r="E8" s="310">
        <v>14.0</v>
      </c>
      <c r="F8" s="336">
        <v>15.0</v>
      </c>
      <c r="G8" s="310">
        <v>16.0</v>
      </c>
      <c r="H8" s="310">
        <v>17.0</v>
      </c>
      <c r="J8" s="323" t="s">
        <v>246</v>
      </c>
    </row>
    <row r="9" ht="45.0" customHeight="1">
      <c r="B9" s="316"/>
      <c r="C9" s="316"/>
      <c r="D9" s="316"/>
      <c r="E9" s="316"/>
      <c r="F9" s="316" t="s">
        <v>252</v>
      </c>
      <c r="G9" s="316"/>
      <c r="H9" s="316"/>
    </row>
    <row r="10" ht="15.75" customHeight="1">
      <c r="A10" s="319"/>
      <c r="B10" s="310">
        <v>18.0</v>
      </c>
      <c r="C10" s="310">
        <v>19.0</v>
      </c>
      <c r="D10" s="322">
        <v>20.0</v>
      </c>
      <c r="E10" s="310">
        <v>21.0</v>
      </c>
      <c r="F10" s="310">
        <v>22.0</v>
      </c>
      <c r="G10" s="310">
        <v>23.0</v>
      </c>
      <c r="H10" s="310">
        <v>24.0</v>
      </c>
    </row>
    <row r="11" ht="45.0" customHeight="1">
      <c r="B11" s="325"/>
      <c r="C11" s="325"/>
      <c r="D11" s="325" t="s">
        <v>253</v>
      </c>
      <c r="E11" s="316"/>
      <c r="F11" s="316"/>
      <c r="G11" s="316"/>
      <c r="H11" s="316"/>
    </row>
    <row r="12" ht="15.75" customHeight="1">
      <c r="A12" s="319"/>
      <c r="B12" s="310">
        <v>25.0</v>
      </c>
      <c r="C12" s="310">
        <v>26.0</v>
      </c>
      <c r="D12" s="310">
        <v>27.0</v>
      </c>
      <c r="E12" s="310">
        <v>28.0</v>
      </c>
      <c r="F12" s="310">
        <v>29.0</v>
      </c>
      <c r="G12" s="310">
        <v>30.0</v>
      </c>
      <c r="H12" s="324">
        <v>31.0</v>
      </c>
    </row>
    <row r="13" ht="45.0" customHeight="1">
      <c r="B13" s="316"/>
      <c r="C13" s="316"/>
      <c r="D13" s="316"/>
      <c r="E13" s="327"/>
      <c r="F13" s="327"/>
      <c r="G13" s="327"/>
      <c r="H13" s="316" t="s">
        <v>254</v>
      </c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255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24">
        <v>1.0</v>
      </c>
      <c r="C4" s="309">
        <v>2.0</v>
      </c>
      <c r="D4" s="310">
        <v>3.0</v>
      </c>
      <c r="E4" s="310">
        <v>4.0</v>
      </c>
      <c r="F4" s="310">
        <v>5.0</v>
      </c>
      <c r="G4" s="310">
        <v>6.0</v>
      </c>
      <c r="H4" s="324">
        <v>7.0</v>
      </c>
      <c r="J4" s="311" t="s">
        <v>242</v>
      </c>
      <c r="K4" s="312"/>
    </row>
    <row r="5" ht="45.0" customHeight="1">
      <c r="B5" s="315" t="s">
        <v>256</v>
      </c>
      <c r="C5" s="315"/>
      <c r="D5" s="315"/>
      <c r="E5" s="337"/>
      <c r="F5" s="315"/>
      <c r="G5" s="315"/>
      <c r="H5" s="316" t="s">
        <v>257</v>
      </c>
      <c r="J5" s="317" t="s">
        <v>243</v>
      </c>
      <c r="K5" s="318"/>
    </row>
    <row r="6" ht="15.75" customHeight="1">
      <c r="A6" s="319"/>
      <c r="B6" s="310">
        <v>8.0</v>
      </c>
      <c r="C6" s="310">
        <v>9.0</v>
      </c>
      <c r="D6" s="310">
        <v>10.0</v>
      </c>
      <c r="E6" s="310">
        <v>11.0</v>
      </c>
      <c r="F6" s="310">
        <v>12.0</v>
      </c>
      <c r="G6" s="338">
        <v>13.0</v>
      </c>
      <c r="H6" s="324">
        <v>14.0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 t="s">
        <v>258</v>
      </c>
      <c r="H7" s="316" t="s">
        <v>259</v>
      </c>
      <c r="J7" s="321" t="s">
        <v>245</v>
      </c>
    </row>
    <row r="8" ht="15.75" customHeight="1">
      <c r="A8" s="319"/>
      <c r="B8" s="310">
        <v>15.0</v>
      </c>
      <c r="C8" s="310">
        <v>16.0</v>
      </c>
      <c r="D8" s="310">
        <v>17.0</v>
      </c>
      <c r="E8" s="310">
        <v>18.0</v>
      </c>
      <c r="F8" s="310">
        <v>19.0</v>
      </c>
      <c r="G8" s="310">
        <v>20.0</v>
      </c>
      <c r="H8" s="310">
        <v>21.0</v>
      </c>
      <c r="J8" s="323" t="s">
        <v>246</v>
      </c>
    </row>
    <row r="9" ht="45.0" customHeight="1">
      <c r="B9" s="316"/>
      <c r="C9" s="316"/>
      <c r="D9" s="316"/>
      <c r="E9" s="316"/>
      <c r="F9" s="316"/>
      <c r="G9" s="316"/>
      <c r="H9" s="316"/>
    </row>
    <row r="10" ht="15.75" customHeight="1">
      <c r="A10" s="319"/>
      <c r="B10" s="324">
        <v>22.0</v>
      </c>
      <c r="C10" s="310">
        <v>23.0</v>
      </c>
      <c r="D10" s="310">
        <v>24.0</v>
      </c>
      <c r="E10" s="310">
        <v>25.0</v>
      </c>
      <c r="F10" s="310">
        <v>26.0</v>
      </c>
      <c r="G10" s="310">
        <v>27.0</v>
      </c>
      <c r="H10" s="310">
        <v>28.0</v>
      </c>
    </row>
    <row r="11" ht="45.0" customHeight="1">
      <c r="B11" s="325" t="s">
        <v>260</v>
      </c>
      <c r="C11" s="325"/>
      <c r="D11" s="316"/>
      <c r="E11" s="316"/>
      <c r="F11" s="316"/>
      <c r="G11" s="316"/>
      <c r="H11" s="316"/>
    </row>
    <row r="12" ht="15.75" customHeight="1">
      <c r="A12" s="319"/>
      <c r="B12" s="310">
        <v>29.0</v>
      </c>
      <c r="C12" s="310">
        <v>30.0</v>
      </c>
      <c r="D12" s="326"/>
      <c r="E12" s="177"/>
      <c r="F12" s="177"/>
      <c r="G12" s="177"/>
      <c r="H12" s="177"/>
    </row>
    <row r="13" ht="45.0" customHeight="1">
      <c r="B13" s="316"/>
      <c r="C13" s="316"/>
      <c r="D13" s="326"/>
      <c r="E13" s="177"/>
      <c r="F13" s="177"/>
      <c r="G13" s="177"/>
      <c r="H13" s="177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261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40"/>
      <c r="D4" s="341">
        <v>1.0</v>
      </c>
      <c r="E4" s="309">
        <v>2.0</v>
      </c>
      <c r="F4" s="310">
        <v>3.0</v>
      </c>
      <c r="G4" s="310">
        <v>4.0</v>
      </c>
      <c r="H4" s="310">
        <v>5.0</v>
      </c>
      <c r="J4" s="311" t="s">
        <v>242</v>
      </c>
      <c r="K4" s="312"/>
    </row>
    <row r="5" ht="45.0" customHeight="1">
      <c r="B5" s="313"/>
      <c r="C5" s="314"/>
      <c r="D5" s="315" t="s">
        <v>262</v>
      </c>
      <c r="E5" s="337"/>
      <c r="F5" s="315"/>
      <c r="G5" s="315"/>
      <c r="H5" s="316"/>
      <c r="J5" s="317" t="s">
        <v>243</v>
      </c>
      <c r="K5" s="318"/>
    </row>
    <row r="6" ht="15.75" customHeight="1">
      <c r="A6" s="319"/>
      <c r="B6" s="309">
        <v>6.0</v>
      </c>
      <c r="C6" s="309">
        <v>7.0</v>
      </c>
      <c r="D6" s="310">
        <v>8.0</v>
      </c>
      <c r="E6" s="310">
        <v>9.0</v>
      </c>
      <c r="F6" s="310">
        <v>10.0</v>
      </c>
      <c r="G6" s="310">
        <v>11.0</v>
      </c>
      <c r="H6" s="336">
        <v>12.0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/>
      <c r="H7" s="316" t="s">
        <v>263</v>
      </c>
      <c r="J7" s="321" t="s">
        <v>245</v>
      </c>
    </row>
    <row r="8" ht="15.75" customHeight="1">
      <c r="A8" s="319"/>
      <c r="B8" s="309">
        <v>13.0</v>
      </c>
      <c r="C8" s="309">
        <v>14.0</v>
      </c>
      <c r="D8" s="310">
        <v>15.0</v>
      </c>
      <c r="E8" s="310">
        <v>16.0</v>
      </c>
      <c r="F8" s="310">
        <v>17.0</v>
      </c>
      <c r="G8" s="310">
        <v>18.0</v>
      </c>
      <c r="H8" s="310">
        <v>19.0</v>
      </c>
      <c r="J8" s="323" t="s">
        <v>246</v>
      </c>
    </row>
    <row r="9" ht="45.0" customHeight="1">
      <c r="B9" s="316"/>
      <c r="C9" s="316"/>
      <c r="D9" s="316"/>
      <c r="E9" s="316"/>
      <c r="F9" s="316"/>
      <c r="G9" s="316"/>
      <c r="H9" s="316"/>
    </row>
    <row r="10" ht="15.75" customHeight="1">
      <c r="A10" s="319"/>
      <c r="B10" s="309">
        <v>20.0</v>
      </c>
      <c r="C10" s="309">
        <v>21.0</v>
      </c>
      <c r="D10" s="324">
        <v>22.0</v>
      </c>
      <c r="E10" s="310">
        <v>23.0</v>
      </c>
      <c r="F10" s="310">
        <v>24.0</v>
      </c>
      <c r="G10" s="324">
        <v>25.0</v>
      </c>
      <c r="H10" s="310">
        <v>26.0</v>
      </c>
    </row>
    <row r="11" ht="45.0" customHeight="1">
      <c r="B11" s="325"/>
      <c r="C11" s="325"/>
      <c r="D11" s="316" t="s">
        <v>264</v>
      </c>
      <c r="E11" s="316"/>
      <c r="F11" s="316"/>
      <c r="G11" s="316" t="s">
        <v>265</v>
      </c>
      <c r="H11" s="316"/>
    </row>
    <row r="12" ht="15.75" customHeight="1">
      <c r="A12" s="319"/>
      <c r="B12" s="310">
        <v>27.0</v>
      </c>
      <c r="C12" s="310">
        <v>28.0</v>
      </c>
      <c r="D12" s="310">
        <v>29.0</v>
      </c>
      <c r="E12" s="310">
        <v>30.0</v>
      </c>
      <c r="F12" s="310">
        <v>31.0</v>
      </c>
      <c r="G12" s="177"/>
      <c r="H12" s="177"/>
    </row>
    <row r="13" ht="45.0" customHeight="1">
      <c r="B13" s="316"/>
      <c r="C13" s="316"/>
      <c r="D13" s="316"/>
      <c r="E13" s="316"/>
      <c r="F13" s="316"/>
      <c r="G13" s="177"/>
      <c r="H13" s="177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266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40"/>
      <c r="D4" s="340"/>
      <c r="E4" s="340"/>
      <c r="F4" s="340"/>
      <c r="G4" s="309">
        <v>1.0</v>
      </c>
      <c r="H4" s="309">
        <v>2.0</v>
      </c>
      <c r="J4" s="311" t="s">
        <v>242</v>
      </c>
      <c r="K4" s="312"/>
    </row>
    <row r="5" ht="45.0" customHeight="1">
      <c r="B5" s="313"/>
      <c r="C5" s="314"/>
      <c r="D5" s="314"/>
      <c r="E5" s="314"/>
      <c r="F5" s="314"/>
      <c r="G5" s="315"/>
      <c r="H5" s="316"/>
      <c r="J5" s="317" t="s">
        <v>243</v>
      </c>
      <c r="K5" s="318"/>
    </row>
    <row r="6" ht="15.75" customHeight="1">
      <c r="A6" s="319"/>
      <c r="B6" s="309">
        <v>3.0</v>
      </c>
      <c r="C6" s="309">
        <v>4.0</v>
      </c>
      <c r="D6" s="309">
        <v>5.0</v>
      </c>
      <c r="E6" s="309">
        <v>6.0</v>
      </c>
      <c r="F6" s="309">
        <v>7.0</v>
      </c>
      <c r="G6" s="310">
        <v>8.0</v>
      </c>
      <c r="H6" s="310">
        <v>9.0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/>
      <c r="H7" s="316"/>
      <c r="J7" s="321" t="s">
        <v>245</v>
      </c>
    </row>
    <row r="8" ht="15.75" customHeight="1">
      <c r="A8" s="319"/>
      <c r="B8" s="309">
        <v>10.0</v>
      </c>
      <c r="C8" s="309">
        <v>11.0</v>
      </c>
      <c r="D8" s="336">
        <v>12.0</v>
      </c>
      <c r="E8" s="309">
        <v>13.0</v>
      </c>
      <c r="F8" s="309">
        <v>14.0</v>
      </c>
      <c r="G8" s="310">
        <v>15.0</v>
      </c>
      <c r="H8" s="310">
        <v>16.0</v>
      </c>
      <c r="J8" s="323" t="s">
        <v>246</v>
      </c>
    </row>
    <row r="9" ht="45.0" customHeight="1">
      <c r="B9" s="316"/>
      <c r="C9" s="316"/>
      <c r="D9" s="316" t="s">
        <v>267</v>
      </c>
      <c r="E9" s="316"/>
      <c r="F9" s="316"/>
      <c r="G9" s="316"/>
      <c r="H9" s="316"/>
    </row>
    <row r="10" ht="15.75" customHeight="1">
      <c r="A10" s="319"/>
      <c r="B10" s="309">
        <v>17.0</v>
      </c>
      <c r="C10" s="309">
        <v>18.0</v>
      </c>
      <c r="D10" s="309"/>
      <c r="E10" s="324">
        <v>20.0</v>
      </c>
      <c r="F10" s="309">
        <v>21.0</v>
      </c>
      <c r="G10" s="310">
        <v>22.0</v>
      </c>
      <c r="H10" s="310">
        <v>23.0</v>
      </c>
    </row>
    <row r="11" ht="45.0" customHeight="1">
      <c r="B11" s="325"/>
      <c r="C11" s="325"/>
      <c r="D11" s="316"/>
      <c r="E11" s="316" t="s">
        <v>268</v>
      </c>
      <c r="F11" s="316"/>
      <c r="G11" s="316"/>
      <c r="H11" s="316"/>
    </row>
    <row r="12" ht="15.75" customHeight="1">
      <c r="A12" s="319"/>
      <c r="B12" s="309">
        <v>24.0</v>
      </c>
      <c r="C12" s="309">
        <v>25.0</v>
      </c>
      <c r="D12" s="309">
        <v>26.0</v>
      </c>
      <c r="E12" s="310">
        <v>27.0</v>
      </c>
      <c r="F12" s="324">
        <v>28.0</v>
      </c>
      <c r="G12" s="310">
        <v>29.0</v>
      </c>
      <c r="H12" s="310">
        <v>30.0</v>
      </c>
    </row>
    <row r="13" ht="45.0" customHeight="1">
      <c r="B13" s="316"/>
      <c r="C13" s="316"/>
      <c r="D13" s="316"/>
      <c r="E13" s="316"/>
      <c r="F13" s="316" t="s">
        <v>269</v>
      </c>
      <c r="G13" s="316"/>
      <c r="H13" s="316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270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09">
        <v>1.0</v>
      </c>
      <c r="C4" s="309">
        <v>2.0</v>
      </c>
      <c r="D4" s="309">
        <v>3.0</v>
      </c>
      <c r="E4" s="309">
        <v>4.0</v>
      </c>
      <c r="F4" s="309">
        <v>5.0</v>
      </c>
      <c r="G4" s="309">
        <v>6.0</v>
      </c>
      <c r="H4" s="324">
        <v>7.0</v>
      </c>
      <c r="J4" s="311" t="s">
        <v>242</v>
      </c>
      <c r="K4" s="312"/>
    </row>
    <row r="5" ht="45.0" customHeight="1">
      <c r="B5" s="315"/>
      <c r="C5" s="315"/>
      <c r="D5" s="315"/>
      <c r="E5" s="315"/>
      <c r="F5" s="315"/>
      <c r="G5" s="315"/>
      <c r="H5" s="316" t="s">
        <v>271</v>
      </c>
      <c r="J5" s="317" t="s">
        <v>243</v>
      </c>
      <c r="K5" s="318"/>
    </row>
    <row r="6" ht="15.75" customHeight="1">
      <c r="A6" s="319"/>
      <c r="B6" s="310">
        <v>8.0</v>
      </c>
      <c r="C6" s="310">
        <v>9.0</v>
      </c>
      <c r="D6" s="309">
        <v>10.0</v>
      </c>
      <c r="E6" s="309">
        <v>11.0</v>
      </c>
      <c r="F6" s="309">
        <v>12.0</v>
      </c>
      <c r="G6" s="324">
        <v>13.0</v>
      </c>
      <c r="H6" s="309">
        <v>14.0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 t="s">
        <v>272</v>
      </c>
      <c r="H7" s="316"/>
      <c r="J7" s="321" t="s">
        <v>245</v>
      </c>
    </row>
    <row r="8" ht="15.75" customHeight="1">
      <c r="A8" s="319"/>
      <c r="B8" s="324">
        <v>15.0</v>
      </c>
      <c r="C8" s="310">
        <v>16.0</v>
      </c>
      <c r="D8" s="309">
        <v>17.0</v>
      </c>
      <c r="E8" s="309">
        <v>18.0</v>
      </c>
      <c r="F8" s="309">
        <v>19.0</v>
      </c>
      <c r="G8" s="309">
        <v>20.0</v>
      </c>
      <c r="H8" s="309">
        <v>21.0</v>
      </c>
      <c r="J8" s="323" t="s">
        <v>246</v>
      </c>
    </row>
    <row r="9" ht="45.0" customHeight="1">
      <c r="B9" s="316" t="s">
        <v>273</v>
      </c>
      <c r="C9" s="316"/>
      <c r="D9" s="316"/>
      <c r="E9" s="316"/>
      <c r="F9" s="316"/>
      <c r="G9" s="316"/>
      <c r="H9" s="316"/>
    </row>
    <row r="10" ht="15.75" customHeight="1">
      <c r="A10" s="319"/>
      <c r="B10" s="310">
        <v>22.0</v>
      </c>
      <c r="C10" s="310">
        <v>23.0</v>
      </c>
      <c r="D10" s="309">
        <v>24.0</v>
      </c>
      <c r="E10" s="309">
        <v>25.0</v>
      </c>
      <c r="F10" s="324">
        <v>26.0</v>
      </c>
      <c r="G10" s="310">
        <v>27.0</v>
      </c>
      <c r="H10" s="310">
        <v>28.0</v>
      </c>
    </row>
    <row r="11" ht="45.0" customHeight="1">
      <c r="B11" s="325"/>
      <c r="C11" s="325"/>
      <c r="D11" s="316"/>
      <c r="E11" s="316"/>
      <c r="F11" s="316" t="s">
        <v>274</v>
      </c>
      <c r="G11" s="316"/>
      <c r="H11" s="316"/>
    </row>
    <row r="12" ht="15.75" customHeight="1">
      <c r="A12" s="319"/>
      <c r="B12" s="310">
        <v>29.0</v>
      </c>
      <c r="C12" s="324">
        <v>30.0</v>
      </c>
      <c r="D12" s="310">
        <v>31.0</v>
      </c>
    </row>
    <row r="13" ht="45.0" customHeight="1">
      <c r="B13" s="316"/>
      <c r="C13" s="316" t="s">
        <v>275</v>
      </c>
      <c r="D13" s="316"/>
      <c r="E13" s="342"/>
      <c r="F13" s="342"/>
      <c r="G13" s="342"/>
      <c r="H13" s="342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7" width="25.75"/>
    <col customWidth="1" min="8" max="8" width="24.25"/>
  </cols>
  <sheetData>
    <row r="1" ht="22.5" customHeight="1">
      <c r="A1" s="343"/>
      <c r="B1" s="344" t="s">
        <v>276</v>
      </c>
      <c r="C1" s="344" t="s">
        <v>6</v>
      </c>
      <c r="D1" s="344" t="s">
        <v>10</v>
      </c>
      <c r="E1" s="344" t="s">
        <v>7</v>
      </c>
      <c r="F1" s="344" t="s">
        <v>11</v>
      </c>
      <c r="G1" s="344" t="s">
        <v>4</v>
      </c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</row>
    <row r="2" ht="37.5" customHeight="1">
      <c r="A2" s="343"/>
      <c r="B2" s="346" t="s">
        <v>277</v>
      </c>
      <c r="C2" s="346" t="s">
        <v>278</v>
      </c>
      <c r="D2" s="346" t="s">
        <v>279</v>
      </c>
      <c r="E2" s="346" t="s">
        <v>280</v>
      </c>
      <c r="F2" s="346" t="s">
        <v>281</v>
      </c>
      <c r="G2" s="346" t="s">
        <v>282</v>
      </c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</row>
    <row r="3" ht="37.5" customHeight="1">
      <c r="A3" s="343"/>
      <c r="B3" s="346" t="s">
        <v>283</v>
      </c>
      <c r="C3" s="346" t="s">
        <v>284</v>
      </c>
      <c r="D3" s="346" t="s">
        <v>285</v>
      </c>
      <c r="E3" s="346" t="s">
        <v>286</v>
      </c>
      <c r="F3" s="346" t="s">
        <v>287</v>
      </c>
      <c r="G3" s="346" t="s">
        <v>288</v>
      </c>
      <c r="H3" s="347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</row>
    <row r="4" ht="37.5" customHeight="1">
      <c r="A4" s="343"/>
      <c r="B4" s="346" t="s">
        <v>289</v>
      </c>
      <c r="C4" s="346" t="s">
        <v>286</v>
      </c>
      <c r="D4" s="346" t="s">
        <v>290</v>
      </c>
      <c r="E4" s="346" t="s">
        <v>291</v>
      </c>
      <c r="F4" s="346" t="s">
        <v>292</v>
      </c>
      <c r="G4" s="346" t="s">
        <v>293</v>
      </c>
      <c r="H4" s="347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</row>
    <row r="5" ht="37.5" customHeight="1">
      <c r="A5" s="343"/>
      <c r="B5" s="346" t="s">
        <v>294</v>
      </c>
      <c r="C5" s="346" t="s">
        <v>295</v>
      </c>
      <c r="D5" s="346" t="s">
        <v>296</v>
      </c>
      <c r="E5" s="346" t="s">
        <v>297</v>
      </c>
      <c r="F5" s="346" t="s">
        <v>298</v>
      </c>
      <c r="G5" s="346" t="s">
        <v>299</v>
      </c>
      <c r="H5" s="347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</row>
    <row r="6" ht="37.5" customHeight="1">
      <c r="A6" s="343"/>
      <c r="B6" s="346" t="s">
        <v>300</v>
      </c>
      <c r="C6" s="346" t="s">
        <v>301</v>
      </c>
      <c r="D6" s="346" t="s">
        <v>302</v>
      </c>
      <c r="E6" s="346" t="s">
        <v>303</v>
      </c>
      <c r="F6" s="346" t="s">
        <v>304</v>
      </c>
      <c r="G6" s="346" t="s">
        <v>305</v>
      </c>
      <c r="H6" s="347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</row>
    <row r="7" ht="37.5" customHeight="1">
      <c r="A7" s="343"/>
      <c r="B7" s="348" t="s">
        <v>306</v>
      </c>
      <c r="C7" s="346" t="s">
        <v>307</v>
      </c>
      <c r="D7" s="346" t="s">
        <v>308</v>
      </c>
      <c r="E7" s="346" t="s">
        <v>309</v>
      </c>
      <c r="F7" s="346" t="s">
        <v>310</v>
      </c>
      <c r="G7" s="346" t="s">
        <v>311</v>
      </c>
      <c r="H7" s="347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</row>
    <row r="8" ht="37.5" customHeight="1">
      <c r="A8" s="343"/>
      <c r="B8" s="348" t="s">
        <v>312</v>
      </c>
      <c r="C8" s="346" t="s">
        <v>313</v>
      </c>
      <c r="D8" s="346" t="s">
        <v>314</v>
      </c>
      <c r="E8" s="346" t="s">
        <v>315</v>
      </c>
      <c r="F8" s="346" t="s">
        <v>316</v>
      </c>
      <c r="G8" s="346" t="s">
        <v>317</v>
      </c>
      <c r="H8" s="347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</row>
    <row r="9" ht="37.5" customHeight="1">
      <c r="A9" s="343"/>
      <c r="B9" s="346" t="s">
        <v>318</v>
      </c>
      <c r="C9" s="346" t="s">
        <v>319</v>
      </c>
      <c r="D9" s="346" t="s">
        <v>320</v>
      </c>
      <c r="E9" s="346" t="s">
        <v>321</v>
      </c>
      <c r="F9" s="346" t="s">
        <v>322</v>
      </c>
      <c r="G9" s="346" t="s">
        <v>323</v>
      </c>
      <c r="H9" s="347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</row>
    <row r="10" ht="37.5" customHeight="1">
      <c r="A10" s="343"/>
      <c r="B10" s="346" t="s">
        <v>324</v>
      </c>
      <c r="C10" s="346" t="s">
        <v>325</v>
      </c>
      <c r="D10" s="346" t="s">
        <v>326</v>
      </c>
      <c r="E10" s="346" t="s">
        <v>327</v>
      </c>
      <c r="F10" s="346" t="s">
        <v>328</v>
      </c>
      <c r="G10" s="346" t="s">
        <v>329</v>
      </c>
      <c r="H10" s="347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</row>
    <row r="11" ht="37.5" customHeight="1">
      <c r="A11" s="343"/>
      <c r="B11" s="346" t="s">
        <v>330</v>
      </c>
      <c r="C11" s="346" t="s">
        <v>331</v>
      </c>
      <c r="D11" s="346" t="s">
        <v>332</v>
      </c>
      <c r="E11" s="346" t="s">
        <v>333</v>
      </c>
      <c r="F11" s="346" t="s">
        <v>334</v>
      </c>
      <c r="G11" s="346" t="s">
        <v>335</v>
      </c>
      <c r="H11" s="347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</row>
    <row r="12">
      <c r="A12" s="345"/>
      <c r="B12" s="345"/>
      <c r="C12" s="347"/>
      <c r="D12" s="347"/>
      <c r="E12" s="347"/>
      <c r="F12" s="347"/>
      <c r="G12" s="347"/>
      <c r="H12" s="347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</row>
    <row r="13" ht="15.75" customHeight="1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</row>
    <row r="14" ht="15.75" customHeight="1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345"/>
      <c r="L14" s="345"/>
      <c r="M14" s="345"/>
      <c r="N14" s="345"/>
      <c r="O14" s="345"/>
      <c r="P14" s="345"/>
      <c r="Q14" s="345"/>
      <c r="R14" s="345"/>
      <c r="S14" s="345"/>
      <c r="T14" s="345"/>
      <c r="U14" s="345"/>
      <c r="V14" s="345"/>
      <c r="W14" s="345"/>
      <c r="X14" s="345"/>
      <c r="Y14" s="345"/>
    </row>
    <row r="15" ht="21.0" customHeight="1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5"/>
      <c r="N15" s="345"/>
      <c r="O15" s="345"/>
      <c r="P15" s="345"/>
      <c r="Q15" s="345"/>
      <c r="R15" s="345"/>
      <c r="S15" s="345"/>
      <c r="T15" s="345"/>
      <c r="U15" s="345"/>
      <c r="V15" s="345"/>
      <c r="W15" s="345"/>
      <c r="X15" s="345"/>
      <c r="Y15" s="345"/>
    </row>
    <row r="16" ht="24.0" customHeight="1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</row>
    <row r="17" ht="15.75" customHeight="1">
      <c r="A17" s="345"/>
      <c r="B17" s="345"/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</row>
    <row r="18" ht="15.75" customHeight="1">
      <c r="A18" s="345"/>
      <c r="B18" s="345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</row>
    <row r="19" ht="15.75" customHeight="1">
      <c r="A19" s="345"/>
      <c r="B19" s="345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</row>
    <row r="20" ht="15.75" customHeight="1">
      <c r="A20" s="345"/>
      <c r="B20" s="345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</row>
    <row r="21" ht="15.75" customHeight="1">
      <c r="A21" s="345"/>
      <c r="B21" s="345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</row>
    <row r="22" ht="15.75" customHeight="1">
      <c r="A22" s="345"/>
      <c r="B22" s="345"/>
      <c r="C22" s="347"/>
      <c r="D22" s="347"/>
      <c r="E22" s="347"/>
      <c r="F22" s="347"/>
      <c r="G22" s="347"/>
      <c r="H22" s="347"/>
      <c r="I22" s="347"/>
      <c r="J22" s="347"/>
      <c r="K22" s="347"/>
      <c r="L22" s="347"/>
      <c r="M22" s="347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</row>
    <row r="23" ht="15.75" customHeight="1">
      <c r="A23" s="345"/>
      <c r="B23" s="345"/>
      <c r="C23" s="347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5"/>
      <c r="O23" s="345"/>
      <c r="P23" s="345"/>
      <c r="Q23" s="345"/>
      <c r="R23" s="345"/>
      <c r="S23" s="345"/>
      <c r="T23" s="345"/>
      <c r="U23" s="345"/>
      <c r="V23" s="345"/>
      <c r="W23" s="345"/>
      <c r="X23" s="345"/>
      <c r="Y23" s="345"/>
    </row>
    <row r="24" ht="15.75" customHeight="1">
      <c r="A24" s="345"/>
      <c r="B24" s="345"/>
      <c r="C24" s="347"/>
      <c r="D24" s="347"/>
      <c r="E24" s="347"/>
      <c r="F24" s="347"/>
      <c r="G24" s="347"/>
      <c r="H24" s="347"/>
      <c r="I24" s="347"/>
      <c r="J24" s="347"/>
      <c r="K24" s="347"/>
      <c r="L24" s="347"/>
      <c r="M24" s="347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</row>
    <row r="25" ht="15.75" customHeight="1">
      <c r="A25" s="345"/>
      <c r="B25" s="345"/>
      <c r="C25" s="347"/>
      <c r="D25" s="347"/>
      <c r="E25" s="347"/>
      <c r="F25" s="347"/>
      <c r="G25" s="347"/>
      <c r="H25" s="347"/>
      <c r="I25" s="347"/>
      <c r="J25" s="347"/>
      <c r="K25" s="347"/>
      <c r="L25" s="347"/>
      <c r="M25" s="347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</row>
    <row r="26" ht="15.75" customHeight="1">
      <c r="A26" s="345"/>
      <c r="B26" s="345"/>
      <c r="C26" s="347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</row>
    <row r="27" ht="15.75" customHeight="1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5"/>
    </row>
    <row r="28" ht="15.75" customHeight="1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</row>
    <row r="29" ht="15.75" customHeight="1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</row>
    <row r="30" ht="15.75" customHeight="1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</row>
    <row r="31" ht="15.75" customHeight="1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</row>
    <row r="32" ht="15.75" customHeight="1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345"/>
      <c r="Y32" s="345"/>
    </row>
    <row r="33" ht="15.75" customHeight="1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</row>
    <row r="34" ht="15.75" customHeight="1">
      <c r="A34" s="345"/>
      <c r="B34" s="345"/>
      <c r="C34" s="345"/>
      <c r="D34" s="345"/>
      <c r="E34" s="345"/>
      <c r="F34" s="345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Y34" s="345"/>
    </row>
    <row r="35" ht="15.75" customHeight="1">
      <c r="A35" s="345"/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</row>
    <row r="36" ht="15.75" customHeight="1">
      <c r="A36" s="345"/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</row>
    <row r="37" ht="15.75" customHeight="1">
      <c r="A37" s="345"/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</row>
    <row r="38" ht="15.75" customHeight="1">
      <c r="A38" s="345"/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</row>
    <row r="39" ht="15.75" customHeight="1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5"/>
    </row>
    <row r="40" ht="15.75" customHeight="1">
      <c r="A40" s="345"/>
      <c r="B40" s="345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</row>
    <row r="41" ht="15.75" customHeight="1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</row>
    <row r="42" ht="15.75" customHeight="1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</row>
    <row r="43" ht="15.75" customHeight="1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</row>
    <row r="44" ht="15.75" customHeight="1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</row>
    <row r="45" ht="15.75" customHeight="1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</row>
    <row r="46" ht="15.75" customHeight="1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</row>
    <row r="47" ht="15.75" customHeight="1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</row>
    <row r="48" ht="15.75" customHeight="1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</row>
    <row r="49" ht="15.75" customHeight="1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</row>
    <row r="50" ht="15.75" customHeight="1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</row>
    <row r="51" ht="15.75" customHeight="1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</row>
    <row r="52" ht="15.75" customHeight="1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</row>
    <row r="53" ht="15.75" customHeight="1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</row>
    <row r="54" ht="15.75" customHeight="1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</row>
    <row r="55" ht="15.75" customHeight="1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</row>
    <row r="56" ht="15.75" customHeight="1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</row>
    <row r="57" ht="15.75" customHeight="1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</row>
    <row r="58" ht="15.75" customHeight="1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</row>
    <row r="59" ht="15.75" customHeight="1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</row>
    <row r="60" ht="15.75" customHeight="1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</row>
    <row r="61" ht="15.75" customHeight="1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</row>
    <row r="62" ht="15.75" customHeight="1">
      <c r="A62" s="345"/>
      <c r="B62" s="345"/>
      <c r="C62" s="345"/>
      <c r="D62" s="345"/>
      <c r="E62" s="345"/>
      <c r="F62" s="345"/>
      <c r="G62" s="345"/>
      <c r="H62" s="345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</row>
    <row r="63" ht="15.75" customHeight="1">
      <c r="A63" s="345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</row>
    <row r="64" ht="15.75" customHeight="1">
      <c r="A64" s="345"/>
      <c r="B64" s="345"/>
      <c r="C64" s="345"/>
      <c r="D64" s="345"/>
      <c r="E64" s="345"/>
      <c r="F64" s="345"/>
      <c r="G64" s="345"/>
      <c r="H64" s="345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</row>
    <row r="65" ht="15.75" customHeight="1">
      <c r="A65" s="345"/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</row>
    <row r="66" ht="15.75" customHeight="1">
      <c r="A66" s="345"/>
      <c r="B66" s="345"/>
      <c r="C66" s="345"/>
      <c r="D66" s="345"/>
      <c r="E66" s="345"/>
      <c r="F66" s="345"/>
      <c r="G66" s="345"/>
      <c r="H66" s="345"/>
      <c r="I66" s="345"/>
      <c r="J66" s="345"/>
      <c r="K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</row>
    <row r="67" ht="15.75" customHeight="1">
      <c r="A67" s="345"/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</row>
    <row r="68" ht="15.75" customHeight="1">
      <c r="A68" s="345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</row>
    <row r="69" ht="15.75" customHeight="1">
      <c r="A69" s="345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</row>
    <row r="70" ht="15.75" customHeight="1">
      <c r="A70" s="345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</row>
    <row r="71" ht="15.75" customHeight="1">
      <c r="A71" s="345"/>
      <c r="B71" s="345"/>
      <c r="C71" s="345"/>
      <c r="D71" s="345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</row>
    <row r="72" ht="15.75" customHeight="1">
      <c r="A72" s="345"/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</row>
    <row r="73" ht="15.75" customHeight="1">
      <c r="A73" s="345"/>
      <c r="B73" s="345"/>
      <c r="C73" s="345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</row>
    <row r="74" ht="15.75" customHeight="1">
      <c r="A74" s="345"/>
      <c r="B74" s="345"/>
      <c r="C74" s="345"/>
      <c r="D74" s="345"/>
      <c r="E74" s="345"/>
      <c r="F74" s="345"/>
      <c r="G74" s="345"/>
      <c r="H74" s="345"/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</row>
    <row r="75" ht="15.75" customHeight="1">
      <c r="A75" s="345"/>
      <c r="B75" s="345"/>
      <c r="C75" s="345"/>
      <c r="D75" s="345"/>
      <c r="E75" s="345"/>
      <c r="F75" s="345"/>
      <c r="G75" s="345"/>
      <c r="H75" s="345"/>
      <c r="I75" s="345"/>
      <c r="J75" s="345"/>
      <c r="K75" s="345"/>
      <c r="L75" s="345"/>
      <c r="M75" s="345"/>
      <c r="N75" s="345"/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</row>
    <row r="76" ht="15.75" customHeight="1">
      <c r="A76" s="345"/>
      <c r="B76" s="345"/>
      <c r="C76" s="345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</row>
    <row r="77" ht="15.75" customHeight="1">
      <c r="A77" s="345"/>
      <c r="B77" s="345"/>
      <c r="C77" s="345"/>
      <c r="D77" s="345"/>
      <c r="E77" s="345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</row>
    <row r="78" ht="15.75" customHeight="1">
      <c r="A78" s="345"/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</row>
    <row r="79" ht="15.75" customHeight="1">
      <c r="A79" s="345"/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</row>
    <row r="80" ht="15.75" customHeight="1">
      <c r="A80" s="345"/>
      <c r="B80" s="345"/>
      <c r="C80" s="345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</row>
    <row r="81" ht="15.75" customHeight="1">
      <c r="A81" s="345"/>
      <c r="B81" s="345"/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</row>
    <row r="82" ht="15.75" customHeight="1">
      <c r="A82" s="345"/>
      <c r="B82" s="345"/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</row>
    <row r="83" ht="15.75" customHeight="1">
      <c r="A83" s="345"/>
      <c r="B83" s="345"/>
      <c r="C83" s="345"/>
      <c r="D83" s="345"/>
      <c r="E83" s="345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</row>
    <row r="84" ht="15.75" customHeight="1">
      <c r="A84" s="345"/>
      <c r="B84" s="345"/>
      <c r="C84" s="345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</row>
    <row r="85" ht="15.75" customHeight="1">
      <c r="A85" s="345"/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</row>
    <row r="86" ht="15.75" customHeight="1">
      <c r="A86" s="345"/>
      <c r="B86" s="345"/>
      <c r="C86" s="345"/>
      <c r="D86" s="345"/>
      <c r="E86" s="345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</row>
    <row r="87" ht="15.75" customHeight="1">
      <c r="A87" s="345"/>
      <c r="B87" s="345"/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</row>
    <row r="88" ht="15.75" customHeight="1">
      <c r="A88" s="345"/>
      <c r="B88" s="345"/>
      <c r="C88" s="345"/>
      <c r="D88" s="345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</row>
    <row r="89" ht="15.75" customHeight="1">
      <c r="A89" s="345"/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</row>
    <row r="90" ht="15.75" customHeight="1">
      <c r="A90" s="345"/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</row>
    <row r="91" ht="15.75" customHeight="1">
      <c r="A91" s="345"/>
      <c r="B91" s="345"/>
      <c r="C91" s="345"/>
      <c r="D91" s="345"/>
      <c r="E91" s="345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</row>
    <row r="92" ht="15.75" customHeight="1">
      <c r="A92" s="345"/>
      <c r="B92" s="345"/>
      <c r="C92" s="345"/>
      <c r="D92" s="345"/>
      <c r="E92" s="345"/>
      <c r="F92" s="345"/>
      <c r="G92" s="345"/>
      <c r="H92" s="345"/>
      <c r="I92" s="345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</row>
    <row r="93" ht="15.75" customHeight="1">
      <c r="A93" s="345"/>
      <c r="B93" s="345"/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</row>
    <row r="94" ht="15.75" customHeight="1">
      <c r="A94" s="345"/>
      <c r="B94" s="345"/>
      <c r="C94" s="345"/>
      <c r="D94" s="345"/>
      <c r="E94" s="345"/>
      <c r="F94" s="345"/>
      <c r="G94" s="345"/>
      <c r="H94" s="345"/>
      <c r="I94" s="345"/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</row>
    <row r="95" ht="15.75" customHeight="1">
      <c r="A95" s="345"/>
      <c r="B95" s="345"/>
      <c r="C95" s="345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</row>
    <row r="96" ht="15.75" customHeight="1">
      <c r="A96" s="345"/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</row>
    <row r="97" ht="15.75" customHeight="1">
      <c r="A97" s="345"/>
      <c r="B97" s="345"/>
      <c r="C97" s="345"/>
      <c r="D97" s="345"/>
      <c r="E97" s="345"/>
      <c r="F97" s="345"/>
      <c r="G97" s="345"/>
      <c r="H97" s="345"/>
      <c r="I97" s="345"/>
      <c r="J97" s="345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5"/>
    </row>
    <row r="98" ht="15.75" customHeight="1">
      <c r="A98" s="345"/>
      <c r="B98" s="345"/>
      <c r="C98" s="345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5"/>
      <c r="V98" s="345"/>
      <c r="W98" s="345"/>
      <c r="X98" s="345"/>
      <c r="Y98" s="345"/>
    </row>
    <row r="99" ht="15.75" customHeight="1">
      <c r="A99" s="345"/>
      <c r="B99" s="345"/>
      <c r="C99" s="345"/>
      <c r="D99" s="345"/>
      <c r="E99" s="345"/>
      <c r="F99" s="345"/>
      <c r="G99" s="345"/>
      <c r="H99" s="345"/>
      <c r="I99" s="345"/>
      <c r="J99" s="345"/>
      <c r="K99" s="345"/>
      <c r="L99" s="345"/>
      <c r="M99" s="345"/>
      <c r="N99" s="345"/>
      <c r="O99" s="345"/>
      <c r="P99" s="345"/>
      <c r="Q99" s="345"/>
      <c r="R99" s="345"/>
      <c r="S99" s="345"/>
      <c r="T99" s="345"/>
      <c r="U99" s="345"/>
      <c r="V99" s="345"/>
      <c r="W99" s="345"/>
      <c r="X99" s="345"/>
      <c r="Y99" s="345"/>
    </row>
    <row r="100" ht="15.75" customHeight="1">
      <c r="A100" s="345"/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45"/>
      <c r="Y100" s="345"/>
    </row>
    <row r="101" ht="15.75" customHeight="1">
      <c r="A101" s="345"/>
      <c r="B101" s="345"/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</row>
    <row r="102" ht="15.75" customHeight="1">
      <c r="A102" s="345"/>
      <c r="B102" s="345"/>
      <c r="C102" s="345"/>
      <c r="D102" s="345"/>
      <c r="E102" s="345"/>
      <c r="F102" s="345"/>
      <c r="G102" s="345"/>
      <c r="H102" s="345"/>
      <c r="I102" s="345"/>
      <c r="J102" s="345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</row>
    <row r="103" ht="15.75" customHeight="1">
      <c r="A103" s="345"/>
      <c r="B103" s="345"/>
      <c r="C103" s="345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</row>
    <row r="104" ht="15.75" customHeight="1">
      <c r="A104" s="345"/>
      <c r="B104" s="345"/>
      <c r="C104" s="345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</row>
    <row r="105" ht="15.75" customHeight="1">
      <c r="A105" s="345"/>
      <c r="B105" s="34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</row>
    <row r="106" ht="15.75" customHeight="1">
      <c r="A106" s="345"/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</row>
    <row r="107" ht="15.75" customHeight="1">
      <c r="A107" s="345"/>
      <c r="B107" s="345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</row>
    <row r="108" ht="15.75" customHeight="1">
      <c r="A108" s="345"/>
      <c r="B108" s="345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</row>
    <row r="109" ht="15.75" customHeight="1">
      <c r="A109" s="345"/>
      <c r="B109" s="345"/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</row>
    <row r="110" ht="15.75" customHeight="1">
      <c r="A110" s="345"/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</row>
    <row r="111" ht="15.75" customHeight="1">
      <c r="A111" s="345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</row>
    <row r="112" ht="15.75" customHeight="1">
      <c r="A112" s="345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</row>
    <row r="113" ht="15.75" customHeight="1">
      <c r="A113" s="345"/>
      <c r="B113" s="345"/>
      <c r="C113" s="345"/>
      <c r="D113" s="345"/>
      <c r="E113" s="345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</row>
    <row r="114" ht="15.75" customHeight="1">
      <c r="A114" s="345"/>
      <c r="B114" s="345"/>
      <c r="C114" s="345"/>
      <c r="D114" s="345"/>
      <c r="E114" s="345"/>
      <c r="F114" s="345"/>
      <c r="G114" s="345"/>
      <c r="H114" s="345"/>
      <c r="I114" s="345"/>
      <c r="J114" s="345"/>
      <c r="K114" s="345"/>
      <c r="L114" s="345"/>
      <c r="M114" s="345"/>
      <c r="N114" s="345"/>
      <c r="O114" s="345"/>
      <c r="P114" s="345"/>
      <c r="Q114" s="345"/>
      <c r="R114" s="345"/>
      <c r="S114" s="345"/>
      <c r="T114" s="345"/>
      <c r="U114" s="345"/>
      <c r="V114" s="345"/>
      <c r="W114" s="345"/>
      <c r="X114" s="345"/>
      <c r="Y114" s="345"/>
    </row>
    <row r="115" ht="15.75" customHeight="1">
      <c r="A115" s="345"/>
      <c r="B115" s="345"/>
      <c r="C115" s="345"/>
      <c r="D115" s="345"/>
      <c r="E115" s="345"/>
      <c r="F115" s="345"/>
      <c r="G115" s="345"/>
      <c r="H115" s="345"/>
      <c r="I115" s="345"/>
      <c r="J115" s="345"/>
      <c r="K115" s="345"/>
      <c r="L115" s="345"/>
      <c r="M115" s="345"/>
      <c r="N115" s="345"/>
      <c r="O115" s="345"/>
      <c r="P115" s="345"/>
      <c r="Q115" s="345"/>
      <c r="R115" s="345"/>
      <c r="S115" s="345"/>
      <c r="T115" s="345"/>
      <c r="U115" s="345"/>
      <c r="V115" s="345"/>
      <c r="W115" s="345"/>
      <c r="X115" s="345"/>
      <c r="Y115" s="345"/>
    </row>
    <row r="116" ht="15.75" customHeight="1">
      <c r="A116" s="345"/>
      <c r="B116" s="345"/>
      <c r="C116" s="345"/>
      <c r="D116" s="345"/>
      <c r="E116" s="345"/>
      <c r="F116" s="345"/>
      <c r="G116" s="345"/>
      <c r="H116" s="345"/>
      <c r="I116" s="345"/>
      <c r="J116" s="345"/>
      <c r="K116" s="345"/>
      <c r="L116" s="345"/>
      <c r="M116" s="345"/>
      <c r="N116" s="345"/>
      <c r="O116" s="345"/>
      <c r="P116" s="345"/>
      <c r="Q116" s="345"/>
      <c r="R116" s="345"/>
      <c r="S116" s="345"/>
      <c r="T116" s="345"/>
      <c r="U116" s="345"/>
      <c r="V116" s="345"/>
      <c r="W116" s="345"/>
      <c r="X116" s="345"/>
      <c r="Y116" s="345"/>
    </row>
    <row r="117" ht="15.75" customHeight="1">
      <c r="A117" s="345"/>
      <c r="B117" s="345"/>
      <c r="C117" s="345"/>
      <c r="D117" s="345"/>
      <c r="E117" s="345"/>
      <c r="F117" s="345"/>
      <c r="G117" s="345"/>
      <c r="H117" s="345"/>
      <c r="I117" s="345"/>
      <c r="J117" s="345"/>
      <c r="K117" s="345"/>
      <c r="L117" s="345"/>
      <c r="M117" s="345"/>
      <c r="N117" s="345"/>
      <c r="O117" s="345"/>
      <c r="P117" s="345"/>
      <c r="Q117" s="345"/>
      <c r="R117" s="345"/>
      <c r="S117" s="345"/>
      <c r="T117" s="345"/>
      <c r="U117" s="345"/>
      <c r="V117" s="345"/>
      <c r="W117" s="345"/>
      <c r="X117" s="345"/>
      <c r="Y117" s="345"/>
    </row>
    <row r="118" ht="15.75" customHeight="1">
      <c r="A118" s="345"/>
      <c r="B118" s="345"/>
      <c r="C118" s="345"/>
      <c r="D118" s="345"/>
      <c r="E118" s="345"/>
      <c r="F118" s="345"/>
      <c r="G118" s="345"/>
      <c r="H118" s="345"/>
      <c r="I118" s="345"/>
      <c r="J118" s="345"/>
      <c r="K118" s="345"/>
      <c r="L118" s="345"/>
      <c r="M118" s="345"/>
      <c r="N118" s="345"/>
      <c r="O118" s="345"/>
      <c r="P118" s="345"/>
      <c r="Q118" s="345"/>
      <c r="R118" s="345"/>
      <c r="S118" s="345"/>
      <c r="T118" s="345"/>
      <c r="U118" s="345"/>
      <c r="V118" s="345"/>
      <c r="W118" s="345"/>
      <c r="X118" s="345"/>
      <c r="Y118" s="345"/>
    </row>
    <row r="119" ht="15.75" customHeight="1">
      <c r="A119" s="345"/>
      <c r="B119" s="345"/>
      <c r="C119" s="345"/>
      <c r="D119" s="345"/>
      <c r="E119" s="345"/>
      <c r="F119" s="345"/>
      <c r="G119" s="345"/>
      <c r="H119" s="345"/>
      <c r="I119" s="345"/>
      <c r="J119" s="345"/>
      <c r="K119" s="345"/>
      <c r="L119" s="345"/>
      <c r="M119" s="345"/>
      <c r="N119" s="345"/>
      <c r="O119" s="345"/>
      <c r="P119" s="345"/>
      <c r="Q119" s="345"/>
      <c r="R119" s="345"/>
      <c r="S119" s="345"/>
      <c r="T119" s="345"/>
      <c r="U119" s="345"/>
      <c r="V119" s="345"/>
      <c r="W119" s="345"/>
      <c r="X119" s="345"/>
      <c r="Y119" s="345"/>
    </row>
    <row r="120" ht="15.75" customHeight="1">
      <c r="A120" s="345"/>
      <c r="B120" s="345"/>
      <c r="C120" s="345"/>
      <c r="D120" s="345"/>
      <c r="E120" s="345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45"/>
      <c r="V120" s="345"/>
      <c r="W120" s="345"/>
      <c r="X120" s="345"/>
      <c r="Y120" s="345"/>
    </row>
    <row r="121" ht="15.75" customHeight="1">
      <c r="A121" s="345"/>
      <c r="B121" s="345"/>
      <c r="C121" s="345"/>
      <c r="D121" s="345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</row>
    <row r="122" ht="15.75" customHeight="1">
      <c r="A122" s="345"/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</row>
    <row r="123" ht="15.75" customHeight="1">
      <c r="A123" s="345"/>
      <c r="B123" s="345"/>
      <c r="C123" s="345"/>
      <c r="D123" s="345"/>
      <c r="E123" s="345"/>
      <c r="F123" s="345"/>
      <c r="G123" s="345"/>
      <c r="H123" s="345"/>
      <c r="I123" s="345"/>
      <c r="J123" s="345"/>
      <c r="K123" s="345"/>
      <c r="L123" s="345"/>
      <c r="M123" s="345"/>
      <c r="N123" s="345"/>
      <c r="O123" s="345"/>
      <c r="P123" s="345"/>
      <c r="Q123" s="345"/>
      <c r="R123" s="345"/>
      <c r="S123" s="345"/>
      <c r="T123" s="345"/>
      <c r="U123" s="345"/>
      <c r="V123" s="345"/>
      <c r="W123" s="345"/>
      <c r="X123" s="345"/>
      <c r="Y123" s="345"/>
    </row>
    <row r="124" ht="15.75" customHeight="1">
      <c r="A124" s="345"/>
      <c r="B124" s="345"/>
      <c r="C124" s="345"/>
      <c r="D124" s="345"/>
      <c r="E124" s="345"/>
      <c r="F124" s="345"/>
      <c r="G124" s="345"/>
      <c r="H124" s="345"/>
      <c r="I124" s="345"/>
      <c r="J124" s="345"/>
      <c r="K124" s="345"/>
      <c r="L124" s="345"/>
      <c r="M124" s="345"/>
      <c r="N124" s="345"/>
      <c r="O124" s="345"/>
      <c r="P124" s="345"/>
      <c r="Q124" s="345"/>
      <c r="R124" s="345"/>
      <c r="S124" s="345"/>
      <c r="T124" s="345"/>
      <c r="U124" s="345"/>
      <c r="V124" s="345"/>
      <c r="W124" s="345"/>
      <c r="X124" s="345"/>
      <c r="Y124" s="345"/>
    </row>
    <row r="125" ht="15.75" customHeight="1">
      <c r="A125" s="345"/>
      <c r="B125" s="345"/>
      <c r="C125" s="345"/>
      <c r="D125" s="345"/>
      <c r="E125" s="345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</row>
    <row r="126" ht="15.75" customHeight="1">
      <c r="A126" s="345"/>
      <c r="B126" s="345"/>
      <c r="C126" s="345"/>
      <c r="D126" s="345"/>
      <c r="E126" s="345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345"/>
      <c r="W126" s="345"/>
      <c r="X126" s="345"/>
      <c r="Y126" s="345"/>
    </row>
    <row r="127" ht="15.75" customHeight="1">
      <c r="A127" s="345"/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</row>
    <row r="128" ht="15.75" customHeight="1">
      <c r="A128" s="345"/>
      <c r="B128" s="345"/>
      <c r="C128" s="345"/>
      <c r="D128" s="345"/>
      <c r="E128" s="345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/>
      <c r="Q128" s="345"/>
      <c r="R128" s="345"/>
      <c r="S128" s="345"/>
      <c r="T128" s="345"/>
      <c r="U128" s="345"/>
      <c r="V128" s="345"/>
      <c r="W128" s="345"/>
      <c r="X128" s="345"/>
      <c r="Y128" s="345"/>
    </row>
    <row r="129" ht="15.75" customHeight="1">
      <c r="A129" s="345"/>
      <c r="B129" s="345"/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345"/>
      <c r="W129" s="345"/>
      <c r="X129" s="345"/>
      <c r="Y129" s="345"/>
    </row>
    <row r="130" ht="15.75" customHeight="1">
      <c r="A130" s="345"/>
      <c r="B130" s="345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345"/>
      <c r="W130" s="345"/>
      <c r="X130" s="345"/>
      <c r="Y130" s="345"/>
    </row>
    <row r="131" ht="15.75" customHeight="1">
      <c r="A131" s="345"/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</row>
    <row r="132" ht="15.75" customHeight="1">
      <c r="A132" s="345"/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</row>
    <row r="133" ht="15.75" customHeight="1">
      <c r="A133" s="345"/>
      <c r="B133" s="345"/>
      <c r="C133" s="345"/>
      <c r="D133" s="345"/>
      <c r="E133" s="345"/>
      <c r="F133" s="345"/>
      <c r="G133" s="345"/>
      <c r="H133" s="345"/>
      <c r="I133" s="345"/>
      <c r="J133" s="345"/>
      <c r="K133" s="345"/>
      <c r="L133" s="345"/>
      <c r="M133" s="345"/>
      <c r="N133" s="345"/>
      <c r="O133" s="345"/>
      <c r="P133" s="345"/>
      <c r="Q133" s="345"/>
      <c r="R133" s="345"/>
      <c r="S133" s="345"/>
      <c r="T133" s="345"/>
      <c r="U133" s="345"/>
      <c r="V133" s="345"/>
      <c r="W133" s="345"/>
      <c r="X133" s="345"/>
      <c r="Y133" s="345"/>
    </row>
    <row r="134" ht="15.75" customHeight="1">
      <c r="A134" s="345"/>
      <c r="B134" s="345"/>
      <c r="C134" s="345"/>
      <c r="D134" s="345"/>
      <c r="E134" s="345"/>
      <c r="F134" s="345"/>
      <c r="G134" s="345"/>
      <c r="H134" s="345"/>
      <c r="I134" s="345"/>
      <c r="J134" s="345"/>
      <c r="K134" s="345"/>
      <c r="L134" s="345"/>
      <c r="M134" s="345"/>
      <c r="N134" s="345"/>
      <c r="O134" s="345"/>
      <c r="P134" s="345"/>
      <c r="Q134" s="345"/>
      <c r="R134" s="345"/>
      <c r="S134" s="345"/>
      <c r="T134" s="345"/>
      <c r="U134" s="345"/>
      <c r="V134" s="345"/>
      <c r="W134" s="345"/>
      <c r="X134" s="345"/>
      <c r="Y134" s="345"/>
    </row>
    <row r="135" ht="15.75" customHeight="1">
      <c r="A135" s="345"/>
      <c r="B135" s="345"/>
      <c r="C135" s="345"/>
      <c r="D135" s="345"/>
      <c r="E135" s="345"/>
      <c r="F135" s="345"/>
      <c r="G135" s="345"/>
      <c r="H135" s="345"/>
      <c r="I135" s="345"/>
      <c r="J135" s="345"/>
      <c r="K135" s="345"/>
      <c r="L135" s="345"/>
      <c r="M135" s="345"/>
      <c r="N135" s="345"/>
      <c r="O135" s="345"/>
      <c r="P135" s="345"/>
      <c r="Q135" s="345"/>
      <c r="R135" s="345"/>
      <c r="S135" s="345"/>
      <c r="T135" s="345"/>
      <c r="U135" s="345"/>
      <c r="V135" s="345"/>
      <c r="W135" s="345"/>
      <c r="X135" s="345"/>
      <c r="Y135" s="345"/>
    </row>
    <row r="136" ht="15.75" customHeight="1">
      <c r="A136" s="345"/>
      <c r="B136" s="345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345"/>
      <c r="W136" s="345"/>
      <c r="X136" s="345"/>
      <c r="Y136" s="345"/>
    </row>
    <row r="137" ht="15.75" customHeight="1">
      <c r="A137" s="345"/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</row>
    <row r="138" ht="15.75" customHeight="1">
      <c r="A138" s="345"/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</row>
    <row r="139" ht="15.75" customHeight="1">
      <c r="A139" s="345"/>
      <c r="B139" s="345"/>
      <c r="C139" s="345"/>
      <c r="D139" s="345"/>
      <c r="E139" s="345"/>
      <c r="F139" s="345"/>
      <c r="G139" s="345"/>
      <c r="H139" s="345"/>
      <c r="I139" s="345"/>
      <c r="J139" s="345"/>
      <c r="K139" s="345"/>
      <c r="L139" s="345"/>
      <c r="M139" s="345"/>
      <c r="N139" s="345"/>
      <c r="O139" s="345"/>
      <c r="P139" s="345"/>
      <c r="Q139" s="345"/>
      <c r="R139" s="345"/>
      <c r="S139" s="345"/>
      <c r="T139" s="345"/>
      <c r="U139" s="345"/>
      <c r="V139" s="345"/>
      <c r="W139" s="345"/>
      <c r="X139" s="345"/>
      <c r="Y139" s="345"/>
    </row>
    <row r="140" ht="15.75" customHeight="1">
      <c r="A140" s="345"/>
      <c r="B140" s="345"/>
      <c r="C140" s="345"/>
      <c r="D140" s="345"/>
      <c r="E140" s="345"/>
      <c r="F140" s="345"/>
      <c r="G140" s="345"/>
      <c r="H140" s="345"/>
      <c r="I140" s="345"/>
      <c r="J140" s="345"/>
      <c r="K140" s="345"/>
      <c r="L140" s="345"/>
      <c r="M140" s="345"/>
      <c r="N140" s="345"/>
      <c r="O140" s="345"/>
      <c r="P140" s="345"/>
      <c r="Q140" s="345"/>
      <c r="R140" s="345"/>
      <c r="S140" s="345"/>
      <c r="T140" s="345"/>
      <c r="U140" s="345"/>
      <c r="V140" s="345"/>
      <c r="W140" s="345"/>
      <c r="X140" s="345"/>
      <c r="Y140" s="345"/>
    </row>
    <row r="141" ht="15.75" customHeight="1">
      <c r="A141" s="345"/>
      <c r="B141" s="345"/>
      <c r="C141" s="345"/>
      <c r="D141" s="345"/>
      <c r="E141" s="345"/>
      <c r="F141" s="345"/>
      <c r="G141" s="345"/>
      <c r="H141" s="345"/>
      <c r="I141" s="345"/>
      <c r="J141" s="345"/>
      <c r="K141" s="345"/>
      <c r="L141" s="345"/>
      <c r="M141" s="345"/>
      <c r="N141" s="345"/>
      <c r="O141" s="345"/>
      <c r="P141" s="345"/>
      <c r="Q141" s="345"/>
      <c r="R141" s="345"/>
      <c r="S141" s="345"/>
      <c r="T141" s="345"/>
      <c r="U141" s="345"/>
      <c r="V141" s="345"/>
      <c r="W141" s="345"/>
      <c r="X141" s="345"/>
      <c r="Y141" s="345"/>
    </row>
    <row r="142" ht="15.75" customHeight="1">
      <c r="A142" s="345"/>
      <c r="B142" s="345"/>
      <c r="C142" s="345"/>
      <c r="D142" s="345"/>
      <c r="E142" s="345"/>
      <c r="F142" s="345"/>
      <c r="G142" s="345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</row>
    <row r="143" ht="15.75" customHeight="1">
      <c r="A143" s="345"/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</row>
    <row r="144" ht="15.75" customHeight="1">
      <c r="A144" s="345"/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</row>
    <row r="145" ht="15.75" customHeight="1">
      <c r="A145" s="345"/>
      <c r="B145" s="345"/>
      <c r="C145" s="345"/>
      <c r="D145" s="345"/>
      <c r="E145" s="345"/>
      <c r="F145" s="345"/>
      <c r="G145" s="345"/>
      <c r="H145" s="345"/>
      <c r="I145" s="345"/>
      <c r="J145" s="345"/>
      <c r="K145" s="345"/>
      <c r="L145" s="345"/>
      <c r="M145" s="345"/>
      <c r="N145" s="345"/>
      <c r="O145" s="345"/>
      <c r="P145" s="345"/>
      <c r="Q145" s="345"/>
      <c r="R145" s="345"/>
      <c r="S145" s="345"/>
      <c r="T145" s="345"/>
      <c r="U145" s="345"/>
      <c r="V145" s="345"/>
      <c r="W145" s="345"/>
      <c r="X145" s="345"/>
      <c r="Y145" s="345"/>
    </row>
    <row r="146" ht="15.75" customHeight="1">
      <c r="A146" s="345"/>
      <c r="B146" s="345"/>
      <c r="C146" s="345"/>
      <c r="D146" s="345"/>
      <c r="E146" s="345"/>
      <c r="F146" s="345"/>
      <c r="G146" s="345"/>
      <c r="H146" s="345"/>
      <c r="I146" s="345"/>
      <c r="J146" s="345"/>
      <c r="K146" s="345"/>
      <c r="L146" s="345"/>
      <c r="M146" s="345"/>
      <c r="N146" s="345"/>
      <c r="O146" s="345"/>
      <c r="P146" s="345"/>
      <c r="Q146" s="345"/>
      <c r="R146" s="345"/>
      <c r="S146" s="345"/>
      <c r="T146" s="345"/>
      <c r="U146" s="345"/>
      <c r="V146" s="345"/>
      <c r="W146" s="345"/>
      <c r="X146" s="345"/>
      <c r="Y146" s="345"/>
    </row>
    <row r="147" ht="15.75" customHeight="1">
      <c r="A147" s="345"/>
      <c r="B147" s="345"/>
      <c r="C147" s="345"/>
      <c r="D147" s="345"/>
      <c r="E147" s="345"/>
      <c r="F147" s="345"/>
      <c r="G147" s="345"/>
      <c r="H147" s="345"/>
      <c r="I147" s="345"/>
      <c r="J147" s="345"/>
      <c r="K147" s="345"/>
      <c r="L147" s="345"/>
      <c r="M147" s="345"/>
      <c r="N147" s="345"/>
      <c r="O147" s="345"/>
      <c r="P147" s="345"/>
      <c r="Q147" s="345"/>
      <c r="R147" s="345"/>
      <c r="S147" s="345"/>
      <c r="T147" s="345"/>
      <c r="U147" s="345"/>
      <c r="V147" s="345"/>
      <c r="W147" s="345"/>
      <c r="X147" s="345"/>
      <c r="Y147" s="345"/>
    </row>
    <row r="148" ht="15.75" customHeight="1">
      <c r="A148" s="345"/>
      <c r="B148" s="345"/>
      <c r="C148" s="345"/>
      <c r="D148" s="345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345"/>
      <c r="W148" s="345"/>
      <c r="X148" s="345"/>
      <c r="Y148" s="345"/>
    </row>
    <row r="149" ht="15.75" customHeight="1">
      <c r="A149" s="345"/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</row>
    <row r="150" ht="15.75" customHeight="1">
      <c r="A150" s="345"/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</row>
    <row r="151" ht="15.75" customHeight="1">
      <c r="A151" s="345"/>
      <c r="B151" s="345"/>
      <c r="C151" s="345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5"/>
      <c r="Q151" s="345"/>
      <c r="R151" s="345"/>
      <c r="S151" s="345"/>
      <c r="T151" s="345"/>
      <c r="U151" s="345"/>
      <c r="V151" s="345"/>
      <c r="W151" s="345"/>
      <c r="X151" s="345"/>
      <c r="Y151" s="345"/>
    </row>
    <row r="152" ht="15.75" customHeight="1">
      <c r="A152" s="345"/>
      <c r="B152" s="345"/>
      <c r="C152" s="345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5"/>
      <c r="Q152" s="345"/>
      <c r="R152" s="345"/>
      <c r="S152" s="345"/>
      <c r="T152" s="345"/>
      <c r="U152" s="345"/>
      <c r="V152" s="345"/>
      <c r="W152" s="345"/>
      <c r="X152" s="345"/>
      <c r="Y152" s="345"/>
    </row>
    <row r="153" ht="15.75" customHeight="1">
      <c r="A153" s="345"/>
      <c r="B153" s="345"/>
      <c r="C153" s="345"/>
      <c r="D153" s="345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345"/>
      <c r="W153" s="345"/>
      <c r="X153" s="345"/>
      <c r="Y153" s="345"/>
    </row>
    <row r="154" ht="15.75" customHeight="1">
      <c r="A154" s="345"/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</row>
    <row r="155" ht="15.75" customHeight="1">
      <c r="A155" s="345"/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</row>
    <row r="156" ht="15.75" customHeight="1">
      <c r="A156" s="345"/>
      <c r="B156" s="345"/>
      <c r="C156" s="345"/>
      <c r="D156" s="345"/>
      <c r="E156" s="345"/>
      <c r="F156" s="345"/>
      <c r="G156" s="345"/>
      <c r="H156" s="345"/>
      <c r="I156" s="345"/>
      <c r="J156" s="345"/>
      <c r="K156" s="345"/>
      <c r="L156" s="345"/>
      <c r="M156" s="345"/>
      <c r="N156" s="345"/>
      <c r="O156" s="345"/>
      <c r="P156" s="345"/>
      <c r="Q156" s="345"/>
      <c r="R156" s="345"/>
      <c r="S156" s="345"/>
      <c r="T156" s="345"/>
      <c r="U156" s="345"/>
      <c r="V156" s="345"/>
      <c r="W156" s="345"/>
      <c r="X156" s="345"/>
      <c r="Y156" s="345"/>
    </row>
    <row r="157" ht="15.75" customHeight="1">
      <c r="A157" s="345"/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</row>
    <row r="158" ht="15.75" customHeight="1">
      <c r="A158" s="345"/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</row>
    <row r="159" ht="15.75" customHeight="1">
      <c r="A159" s="345"/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</row>
    <row r="160" ht="15.75" customHeight="1">
      <c r="A160" s="345"/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</row>
    <row r="161" ht="15.75" customHeight="1">
      <c r="A161" s="345"/>
      <c r="B161" s="345"/>
      <c r="C161" s="345"/>
      <c r="D161" s="345"/>
      <c r="E161" s="345"/>
      <c r="F161" s="345"/>
      <c r="G161" s="345"/>
      <c r="H161" s="345"/>
      <c r="I161" s="345"/>
      <c r="J161" s="345"/>
      <c r="K161" s="345"/>
      <c r="L161" s="345"/>
      <c r="M161" s="345"/>
      <c r="N161" s="345"/>
      <c r="O161" s="345"/>
      <c r="P161" s="345"/>
      <c r="Q161" s="345"/>
      <c r="R161" s="345"/>
      <c r="S161" s="345"/>
      <c r="T161" s="345"/>
      <c r="U161" s="345"/>
      <c r="V161" s="345"/>
      <c r="W161" s="345"/>
      <c r="X161" s="345"/>
      <c r="Y161" s="345"/>
    </row>
    <row r="162" ht="15.75" customHeight="1">
      <c r="A162" s="345"/>
      <c r="B162" s="345"/>
      <c r="C162" s="345"/>
      <c r="D162" s="345"/>
      <c r="E162" s="345"/>
      <c r="F162" s="345"/>
      <c r="G162" s="345"/>
      <c r="H162" s="345"/>
      <c r="I162" s="345"/>
      <c r="J162" s="345"/>
      <c r="K162" s="345"/>
      <c r="L162" s="345"/>
      <c r="M162" s="345"/>
      <c r="N162" s="345"/>
      <c r="O162" s="345"/>
      <c r="P162" s="345"/>
      <c r="Q162" s="345"/>
      <c r="R162" s="345"/>
      <c r="S162" s="345"/>
      <c r="T162" s="345"/>
      <c r="U162" s="345"/>
      <c r="V162" s="345"/>
      <c r="W162" s="345"/>
      <c r="X162" s="345"/>
      <c r="Y162" s="345"/>
    </row>
    <row r="163" ht="15.75" customHeight="1">
      <c r="A163" s="345"/>
      <c r="B163" s="345"/>
      <c r="C163" s="345"/>
      <c r="D163" s="345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</row>
    <row r="164" ht="15.75" customHeight="1">
      <c r="A164" s="345"/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</row>
    <row r="165" ht="15.75" customHeight="1">
      <c r="A165" s="345"/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</row>
    <row r="166" ht="15.75" customHeight="1">
      <c r="A166" s="345"/>
      <c r="B166" s="345"/>
      <c r="C166" s="345"/>
      <c r="D166" s="345"/>
      <c r="E166" s="345"/>
      <c r="F166" s="345"/>
      <c r="G166" s="345"/>
      <c r="H166" s="345"/>
      <c r="I166" s="345"/>
      <c r="J166" s="345"/>
      <c r="K166" s="345"/>
      <c r="L166" s="345"/>
      <c r="M166" s="345"/>
      <c r="N166" s="345"/>
      <c r="O166" s="345"/>
      <c r="P166" s="345"/>
      <c r="Q166" s="345"/>
      <c r="R166" s="345"/>
      <c r="S166" s="345"/>
      <c r="T166" s="345"/>
      <c r="U166" s="345"/>
      <c r="V166" s="345"/>
      <c r="W166" s="345"/>
      <c r="X166" s="345"/>
      <c r="Y166" s="345"/>
    </row>
    <row r="167" ht="15.75" customHeight="1">
      <c r="A167" s="345"/>
      <c r="B167" s="345"/>
      <c r="C167" s="345"/>
      <c r="D167" s="345"/>
      <c r="E167" s="345"/>
      <c r="F167" s="345"/>
      <c r="G167" s="345"/>
      <c r="H167" s="345"/>
      <c r="I167" s="345"/>
      <c r="J167" s="345"/>
      <c r="K167" s="345"/>
      <c r="L167" s="345"/>
      <c r="M167" s="345"/>
      <c r="N167" s="345"/>
      <c r="O167" s="345"/>
      <c r="P167" s="345"/>
      <c r="Q167" s="345"/>
      <c r="R167" s="345"/>
      <c r="S167" s="345"/>
      <c r="T167" s="345"/>
      <c r="U167" s="345"/>
      <c r="V167" s="345"/>
      <c r="W167" s="345"/>
      <c r="X167" s="345"/>
      <c r="Y167" s="345"/>
    </row>
    <row r="168" ht="15.75" customHeight="1">
      <c r="A168" s="345"/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</row>
    <row r="169" ht="15.75" customHeight="1">
      <c r="A169" s="345"/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</row>
    <row r="170" ht="15.75" customHeight="1">
      <c r="A170" s="345"/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</row>
    <row r="171" ht="15.75" customHeight="1">
      <c r="A171" s="345"/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</row>
    <row r="172" ht="15.75" customHeight="1">
      <c r="A172" s="345"/>
      <c r="B172" s="345"/>
      <c r="C172" s="345"/>
      <c r="D172" s="345"/>
      <c r="E172" s="345"/>
      <c r="F172" s="345"/>
      <c r="G172" s="345"/>
      <c r="H172" s="345"/>
      <c r="I172" s="345"/>
      <c r="J172" s="345"/>
      <c r="K172" s="345"/>
      <c r="L172" s="345"/>
      <c r="M172" s="345"/>
      <c r="N172" s="345"/>
      <c r="O172" s="345"/>
      <c r="P172" s="345"/>
      <c r="Q172" s="345"/>
      <c r="R172" s="345"/>
      <c r="S172" s="345"/>
      <c r="T172" s="345"/>
      <c r="U172" s="345"/>
      <c r="V172" s="345"/>
      <c r="W172" s="345"/>
      <c r="X172" s="345"/>
      <c r="Y172" s="345"/>
    </row>
    <row r="173" ht="15.75" customHeight="1">
      <c r="A173" s="345"/>
      <c r="B173" s="345"/>
      <c r="C173" s="345"/>
      <c r="D173" s="345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5"/>
      <c r="V173" s="345"/>
      <c r="W173" s="345"/>
      <c r="X173" s="345"/>
      <c r="Y173" s="345"/>
    </row>
    <row r="174" ht="15.75" customHeight="1">
      <c r="A174" s="345"/>
      <c r="B174" s="345"/>
      <c r="C174" s="345"/>
      <c r="D174" s="345"/>
      <c r="E174" s="345"/>
      <c r="F174" s="345"/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5"/>
      <c r="V174" s="345"/>
      <c r="W174" s="345"/>
      <c r="X174" s="345"/>
      <c r="Y174" s="345"/>
    </row>
    <row r="175" ht="15.75" customHeight="1">
      <c r="A175" s="345"/>
      <c r="B175" s="345"/>
      <c r="C175" s="345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5"/>
      <c r="V175" s="345"/>
      <c r="W175" s="345"/>
      <c r="X175" s="345"/>
      <c r="Y175" s="345"/>
    </row>
    <row r="176" ht="15.75" customHeight="1">
      <c r="A176" s="345"/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</row>
    <row r="177" ht="15.75" customHeight="1">
      <c r="A177" s="345"/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</row>
    <row r="178" ht="15.75" customHeight="1">
      <c r="A178" s="345"/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</row>
    <row r="179" ht="15.75" customHeight="1">
      <c r="A179" s="345"/>
      <c r="B179" s="345"/>
      <c r="C179" s="345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5"/>
      <c r="V179" s="345"/>
      <c r="W179" s="345"/>
      <c r="X179" s="345"/>
      <c r="Y179" s="345"/>
    </row>
    <row r="180" ht="15.75" customHeight="1">
      <c r="A180" s="345"/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</row>
    <row r="181" ht="15.75" customHeight="1">
      <c r="A181" s="345"/>
      <c r="B181" s="345"/>
      <c r="C181" s="345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5"/>
      <c r="V181" s="345"/>
      <c r="W181" s="345"/>
      <c r="X181" s="345"/>
      <c r="Y181" s="345"/>
    </row>
    <row r="182" ht="15.75" customHeight="1">
      <c r="A182" s="345"/>
      <c r="B182" s="345"/>
      <c r="C182" s="345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5"/>
      <c r="V182" s="345"/>
      <c r="W182" s="345"/>
      <c r="X182" s="345"/>
      <c r="Y182" s="345"/>
    </row>
    <row r="183" ht="15.75" customHeight="1">
      <c r="A183" s="345"/>
      <c r="B183" s="345"/>
      <c r="C183" s="345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5"/>
      <c r="V183" s="345"/>
      <c r="W183" s="345"/>
      <c r="X183" s="345"/>
      <c r="Y183" s="345"/>
    </row>
    <row r="184" ht="15.75" customHeight="1">
      <c r="A184" s="345"/>
      <c r="B184" s="345"/>
      <c r="C184" s="345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W184" s="345"/>
      <c r="X184" s="345"/>
      <c r="Y184" s="345"/>
    </row>
    <row r="185" ht="15.75" customHeight="1">
      <c r="A185" s="345"/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</row>
    <row r="186" ht="15.75" customHeight="1">
      <c r="A186" s="345"/>
      <c r="B186" s="345"/>
      <c r="C186" s="345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5"/>
      <c r="V186" s="345"/>
      <c r="W186" s="345"/>
      <c r="X186" s="345"/>
      <c r="Y186" s="345"/>
    </row>
    <row r="187" ht="15.75" customHeight="1">
      <c r="A187" s="345"/>
      <c r="B187" s="345"/>
      <c r="C187" s="345"/>
      <c r="D187" s="345"/>
      <c r="E187" s="345"/>
      <c r="F187" s="345"/>
      <c r="G187" s="345"/>
      <c r="H187" s="345"/>
      <c r="I187" s="345"/>
      <c r="J187" s="345"/>
      <c r="K187" s="345"/>
      <c r="L187" s="345"/>
      <c r="M187" s="345"/>
      <c r="N187" s="345"/>
      <c r="O187" s="345"/>
      <c r="P187" s="345"/>
      <c r="Q187" s="345"/>
      <c r="R187" s="345"/>
      <c r="S187" s="345"/>
      <c r="T187" s="345"/>
      <c r="U187" s="345"/>
      <c r="V187" s="345"/>
      <c r="W187" s="345"/>
      <c r="X187" s="345"/>
      <c r="Y187" s="345"/>
    </row>
    <row r="188" ht="15.75" customHeight="1">
      <c r="A188" s="345"/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</row>
    <row r="189" ht="15.75" customHeight="1">
      <c r="A189" s="345"/>
      <c r="B189" s="345"/>
      <c r="C189" s="345"/>
      <c r="D189" s="345"/>
      <c r="E189" s="345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W189" s="345"/>
      <c r="X189" s="345"/>
      <c r="Y189" s="345"/>
    </row>
    <row r="190" ht="15.75" customHeight="1">
      <c r="A190" s="345"/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</row>
    <row r="191" ht="15.75" customHeight="1">
      <c r="A191" s="345"/>
      <c r="B191" s="345"/>
      <c r="C191" s="345"/>
      <c r="D191" s="345"/>
      <c r="E191" s="345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</row>
    <row r="192" ht="15.75" customHeight="1">
      <c r="A192" s="345"/>
      <c r="B192" s="345"/>
      <c r="C192" s="345"/>
      <c r="D192" s="345"/>
      <c r="E192" s="345"/>
      <c r="F192" s="345"/>
      <c r="G192" s="345"/>
      <c r="H192" s="345"/>
      <c r="I192" s="345"/>
      <c r="J192" s="345"/>
      <c r="K192" s="345"/>
      <c r="L192" s="345"/>
      <c r="M192" s="345"/>
      <c r="N192" s="345"/>
      <c r="O192" s="345"/>
      <c r="P192" s="345"/>
      <c r="Q192" s="345"/>
      <c r="R192" s="345"/>
      <c r="S192" s="345"/>
      <c r="T192" s="345"/>
      <c r="U192" s="345"/>
      <c r="V192" s="345"/>
      <c r="W192" s="345"/>
      <c r="X192" s="345"/>
      <c r="Y192" s="345"/>
    </row>
    <row r="193" ht="15.75" customHeight="1">
      <c r="A193" s="345"/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</row>
    <row r="194" ht="15.75" customHeight="1">
      <c r="A194" s="345"/>
      <c r="B194" s="345"/>
      <c r="C194" s="345"/>
      <c r="D194" s="345"/>
      <c r="E194" s="345"/>
      <c r="F194" s="345"/>
      <c r="G194" s="345"/>
      <c r="H194" s="345"/>
      <c r="I194" s="345"/>
      <c r="J194" s="345"/>
      <c r="K194" s="345"/>
      <c r="L194" s="345"/>
      <c r="M194" s="345"/>
      <c r="N194" s="345"/>
      <c r="O194" s="345"/>
      <c r="P194" s="345"/>
      <c r="Q194" s="345"/>
      <c r="R194" s="345"/>
      <c r="S194" s="345"/>
      <c r="T194" s="345"/>
      <c r="U194" s="345"/>
      <c r="V194" s="345"/>
      <c r="W194" s="345"/>
      <c r="X194" s="345"/>
      <c r="Y194" s="345"/>
    </row>
    <row r="195" ht="15.75" customHeight="1">
      <c r="A195" s="345"/>
      <c r="B195" s="345"/>
      <c r="C195" s="345"/>
      <c r="D195" s="345"/>
      <c r="E195" s="345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</row>
    <row r="196" ht="15.75" customHeight="1">
      <c r="A196" s="345"/>
      <c r="B196" s="345"/>
      <c r="C196" s="345"/>
      <c r="D196" s="345"/>
      <c r="E196" s="345"/>
      <c r="F196" s="345"/>
      <c r="G196" s="345"/>
      <c r="H196" s="345"/>
      <c r="I196" s="345"/>
      <c r="J196" s="345"/>
      <c r="K196" s="345"/>
      <c r="L196" s="345"/>
      <c r="M196" s="345"/>
      <c r="N196" s="345"/>
      <c r="O196" s="345"/>
      <c r="P196" s="345"/>
      <c r="Q196" s="345"/>
      <c r="R196" s="345"/>
      <c r="S196" s="345"/>
      <c r="T196" s="345"/>
      <c r="U196" s="345"/>
      <c r="V196" s="345"/>
      <c r="W196" s="345"/>
      <c r="X196" s="345"/>
      <c r="Y196" s="345"/>
    </row>
    <row r="197" ht="15.75" customHeight="1">
      <c r="A197" s="345"/>
      <c r="B197" s="345"/>
      <c r="C197" s="345"/>
      <c r="D197" s="345"/>
      <c r="E197" s="345"/>
      <c r="F197" s="345"/>
      <c r="G197" s="345"/>
      <c r="H197" s="345"/>
      <c r="I197" s="345"/>
      <c r="J197" s="345"/>
      <c r="K197" s="345"/>
      <c r="L197" s="345"/>
      <c r="M197" s="345"/>
      <c r="N197" s="345"/>
      <c r="O197" s="345"/>
      <c r="P197" s="345"/>
      <c r="Q197" s="345"/>
      <c r="R197" s="345"/>
      <c r="S197" s="345"/>
      <c r="T197" s="345"/>
      <c r="U197" s="345"/>
      <c r="V197" s="345"/>
      <c r="W197" s="345"/>
      <c r="X197" s="345"/>
      <c r="Y197" s="345"/>
    </row>
    <row r="198" ht="15.75" customHeight="1">
      <c r="A198" s="345"/>
      <c r="B198" s="345"/>
      <c r="C198" s="345"/>
      <c r="D198" s="345"/>
      <c r="E198" s="345"/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  <c r="P198" s="345"/>
      <c r="Q198" s="345"/>
      <c r="R198" s="345"/>
      <c r="S198" s="345"/>
      <c r="T198" s="345"/>
      <c r="U198" s="345"/>
      <c r="V198" s="345"/>
      <c r="W198" s="345"/>
      <c r="X198" s="345"/>
      <c r="Y198" s="345"/>
    </row>
    <row r="199" ht="15.75" customHeight="1">
      <c r="A199" s="345"/>
      <c r="B199" s="345"/>
      <c r="C199" s="345"/>
      <c r="D199" s="345"/>
      <c r="E199" s="345"/>
      <c r="F199" s="345"/>
      <c r="G199" s="345"/>
      <c r="H199" s="345"/>
      <c r="I199" s="345"/>
      <c r="J199" s="345"/>
      <c r="K199" s="345"/>
      <c r="L199" s="345"/>
      <c r="M199" s="345"/>
      <c r="N199" s="345"/>
      <c r="O199" s="345"/>
      <c r="P199" s="345"/>
      <c r="Q199" s="345"/>
      <c r="R199" s="345"/>
      <c r="S199" s="345"/>
      <c r="T199" s="345"/>
      <c r="U199" s="345"/>
      <c r="V199" s="345"/>
      <c r="W199" s="345"/>
      <c r="X199" s="345"/>
      <c r="Y199" s="345"/>
    </row>
    <row r="200" ht="15.75" customHeight="1">
      <c r="A200" s="345"/>
      <c r="B200" s="345"/>
      <c r="C200" s="345"/>
      <c r="D200" s="345"/>
      <c r="E200" s="345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</row>
    <row r="201" ht="15.75" customHeight="1">
      <c r="A201" s="345"/>
      <c r="B201" s="345"/>
      <c r="C201" s="345"/>
      <c r="D201" s="345"/>
      <c r="E201" s="345"/>
      <c r="F201" s="345"/>
      <c r="G201" s="345"/>
      <c r="H201" s="345"/>
      <c r="I201" s="345"/>
      <c r="J201" s="345"/>
      <c r="K201" s="345"/>
      <c r="L201" s="345"/>
      <c r="M201" s="345"/>
      <c r="N201" s="345"/>
      <c r="O201" s="345"/>
      <c r="P201" s="345"/>
      <c r="Q201" s="345"/>
      <c r="R201" s="345"/>
      <c r="S201" s="345"/>
      <c r="T201" s="345"/>
      <c r="U201" s="345"/>
      <c r="V201" s="345"/>
      <c r="W201" s="345"/>
      <c r="X201" s="345"/>
      <c r="Y201" s="345"/>
    </row>
    <row r="202" ht="15.75" customHeight="1">
      <c r="A202" s="345"/>
      <c r="B202" s="345"/>
      <c r="C202" s="345"/>
      <c r="D202" s="345"/>
      <c r="E202" s="345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</row>
    <row r="203" ht="15.75" customHeight="1">
      <c r="A203" s="345"/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</row>
    <row r="204" ht="15.75" customHeight="1">
      <c r="A204" s="345"/>
      <c r="B204" s="345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</row>
    <row r="205" ht="15.75" customHeight="1">
      <c r="A205" s="345"/>
      <c r="B205" s="345"/>
      <c r="C205" s="345"/>
      <c r="D205" s="345"/>
      <c r="E205" s="345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</row>
    <row r="206" ht="15.75" customHeight="1">
      <c r="A206" s="345"/>
      <c r="B206" s="345"/>
      <c r="C206" s="345"/>
      <c r="D206" s="345"/>
      <c r="E206" s="345"/>
      <c r="F206" s="345"/>
      <c r="G206" s="345"/>
      <c r="H206" s="345"/>
      <c r="I206" s="345"/>
      <c r="J206" s="345"/>
      <c r="K206" s="345"/>
      <c r="L206" s="345"/>
      <c r="M206" s="345"/>
      <c r="N206" s="345"/>
      <c r="O206" s="345"/>
      <c r="P206" s="345"/>
      <c r="Q206" s="345"/>
      <c r="R206" s="345"/>
      <c r="S206" s="345"/>
      <c r="T206" s="345"/>
      <c r="U206" s="345"/>
      <c r="V206" s="345"/>
      <c r="W206" s="345"/>
      <c r="X206" s="345"/>
      <c r="Y206" s="345"/>
    </row>
    <row r="207" ht="15.75" customHeight="1">
      <c r="A207" s="345"/>
      <c r="B207" s="345"/>
      <c r="C207" s="345"/>
      <c r="D207" s="345"/>
      <c r="E207" s="345"/>
      <c r="F207" s="345"/>
      <c r="G207" s="345"/>
      <c r="H207" s="345"/>
      <c r="I207" s="345"/>
      <c r="J207" s="345"/>
      <c r="K207" s="345"/>
      <c r="L207" s="345"/>
      <c r="M207" s="345"/>
      <c r="N207" s="345"/>
      <c r="O207" s="345"/>
      <c r="P207" s="345"/>
      <c r="Q207" s="345"/>
      <c r="R207" s="345"/>
      <c r="S207" s="345"/>
      <c r="T207" s="345"/>
      <c r="U207" s="345"/>
      <c r="V207" s="345"/>
      <c r="W207" s="345"/>
      <c r="X207" s="345"/>
      <c r="Y207" s="345"/>
    </row>
    <row r="208" ht="15.75" customHeight="1">
      <c r="A208" s="345"/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</row>
    <row r="209" ht="15.75" customHeight="1">
      <c r="A209" s="345"/>
      <c r="B209" s="345"/>
      <c r="C209" s="345"/>
      <c r="D209" s="345"/>
      <c r="E209" s="345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</row>
    <row r="210" ht="15.75" customHeight="1">
      <c r="A210" s="345"/>
      <c r="B210" s="345"/>
      <c r="C210" s="345"/>
      <c r="D210" s="345"/>
      <c r="E210" s="345"/>
      <c r="F210" s="345"/>
      <c r="G210" s="345"/>
      <c r="H210" s="345"/>
      <c r="I210" s="345"/>
      <c r="J210" s="345"/>
      <c r="K210" s="345"/>
      <c r="L210" s="345"/>
      <c r="M210" s="345"/>
      <c r="N210" s="345"/>
      <c r="O210" s="345"/>
      <c r="P210" s="345"/>
      <c r="Q210" s="345"/>
      <c r="R210" s="345"/>
      <c r="S210" s="345"/>
      <c r="T210" s="345"/>
      <c r="U210" s="345"/>
      <c r="V210" s="345"/>
      <c r="W210" s="345"/>
      <c r="X210" s="345"/>
      <c r="Y210" s="345"/>
    </row>
    <row r="211" ht="15.75" customHeight="1">
      <c r="A211" s="345"/>
      <c r="B211" s="345"/>
      <c r="C211" s="345"/>
      <c r="D211" s="345"/>
      <c r="E211" s="345"/>
      <c r="F211" s="345"/>
      <c r="G211" s="345"/>
      <c r="H211" s="345"/>
      <c r="I211" s="345"/>
      <c r="J211" s="345"/>
      <c r="K211" s="345"/>
      <c r="L211" s="345"/>
      <c r="M211" s="345"/>
      <c r="N211" s="345"/>
      <c r="O211" s="345"/>
      <c r="P211" s="345"/>
      <c r="Q211" s="345"/>
      <c r="R211" s="345"/>
      <c r="S211" s="345"/>
      <c r="T211" s="345"/>
      <c r="U211" s="345"/>
      <c r="V211" s="345"/>
      <c r="W211" s="345"/>
      <c r="X211" s="345"/>
      <c r="Y211" s="345"/>
    </row>
    <row r="212" ht="15.75" customHeight="1">
      <c r="A212" s="345"/>
      <c r="B212" s="345"/>
      <c r="C212" s="345"/>
      <c r="D212" s="345"/>
      <c r="E212" s="345"/>
      <c r="F212" s="345"/>
      <c r="G212" s="345"/>
      <c r="H212" s="345"/>
      <c r="I212" s="345"/>
      <c r="J212" s="345"/>
      <c r="K212" s="345"/>
      <c r="L212" s="345"/>
      <c r="M212" s="345"/>
      <c r="N212" s="345"/>
      <c r="O212" s="345"/>
      <c r="P212" s="345"/>
      <c r="Q212" s="345"/>
      <c r="R212" s="345"/>
      <c r="S212" s="345"/>
      <c r="T212" s="345"/>
      <c r="U212" s="345"/>
      <c r="V212" s="345"/>
      <c r="W212" s="345"/>
      <c r="X212" s="345"/>
      <c r="Y212" s="345"/>
    </row>
    <row r="213" ht="15.75" customHeight="1">
      <c r="A213" s="345"/>
      <c r="B213" s="345"/>
      <c r="C213" s="345"/>
      <c r="D213" s="345"/>
      <c r="E213" s="345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  <c r="P213" s="345"/>
      <c r="Q213" s="345"/>
      <c r="R213" s="345"/>
      <c r="S213" s="345"/>
      <c r="T213" s="345"/>
      <c r="U213" s="345"/>
      <c r="V213" s="345"/>
      <c r="W213" s="345"/>
      <c r="X213" s="345"/>
      <c r="Y213" s="345"/>
    </row>
    <row r="214" ht="15.75" customHeight="1">
      <c r="A214" s="345"/>
      <c r="B214" s="345"/>
      <c r="C214" s="345"/>
      <c r="D214" s="345"/>
      <c r="E214" s="345"/>
      <c r="F214" s="345"/>
      <c r="G214" s="345"/>
      <c r="H214" s="345"/>
      <c r="I214" s="345"/>
      <c r="J214" s="345"/>
      <c r="K214" s="345"/>
      <c r="L214" s="345"/>
      <c r="M214" s="345"/>
      <c r="N214" s="345"/>
      <c r="O214" s="345"/>
      <c r="P214" s="345"/>
      <c r="Q214" s="345"/>
      <c r="R214" s="345"/>
      <c r="S214" s="345"/>
      <c r="T214" s="345"/>
      <c r="U214" s="345"/>
      <c r="V214" s="345"/>
      <c r="W214" s="345"/>
      <c r="X214" s="345"/>
      <c r="Y214" s="345"/>
    </row>
    <row r="215" ht="15.75" customHeight="1">
      <c r="A215" s="345"/>
      <c r="B215" s="345"/>
      <c r="C215" s="345"/>
      <c r="D215" s="345"/>
      <c r="E215" s="345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</row>
    <row r="216" ht="15.75" customHeight="1">
      <c r="A216" s="345"/>
      <c r="B216" s="34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</row>
    <row r="217" ht="15.75" customHeight="1">
      <c r="A217" s="345"/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</row>
    <row r="218" ht="15.75" customHeight="1">
      <c r="A218" s="345"/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</row>
    <row r="219" ht="15.75" customHeight="1">
      <c r="A219" s="345"/>
      <c r="B219" s="345"/>
      <c r="C219" s="345"/>
      <c r="D219" s="345"/>
      <c r="E219" s="345"/>
      <c r="F219" s="345"/>
      <c r="G219" s="345"/>
      <c r="H219" s="345"/>
      <c r="I219" s="345"/>
      <c r="J219" s="345"/>
      <c r="K219" s="345"/>
      <c r="L219" s="345"/>
      <c r="M219" s="345"/>
      <c r="N219" s="345"/>
      <c r="O219" s="345"/>
      <c r="P219" s="345"/>
      <c r="Q219" s="345"/>
      <c r="R219" s="345"/>
      <c r="S219" s="345"/>
      <c r="T219" s="345"/>
      <c r="U219" s="345"/>
      <c r="V219" s="345"/>
      <c r="W219" s="345"/>
      <c r="X219" s="345"/>
      <c r="Y219" s="345"/>
    </row>
    <row r="220" ht="15.75" customHeight="1">
      <c r="A220" s="345"/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</row>
    <row r="221" ht="15.75" customHeight="1">
      <c r="A221" s="345"/>
      <c r="B221" s="345"/>
      <c r="C221" s="345"/>
      <c r="D221" s="345"/>
      <c r="E221" s="345"/>
      <c r="F221" s="345"/>
      <c r="G221" s="345"/>
      <c r="H221" s="345"/>
      <c r="I221" s="345"/>
      <c r="J221" s="345"/>
      <c r="K221" s="345"/>
      <c r="L221" s="345"/>
      <c r="M221" s="345"/>
      <c r="N221" s="345"/>
      <c r="O221" s="345"/>
      <c r="P221" s="345"/>
      <c r="Q221" s="345"/>
      <c r="R221" s="345"/>
      <c r="S221" s="345"/>
      <c r="T221" s="345"/>
      <c r="U221" s="345"/>
      <c r="V221" s="345"/>
      <c r="W221" s="345"/>
      <c r="X221" s="345"/>
      <c r="Y221" s="345"/>
    </row>
    <row r="222" ht="15.75" customHeight="1">
      <c r="A222" s="345"/>
      <c r="B222" s="345"/>
      <c r="C222" s="345"/>
      <c r="D222" s="345"/>
      <c r="E222" s="345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</row>
    <row r="223" ht="15.75" customHeight="1">
      <c r="A223" s="345"/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</row>
    <row r="224" ht="15.75" customHeight="1">
      <c r="A224" s="345"/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</row>
    <row r="225" ht="15.75" customHeight="1">
      <c r="A225" s="345"/>
      <c r="B225" s="345"/>
      <c r="C225" s="345"/>
      <c r="D225" s="345"/>
      <c r="E225" s="345"/>
      <c r="F225" s="345"/>
      <c r="G225" s="345"/>
      <c r="H225" s="345"/>
      <c r="I225" s="345"/>
      <c r="J225" s="345"/>
      <c r="K225" s="345"/>
      <c r="L225" s="345"/>
      <c r="M225" s="345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  <c r="X225" s="345"/>
      <c r="Y225" s="345"/>
    </row>
    <row r="226" ht="15.75" customHeight="1">
      <c r="A226" s="345"/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</row>
    <row r="227" ht="15.75" customHeight="1">
      <c r="A227" s="349"/>
      <c r="B227" s="349"/>
      <c r="C227" s="349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</row>
    <row r="228" ht="15.75" customHeight="1">
      <c r="A228" s="349"/>
      <c r="B228" s="349"/>
      <c r="C228" s="349"/>
      <c r="D228" s="349"/>
      <c r="E228" s="349"/>
      <c r="F228" s="349"/>
      <c r="G228" s="349"/>
      <c r="H228" s="349"/>
      <c r="I228" s="349"/>
      <c r="J228" s="349"/>
      <c r="K228" s="349"/>
      <c r="L228" s="349"/>
      <c r="M228" s="349"/>
      <c r="N228" s="349"/>
      <c r="O228" s="349"/>
      <c r="P228" s="349"/>
      <c r="Q228" s="349"/>
      <c r="R228" s="349"/>
      <c r="S228" s="349"/>
      <c r="T228" s="349"/>
      <c r="U228" s="349"/>
      <c r="V228" s="349"/>
      <c r="W228" s="349"/>
      <c r="X228" s="349"/>
      <c r="Y228" s="349"/>
    </row>
    <row r="229" ht="15.75" customHeight="1">
      <c r="A229" s="349"/>
      <c r="B229" s="349"/>
      <c r="C229" s="349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</row>
    <row r="230" ht="15.75" customHeight="1">
      <c r="A230" s="349"/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</row>
    <row r="231" ht="15.75" customHeight="1">
      <c r="A231" s="349"/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</row>
    <row r="232" ht="15.75" customHeight="1">
      <c r="A232" s="349"/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</row>
    <row r="233" ht="15.75" customHeight="1">
      <c r="A233" s="349"/>
      <c r="B233" s="349"/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</row>
    <row r="234" ht="15.75" customHeight="1">
      <c r="A234" s="349"/>
      <c r="B234" s="349"/>
      <c r="C234" s="349"/>
      <c r="D234" s="349"/>
      <c r="E234" s="349"/>
      <c r="F234" s="349"/>
      <c r="G234" s="349"/>
      <c r="H234" s="349"/>
      <c r="I234" s="349"/>
      <c r="J234" s="349"/>
      <c r="K234" s="349"/>
      <c r="L234" s="349"/>
      <c r="M234" s="349"/>
      <c r="N234" s="349"/>
      <c r="O234" s="349"/>
      <c r="P234" s="349"/>
      <c r="Q234" s="349"/>
      <c r="R234" s="349"/>
      <c r="S234" s="349"/>
      <c r="T234" s="349"/>
      <c r="U234" s="349"/>
      <c r="V234" s="349"/>
      <c r="W234" s="349"/>
      <c r="X234" s="349"/>
      <c r="Y234" s="349"/>
    </row>
    <row r="235" ht="15.75" customHeight="1">
      <c r="A235" s="349"/>
      <c r="B235" s="349"/>
      <c r="C235" s="349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</row>
    <row r="236" ht="15.75" customHeight="1">
      <c r="A236" s="349"/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</row>
    <row r="237" ht="15.75" customHeight="1">
      <c r="A237" s="349"/>
      <c r="B237" s="349"/>
      <c r="C237" s="349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</row>
    <row r="238" ht="15.75" customHeight="1">
      <c r="A238" s="349"/>
      <c r="B238" s="349"/>
      <c r="C238" s="349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/>
      <c r="N238" s="349"/>
      <c r="O238" s="349"/>
      <c r="P238" s="349"/>
      <c r="Q238" s="349"/>
      <c r="R238" s="349"/>
      <c r="S238" s="349"/>
      <c r="T238" s="349"/>
      <c r="U238" s="349"/>
      <c r="V238" s="349"/>
      <c r="W238" s="349"/>
      <c r="X238" s="349"/>
      <c r="Y238" s="349"/>
    </row>
    <row r="239" ht="15.75" customHeight="1">
      <c r="A239" s="349"/>
      <c r="B239" s="349"/>
      <c r="C239" s="349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/>
      <c r="N239" s="349"/>
      <c r="O239" s="349"/>
      <c r="P239" s="349"/>
      <c r="Q239" s="349"/>
      <c r="R239" s="349"/>
      <c r="S239" s="349"/>
      <c r="T239" s="349"/>
      <c r="U239" s="349"/>
      <c r="V239" s="349"/>
      <c r="W239" s="349"/>
      <c r="X239" s="349"/>
      <c r="Y239" s="349"/>
    </row>
    <row r="240" ht="15.75" customHeight="1">
      <c r="A240" s="349"/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</row>
    <row r="241" ht="15.75" customHeight="1">
      <c r="A241" s="349"/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</row>
    <row r="242" ht="15.75" customHeight="1">
      <c r="A242" s="349"/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</row>
    <row r="243" ht="15.75" customHeight="1">
      <c r="A243" s="349"/>
      <c r="B243" s="349"/>
      <c r="C243" s="349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</row>
    <row r="244" ht="15.75" customHeight="1">
      <c r="A244" s="349"/>
      <c r="B244" s="349"/>
      <c r="C244" s="349"/>
      <c r="D244" s="349"/>
      <c r="E244" s="349"/>
      <c r="F244" s="349"/>
      <c r="G244" s="349"/>
      <c r="H244" s="349"/>
      <c r="I244" s="349"/>
      <c r="J244" s="349"/>
      <c r="K244" s="349"/>
      <c r="L244" s="349"/>
      <c r="M244" s="349"/>
      <c r="N244" s="349"/>
      <c r="O244" s="349"/>
      <c r="P244" s="349"/>
      <c r="Q244" s="349"/>
      <c r="R244" s="349"/>
      <c r="S244" s="349"/>
      <c r="T244" s="349"/>
      <c r="U244" s="349"/>
      <c r="V244" s="349"/>
      <c r="W244" s="349"/>
      <c r="X244" s="349"/>
      <c r="Y244" s="349"/>
    </row>
    <row r="245" ht="15.75" customHeight="1">
      <c r="A245" s="349"/>
      <c r="B245" s="349"/>
      <c r="C245" s="349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/>
      <c r="N245" s="349"/>
      <c r="O245" s="349"/>
      <c r="P245" s="349"/>
      <c r="Q245" s="349"/>
      <c r="R245" s="349"/>
      <c r="S245" s="349"/>
      <c r="T245" s="349"/>
      <c r="U245" s="349"/>
      <c r="V245" s="349"/>
      <c r="W245" s="349"/>
      <c r="X245" s="349"/>
      <c r="Y245" s="349"/>
    </row>
    <row r="246" ht="15.75" customHeight="1">
      <c r="A246" s="349"/>
      <c r="B246" s="349"/>
      <c r="C246" s="349"/>
      <c r="D246" s="349"/>
      <c r="E246" s="349"/>
      <c r="F246" s="349"/>
      <c r="G246" s="349"/>
      <c r="H246" s="349"/>
      <c r="I246" s="349"/>
      <c r="J246" s="349"/>
      <c r="K246" s="349"/>
      <c r="L246" s="349"/>
      <c r="M246" s="349"/>
      <c r="N246" s="349"/>
      <c r="O246" s="349"/>
      <c r="P246" s="349"/>
      <c r="Q246" s="349"/>
      <c r="R246" s="349"/>
      <c r="S246" s="349"/>
      <c r="T246" s="349"/>
      <c r="U246" s="349"/>
      <c r="V246" s="349"/>
      <c r="W246" s="349"/>
      <c r="X246" s="349"/>
      <c r="Y246" s="349"/>
    </row>
    <row r="247" ht="15.75" customHeight="1">
      <c r="A247" s="349"/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</row>
    <row r="248" ht="15.75" customHeight="1">
      <c r="A248" s="349"/>
      <c r="B248" s="349"/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</row>
    <row r="249" ht="15.75" customHeight="1">
      <c r="A249" s="349"/>
      <c r="B249" s="349"/>
      <c r="C249" s="349"/>
      <c r="D249" s="349"/>
      <c r="E249" s="349"/>
      <c r="F249" s="349"/>
      <c r="G249" s="349"/>
      <c r="H249" s="349"/>
      <c r="I249" s="349"/>
      <c r="J249" s="349"/>
      <c r="K249" s="349"/>
      <c r="L249" s="349"/>
      <c r="M249" s="349"/>
      <c r="N249" s="349"/>
      <c r="O249" s="349"/>
      <c r="P249" s="349"/>
      <c r="Q249" s="349"/>
      <c r="R249" s="349"/>
      <c r="S249" s="349"/>
      <c r="T249" s="349"/>
      <c r="U249" s="349"/>
      <c r="V249" s="349"/>
      <c r="W249" s="349"/>
      <c r="X249" s="349"/>
      <c r="Y249" s="349"/>
    </row>
    <row r="250" ht="15.75" customHeight="1">
      <c r="A250" s="349"/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</row>
    <row r="251" ht="15.75" customHeight="1">
      <c r="A251" s="349"/>
      <c r="B251" s="349"/>
      <c r="C251" s="349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</row>
    <row r="252" ht="15.75" customHeight="1">
      <c r="A252" s="349"/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</row>
    <row r="253" ht="15.75" customHeight="1">
      <c r="A253" s="349"/>
      <c r="B253" s="349"/>
      <c r="C253" s="349"/>
      <c r="D253" s="349"/>
      <c r="E253" s="349"/>
      <c r="F253" s="349"/>
      <c r="G253" s="349"/>
      <c r="H253" s="349"/>
      <c r="I253" s="349"/>
      <c r="J253" s="349"/>
      <c r="K253" s="349"/>
      <c r="L253" s="349"/>
      <c r="M253" s="349"/>
      <c r="N253" s="349"/>
      <c r="O253" s="349"/>
      <c r="P253" s="349"/>
      <c r="Q253" s="349"/>
      <c r="R253" s="349"/>
      <c r="S253" s="349"/>
      <c r="T253" s="349"/>
      <c r="U253" s="349"/>
      <c r="V253" s="349"/>
      <c r="W253" s="349"/>
      <c r="X253" s="349"/>
      <c r="Y253" s="349"/>
    </row>
    <row r="254" ht="15.75" customHeight="1">
      <c r="A254" s="349"/>
      <c r="B254" s="349"/>
      <c r="C254" s="349"/>
      <c r="D254" s="349"/>
      <c r="E254" s="349"/>
      <c r="F254" s="349"/>
      <c r="G254" s="349"/>
      <c r="H254" s="349"/>
      <c r="I254" s="349"/>
      <c r="J254" s="349"/>
      <c r="K254" s="349"/>
      <c r="L254" s="349"/>
      <c r="M254" s="349"/>
      <c r="N254" s="349"/>
      <c r="O254" s="349"/>
      <c r="P254" s="349"/>
      <c r="Q254" s="349"/>
      <c r="R254" s="349"/>
      <c r="S254" s="349"/>
      <c r="T254" s="349"/>
      <c r="U254" s="349"/>
      <c r="V254" s="349"/>
      <c r="W254" s="349"/>
      <c r="X254" s="349"/>
      <c r="Y254" s="349"/>
    </row>
    <row r="255" ht="15.75" customHeight="1">
      <c r="A255" s="349"/>
      <c r="B255" s="349"/>
      <c r="C255" s="349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/>
      <c r="N255" s="349"/>
      <c r="O255" s="349"/>
      <c r="P255" s="349"/>
      <c r="Q255" s="349"/>
      <c r="R255" s="349"/>
      <c r="S255" s="349"/>
      <c r="T255" s="349"/>
      <c r="U255" s="349"/>
      <c r="V255" s="349"/>
      <c r="W255" s="349"/>
      <c r="X255" s="349"/>
      <c r="Y255" s="349"/>
    </row>
    <row r="256" ht="15.75" customHeight="1">
      <c r="A256" s="349"/>
      <c r="B256" s="349"/>
      <c r="C256" s="349"/>
      <c r="D256" s="349"/>
      <c r="E256" s="349"/>
      <c r="F256" s="349"/>
      <c r="G256" s="349"/>
      <c r="H256" s="349"/>
      <c r="I256" s="349"/>
      <c r="J256" s="349"/>
      <c r="K256" s="349"/>
      <c r="L256" s="349"/>
      <c r="M256" s="349"/>
      <c r="N256" s="349"/>
      <c r="O256" s="349"/>
      <c r="P256" s="349"/>
      <c r="Q256" s="349"/>
      <c r="R256" s="349"/>
      <c r="S256" s="349"/>
      <c r="T256" s="349"/>
      <c r="U256" s="349"/>
      <c r="V256" s="349"/>
      <c r="W256" s="349"/>
      <c r="X256" s="349"/>
      <c r="Y256" s="349"/>
    </row>
    <row r="257" ht="15.75" customHeight="1">
      <c r="A257" s="349"/>
      <c r="B257" s="349"/>
      <c r="C257" s="349"/>
      <c r="D257" s="349"/>
      <c r="E257" s="349"/>
      <c r="F257" s="349"/>
      <c r="G257" s="349"/>
      <c r="H257" s="349"/>
      <c r="I257" s="349"/>
      <c r="J257" s="349"/>
      <c r="K257" s="349"/>
      <c r="L257" s="349"/>
      <c r="M257" s="349"/>
      <c r="N257" s="349"/>
      <c r="O257" s="349"/>
      <c r="P257" s="349"/>
      <c r="Q257" s="349"/>
      <c r="R257" s="349"/>
      <c r="S257" s="349"/>
      <c r="T257" s="349"/>
      <c r="U257" s="349"/>
      <c r="V257" s="349"/>
      <c r="W257" s="349"/>
      <c r="X257" s="349"/>
      <c r="Y257" s="349"/>
    </row>
    <row r="258" ht="15.75" customHeight="1">
      <c r="A258" s="349"/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</row>
    <row r="259" ht="15.75" customHeight="1">
      <c r="A259" s="349"/>
      <c r="B259" s="349"/>
      <c r="C259" s="349"/>
      <c r="D259" s="349"/>
      <c r="E259" s="349"/>
      <c r="F259" s="349"/>
      <c r="G259" s="349"/>
      <c r="H259" s="349"/>
      <c r="I259" s="349"/>
      <c r="J259" s="349"/>
      <c r="K259" s="349"/>
      <c r="L259" s="349"/>
      <c r="M259" s="349"/>
      <c r="N259" s="349"/>
      <c r="O259" s="349"/>
      <c r="P259" s="349"/>
      <c r="Q259" s="349"/>
      <c r="R259" s="349"/>
      <c r="S259" s="349"/>
      <c r="T259" s="349"/>
      <c r="U259" s="349"/>
      <c r="V259" s="349"/>
      <c r="W259" s="349"/>
      <c r="X259" s="349"/>
      <c r="Y259" s="349"/>
    </row>
    <row r="260" ht="15.75" customHeight="1">
      <c r="A260" s="349"/>
      <c r="B260" s="349"/>
      <c r="C260" s="349"/>
      <c r="D260" s="349"/>
      <c r="E260" s="349"/>
      <c r="F260" s="349"/>
      <c r="G260" s="349"/>
      <c r="H260" s="349"/>
      <c r="I260" s="349"/>
      <c r="J260" s="349"/>
      <c r="K260" s="349"/>
      <c r="L260" s="349"/>
      <c r="M260" s="349"/>
      <c r="N260" s="349"/>
      <c r="O260" s="349"/>
      <c r="P260" s="349"/>
      <c r="Q260" s="349"/>
      <c r="R260" s="349"/>
      <c r="S260" s="349"/>
      <c r="T260" s="349"/>
      <c r="U260" s="349"/>
      <c r="V260" s="349"/>
      <c r="W260" s="349"/>
      <c r="X260" s="349"/>
      <c r="Y260" s="349"/>
    </row>
    <row r="261" ht="15.75" customHeight="1">
      <c r="A261" s="349"/>
      <c r="B261" s="349"/>
      <c r="C261" s="349"/>
      <c r="D261" s="349"/>
      <c r="E261" s="349"/>
      <c r="F261" s="349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</row>
    <row r="262" ht="15.75" customHeight="1">
      <c r="A262" s="349"/>
      <c r="B262" s="349"/>
      <c r="C262" s="349"/>
      <c r="D262" s="349"/>
      <c r="E262" s="349"/>
      <c r="F262" s="349"/>
      <c r="G262" s="349"/>
      <c r="H262" s="349"/>
      <c r="I262" s="349"/>
      <c r="J262" s="349"/>
      <c r="K262" s="349"/>
      <c r="L262" s="349"/>
      <c r="M262" s="349"/>
      <c r="N262" s="349"/>
      <c r="O262" s="349"/>
      <c r="P262" s="349"/>
      <c r="Q262" s="349"/>
      <c r="R262" s="349"/>
      <c r="S262" s="349"/>
      <c r="T262" s="349"/>
      <c r="U262" s="349"/>
      <c r="V262" s="349"/>
      <c r="W262" s="349"/>
      <c r="X262" s="349"/>
      <c r="Y262" s="349"/>
    </row>
    <row r="263" ht="15.75" customHeight="1">
      <c r="A263" s="349"/>
      <c r="B263" s="349"/>
      <c r="C263" s="349"/>
      <c r="D263" s="349"/>
      <c r="E263" s="349"/>
      <c r="F263" s="349"/>
      <c r="G263" s="349"/>
      <c r="H263" s="349"/>
      <c r="I263" s="349"/>
      <c r="J263" s="349"/>
      <c r="K263" s="349"/>
      <c r="L263" s="349"/>
      <c r="M263" s="349"/>
      <c r="N263" s="349"/>
      <c r="O263" s="349"/>
      <c r="P263" s="349"/>
      <c r="Q263" s="349"/>
      <c r="R263" s="349"/>
      <c r="S263" s="349"/>
      <c r="T263" s="349"/>
      <c r="U263" s="349"/>
      <c r="V263" s="349"/>
      <c r="W263" s="349"/>
      <c r="X263" s="349"/>
      <c r="Y263" s="349"/>
    </row>
    <row r="264" ht="15.75" customHeight="1">
      <c r="A264" s="349"/>
      <c r="B264" s="349"/>
      <c r="C264" s="349"/>
      <c r="D264" s="349"/>
      <c r="E264" s="349"/>
      <c r="F264" s="349"/>
      <c r="G264" s="349"/>
      <c r="H264" s="349"/>
      <c r="I264" s="349"/>
      <c r="J264" s="349"/>
      <c r="K264" s="349"/>
      <c r="L264" s="349"/>
      <c r="M264" s="349"/>
      <c r="N264" s="349"/>
      <c r="O264" s="349"/>
      <c r="P264" s="349"/>
      <c r="Q264" s="349"/>
      <c r="R264" s="349"/>
      <c r="S264" s="349"/>
      <c r="T264" s="349"/>
      <c r="U264" s="349"/>
      <c r="V264" s="349"/>
      <c r="W264" s="349"/>
      <c r="X264" s="349"/>
      <c r="Y264" s="349"/>
    </row>
    <row r="265" ht="15.75" customHeight="1">
      <c r="A265" s="349"/>
      <c r="B265" s="349"/>
      <c r="C265" s="349"/>
      <c r="D265" s="349"/>
      <c r="E265" s="349"/>
      <c r="F265" s="349"/>
      <c r="G265" s="349"/>
      <c r="H265" s="349"/>
      <c r="I265" s="349"/>
      <c r="J265" s="349"/>
      <c r="K265" s="349"/>
      <c r="L265" s="349"/>
      <c r="M265" s="349"/>
      <c r="N265" s="349"/>
      <c r="O265" s="349"/>
      <c r="P265" s="349"/>
      <c r="Q265" s="349"/>
      <c r="R265" s="349"/>
      <c r="S265" s="349"/>
      <c r="T265" s="349"/>
      <c r="U265" s="349"/>
      <c r="V265" s="349"/>
      <c r="W265" s="349"/>
      <c r="X265" s="349"/>
      <c r="Y265" s="349"/>
    </row>
    <row r="266" ht="15.75" customHeight="1">
      <c r="A266" s="349"/>
      <c r="B266" s="349"/>
      <c r="C266" s="349"/>
      <c r="D266" s="349"/>
      <c r="E266" s="349"/>
      <c r="F266" s="349"/>
      <c r="G266" s="349"/>
      <c r="H266" s="349"/>
      <c r="I266" s="349"/>
      <c r="J266" s="349"/>
      <c r="K266" s="349"/>
      <c r="L266" s="349"/>
      <c r="M266" s="349"/>
      <c r="N266" s="349"/>
      <c r="O266" s="349"/>
      <c r="P266" s="349"/>
      <c r="Q266" s="349"/>
      <c r="R266" s="349"/>
      <c r="S266" s="349"/>
      <c r="T266" s="349"/>
      <c r="U266" s="349"/>
      <c r="V266" s="349"/>
      <c r="W266" s="349"/>
      <c r="X266" s="349"/>
      <c r="Y266" s="349"/>
    </row>
    <row r="267" ht="15.75" customHeight="1">
      <c r="A267" s="349"/>
      <c r="B267" s="349"/>
      <c r="C267" s="349"/>
      <c r="D267" s="349"/>
      <c r="E267" s="349"/>
      <c r="F267" s="349"/>
      <c r="G267" s="349"/>
      <c r="H267" s="349"/>
      <c r="I267" s="349"/>
      <c r="J267" s="349"/>
      <c r="K267" s="349"/>
      <c r="L267" s="349"/>
      <c r="M267" s="349"/>
      <c r="N267" s="349"/>
      <c r="O267" s="349"/>
      <c r="P267" s="349"/>
      <c r="Q267" s="349"/>
      <c r="R267" s="349"/>
      <c r="S267" s="349"/>
      <c r="T267" s="349"/>
      <c r="U267" s="349"/>
      <c r="V267" s="349"/>
      <c r="W267" s="349"/>
      <c r="X267" s="349"/>
      <c r="Y267" s="349"/>
    </row>
    <row r="268" ht="15.75" customHeight="1">
      <c r="A268" s="349"/>
      <c r="B268" s="349"/>
      <c r="C268" s="349"/>
      <c r="D268" s="349"/>
      <c r="E268" s="349"/>
      <c r="F268" s="349"/>
      <c r="G268" s="349"/>
      <c r="H268" s="349"/>
      <c r="I268" s="349"/>
      <c r="J268" s="349"/>
      <c r="K268" s="349"/>
      <c r="L268" s="349"/>
      <c r="M268" s="349"/>
      <c r="N268" s="349"/>
      <c r="O268" s="349"/>
      <c r="P268" s="349"/>
      <c r="Q268" s="349"/>
      <c r="R268" s="349"/>
      <c r="S268" s="349"/>
      <c r="T268" s="349"/>
      <c r="U268" s="349"/>
      <c r="V268" s="349"/>
      <c r="W268" s="349"/>
      <c r="X268" s="349"/>
      <c r="Y268" s="349"/>
    </row>
    <row r="269" ht="15.75" customHeight="1">
      <c r="A269" s="349"/>
      <c r="B269" s="349"/>
      <c r="C269" s="349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349"/>
      <c r="O269" s="349"/>
      <c r="P269" s="349"/>
      <c r="Q269" s="349"/>
      <c r="R269" s="349"/>
      <c r="S269" s="349"/>
      <c r="T269" s="349"/>
      <c r="U269" s="349"/>
      <c r="V269" s="349"/>
      <c r="W269" s="349"/>
      <c r="X269" s="349"/>
      <c r="Y269" s="349"/>
    </row>
    <row r="270" ht="15.75" customHeight="1">
      <c r="A270" s="349"/>
      <c r="B270" s="349"/>
      <c r="C270" s="349"/>
      <c r="D270" s="349"/>
      <c r="E270" s="349"/>
      <c r="F270" s="349"/>
      <c r="G270" s="349"/>
      <c r="H270" s="349"/>
      <c r="I270" s="349"/>
      <c r="J270" s="349"/>
      <c r="K270" s="349"/>
      <c r="L270" s="349"/>
      <c r="M270" s="349"/>
      <c r="N270" s="349"/>
      <c r="O270" s="349"/>
      <c r="P270" s="349"/>
      <c r="Q270" s="349"/>
      <c r="R270" s="349"/>
      <c r="S270" s="349"/>
      <c r="T270" s="349"/>
      <c r="U270" s="349"/>
      <c r="V270" s="349"/>
      <c r="W270" s="349"/>
      <c r="X270" s="349"/>
      <c r="Y270" s="349"/>
    </row>
    <row r="271" ht="15.75" customHeight="1">
      <c r="A271" s="349"/>
      <c r="B271" s="349"/>
      <c r="C271" s="349"/>
      <c r="D271" s="349"/>
      <c r="E271" s="349"/>
      <c r="F271" s="349"/>
      <c r="G271" s="349"/>
      <c r="H271" s="349"/>
      <c r="I271" s="349"/>
      <c r="J271" s="349"/>
      <c r="K271" s="349"/>
      <c r="L271" s="349"/>
      <c r="M271" s="349"/>
      <c r="N271" s="349"/>
      <c r="O271" s="349"/>
      <c r="P271" s="349"/>
      <c r="Q271" s="349"/>
      <c r="R271" s="349"/>
      <c r="S271" s="349"/>
      <c r="T271" s="349"/>
      <c r="U271" s="349"/>
      <c r="V271" s="349"/>
      <c r="W271" s="349"/>
      <c r="X271" s="349"/>
      <c r="Y271" s="349"/>
    </row>
    <row r="272" ht="15.75" customHeight="1">
      <c r="A272" s="349"/>
      <c r="B272" s="349"/>
      <c r="C272" s="349"/>
      <c r="D272" s="349"/>
      <c r="E272" s="349"/>
      <c r="F272" s="349"/>
      <c r="G272" s="349"/>
      <c r="H272" s="349"/>
      <c r="I272" s="349"/>
      <c r="J272" s="349"/>
      <c r="K272" s="349"/>
      <c r="L272" s="349"/>
      <c r="M272" s="349"/>
      <c r="N272" s="349"/>
      <c r="O272" s="349"/>
      <c r="P272" s="349"/>
      <c r="Q272" s="349"/>
      <c r="R272" s="349"/>
      <c r="S272" s="349"/>
      <c r="T272" s="349"/>
      <c r="U272" s="349"/>
      <c r="V272" s="349"/>
      <c r="W272" s="349"/>
      <c r="X272" s="349"/>
      <c r="Y272" s="349"/>
    </row>
    <row r="273" ht="15.75" customHeight="1">
      <c r="A273" s="349"/>
      <c r="B273" s="349"/>
      <c r="C273" s="349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</row>
    <row r="274" ht="15.75" customHeight="1">
      <c r="A274" s="349"/>
      <c r="B274" s="349"/>
      <c r="C274" s="349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/>
      <c r="N274" s="349"/>
      <c r="O274" s="349"/>
      <c r="P274" s="349"/>
      <c r="Q274" s="349"/>
      <c r="R274" s="349"/>
      <c r="S274" s="349"/>
      <c r="T274" s="349"/>
      <c r="U274" s="349"/>
      <c r="V274" s="349"/>
      <c r="W274" s="349"/>
      <c r="X274" s="349"/>
      <c r="Y274" s="349"/>
    </row>
    <row r="275" ht="15.75" customHeight="1">
      <c r="A275" s="349"/>
      <c r="B275" s="349"/>
      <c r="C275" s="349"/>
      <c r="D275" s="349"/>
      <c r="E275" s="349"/>
      <c r="F275" s="349"/>
      <c r="G275" s="349"/>
      <c r="H275" s="349"/>
      <c r="I275" s="349"/>
      <c r="J275" s="349"/>
      <c r="K275" s="349"/>
      <c r="L275" s="349"/>
      <c r="M275" s="349"/>
      <c r="N275" s="349"/>
      <c r="O275" s="349"/>
      <c r="P275" s="349"/>
      <c r="Q275" s="349"/>
      <c r="R275" s="349"/>
      <c r="S275" s="349"/>
      <c r="T275" s="349"/>
      <c r="U275" s="349"/>
      <c r="V275" s="349"/>
      <c r="W275" s="349"/>
      <c r="X275" s="349"/>
      <c r="Y275" s="349"/>
    </row>
    <row r="276" ht="15.75" customHeight="1">
      <c r="A276" s="349"/>
      <c r="B276" s="349"/>
      <c r="C276" s="349"/>
      <c r="D276" s="349"/>
      <c r="E276" s="349"/>
      <c r="F276" s="349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</row>
    <row r="277" ht="15.75" customHeight="1">
      <c r="A277" s="349"/>
      <c r="B277" s="349"/>
      <c r="C277" s="349"/>
      <c r="D277" s="349"/>
      <c r="E277" s="349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</row>
    <row r="278" ht="15.75" customHeight="1">
      <c r="A278" s="349"/>
      <c r="B278" s="349"/>
      <c r="C278" s="349"/>
      <c r="D278" s="349"/>
      <c r="E278" s="349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</row>
    <row r="279" ht="15.75" customHeight="1">
      <c r="A279" s="349"/>
      <c r="B279" s="349"/>
      <c r="C279" s="349"/>
      <c r="D279" s="349"/>
      <c r="E279" s="349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</row>
    <row r="280" ht="15.75" customHeight="1">
      <c r="A280" s="349"/>
      <c r="B280" s="349"/>
      <c r="C280" s="349"/>
      <c r="D280" s="349"/>
      <c r="E280" s="349"/>
      <c r="F280" s="349"/>
      <c r="G280" s="349"/>
      <c r="H280" s="349"/>
      <c r="I280" s="349"/>
      <c r="J280" s="349"/>
      <c r="K280" s="349"/>
      <c r="L280" s="349"/>
      <c r="M280" s="349"/>
      <c r="N280" s="349"/>
      <c r="O280" s="349"/>
      <c r="P280" s="349"/>
      <c r="Q280" s="349"/>
      <c r="R280" s="349"/>
      <c r="S280" s="349"/>
      <c r="T280" s="349"/>
      <c r="U280" s="349"/>
      <c r="V280" s="349"/>
      <c r="W280" s="349"/>
      <c r="X280" s="349"/>
      <c r="Y280" s="349"/>
    </row>
    <row r="281" ht="15.75" customHeight="1">
      <c r="A281" s="349"/>
      <c r="B281" s="349"/>
      <c r="C281" s="349"/>
      <c r="D281" s="349"/>
      <c r="E281" s="349"/>
      <c r="F281" s="349"/>
      <c r="G281" s="349"/>
      <c r="H281" s="349"/>
      <c r="I281" s="349"/>
      <c r="J281" s="349"/>
      <c r="K281" s="349"/>
      <c r="L281" s="349"/>
      <c r="M281" s="349"/>
      <c r="N281" s="349"/>
      <c r="O281" s="349"/>
      <c r="P281" s="349"/>
      <c r="Q281" s="349"/>
      <c r="R281" s="349"/>
      <c r="S281" s="349"/>
      <c r="T281" s="349"/>
      <c r="U281" s="349"/>
      <c r="V281" s="349"/>
      <c r="W281" s="349"/>
      <c r="X281" s="349"/>
      <c r="Y281" s="349"/>
    </row>
    <row r="282" ht="15.75" customHeight="1">
      <c r="A282" s="349"/>
      <c r="B282" s="349"/>
      <c r="C282" s="349"/>
      <c r="D282" s="349"/>
      <c r="E282" s="349"/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</row>
    <row r="283" ht="15.75" customHeight="1">
      <c r="A283" s="349"/>
      <c r="B283" s="349"/>
      <c r="C283" s="349"/>
      <c r="D283" s="349"/>
      <c r="E283" s="349"/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</row>
    <row r="284" ht="15.75" customHeight="1">
      <c r="A284" s="349"/>
      <c r="B284" s="349"/>
      <c r="C284" s="349"/>
      <c r="D284" s="349"/>
      <c r="E284" s="349"/>
      <c r="F284" s="349"/>
      <c r="G284" s="349"/>
      <c r="H284" s="349"/>
      <c r="I284" s="349"/>
      <c r="J284" s="349"/>
      <c r="K284" s="349"/>
      <c r="L284" s="349"/>
      <c r="M284" s="349"/>
      <c r="N284" s="349"/>
      <c r="O284" s="349"/>
      <c r="P284" s="349"/>
      <c r="Q284" s="349"/>
      <c r="R284" s="349"/>
      <c r="S284" s="349"/>
      <c r="T284" s="349"/>
      <c r="U284" s="349"/>
      <c r="V284" s="349"/>
      <c r="W284" s="349"/>
      <c r="X284" s="349"/>
      <c r="Y284" s="349"/>
    </row>
    <row r="285" ht="15.75" customHeight="1">
      <c r="A285" s="349"/>
      <c r="B285" s="349"/>
      <c r="C285" s="349"/>
      <c r="D285" s="349"/>
      <c r="E285" s="349"/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</row>
    <row r="286" ht="15.75" customHeight="1">
      <c r="A286" s="349"/>
      <c r="B286" s="349"/>
      <c r="C286" s="349"/>
      <c r="D286" s="349"/>
      <c r="E286" s="349"/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</row>
    <row r="287" ht="15.75" customHeight="1">
      <c r="A287" s="349"/>
      <c r="B287" s="349"/>
      <c r="C287" s="349"/>
      <c r="D287" s="349"/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49"/>
      <c r="V287" s="349"/>
      <c r="W287" s="349"/>
      <c r="X287" s="349"/>
      <c r="Y287" s="349"/>
    </row>
    <row r="288" ht="15.75" customHeight="1">
      <c r="A288" s="349"/>
      <c r="B288" s="349"/>
      <c r="C288" s="349"/>
      <c r="D288" s="349"/>
      <c r="E288" s="349"/>
      <c r="F288" s="349"/>
      <c r="G288" s="349"/>
      <c r="H288" s="349"/>
      <c r="I288" s="349"/>
      <c r="J288" s="349"/>
      <c r="K288" s="349"/>
      <c r="L288" s="349"/>
      <c r="M288" s="349"/>
      <c r="N288" s="349"/>
      <c r="O288" s="349"/>
      <c r="P288" s="349"/>
      <c r="Q288" s="349"/>
      <c r="R288" s="349"/>
      <c r="S288" s="349"/>
      <c r="T288" s="349"/>
      <c r="U288" s="349"/>
      <c r="V288" s="349"/>
      <c r="W288" s="349"/>
      <c r="X288" s="349"/>
      <c r="Y288" s="349"/>
    </row>
    <row r="289" ht="15.75" customHeight="1">
      <c r="A289" s="349"/>
      <c r="B289" s="349"/>
      <c r="C289" s="349"/>
      <c r="D289" s="349"/>
      <c r="E289" s="349"/>
      <c r="F289" s="349"/>
      <c r="G289" s="349"/>
      <c r="H289" s="349"/>
      <c r="I289" s="349"/>
      <c r="J289" s="349"/>
      <c r="K289" s="349"/>
      <c r="L289" s="349"/>
      <c r="M289" s="349"/>
      <c r="N289" s="349"/>
      <c r="O289" s="349"/>
      <c r="P289" s="349"/>
      <c r="Q289" s="349"/>
      <c r="R289" s="349"/>
      <c r="S289" s="349"/>
      <c r="T289" s="349"/>
      <c r="U289" s="349"/>
      <c r="V289" s="349"/>
      <c r="W289" s="349"/>
      <c r="X289" s="349"/>
      <c r="Y289" s="349"/>
    </row>
    <row r="290" ht="15.75" customHeight="1">
      <c r="A290" s="349"/>
      <c r="B290" s="349"/>
      <c r="C290" s="349"/>
      <c r="D290" s="349"/>
      <c r="E290" s="349"/>
      <c r="F290" s="349"/>
      <c r="G290" s="349"/>
      <c r="H290" s="349"/>
      <c r="I290" s="349"/>
      <c r="J290" s="349"/>
      <c r="K290" s="349"/>
      <c r="L290" s="349"/>
      <c r="M290" s="349"/>
      <c r="N290" s="349"/>
      <c r="O290" s="349"/>
      <c r="P290" s="349"/>
      <c r="Q290" s="349"/>
      <c r="R290" s="349"/>
      <c r="S290" s="349"/>
      <c r="T290" s="349"/>
      <c r="U290" s="349"/>
      <c r="V290" s="349"/>
      <c r="W290" s="349"/>
      <c r="X290" s="349"/>
      <c r="Y290" s="349"/>
    </row>
    <row r="291" ht="15.75" customHeight="1">
      <c r="A291" s="349"/>
      <c r="B291" s="349"/>
      <c r="C291" s="349"/>
      <c r="D291" s="349"/>
      <c r="E291" s="349"/>
      <c r="F291" s="349"/>
      <c r="G291" s="349"/>
      <c r="H291" s="349"/>
      <c r="I291" s="349"/>
      <c r="J291" s="349"/>
      <c r="K291" s="349"/>
      <c r="L291" s="349"/>
      <c r="M291" s="349"/>
      <c r="N291" s="349"/>
      <c r="O291" s="349"/>
      <c r="P291" s="349"/>
      <c r="Q291" s="349"/>
      <c r="R291" s="349"/>
      <c r="S291" s="349"/>
      <c r="T291" s="349"/>
      <c r="U291" s="349"/>
      <c r="V291" s="349"/>
      <c r="W291" s="349"/>
      <c r="X291" s="349"/>
      <c r="Y291" s="349"/>
    </row>
    <row r="292" ht="15.75" customHeight="1">
      <c r="A292" s="349"/>
      <c r="B292" s="349"/>
      <c r="C292" s="349"/>
      <c r="D292" s="349"/>
      <c r="E292" s="349"/>
      <c r="F292" s="349"/>
      <c r="G292" s="349"/>
      <c r="H292" s="349"/>
      <c r="I292" s="349"/>
      <c r="J292" s="349"/>
      <c r="K292" s="349"/>
      <c r="L292" s="349"/>
      <c r="M292" s="349"/>
      <c r="N292" s="349"/>
      <c r="O292" s="349"/>
      <c r="P292" s="349"/>
      <c r="Q292" s="349"/>
      <c r="R292" s="349"/>
      <c r="S292" s="349"/>
      <c r="T292" s="349"/>
      <c r="U292" s="349"/>
      <c r="V292" s="349"/>
      <c r="W292" s="349"/>
      <c r="X292" s="349"/>
      <c r="Y292" s="349"/>
    </row>
    <row r="293" ht="15.75" customHeight="1">
      <c r="A293" s="349"/>
      <c r="B293" s="349"/>
      <c r="C293" s="349"/>
      <c r="D293" s="349"/>
      <c r="E293" s="349"/>
      <c r="F293" s="349"/>
      <c r="G293" s="349"/>
      <c r="H293" s="349"/>
      <c r="I293" s="349"/>
      <c r="J293" s="349"/>
      <c r="K293" s="349"/>
      <c r="L293" s="349"/>
      <c r="M293" s="349"/>
      <c r="N293" s="349"/>
      <c r="O293" s="349"/>
      <c r="P293" s="349"/>
      <c r="Q293" s="349"/>
      <c r="R293" s="349"/>
      <c r="S293" s="349"/>
      <c r="T293" s="349"/>
      <c r="U293" s="349"/>
      <c r="V293" s="349"/>
      <c r="W293" s="349"/>
      <c r="X293" s="349"/>
      <c r="Y293" s="349"/>
    </row>
    <row r="294" ht="15.75" customHeight="1">
      <c r="A294" s="349"/>
      <c r="B294" s="349"/>
      <c r="C294" s="349"/>
      <c r="D294" s="349"/>
      <c r="E294" s="349"/>
      <c r="F294" s="349"/>
      <c r="G294" s="349"/>
      <c r="H294" s="349"/>
      <c r="I294" s="349"/>
      <c r="J294" s="349"/>
      <c r="K294" s="349"/>
      <c r="L294" s="349"/>
      <c r="M294" s="349"/>
      <c r="N294" s="349"/>
      <c r="O294" s="349"/>
      <c r="P294" s="349"/>
      <c r="Q294" s="349"/>
      <c r="R294" s="349"/>
      <c r="S294" s="349"/>
      <c r="T294" s="349"/>
      <c r="U294" s="349"/>
      <c r="V294" s="349"/>
      <c r="W294" s="349"/>
      <c r="X294" s="349"/>
      <c r="Y294" s="349"/>
    </row>
    <row r="295" ht="15.75" customHeight="1">
      <c r="A295" s="349"/>
      <c r="B295" s="349"/>
      <c r="C295" s="349"/>
      <c r="D295" s="349"/>
      <c r="E295" s="349"/>
      <c r="F295" s="349"/>
      <c r="G295" s="349"/>
      <c r="H295" s="349"/>
      <c r="I295" s="349"/>
      <c r="J295" s="349"/>
      <c r="K295" s="349"/>
      <c r="L295" s="349"/>
      <c r="M295" s="349"/>
      <c r="N295" s="349"/>
      <c r="O295" s="349"/>
      <c r="P295" s="349"/>
      <c r="Q295" s="349"/>
      <c r="R295" s="349"/>
      <c r="S295" s="349"/>
      <c r="T295" s="349"/>
      <c r="U295" s="349"/>
      <c r="V295" s="349"/>
      <c r="W295" s="349"/>
      <c r="X295" s="349"/>
      <c r="Y295" s="349"/>
    </row>
    <row r="296" ht="15.75" customHeight="1">
      <c r="A296" s="349"/>
      <c r="B296" s="349"/>
      <c r="C296" s="349"/>
      <c r="D296" s="349"/>
      <c r="E296" s="349"/>
      <c r="F296" s="349"/>
      <c r="G296" s="349"/>
      <c r="H296" s="349"/>
      <c r="I296" s="349"/>
      <c r="J296" s="349"/>
      <c r="K296" s="349"/>
      <c r="L296" s="349"/>
      <c r="M296" s="349"/>
      <c r="N296" s="349"/>
      <c r="O296" s="349"/>
      <c r="P296" s="349"/>
      <c r="Q296" s="349"/>
      <c r="R296" s="349"/>
      <c r="S296" s="349"/>
      <c r="T296" s="349"/>
      <c r="U296" s="349"/>
      <c r="V296" s="349"/>
      <c r="W296" s="349"/>
      <c r="X296" s="349"/>
      <c r="Y296" s="349"/>
    </row>
    <row r="297" ht="15.75" customHeight="1">
      <c r="A297" s="349"/>
      <c r="B297" s="349"/>
      <c r="C297" s="349"/>
      <c r="D297" s="349"/>
      <c r="E297" s="349"/>
      <c r="F297" s="349"/>
      <c r="G297" s="349"/>
      <c r="H297" s="349"/>
      <c r="I297" s="349"/>
      <c r="J297" s="349"/>
      <c r="K297" s="349"/>
      <c r="L297" s="349"/>
      <c r="M297" s="349"/>
      <c r="N297" s="349"/>
      <c r="O297" s="349"/>
      <c r="P297" s="349"/>
      <c r="Q297" s="349"/>
      <c r="R297" s="349"/>
      <c r="S297" s="349"/>
      <c r="T297" s="349"/>
      <c r="U297" s="349"/>
      <c r="V297" s="349"/>
      <c r="W297" s="349"/>
      <c r="X297" s="349"/>
      <c r="Y297" s="349"/>
    </row>
    <row r="298" ht="15.75" customHeight="1">
      <c r="A298" s="349"/>
      <c r="B298" s="349"/>
      <c r="C298" s="349"/>
      <c r="D298" s="349"/>
      <c r="E298" s="349"/>
      <c r="F298" s="349"/>
      <c r="G298" s="349"/>
      <c r="H298" s="349"/>
      <c r="I298" s="349"/>
      <c r="J298" s="349"/>
      <c r="K298" s="349"/>
      <c r="L298" s="349"/>
      <c r="M298" s="349"/>
      <c r="N298" s="349"/>
      <c r="O298" s="349"/>
      <c r="P298" s="349"/>
      <c r="Q298" s="349"/>
      <c r="R298" s="349"/>
      <c r="S298" s="349"/>
      <c r="T298" s="349"/>
      <c r="U298" s="349"/>
      <c r="V298" s="349"/>
      <c r="W298" s="349"/>
      <c r="X298" s="349"/>
      <c r="Y298" s="349"/>
    </row>
    <row r="299" ht="15.75" customHeight="1">
      <c r="A299" s="349"/>
      <c r="B299" s="349"/>
      <c r="C299" s="349"/>
      <c r="D299" s="349"/>
      <c r="E299" s="349"/>
      <c r="F299" s="349"/>
      <c r="G299" s="349"/>
      <c r="H299" s="349"/>
      <c r="I299" s="349"/>
      <c r="J299" s="349"/>
      <c r="K299" s="349"/>
      <c r="L299" s="349"/>
      <c r="M299" s="349"/>
      <c r="N299" s="349"/>
      <c r="O299" s="349"/>
      <c r="P299" s="349"/>
      <c r="Q299" s="349"/>
      <c r="R299" s="349"/>
      <c r="S299" s="349"/>
      <c r="T299" s="349"/>
      <c r="U299" s="349"/>
      <c r="V299" s="349"/>
      <c r="W299" s="349"/>
      <c r="X299" s="349"/>
      <c r="Y299" s="349"/>
    </row>
    <row r="300" ht="15.75" customHeight="1">
      <c r="A300" s="349"/>
      <c r="B300" s="349"/>
      <c r="C300" s="349"/>
      <c r="D300" s="349"/>
      <c r="E300" s="349"/>
      <c r="F300" s="349"/>
      <c r="G300" s="349"/>
      <c r="H300" s="349"/>
      <c r="I300" s="349"/>
      <c r="J300" s="349"/>
      <c r="K300" s="349"/>
      <c r="L300" s="349"/>
      <c r="M300" s="349"/>
      <c r="N300" s="349"/>
      <c r="O300" s="349"/>
      <c r="P300" s="349"/>
      <c r="Q300" s="349"/>
      <c r="R300" s="349"/>
      <c r="S300" s="349"/>
      <c r="T300" s="349"/>
      <c r="U300" s="349"/>
      <c r="V300" s="349"/>
      <c r="W300" s="349"/>
      <c r="X300" s="349"/>
      <c r="Y300" s="349"/>
    </row>
    <row r="301" ht="15.75" customHeight="1">
      <c r="A301" s="349"/>
      <c r="B301" s="349"/>
      <c r="C301" s="349"/>
      <c r="D301" s="349"/>
      <c r="E301" s="349"/>
      <c r="F301" s="349"/>
      <c r="G301" s="349"/>
      <c r="H301" s="349"/>
      <c r="I301" s="349"/>
      <c r="J301" s="349"/>
      <c r="K301" s="349"/>
      <c r="L301" s="349"/>
      <c r="M301" s="349"/>
      <c r="N301" s="349"/>
      <c r="O301" s="349"/>
      <c r="P301" s="349"/>
      <c r="Q301" s="349"/>
      <c r="R301" s="349"/>
      <c r="S301" s="349"/>
      <c r="T301" s="349"/>
      <c r="U301" s="349"/>
      <c r="V301" s="349"/>
      <c r="W301" s="349"/>
      <c r="X301" s="349"/>
      <c r="Y301" s="349"/>
    </row>
    <row r="302" ht="15.75" customHeight="1">
      <c r="A302" s="349"/>
      <c r="B302" s="349"/>
      <c r="C302" s="349"/>
      <c r="D302" s="349"/>
      <c r="E302" s="349"/>
      <c r="F302" s="349"/>
      <c r="G302" s="349"/>
      <c r="H302" s="349"/>
      <c r="I302" s="349"/>
      <c r="J302" s="349"/>
      <c r="K302" s="349"/>
      <c r="L302" s="349"/>
      <c r="M302" s="349"/>
      <c r="N302" s="349"/>
      <c r="O302" s="349"/>
      <c r="P302" s="349"/>
      <c r="Q302" s="349"/>
      <c r="R302" s="349"/>
      <c r="S302" s="349"/>
      <c r="T302" s="349"/>
      <c r="U302" s="349"/>
      <c r="V302" s="349"/>
      <c r="W302" s="349"/>
      <c r="X302" s="349"/>
      <c r="Y302" s="349"/>
    </row>
    <row r="303" ht="15.75" customHeight="1">
      <c r="A303" s="349"/>
      <c r="B303" s="349"/>
      <c r="C303" s="349"/>
      <c r="D303" s="349"/>
      <c r="E303" s="349"/>
      <c r="F303" s="349"/>
      <c r="G303" s="349"/>
      <c r="H303" s="349"/>
      <c r="I303" s="349"/>
      <c r="J303" s="349"/>
      <c r="K303" s="349"/>
      <c r="L303" s="349"/>
      <c r="M303" s="349"/>
      <c r="N303" s="349"/>
      <c r="O303" s="349"/>
      <c r="P303" s="349"/>
      <c r="Q303" s="349"/>
      <c r="R303" s="349"/>
      <c r="S303" s="349"/>
      <c r="T303" s="349"/>
      <c r="U303" s="349"/>
      <c r="V303" s="349"/>
      <c r="W303" s="349"/>
      <c r="X303" s="349"/>
      <c r="Y303" s="349"/>
    </row>
    <row r="304" ht="15.75" customHeight="1">
      <c r="A304" s="349"/>
      <c r="B304" s="349"/>
      <c r="C304" s="349"/>
      <c r="D304" s="349"/>
      <c r="E304" s="349"/>
      <c r="F304" s="349"/>
      <c r="G304" s="349"/>
      <c r="H304" s="349"/>
      <c r="I304" s="349"/>
      <c r="J304" s="349"/>
      <c r="K304" s="349"/>
      <c r="L304" s="349"/>
      <c r="M304" s="349"/>
      <c r="N304" s="349"/>
      <c r="O304" s="349"/>
      <c r="P304" s="349"/>
      <c r="Q304" s="349"/>
      <c r="R304" s="349"/>
      <c r="S304" s="349"/>
      <c r="T304" s="349"/>
      <c r="U304" s="349"/>
      <c r="V304" s="349"/>
      <c r="W304" s="349"/>
      <c r="X304" s="349"/>
      <c r="Y304" s="349"/>
    </row>
    <row r="305" ht="15.75" customHeight="1">
      <c r="A305" s="349"/>
      <c r="B305" s="349"/>
      <c r="C305" s="349"/>
      <c r="D305" s="349"/>
      <c r="E305" s="349"/>
      <c r="F305" s="349"/>
      <c r="G305" s="349"/>
      <c r="H305" s="349"/>
      <c r="I305" s="349"/>
      <c r="J305" s="349"/>
      <c r="K305" s="349"/>
      <c r="L305" s="349"/>
      <c r="M305" s="349"/>
      <c r="N305" s="349"/>
      <c r="O305" s="349"/>
      <c r="P305" s="349"/>
      <c r="Q305" s="349"/>
      <c r="R305" s="349"/>
      <c r="S305" s="349"/>
      <c r="T305" s="349"/>
      <c r="U305" s="349"/>
      <c r="V305" s="349"/>
      <c r="W305" s="349"/>
      <c r="X305" s="349"/>
      <c r="Y305" s="349"/>
    </row>
    <row r="306" ht="15.75" customHeight="1">
      <c r="A306" s="349"/>
      <c r="B306" s="349"/>
      <c r="C306" s="349"/>
      <c r="D306" s="349"/>
      <c r="E306" s="349"/>
      <c r="F306" s="349"/>
      <c r="G306" s="349"/>
      <c r="H306" s="349"/>
      <c r="I306" s="349"/>
      <c r="J306" s="349"/>
      <c r="K306" s="349"/>
      <c r="L306" s="349"/>
      <c r="M306" s="349"/>
      <c r="N306" s="349"/>
      <c r="O306" s="349"/>
      <c r="P306" s="349"/>
      <c r="Q306" s="349"/>
      <c r="R306" s="349"/>
      <c r="S306" s="349"/>
      <c r="T306" s="349"/>
      <c r="U306" s="349"/>
      <c r="V306" s="349"/>
      <c r="W306" s="349"/>
      <c r="X306" s="349"/>
      <c r="Y306" s="349"/>
    </row>
    <row r="307" ht="15.75" customHeight="1">
      <c r="A307" s="349"/>
      <c r="B307" s="349"/>
      <c r="C307" s="349"/>
      <c r="D307" s="349"/>
      <c r="E307" s="349"/>
      <c r="F307" s="349"/>
      <c r="G307" s="349"/>
      <c r="H307" s="349"/>
      <c r="I307" s="349"/>
      <c r="J307" s="349"/>
      <c r="K307" s="349"/>
      <c r="L307" s="349"/>
      <c r="M307" s="349"/>
      <c r="N307" s="349"/>
      <c r="O307" s="349"/>
      <c r="P307" s="349"/>
      <c r="Q307" s="349"/>
      <c r="R307" s="349"/>
      <c r="S307" s="349"/>
      <c r="T307" s="349"/>
      <c r="U307" s="349"/>
      <c r="V307" s="349"/>
      <c r="W307" s="349"/>
      <c r="X307" s="349"/>
      <c r="Y307" s="349"/>
    </row>
    <row r="308" ht="15.75" customHeight="1">
      <c r="A308" s="349"/>
      <c r="B308" s="349"/>
      <c r="C308" s="349"/>
      <c r="D308" s="349"/>
      <c r="E308" s="349"/>
      <c r="F308" s="349"/>
      <c r="G308" s="349"/>
      <c r="H308" s="349"/>
      <c r="I308" s="349"/>
      <c r="J308" s="349"/>
      <c r="K308" s="349"/>
      <c r="L308" s="349"/>
      <c r="M308" s="349"/>
      <c r="N308" s="349"/>
      <c r="O308" s="349"/>
      <c r="P308" s="349"/>
      <c r="Q308" s="349"/>
      <c r="R308" s="349"/>
      <c r="S308" s="349"/>
      <c r="T308" s="349"/>
      <c r="U308" s="349"/>
      <c r="V308" s="349"/>
      <c r="W308" s="349"/>
      <c r="X308" s="349"/>
      <c r="Y308" s="349"/>
    </row>
    <row r="309" ht="15.75" customHeight="1">
      <c r="A309" s="349"/>
      <c r="B309" s="349"/>
      <c r="C309" s="349"/>
      <c r="D309" s="349"/>
      <c r="E309" s="349"/>
      <c r="F309" s="349"/>
      <c r="G309" s="349"/>
      <c r="H309" s="349"/>
      <c r="I309" s="349"/>
      <c r="J309" s="349"/>
      <c r="K309" s="349"/>
      <c r="L309" s="349"/>
      <c r="M309" s="349"/>
      <c r="N309" s="349"/>
      <c r="O309" s="349"/>
      <c r="P309" s="349"/>
      <c r="Q309" s="349"/>
      <c r="R309" s="349"/>
      <c r="S309" s="349"/>
      <c r="T309" s="349"/>
      <c r="U309" s="349"/>
      <c r="V309" s="349"/>
      <c r="W309" s="349"/>
      <c r="X309" s="349"/>
      <c r="Y309" s="349"/>
    </row>
    <row r="310" ht="15.75" customHeight="1">
      <c r="A310" s="349"/>
      <c r="B310" s="349"/>
      <c r="C310" s="349"/>
      <c r="D310" s="349"/>
      <c r="E310" s="349"/>
      <c r="F310" s="349"/>
      <c r="G310" s="349"/>
      <c r="H310" s="349"/>
      <c r="I310" s="349"/>
      <c r="J310" s="349"/>
      <c r="K310" s="349"/>
      <c r="L310" s="349"/>
      <c r="M310" s="349"/>
      <c r="N310" s="349"/>
      <c r="O310" s="349"/>
      <c r="P310" s="349"/>
      <c r="Q310" s="349"/>
      <c r="R310" s="349"/>
      <c r="S310" s="349"/>
      <c r="T310" s="349"/>
      <c r="U310" s="349"/>
      <c r="V310" s="349"/>
      <c r="W310" s="349"/>
      <c r="X310" s="349"/>
      <c r="Y310" s="349"/>
    </row>
    <row r="311" ht="15.75" customHeight="1">
      <c r="A311" s="349"/>
      <c r="B311" s="349"/>
      <c r="C311" s="349"/>
      <c r="D311" s="349"/>
      <c r="E311" s="349"/>
      <c r="F311" s="349"/>
      <c r="G311" s="349"/>
      <c r="H311" s="349"/>
      <c r="I311" s="349"/>
      <c r="J311" s="349"/>
      <c r="K311" s="349"/>
      <c r="L311" s="349"/>
      <c r="M311" s="349"/>
      <c r="N311" s="349"/>
      <c r="O311" s="349"/>
      <c r="P311" s="349"/>
      <c r="Q311" s="349"/>
      <c r="R311" s="349"/>
      <c r="S311" s="349"/>
      <c r="T311" s="349"/>
      <c r="U311" s="349"/>
      <c r="V311" s="349"/>
      <c r="W311" s="349"/>
      <c r="X311" s="349"/>
      <c r="Y311" s="349"/>
    </row>
    <row r="312" ht="15.75" customHeight="1">
      <c r="A312" s="349"/>
      <c r="B312" s="349"/>
      <c r="C312" s="349"/>
      <c r="D312" s="349"/>
      <c r="E312" s="349"/>
      <c r="F312" s="349"/>
      <c r="G312" s="349"/>
      <c r="H312" s="349"/>
      <c r="I312" s="349"/>
      <c r="J312" s="349"/>
      <c r="K312" s="349"/>
      <c r="L312" s="349"/>
      <c r="M312" s="349"/>
      <c r="N312" s="349"/>
      <c r="O312" s="349"/>
      <c r="P312" s="349"/>
      <c r="Q312" s="349"/>
      <c r="R312" s="349"/>
      <c r="S312" s="349"/>
      <c r="T312" s="349"/>
      <c r="U312" s="349"/>
      <c r="V312" s="349"/>
      <c r="W312" s="349"/>
      <c r="X312" s="349"/>
      <c r="Y312" s="349"/>
    </row>
    <row r="313" ht="15.75" customHeight="1">
      <c r="A313" s="349"/>
      <c r="B313" s="349"/>
      <c r="C313" s="349"/>
      <c r="D313" s="349"/>
      <c r="E313" s="349"/>
      <c r="F313" s="349"/>
      <c r="G313" s="349"/>
      <c r="H313" s="349"/>
      <c r="I313" s="349"/>
      <c r="J313" s="349"/>
      <c r="K313" s="349"/>
      <c r="L313" s="349"/>
      <c r="M313" s="349"/>
      <c r="N313" s="349"/>
      <c r="O313" s="349"/>
      <c r="P313" s="349"/>
      <c r="Q313" s="349"/>
      <c r="R313" s="349"/>
      <c r="S313" s="349"/>
      <c r="T313" s="349"/>
      <c r="U313" s="349"/>
      <c r="V313" s="349"/>
      <c r="W313" s="349"/>
      <c r="X313" s="349"/>
      <c r="Y313" s="349"/>
    </row>
    <row r="314" ht="15.75" customHeight="1">
      <c r="A314" s="349"/>
      <c r="B314" s="349"/>
      <c r="C314" s="349"/>
      <c r="D314" s="349"/>
      <c r="E314" s="349"/>
      <c r="F314" s="349"/>
      <c r="G314" s="349"/>
      <c r="H314" s="349"/>
      <c r="I314" s="349"/>
      <c r="J314" s="349"/>
      <c r="K314" s="349"/>
      <c r="L314" s="349"/>
      <c r="M314" s="349"/>
      <c r="N314" s="349"/>
      <c r="O314" s="349"/>
      <c r="P314" s="349"/>
      <c r="Q314" s="349"/>
      <c r="R314" s="349"/>
      <c r="S314" s="349"/>
      <c r="T314" s="349"/>
      <c r="U314" s="349"/>
      <c r="V314" s="349"/>
      <c r="W314" s="349"/>
      <c r="X314" s="349"/>
      <c r="Y314" s="349"/>
    </row>
    <row r="315" ht="15.75" customHeight="1">
      <c r="A315" s="349"/>
      <c r="B315" s="349"/>
      <c r="C315" s="349"/>
      <c r="D315" s="349"/>
      <c r="E315" s="349"/>
      <c r="F315" s="349"/>
      <c r="G315" s="349"/>
      <c r="H315" s="349"/>
      <c r="I315" s="349"/>
      <c r="J315" s="349"/>
      <c r="K315" s="349"/>
      <c r="L315" s="349"/>
      <c r="M315" s="349"/>
      <c r="N315" s="349"/>
      <c r="O315" s="349"/>
      <c r="P315" s="349"/>
      <c r="Q315" s="349"/>
      <c r="R315" s="349"/>
      <c r="S315" s="349"/>
      <c r="T315" s="349"/>
      <c r="U315" s="349"/>
      <c r="V315" s="349"/>
      <c r="W315" s="349"/>
      <c r="X315" s="349"/>
      <c r="Y315" s="349"/>
    </row>
    <row r="316" ht="15.75" customHeight="1">
      <c r="A316" s="349"/>
      <c r="B316" s="349"/>
      <c r="C316" s="349"/>
      <c r="D316" s="349"/>
      <c r="E316" s="349"/>
      <c r="F316" s="349"/>
      <c r="G316" s="349"/>
      <c r="H316" s="349"/>
      <c r="I316" s="349"/>
      <c r="J316" s="349"/>
      <c r="K316" s="349"/>
      <c r="L316" s="349"/>
      <c r="M316" s="349"/>
      <c r="N316" s="349"/>
      <c r="O316" s="349"/>
      <c r="P316" s="349"/>
      <c r="Q316" s="349"/>
      <c r="R316" s="349"/>
      <c r="S316" s="349"/>
      <c r="T316" s="349"/>
      <c r="U316" s="349"/>
      <c r="V316" s="349"/>
      <c r="W316" s="349"/>
      <c r="X316" s="349"/>
      <c r="Y316" s="349"/>
    </row>
    <row r="317" ht="15.75" customHeight="1">
      <c r="A317" s="349"/>
      <c r="B317" s="349"/>
      <c r="C317" s="349"/>
      <c r="D317" s="349"/>
      <c r="E317" s="349"/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</row>
    <row r="318" ht="15.75" customHeight="1">
      <c r="A318" s="349"/>
      <c r="B318" s="349"/>
      <c r="C318" s="349"/>
      <c r="D318" s="349"/>
      <c r="E318" s="349"/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</row>
    <row r="319" ht="15.75" customHeight="1">
      <c r="A319" s="349"/>
      <c r="B319" s="349"/>
      <c r="C319" s="349"/>
      <c r="D319" s="349"/>
      <c r="E319" s="349"/>
      <c r="F319" s="349"/>
      <c r="G319" s="349"/>
      <c r="H319" s="349"/>
      <c r="I319" s="349"/>
      <c r="J319" s="349"/>
      <c r="K319" s="349"/>
      <c r="L319" s="349"/>
      <c r="M319" s="349"/>
      <c r="N319" s="349"/>
      <c r="O319" s="349"/>
      <c r="P319" s="349"/>
      <c r="Q319" s="349"/>
      <c r="R319" s="349"/>
      <c r="S319" s="349"/>
      <c r="T319" s="349"/>
      <c r="U319" s="349"/>
      <c r="V319" s="349"/>
      <c r="W319" s="349"/>
      <c r="X319" s="349"/>
      <c r="Y319" s="349"/>
    </row>
    <row r="320" ht="15.75" customHeight="1">
      <c r="A320" s="349"/>
      <c r="B320" s="349"/>
      <c r="C320" s="349"/>
      <c r="D320" s="349"/>
      <c r="E320" s="349"/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</row>
    <row r="321" ht="15.75" customHeight="1">
      <c r="A321" s="349"/>
      <c r="B321" s="349"/>
      <c r="C321" s="349"/>
      <c r="D321" s="349"/>
      <c r="E321" s="349"/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</row>
    <row r="322" ht="15.75" customHeight="1">
      <c r="A322" s="349"/>
      <c r="B322" s="349"/>
      <c r="C322" s="349"/>
      <c r="D322" s="349"/>
      <c r="E322" s="349"/>
      <c r="F322" s="349"/>
      <c r="G322" s="349"/>
      <c r="H322" s="349"/>
      <c r="I322" s="349"/>
      <c r="J322" s="349"/>
      <c r="K322" s="349"/>
      <c r="L322" s="349"/>
      <c r="M322" s="349"/>
      <c r="N322" s="349"/>
      <c r="O322" s="349"/>
      <c r="P322" s="349"/>
      <c r="Q322" s="349"/>
      <c r="R322" s="349"/>
      <c r="S322" s="349"/>
      <c r="T322" s="349"/>
      <c r="U322" s="349"/>
      <c r="V322" s="349"/>
      <c r="W322" s="349"/>
      <c r="X322" s="349"/>
      <c r="Y322" s="349"/>
    </row>
    <row r="323" ht="15.75" customHeight="1">
      <c r="A323" s="349"/>
      <c r="B323" s="349"/>
      <c r="C323" s="349"/>
      <c r="D323" s="349"/>
      <c r="E323" s="349"/>
      <c r="F323" s="349"/>
      <c r="G323" s="349"/>
      <c r="H323" s="349"/>
      <c r="I323" s="349"/>
      <c r="J323" s="349"/>
      <c r="K323" s="349"/>
      <c r="L323" s="349"/>
      <c r="M323" s="349"/>
      <c r="N323" s="349"/>
      <c r="O323" s="349"/>
      <c r="P323" s="349"/>
      <c r="Q323" s="349"/>
      <c r="R323" s="349"/>
      <c r="S323" s="349"/>
      <c r="T323" s="349"/>
      <c r="U323" s="349"/>
      <c r="V323" s="349"/>
      <c r="W323" s="349"/>
      <c r="X323" s="349"/>
      <c r="Y323" s="349"/>
    </row>
    <row r="324" ht="15.75" customHeight="1">
      <c r="A324" s="349"/>
      <c r="B324" s="349"/>
      <c r="C324" s="349"/>
      <c r="D324" s="349"/>
      <c r="E324" s="349"/>
      <c r="F324" s="349"/>
      <c r="G324" s="349"/>
      <c r="H324" s="349"/>
      <c r="I324" s="349"/>
      <c r="J324" s="349"/>
      <c r="K324" s="349"/>
      <c r="L324" s="349"/>
      <c r="M324" s="349"/>
      <c r="N324" s="349"/>
      <c r="O324" s="349"/>
      <c r="P324" s="349"/>
      <c r="Q324" s="349"/>
      <c r="R324" s="349"/>
      <c r="S324" s="349"/>
      <c r="T324" s="349"/>
      <c r="U324" s="349"/>
      <c r="V324" s="349"/>
      <c r="W324" s="349"/>
      <c r="X324" s="349"/>
      <c r="Y324" s="349"/>
    </row>
    <row r="325" ht="15.75" customHeight="1">
      <c r="A325" s="349"/>
      <c r="B325" s="349"/>
      <c r="C325" s="349"/>
      <c r="D325" s="349"/>
      <c r="E325" s="349"/>
      <c r="F325" s="349"/>
      <c r="G325" s="349"/>
      <c r="H325" s="349"/>
      <c r="I325" s="349"/>
      <c r="J325" s="349"/>
      <c r="K325" s="349"/>
      <c r="L325" s="349"/>
      <c r="M325" s="349"/>
      <c r="N325" s="349"/>
      <c r="O325" s="349"/>
      <c r="P325" s="349"/>
      <c r="Q325" s="349"/>
      <c r="R325" s="349"/>
      <c r="S325" s="349"/>
      <c r="T325" s="349"/>
      <c r="U325" s="349"/>
      <c r="V325" s="349"/>
      <c r="W325" s="349"/>
      <c r="X325" s="349"/>
      <c r="Y325" s="349"/>
    </row>
    <row r="326" ht="15.75" customHeight="1">
      <c r="A326" s="349"/>
      <c r="B326" s="349"/>
      <c r="C326" s="349"/>
      <c r="D326" s="349"/>
      <c r="E326" s="349"/>
      <c r="F326" s="349"/>
      <c r="G326" s="349"/>
      <c r="H326" s="349"/>
      <c r="I326" s="349"/>
      <c r="J326" s="349"/>
      <c r="K326" s="349"/>
      <c r="L326" s="349"/>
      <c r="M326" s="349"/>
      <c r="N326" s="349"/>
      <c r="O326" s="349"/>
      <c r="P326" s="349"/>
      <c r="Q326" s="349"/>
      <c r="R326" s="349"/>
      <c r="S326" s="349"/>
      <c r="T326" s="349"/>
      <c r="U326" s="349"/>
      <c r="V326" s="349"/>
      <c r="W326" s="349"/>
      <c r="X326" s="349"/>
      <c r="Y326" s="349"/>
    </row>
    <row r="327" ht="15.75" customHeight="1">
      <c r="A327" s="349"/>
      <c r="B327" s="349"/>
      <c r="C327" s="349"/>
      <c r="D327" s="349"/>
      <c r="E327" s="349"/>
      <c r="F327" s="349"/>
      <c r="G327" s="349"/>
      <c r="H327" s="349"/>
      <c r="I327" s="349"/>
      <c r="J327" s="349"/>
      <c r="K327" s="349"/>
      <c r="L327" s="349"/>
      <c r="M327" s="349"/>
      <c r="N327" s="349"/>
      <c r="O327" s="349"/>
      <c r="P327" s="349"/>
      <c r="Q327" s="349"/>
      <c r="R327" s="349"/>
      <c r="S327" s="349"/>
      <c r="T327" s="349"/>
      <c r="U327" s="349"/>
      <c r="V327" s="349"/>
      <c r="W327" s="349"/>
      <c r="X327" s="349"/>
      <c r="Y327" s="349"/>
    </row>
    <row r="328" ht="15.75" customHeight="1">
      <c r="A328" s="349"/>
      <c r="B328" s="349"/>
      <c r="C328" s="349"/>
      <c r="D328" s="349"/>
      <c r="E328" s="349"/>
      <c r="F328" s="349"/>
      <c r="G328" s="349"/>
      <c r="H328" s="349"/>
      <c r="I328" s="349"/>
      <c r="J328" s="349"/>
      <c r="K328" s="349"/>
      <c r="L328" s="349"/>
      <c r="M328" s="349"/>
      <c r="N328" s="349"/>
      <c r="O328" s="349"/>
      <c r="P328" s="349"/>
      <c r="Q328" s="349"/>
      <c r="R328" s="349"/>
      <c r="S328" s="349"/>
      <c r="T328" s="349"/>
      <c r="U328" s="349"/>
      <c r="V328" s="349"/>
      <c r="W328" s="349"/>
      <c r="X328" s="349"/>
      <c r="Y328" s="349"/>
    </row>
    <row r="329" ht="15.75" customHeight="1">
      <c r="A329" s="349"/>
      <c r="B329" s="349"/>
      <c r="C329" s="349"/>
      <c r="D329" s="349"/>
      <c r="E329" s="349"/>
      <c r="F329" s="349"/>
      <c r="G329" s="349"/>
      <c r="H329" s="349"/>
      <c r="I329" s="349"/>
      <c r="J329" s="349"/>
      <c r="K329" s="349"/>
      <c r="L329" s="349"/>
      <c r="M329" s="349"/>
      <c r="N329" s="349"/>
      <c r="O329" s="349"/>
      <c r="P329" s="349"/>
      <c r="Q329" s="349"/>
      <c r="R329" s="349"/>
      <c r="S329" s="349"/>
      <c r="T329" s="349"/>
      <c r="U329" s="349"/>
      <c r="V329" s="349"/>
      <c r="W329" s="349"/>
      <c r="X329" s="349"/>
      <c r="Y329" s="349"/>
    </row>
    <row r="330" ht="15.75" customHeight="1">
      <c r="A330" s="349"/>
      <c r="B330" s="349"/>
      <c r="C330" s="349"/>
      <c r="D330" s="349"/>
      <c r="E330" s="349"/>
      <c r="F330" s="349"/>
      <c r="G330" s="349"/>
      <c r="H330" s="349"/>
      <c r="I330" s="349"/>
      <c r="J330" s="349"/>
      <c r="K330" s="349"/>
      <c r="L330" s="349"/>
      <c r="M330" s="349"/>
      <c r="N330" s="349"/>
      <c r="O330" s="349"/>
      <c r="P330" s="349"/>
      <c r="Q330" s="349"/>
      <c r="R330" s="349"/>
      <c r="S330" s="349"/>
      <c r="T330" s="349"/>
      <c r="U330" s="349"/>
      <c r="V330" s="349"/>
      <c r="W330" s="349"/>
      <c r="X330" s="349"/>
      <c r="Y330" s="349"/>
    </row>
    <row r="331" ht="15.75" customHeight="1">
      <c r="A331" s="349"/>
      <c r="B331" s="349"/>
      <c r="C331" s="349"/>
      <c r="D331" s="349"/>
      <c r="E331" s="349"/>
      <c r="F331" s="349"/>
      <c r="G331" s="349"/>
      <c r="H331" s="349"/>
      <c r="I331" s="349"/>
      <c r="J331" s="349"/>
      <c r="K331" s="349"/>
      <c r="L331" s="349"/>
      <c r="M331" s="349"/>
      <c r="N331" s="349"/>
      <c r="O331" s="349"/>
      <c r="P331" s="349"/>
      <c r="Q331" s="349"/>
      <c r="R331" s="349"/>
      <c r="S331" s="349"/>
      <c r="T331" s="349"/>
      <c r="U331" s="349"/>
      <c r="V331" s="349"/>
      <c r="W331" s="349"/>
      <c r="X331" s="349"/>
      <c r="Y331" s="349"/>
    </row>
    <row r="332" ht="15.75" customHeight="1">
      <c r="A332" s="349"/>
      <c r="B332" s="349"/>
      <c r="C332" s="349"/>
      <c r="D332" s="349"/>
      <c r="E332" s="349"/>
      <c r="F332" s="349"/>
      <c r="G332" s="349"/>
      <c r="H332" s="349"/>
      <c r="I332" s="349"/>
      <c r="J332" s="349"/>
      <c r="K332" s="349"/>
      <c r="L332" s="349"/>
      <c r="M332" s="349"/>
      <c r="N332" s="349"/>
      <c r="O332" s="349"/>
      <c r="P332" s="349"/>
      <c r="Q332" s="349"/>
      <c r="R332" s="349"/>
      <c r="S332" s="349"/>
      <c r="T332" s="349"/>
      <c r="U332" s="349"/>
      <c r="V332" s="349"/>
      <c r="W332" s="349"/>
      <c r="X332" s="349"/>
      <c r="Y332" s="349"/>
    </row>
    <row r="333" ht="15.75" customHeight="1">
      <c r="A333" s="349"/>
      <c r="B333" s="349"/>
      <c r="C333" s="349"/>
      <c r="D333" s="349"/>
      <c r="E333" s="349"/>
      <c r="F333" s="349"/>
      <c r="G333" s="349"/>
      <c r="H333" s="349"/>
      <c r="I333" s="349"/>
      <c r="J333" s="349"/>
      <c r="K333" s="349"/>
      <c r="L333" s="349"/>
      <c r="M333" s="349"/>
      <c r="N333" s="349"/>
      <c r="O333" s="349"/>
      <c r="P333" s="349"/>
      <c r="Q333" s="349"/>
      <c r="R333" s="349"/>
      <c r="S333" s="349"/>
      <c r="T333" s="349"/>
      <c r="U333" s="349"/>
      <c r="V333" s="349"/>
      <c r="W333" s="349"/>
      <c r="X333" s="349"/>
      <c r="Y333" s="349"/>
    </row>
    <row r="334" ht="15.75" customHeight="1">
      <c r="A334" s="349"/>
      <c r="B334" s="349"/>
      <c r="C334" s="349"/>
      <c r="D334" s="349"/>
      <c r="E334" s="349"/>
      <c r="F334" s="349"/>
      <c r="G334" s="349"/>
      <c r="H334" s="349"/>
      <c r="I334" s="349"/>
      <c r="J334" s="349"/>
      <c r="K334" s="349"/>
      <c r="L334" s="349"/>
      <c r="M334" s="349"/>
      <c r="N334" s="349"/>
      <c r="O334" s="349"/>
      <c r="P334" s="349"/>
      <c r="Q334" s="349"/>
      <c r="R334" s="349"/>
      <c r="S334" s="349"/>
      <c r="T334" s="349"/>
      <c r="U334" s="349"/>
      <c r="V334" s="349"/>
      <c r="W334" s="349"/>
      <c r="X334" s="349"/>
      <c r="Y334" s="349"/>
    </row>
    <row r="335" ht="15.75" customHeight="1">
      <c r="A335" s="349"/>
      <c r="B335" s="349"/>
      <c r="C335" s="349"/>
      <c r="D335" s="349"/>
      <c r="E335" s="349"/>
      <c r="F335" s="349"/>
      <c r="G335" s="349"/>
      <c r="H335" s="349"/>
      <c r="I335" s="349"/>
      <c r="J335" s="349"/>
      <c r="K335" s="349"/>
      <c r="L335" s="349"/>
      <c r="M335" s="349"/>
      <c r="N335" s="349"/>
      <c r="O335" s="349"/>
      <c r="P335" s="349"/>
      <c r="Q335" s="349"/>
      <c r="R335" s="349"/>
      <c r="S335" s="349"/>
      <c r="T335" s="349"/>
      <c r="U335" s="349"/>
      <c r="V335" s="349"/>
      <c r="W335" s="349"/>
      <c r="X335" s="349"/>
      <c r="Y335" s="349"/>
    </row>
    <row r="336" ht="15.75" customHeight="1">
      <c r="A336" s="349"/>
      <c r="B336" s="349"/>
      <c r="C336" s="349"/>
      <c r="D336" s="349"/>
      <c r="E336" s="349"/>
      <c r="F336" s="349"/>
      <c r="G336" s="349"/>
      <c r="H336" s="349"/>
      <c r="I336" s="349"/>
      <c r="J336" s="349"/>
      <c r="K336" s="349"/>
      <c r="L336" s="349"/>
      <c r="M336" s="349"/>
      <c r="N336" s="349"/>
      <c r="O336" s="349"/>
      <c r="P336" s="349"/>
      <c r="Q336" s="349"/>
      <c r="R336" s="349"/>
      <c r="S336" s="349"/>
      <c r="T336" s="349"/>
      <c r="U336" s="349"/>
      <c r="V336" s="349"/>
      <c r="W336" s="349"/>
      <c r="X336" s="349"/>
      <c r="Y336" s="349"/>
    </row>
    <row r="337" ht="15.75" customHeight="1">
      <c r="A337" s="349"/>
      <c r="B337" s="349"/>
      <c r="C337" s="349"/>
      <c r="D337" s="349"/>
      <c r="E337" s="349"/>
      <c r="F337" s="349"/>
      <c r="G337" s="349"/>
      <c r="H337" s="349"/>
      <c r="I337" s="349"/>
      <c r="J337" s="349"/>
      <c r="K337" s="349"/>
      <c r="L337" s="349"/>
      <c r="M337" s="349"/>
      <c r="N337" s="349"/>
      <c r="O337" s="349"/>
      <c r="P337" s="349"/>
      <c r="Q337" s="349"/>
      <c r="R337" s="349"/>
      <c r="S337" s="349"/>
      <c r="T337" s="349"/>
      <c r="U337" s="349"/>
      <c r="V337" s="349"/>
      <c r="W337" s="349"/>
      <c r="X337" s="349"/>
      <c r="Y337" s="349"/>
    </row>
    <row r="338" ht="15.75" customHeight="1">
      <c r="A338" s="349"/>
      <c r="B338" s="349"/>
      <c r="C338" s="349"/>
      <c r="D338" s="349"/>
      <c r="E338" s="349"/>
      <c r="F338" s="349"/>
      <c r="G338" s="349"/>
      <c r="H338" s="349"/>
      <c r="I338" s="349"/>
      <c r="J338" s="349"/>
      <c r="K338" s="349"/>
      <c r="L338" s="349"/>
      <c r="M338" s="349"/>
      <c r="N338" s="349"/>
      <c r="O338" s="349"/>
      <c r="P338" s="349"/>
      <c r="Q338" s="349"/>
      <c r="R338" s="349"/>
      <c r="S338" s="349"/>
      <c r="T338" s="349"/>
      <c r="U338" s="349"/>
      <c r="V338" s="349"/>
      <c r="W338" s="349"/>
      <c r="X338" s="349"/>
      <c r="Y338" s="349"/>
    </row>
    <row r="339" ht="15.75" customHeight="1">
      <c r="A339" s="349"/>
      <c r="B339" s="349"/>
      <c r="C339" s="349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  <c r="R339" s="349"/>
      <c r="S339" s="349"/>
      <c r="T339" s="349"/>
      <c r="U339" s="349"/>
      <c r="V339" s="349"/>
      <c r="W339" s="349"/>
      <c r="X339" s="349"/>
      <c r="Y339" s="349"/>
    </row>
    <row r="340" ht="15.75" customHeight="1">
      <c r="A340" s="349"/>
      <c r="B340" s="349"/>
      <c r="C340" s="349"/>
      <c r="D340" s="349"/>
      <c r="E340" s="349"/>
      <c r="F340" s="349"/>
      <c r="G340" s="349"/>
      <c r="H340" s="349"/>
      <c r="I340" s="349"/>
      <c r="J340" s="349"/>
      <c r="K340" s="349"/>
      <c r="L340" s="349"/>
      <c r="M340" s="349"/>
      <c r="N340" s="349"/>
      <c r="O340" s="349"/>
      <c r="P340" s="349"/>
      <c r="Q340" s="349"/>
      <c r="R340" s="349"/>
      <c r="S340" s="349"/>
      <c r="T340" s="349"/>
      <c r="U340" s="349"/>
      <c r="V340" s="349"/>
      <c r="W340" s="349"/>
      <c r="X340" s="349"/>
      <c r="Y340" s="349"/>
    </row>
    <row r="341" ht="15.75" customHeight="1">
      <c r="A341" s="349"/>
      <c r="B341" s="349"/>
      <c r="C341" s="349"/>
      <c r="D341" s="349"/>
      <c r="E341" s="349"/>
      <c r="F341" s="349"/>
      <c r="G341" s="349"/>
      <c r="H341" s="349"/>
      <c r="I341" s="349"/>
      <c r="J341" s="349"/>
      <c r="K341" s="349"/>
      <c r="L341" s="349"/>
      <c r="M341" s="349"/>
      <c r="N341" s="349"/>
      <c r="O341" s="349"/>
      <c r="P341" s="349"/>
      <c r="Q341" s="349"/>
      <c r="R341" s="349"/>
      <c r="S341" s="349"/>
      <c r="T341" s="349"/>
      <c r="U341" s="349"/>
      <c r="V341" s="349"/>
      <c r="W341" s="349"/>
      <c r="X341" s="349"/>
      <c r="Y341" s="349"/>
    </row>
    <row r="342" ht="15.75" customHeight="1">
      <c r="A342" s="349"/>
      <c r="B342" s="349"/>
      <c r="C342" s="349"/>
      <c r="D342" s="349"/>
      <c r="E342" s="349"/>
      <c r="F342" s="349"/>
      <c r="G342" s="349"/>
      <c r="H342" s="349"/>
      <c r="I342" s="349"/>
      <c r="J342" s="349"/>
      <c r="K342" s="349"/>
      <c r="L342" s="349"/>
      <c r="M342" s="349"/>
      <c r="N342" s="349"/>
      <c r="O342" s="349"/>
      <c r="P342" s="349"/>
      <c r="Q342" s="349"/>
      <c r="R342" s="349"/>
      <c r="S342" s="349"/>
      <c r="T342" s="349"/>
      <c r="U342" s="349"/>
      <c r="V342" s="349"/>
      <c r="W342" s="349"/>
      <c r="X342" s="349"/>
      <c r="Y342" s="349"/>
    </row>
    <row r="343" ht="15.75" customHeight="1">
      <c r="A343" s="349"/>
      <c r="B343" s="349"/>
      <c r="C343" s="349"/>
      <c r="D343" s="349"/>
      <c r="E343" s="349"/>
      <c r="F343" s="349"/>
      <c r="G343" s="349"/>
      <c r="H343" s="349"/>
      <c r="I343" s="349"/>
      <c r="J343" s="349"/>
      <c r="K343" s="349"/>
      <c r="L343" s="349"/>
      <c r="M343" s="349"/>
      <c r="N343" s="349"/>
      <c r="O343" s="349"/>
      <c r="P343" s="349"/>
      <c r="Q343" s="349"/>
      <c r="R343" s="349"/>
      <c r="S343" s="349"/>
      <c r="T343" s="349"/>
      <c r="U343" s="349"/>
      <c r="V343" s="349"/>
      <c r="W343" s="349"/>
      <c r="X343" s="349"/>
      <c r="Y343" s="349"/>
    </row>
    <row r="344" ht="15.75" customHeight="1">
      <c r="A344" s="349"/>
      <c r="B344" s="349"/>
      <c r="C344" s="349"/>
      <c r="D344" s="349"/>
      <c r="E344" s="349"/>
      <c r="F344" s="349"/>
      <c r="G344" s="349"/>
      <c r="H344" s="349"/>
      <c r="I344" s="349"/>
      <c r="J344" s="349"/>
      <c r="K344" s="349"/>
      <c r="L344" s="349"/>
      <c r="M344" s="349"/>
      <c r="N344" s="349"/>
      <c r="O344" s="349"/>
      <c r="P344" s="349"/>
      <c r="Q344" s="349"/>
      <c r="R344" s="349"/>
      <c r="S344" s="349"/>
      <c r="T344" s="349"/>
      <c r="U344" s="349"/>
      <c r="V344" s="349"/>
      <c r="W344" s="349"/>
      <c r="X344" s="349"/>
      <c r="Y344" s="349"/>
    </row>
    <row r="345" ht="15.75" customHeight="1">
      <c r="A345" s="349"/>
      <c r="B345" s="349"/>
      <c r="C345" s="349"/>
      <c r="D345" s="349"/>
      <c r="E345" s="349"/>
      <c r="F345" s="349"/>
      <c r="G345" s="349"/>
      <c r="H345" s="349"/>
      <c r="I345" s="349"/>
      <c r="J345" s="349"/>
      <c r="K345" s="349"/>
      <c r="L345" s="349"/>
      <c r="M345" s="349"/>
      <c r="N345" s="349"/>
      <c r="O345" s="349"/>
      <c r="P345" s="349"/>
      <c r="Q345" s="349"/>
      <c r="R345" s="349"/>
      <c r="S345" s="349"/>
      <c r="T345" s="349"/>
      <c r="U345" s="349"/>
      <c r="V345" s="349"/>
      <c r="W345" s="349"/>
      <c r="X345" s="349"/>
      <c r="Y345" s="349"/>
    </row>
    <row r="346" ht="15.75" customHeight="1">
      <c r="A346" s="349"/>
      <c r="B346" s="349"/>
      <c r="C346" s="349"/>
      <c r="D346" s="349"/>
      <c r="E346" s="349"/>
      <c r="F346" s="349"/>
      <c r="G346" s="349"/>
      <c r="H346" s="349"/>
      <c r="I346" s="349"/>
      <c r="J346" s="349"/>
      <c r="K346" s="349"/>
      <c r="L346" s="349"/>
      <c r="M346" s="349"/>
      <c r="N346" s="349"/>
      <c r="O346" s="349"/>
      <c r="P346" s="349"/>
      <c r="Q346" s="349"/>
      <c r="R346" s="349"/>
      <c r="S346" s="349"/>
      <c r="T346" s="349"/>
      <c r="U346" s="349"/>
      <c r="V346" s="349"/>
      <c r="W346" s="349"/>
      <c r="X346" s="349"/>
      <c r="Y346" s="349"/>
    </row>
    <row r="347" ht="15.75" customHeight="1">
      <c r="A347" s="349"/>
      <c r="B347" s="349"/>
      <c r="C347" s="349"/>
      <c r="D347" s="349"/>
      <c r="E347" s="349"/>
      <c r="F347" s="349"/>
      <c r="G347" s="349"/>
      <c r="H347" s="349"/>
      <c r="I347" s="349"/>
      <c r="J347" s="349"/>
      <c r="K347" s="349"/>
      <c r="L347" s="349"/>
      <c r="M347" s="349"/>
      <c r="N347" s="349"/>
      <c r="O347" s="349"/>
      <c r="P347" s="349"/>
      <c r="Q347" s="349"/>
      <c r="R347" s="349"/>
      <c r="S347" s="349"/>
      <c r="T347" s="349"/>
      <c r="U347" s="349"/>
      <c r="V347" s="349"/>
      <c r="W347" s="349"/>
      <c r="X347" s="349"/>
      <c r="Y347" s="349"/>
    </row>
    <row r="348" ht="15.75" customHeight="1">
      <c r="A348" s="349"/>
      <c r="B348" s="349"/>
      <c r="C348" s="349"/>
      <c r="D348" s="349"/>
      <c r="E348" s="349"/>
      <c r="F348" s="349"/>
      <c r="G348" s="349"/>
      <c r="H348" s="349"/>
      <c r="I348" s="349"/>
      <c r="J348" s="349"/>
      <c r="K348" s="349"/>
      <c r="L348" s="349"/>
      <c r="M348" s="349"/>
      <c r="N348" s="349"/>
      <c r="O348" s="349"/>
      <c r="P348" s="349"/>
      <c r="Q348" s="349"/>
      <c r="R348" s="349"/>
      <c r="S348" s="349"/>
      <c r="T348" s="349"/>
      <c r="U348" s="349"/>
      <c r="V348" s="349"/>
      <c r="W348" s="349"/>
      <c r="X348" s="349"/>
      <c r="Y348" s="349"/>
    </row>
    <row r="349" ht="15.75" customHeight="1">
      <c r="A349" s="349"/>
      <c r="B349" s="349"/>
      <c r="C349" s="349"/>
      <c r="D349" s="349"/>
      <c r="E349" s="349"/>
      <c r="F349" s="349"/>
      <c r="G349" s="349"/>
      <c r="H349" s="349"/>
      <c r="I349" s="349"/>
      <c r="J349" s="349"/>
      <c r="K349" s="349"/>
      <c r="L349" s="349"/>
      <c r="M349" s="349"/>
      <c r="N349" s="349"/>
      <c r="O349" s="349"/>
      <c r="P349" s="349"/>
      <c r="Q349" s="349"/>
      <c r="R349" s="349"/>
      <c r="S349" s="349"/>
      <c r="T349" s="349"/>
      <c r="U349" s="349"/>
      <c r="V349" s="349"/>
      <c r="W349" s="349"/>
      <c r="X349" s="349"/>
      <c r="Y349" s="349"/>
    </row>
    <row r="350" ht="15.75" customHeight="1">
      <c r="A350" s="349"/>
      <c r="B350" s="349"/>
      <c r="C350" s="349"/>
      <c r="D350" s="349"/>
      <c r="E350" s="349"/>
      <c r="F350" s="349"/>
      <c r="G350" s="349"/>
      <c r="H350" s="349"/>
      <c r="I350" s="349"/>
      <c r="J350" s="349"/>
      <c r="K350" s="349"/>
      <c r="L350" s="349"/>
      <c r="M350" s="349"/>
      <c r="N350" s="349"/>
      <c r="O350" s="349"/>
      <c r="P350" s="349"/>
      <c r="Q350" s="349"/>
      <c r="R350" s="349"/>
      <c r="S350" s="349"/>
      <c r="T350" s="349"/>
      <c r="U350" s="349"/>
      <c r="V350" s="349"/>
      <c r="W350" s="349"/>
      <c r="X350" s="349"/>
      <c r="Y350" s="349"/>
    </row>
    <row r="351" ht="15.75" customHeight="1">
      <c r="A351" s="349"/>
      <c r="B351" s="349"/>
      <c r="C351" s="349"/>
      <c r="D351" s="349"/>
      <c r="E351" s="349"/>
      <c r="F351" s="349"/>
      <c r="G351" s="349"/>
      <c r="H351" s="349"/>
      <c r="I351" s="349"/>
      <c r="J351" s="349"/>
      <c r="K351" s="349"/>
      <c r="L351" s="349"/>
      <c r="M351" s="349"/>
      <c r="N351" s="349"/>
      <c r="O351" s="349"/>
      <c r="P351" s="349"/>
      <c r="Q351" s="349"/>
      <c r="R351" s="349"/>
      <c r="S351" s="349"/>
      <c r="T351" s="349"/>
      <c r="U351" s="349"/>
      <c r="V351" s="349"/>
      <c r="W351" s="349"/>
      <c r="X351" s="349"/>
      <c r="Y351" s="349"/>
    </row>
    <row r="352" ht="15.75" customHeight="1">
      <c r="A352" s="349"/>
      <c r="B352" s="349"/>
      <c r="C352" s="349"/>
      <c r="D352" s="349"/>
      <c r="E352" s="349"/>
      <c r="F352" s="349"/>
      <c r="G352" s="349"/>
      <c r="H352" s="349"/>
      <c r="I352" s="349"/>
      <c r="J352" s="349"/>
      <c r="K352" s="349"/>
      <c r="L352" s="349"/>
      <c r="M352" s="349"/>
      <c r="N352" s="349"/>
      <c r="O352" s="349"/>
      <c r="P352" s="349"/>
      <c r="Q352" s="349"/>
      <c r="R352" s="349"/>
      <c r="S352" s="349"/>
      <c r="T352" s="349"/>
      <c r="U352" s="349"/>
      <c r="V352" s="349"/>
      <c r="W352" s="349"/>
      <c r="X352" s="349"/>
      <c r="Y352" s="349"/>
    </row>
    <row r="353" ht="15.75" customHeight="1">
      <c r="A353" s="349"/>
      <c r="B353" s="349"/>
      <c r="C353" s="349"/>
      <c r="D353" s="349"/>
      <c r="E353" s="349"/>
      <c r="F353" s="349"/>
      <c r="G353" s="349"/>
      <c r="H353" s="349"/>
      <c r="I353" s="349"/>
      <c r="J353" s="349"/>
      <c r="K353" s="349"/>
      <c r="L353" s="349"/>
      <c r="M353" s="349"/>
      <c r="N353" s="349"/>
      <c r="O353" s="349"/>
      <c r="P353" s="349"/>
      <c r="Q353" s="349"/>
      <c r="R353" s="349"/>
      <c r="S353" s="349"/>
      <c r="T353" s="349"/>
      <c r="U353" s="349"/>
      <c r="V353" s="349"/>
      <c r="W353" s="349"/>
      <c r="X353" s="349"/>
      <c r="Y353" s="349"/>
    </row>
    <row r="354" ht="15.75" customHeight="1">
      <c r="A354" s="349"/>
      <c r="B354" s="349"/>
      <c r="C354" s="349"/>
      <c r="D354" s="349"/>
      <c r="E354" s="349"/>
      <c r="F354" s="349"/>
      <c r="G354" s="349"/>
      <c r="H354" s="349"/>
      <c r="I354" s="349"/>
      <c r="J354" s="349"/>
      <c r="K354" s="349"/>
      <c r="L354" s="349"/>
      <c r="M354" s="349"/>
      <c r="N354" s="349"/>
      <c r="O354" s="349"/>
      <c r="P354" s="349"/>
      <c r="Q354" s="349"/>
      <c r="R354" s="349"/>
      <c r="S354" s="349"/>
      <c r="T354" s="349"/>
      <c r="U354" s="349"/>
      <c r="V354" s="349"/>
      <c r="W354" s="349"/>
      <c r="X354" s="349"/>
      <c r="Y354" s="349"/>
    </row>
    <row r="355" ht="15.75" customHeight="1">
      <c r="A355" s="349"/>
      <c r="B355" s="349"/>
      <c r="C355" s="349"/>
      <c r="D355" s="349"/>
      <c r="E355" s="349"/>
      <c r="F355" s="349"/>
      <c r="G355" s="349"/>
      <c r="H355" s="349"/>
      <c r="I355" s="349"/>
      <c r="J355" s="349"/>
      <c r="K355" s="349"/>
      <c r="L355" s="349"/>
      <c r="M355" s="349"/>
      <c r="N355" s="349"/>
      <c r="O355" s="349"/>
      <c r="P355" s="349"/>
      <c r="Q355" s="349"/>
      <c r="R355" s="349"/>
      <c r="S355" s="349"/>
      <c r="T355" s="349"/>
      <c r="U355" s="349"/>
      <c r="V355" s="349"/>
      <c r="W355" s="349"/>
      <c r="X355" s="349"/>
      <c r="Y355" s="349"/>
    </row>
    <row r="356" ht="15.75" customHeight="1">
      <c r="A356" s="349"/>
      <c r="B356" s="349"/>
      <c r="C356" s="349"/>
      <c r="D356" s="349"/>
      <c r="E356" s="349"/>
      <c r="F356" s="349"/>
      <c r="G356" s="349"/>
      <c r="H356" s="349"/>
      <c r="I356" s="349"/>
      <c r="J356" s="349"/>
      <c r="K356" s="349"/>
      <c r="L356" s="349"/>
      <c r="M356" s="349"/>
      <c r="N356" s="349"/>
      <c r="O356" s="349"/>
      <c r="P356" s="349"/>
      <c r="Q356" s="349"/>
      <c r="R356" s="349"/>
      <c r="S356" s="349"/>
      <c r="T356" s="349"/>
      <c r="U356" s="349"/>
      <c r="V356" s="349"/>
      <c r="W356" s="349"/>
      <c r="X356" s="349"/>
      <c r="Y356" s="349"/>
    </row>
    <row r="357" ht="15.75" customHeight="1">
      <c r="A357" s="349"/>
      <c r="B357" s="349"/>
      <c r="C357" s="349"/>
      <c r="D357" s="349"/>
      <c r="E357" s="349"/>
      <c r="F357" s="349"/>
      <c r="G357" s="349"/>
      <c r="H357" s="349"/>
      <c r="I357" s="349"/>
      <c r="J357" s="349"/>
      <c r="K357" s="349"/>
      <c r="L357" s="349"/>
      <c r="M357" s="349"/>
      <c r="N357" s="349"/>
      <c r="O357" s="349"/>
      <c r="P357" s="349"/>
      <c r="Q357" s="349"/>
      <c r="R357" s="349"/>
      <c r="S357" s="349"/>
      <c r="T357" s="349"/>
      <c r="U357" s="349"/>
      <c r="V357" s="349"/>
      <c r="W357" s="349"/>
      <c r="X357" s="349"/>
      <c r="Y357" s="349"/>
    </row>
    <row r="358" ht="15.75" customHeight="1">
      <c r="A358" s="349"/>
      <c r="B358" s="349"/>
      <c r="C358" s="349"/>
      <c r="D358" s="349"/>
      <c r="E358" s="349"/>
      <c r="F358" s="349"/>
      <c r="G358" s="349"/>
      <c r="H358" s="349"/>
      <c r="I358" s="349"/>
      <c r="J358" s="349"/>
      <c r="K358" s="349"/>
      <c r="L358" s="349"/>
      <c r="M358" s="349"/>
      <c r="N358" s="349"/>
      <c r="O358" s="349"/>
      <c r="P358" s="349"/>
      <c r="Q358" s="349"/>
      <c r="R358" s="349"/>
      <c r="S358" s="349"/>
      <c r="T358" s="349"/>
      <c r="U358" s="349"/>
      <c r="V358" s="349"/>
      <c r="W358" s="349"/>
      <c r="X358" s="349"/>
      <c r="Y358" s="349"/>
    </row>
    <row r="359" ht="15.75" customHeight="1">
      <c r="A359" s="349"/>
      <c r="B359" s="349"/>
      <c r="C359" s="349"/>
      <c r="D359" s="349"/>
      <c r="E359" s="349"/>
      <c r="F359" s="349"/>
      <c r="G359" s="349"/>
      <c r="H359" s="349"/>
      <c r="I359" s="349"/>
      <c r="J359" s="349"/>
      <c r="K359" s="349"/>
      <c r="L359" s="349"/>
      <c r="M359" s="349"/>
      <c r="N359" s="349"/>
      <c r="O359" s="349"/>
      <c r="P359" s="349"/>
      <c r="Q359" s="349"/>
      <c r="R359" s="349"/>
      <c r="S359" s="349"/>
      <c r="T359" s="349"/>
      <c r="U359" s="349"/>
      <c r="V359" s="349"/>
      <c r="W359" s="349"/>
      <c r="X359" s="349"/>
      <c r="Y359" s="349"/>
    </row>
    <row r="360" ht="15.75" customHeight="1">
      <c r="A360" s="349"/>
      <c r="B360" s="349"/>
      <c r="C360" s="349"/>
      <c r="D360" s="349"/>
      <c r="E360" s="349"/>
      <c r="F360" s="349"/>
      <c r="G360" s="349"/>
      <c r="H360" s="349"/>
      <c r="I360" s="349"/>
      <c r="J360" s="349"/>
      <c r="K360" s="349"/>
      <c r="L360" s="349"/>
      <c r="M360" s="349"/>
      <c r="N360" s="349"/>
      <c r="O360" s="349"/>
      <c r="P360" s="349"/>
      <c r="Q360" s="349"/>
      <c r="R360" s="349"/>
      <c r="S360" s="349"/>
      <c r="T360" s="349"/>
      <c r="U360" s="349"/>
      <c r="V360" s="349"/>
      <c r="W360" s="349"/>
      <c r="X360" s="349"/>
      <c r="Y360" s="349"/>
    </row>
    <row r="361" ht="15.75" customHeight="1">
      <c r="A361" s="349"/>
      <c r="B361" s="349"/>
      <c r="C361" s="349"/>
      <c r="D361" s="349"/>
      <c r="E361" s="349"/>
      <c r="F361" s="349"/>
      <c r="G361" s="349"/>
      <c r="H361" s="349"/>
      <c r="I361" s="349"/>
      <c r="J361" s="349"/>
      <c r="K361" s="349"/>
      <c r="L361" s="349"/>
      <c r="M361" s="349"/>
      <c r="N361" s="349"/>
      <c r="O361" s="349"/>
      <c r="P361" s="349"/>
      <c r="Q361" s="349"/>
      <c r="R361" s="349"/>
      <c r="S361" s="349"/>
      <c r="T361" s="349"/>
      <c r="U361" s="349"/>
      <c r="V361" s="349"/>
      <c r="W361" s="349"/>
      <c r="X361" s="349"/>
      <c r="Y361" s="349"/>
    </row>
    <row r="362" ht="15.75" customHeight="1">
      <c r="A362" s="349"/>
      <c r="B362" s="349"/>
      <c r="C362" s="349"/>
      <c r="D362" s="349"/>
      <c r="E362" s="349"/>
      <c r="F362" s="349"/>
      <c r="G362" s="349"/>
      <c r="H362" s="349"/>
      <c r="I362" s="349"/>
      <c r="J362" s="349"/>
      <c r="K362" s="349"/>
      <c r="L362" s="349"/>
      <c r="M362" s="349"/>
      <c r="N362" s="349"/>
      <c r="O362" s="349"/>
      <c r="P362" s="349"/>
      <c r="Q362" s="349"/>
      <c r="R362" s="349"/>
      <c r="S362" s="349"/>
      <c r="T362" s="349"/>
      <c r="U362" s="349"/>
      <c r="V362" s="349"/>
      <c r="W362" s="349"/>
      <c r="X362" s="349"/>
      <c r="Y362" s="349"/>
    </row>
    <row r="363" ht="15.75" customHeight="1">
      <c r="A363" s="349"/>
      <c r="B363" s="349"/>
      <c r="C363" s="349"/>
      <c r="D363" s="349"/>
      <c r="E363" s="349"/>
      <c r="F363" s="349"/>
      <c r="G363" s="349"/>
      <c r="H363" s="349"/>
      <c r="I363" s="349"/>
      <c r="J363" s="349"/>
      <c r="K363" s="349"/>
      <c r="L363" s="349"/>
      <c r="M363" s="349"/>
      <c r="N363" s="349"/>
      <c r="O363" s="349"/>
      <c r="P363" s="349"/>
      <c r="Q363" s="349"/>
      <c r="R363" s="349"/>
      <c r="S363" s="349"/>
      <c r="T363" s="349"/>
      <c r="U363" s="349"/>
      <c r="V363" s="349"/>
      <c r="W363" s="349"/>
      <c r="X363" s="349"/>
      <c r="Y363" s="349"/>
    </row>
    <row r="364" ht="15.75" customHeight="1">
      <c r="A364" s="349"/>
      <c r="B364" s="349"/>
      <c r="C364" s="349"/>
      <c r="D364" s="349"/>
      <c r="E364" s="349"/>
      <c r="F364" s="349"/>
      <c r="G364" s="349"/>
      <c r="H364" s="349"/>
      <c r="I364" s="349"/>
      <c r="J364" s="349"/>
      <c r="K364" s="349"/>
      <c r="L364" s="349"/>
      <c r="M364" s="349"/>
      <c r="N364" s="349"/>
      <c r="O364" s="349"/>
      <c r="P364" s="349"/>
      <c r="Q364" s="349"/>
      <c r="R364" s="349"/>
      <c r="S364" s="349"/>
      <c r="T364" s="349"/>
      <c r="U364" s="349"/>
      <c r="V364" s="349"/>
      <c r="W364" s="349"/>
      <c r="X364" s="349"/>
      <c r="Y364" s="349"/>
    </row>
    <row r="365" ht="15.75" customHeight="1">
      <c r="A365" s="349"/>
      <c r="B365" s="349"/>
      <c r="C365" s="349"/>
      <c r="D365" s="349"/>
      <c r="E365" s="349"/>
      <c r="F365" s="349"/>
      <c r="G365" s="349"/>
      <c r="H365" s="349"/>
      <c r="I365" s="349"/>
      <c r="J365" s="349"/>
      <c r="K365" s="349"/>
      <c r="L365" s="349"/>
      <c r="M365" s="349"/>
      <c r="N365" s="349"/>
      <c r="O365" s="349"/>
      <c r="P365" s="349"/>
      <c r="Q365" s="349"/>
      <c r="R365" s="349"/>
      <c r="S365" s="349"/>
      <c r="T365" s="349"/>
      <c r="U365" s="349"/>
      <c r="V365" s="349"/>
      <c r="W365" s="349"/>
      <c r="X365" s="349"/>
      <c r="Y365" s="349"/>
    </row>
    <row r="366" ht="15.75" customHeight="1">
      <c r="A366" s="349"/>
      <c r="B366" s="349"/>
      <c r="C366" s="349"/>
      <c r="D366" s="349"/>
      <c r="E366" s="349"/>
      <c r="F366" s="349"/>
      <c r="G366" s="349"/>
      <c r="H366" s="349"/>
      <c r="I366" s="349"/>
      <c r="J366" s="349"/>
      <c r="K366" s="349"/>
      <c r="L366" s="349"/>
      <c r="M366" s="349"/>
      <c r="N366" s="349"/>
      <c r="O366" s="349"/>
      <c r="P366" s="349"/>
      <c r="Q366" s="349"/>
      <c r="R366" s="349"/>
      <c r="S366" s="349"/>
      <c r="T366" s="349"/>
      <c r="U366" s="349"/>
      <c r="V366" s="349"/>
      <c r="W366" s="349"/>
      <c r="X366" s="349"/>
      <c r="Y366" s="349"/>
    </row>
    <row r="367" ht="15.75" customHeight="1">
      <c r="A367" s="349"/>
      <c r="B367" s="349"/>
      <c r="C367" s="349"/>
      <c r="D367" s="349"/>
      <c r="E367" s="349"/>
      <c r="F367" s="349"/>
      <c r="G367" s="349"/>
      <c r="H367" s="349"/>
      <c r="I367" s="349"/>
      <c r="J367" s="349"/>
      <c r="K367" s="349"/>
      <c r="L367" s="349"/>
      <c r="M367" s="349"/>
      <c r="N367" s="349"/>
      <c r="O367" s="349"/>
      <c r="P367" s="349"/>
      <c r="Q367" s="349"/>
      <c r="R367" s="349"/>
      <c r="S367" s="349"/>
      <c r="T367" s="349"/>
      <c r="U367" s="349"/>
      <c r="V367" s="349"/>
      <c r="W367" s="349"/>
      <c r="X367" s="349"/>
      <c r="Y367" s="349"/>
    </row>
    <row r="368" ht="15.75" customHeight="1">
      <c r="A368" s="349"/>
      <c r="B368" s="349"/>
      <c r="C368" s="349"/>
      <c r="D368" s="349"/>
      <c r="E368" s="349"/>
      <c r="F368" s="349"/>
      <c r="G368" s="349"/>
      <c r="H368" s="349"/>
      <c r="I368" s="349"/>
      <c r="J368" s="349"/>
      <c r="K368" s="349"/>
      <c r="L368" s="349"/>
      <c r="M368" s="349"/>
      <c r="N368" s="349"/>
      <c r="O368" s="349"/>
      <c r="P368" s="349"/>
      <c r="Q368" s="349"/>
      <c r="R368" s="349"/>
      <c r="S368" s="349"/>
      <c r="T368" s="349"/>
      <c r="U368" s="349"/>
      <c r="V368" s="349"/>
      <c r="W368" s="349"/>
      <c r="X368" s="349"/>
      <c r="Y368" s="349"/>
    </row>
    <row r="369" ht="15.75" customHeight="1">
      <c r="A369" s="349"/>
      <c r="B369" s="349"/>
      <c r="C369" s="349"/>
      <c r="D369" s="349"/>
      <c r="E369" s="349"/>
      <c r="F369" s="349"/>
      <c r="G369" s="349"/>
      <c r="H369" s="349"/>
      <c r="I369" s="349"/>
      <c r="J369" s="349"/>
      <c r="K369" s="349"/>
      <c r="L369" s="349"/>
      <c r="M369" s="349"/>
      <c r="N369" s="349"/>
      <c r="O369" s="349"/>
      <c r="P369" s="349"/>
      <c r="Q369" s="349"/>
      <c r="R369" s="349"/>
      <c r="S369" s="349"/>
      <c r="T369" s="349"/>
      <c r="U369" s="349"/>
      <c r="V369" s="349"/>
      <c r="W369" s="349"/>
      <c r="X369" s="349"/>
      <c r="Y369" s="349"/>
    </row>
    <row r="370" ht="15.75" customHeight="1">
      <c r="A370" s="349"/>
      <c r="B370" s="349"/>
      <c r="C370" s="349"/>
      <c r="D370" s="349"/>
      <c r="E370" s="349"/>
      <c r="F370" s="349"/>
      <c r="G370" s="349"/>
      <c r="H370" s="349"/>
      <c r="I370" s="349"/>
      <c r="J370" s="349"/>
      <c r="K370" s="349"/>
      <c r="L370" s="349"/>
      <c r="M370" s="349"/>
      <c r="N370" s="349"/>
      <c r="O370" s="349"/>
      <c r="P370" s="349"/>
      <c r="Q370" s="349"/>
      <c r="R370" s="349"/>
      <c r="S370" s="349"/>
      <c r="T370" s="349"/>
      <c r="U370" s="349"/>
      <c r="V370" s="349"/>
      <c r="W370" s="349"/>
      <c r="X370" s="349"/>
      <c r="Y370" s="349"/>
    </row>
    <row r="371" ht="15.75" customHeight="1">
      <c r="A371" s="349"/>
      <c r="B371" s="349"/>
      <c r="C371" s="349"/>
      <c r="D371" s="349"/>
      <c r="E371" s="349"/>
      <c r="F371" s="349"/>
      <c r="G371" s="349"/>
      <c r="H371" s="349"/>
      <c r="I371" s="349"/>
      <c r="J371" s="349"/>
      <c r="K371" s="349"/>
      <c r="L371" s="349"/>
      <c r="M371" s="349"/>
      <c r="N371" s="349"/>
      <c r="O371" s="349"/>
      <c r="P371" s="349"/>
      <c r="Q371" s="349"/>
      <c r="R371" s="349"/>
      <c r="S371" s="349"/>
      <c r="T371" s="349"/>
      <c r="U371" s="349"/>
      <c r="V371" s="349"/>
      <c r="W371" s="349"/>
      <c r="X371" s="349"/>
      <c r="Y371" s="349"/>
    </row>
    <row r="372" ht="15.75" customHeight="1">
      <c r="A372" s="349"/>
      <c r="B372" s="349"/>
      <c r="C372" s="349"/>
      <c r="D372" s="349"/>
      <c r="E372" s="349"/>
      <c r="F372" s="349"/>
      <c r="G372" s="349"/>
      <c r="H372" s="349"/>
      <c r="I372" s="349"/>
      <c r="J372" s="349"/>
      <c r="K372" s="349"/>
      <c r="L372" s="349"/>
      <c r="M372" s="349"/>
      <c r="N372" s="349"/>
      <c r="O372" s="349"/>
      <c r="P372" s="349"/>
      <c r="Q372" s="349"/>
      <c r="R372" s="349"/>
      <c r="S372" s="349"/>
      <c r="T372" s="349"/>
      <c r="U372" s="349"/>
      <c r="V372" s="349"/>
      <c r="W372" s="349"/>
      <c r="X372" s="349"/>
      <c r="Y372" s="349"/>
    </row>
    <row r="373" ht="15.75" customHeight="1">
      <c r="A373" s="349"/>
      <c r="B373" s="349"/>
      <c r="C373" s="349"/>
      <c r="D373" s="349"/>
      <c r="E373" s="349"/>
      <c r="F373" s="349"/>
      <c r="G373" s="349"/>
      <c r="H373" s="349"/>
      <c r="I373" s="349"/>
      <c r="J373" s="349"/>
      <c r="K373" s="349"/>
      <c r="L373" s="349"/>
      <c r="M373" s="349"/>
      <c r="N373" s="349"/>
      <c r="O373" s="349"/>
      <c r="P373" s="349"/>
      <c r="Q373" s="349"/>
      <c r="R373" s="349"/>
      <c r="S373" s="349"/>
      <c r="T373" s="349"/>
      <c r="U373" s="349"/>
      <c r="V373" s="349"/>
      <c r="W373" s="349"/>
      <c r="X373" s="349"/>
      <c r="Y373" s="349"/>
    </row>
    <row r="374" ht="15.75" customHeight="1">
      <c r="A374" s="349"/>
      <c r="B374" s="349"/>
      <c r="C374" s="349"/>
      <c r="D374" s="349"/>
      <c r="E374" s="349"/>
      <c r="F374" s="349"/>
      <c r="G374" s="349"/>
      <c r="H374" s="349"/>
      <c r="I374" s="349"/>
      <c r="J374" s="349"/>
      <c r="K374" s="349"/>
      <c r="L374" s="349"/>
      <c r="M374" s="349"/>
      <c r="N374" s="349"/>
      <c r="O374" s="349"/>
      <c r="P374" s="349"/>
      <c r="Q374" s="349"/>
      <c r="R374" s="349"/>
      <c r="S374" s="349"/>
      <c r="T374" s="349"/>
      <c r="U374" s="349"/>
      <c r="V374" s="349"/>
      <c r="W374" s="349"/>
      <c r="X374" s="349"/>
      <c r="Y374" s="349"/>
    </row>
    <row r="375" ht="15.75" customHeight="1">
      <c r="A375" s="349"/>
      <c r="B375" s="349"/>
      <c r="C375" s="349"/>
      <c r="D375" s="349"/>
      <c r="E375" s="349"/>
      <c r="F375" s="349"/>
      <c r="G375" s="349"/>
      <c r="H375" s="349"/>
      <c r="I375" s="349"/>
      <c r="J375" s="349"/>
      <c r="K375" s="349"/>
      <c r="L375" s="349"/>
      <c r="M375" s="349"/>
      <c r="N375" s="349"/>
      <c r="O375" s="349"/>
      <c r="P375" s="349"/>
      <c r="Q375" s="349"/>
      <c r="R375" s="349"/>
      <c r="S375" s="349"/>
      <c r="T375" s="349"/>
      <c r="U375" s="349"/>
      <c r="V375" s="349"/>
      <c r="W375" s="349"/>
      <c r="X375" s="349"/>
      <c r="Y375" s="349"/>
    </row>
    <row r="376" ht="15.75" customHeight="1">
      <c r="A376" s="349"/>
      <c r="B376" s="349"/>
      <c r="C376" s="349"/>
      <c r="D376" s="349"/>
      <c r="E376" s="349"/>
      <c r="F376" s="349"/>
      <c r="G376" s="349"/>
      <c r="H376" s="349"/>
      <c r="I376" s="349"/>
      <c r="J376" s="349"/>
      <c r="K376" s="349"/>
      <c r="L376" s="349"/>
      <c r="M376" s="349"/>
      <c r="N376" s="349"/>
      <c r="O376" s="349"/>
      <c r="P376" s="349"/>
      <c r="Q376" s="349"/>
      <c r="R376" s="349"/>
      <c r="S376" s="349"/>
      <c r="T376" s="349"/>
      <c r="U376" s="349"/>
      <c r="V376" s="349"/>
      <c r="W376" s="349"/>
      <c r="X376" s="349"/>
      <c r="Y376" s="349"/>
    </row>
    <row r="377" ht="15.75" customHeight="1">
      <c r="A377" s="349"/>
      <c r="B377" s="349"/>
      <c r="C377" s="349"/>
      <c r="D377" s="349"/>
      <c r="E377" s="349"/>
      <c r="F377" s="349"/>
      <c r="G377" s="349"/>
      <c r="H377" s="349"/>
      <c r="I377" s="349"/>
      <c r="J377" s="349"/>
      <c r="K377" s="349"/>
      <c r="L377" s="349"/>
      <c r="M377" s="349"/>
      <c r="N377" s="349"/>
      <c r="O377" s="349"/>
      <c r="P377" s="349"/>
      <c r="Q377" s="349"/>
      <c r="R377" s="349"/>
      <c r="S377" s="349"/>
      <c r="T377" s="349"/>
      <c r="U377" s="349"/>
      <c r="V377" s="349"/>
      <c r="W377" s="349"/>
      <c r="X377" s="349"/>
      <c r="Y377" s="349"/>
    </row>
    <row r="378" ht="15.75" customHeight="1">
      <c r="A378" s="349"/>
      <c r="B378" s="349"/>
      <c r="C378" s="349"/>
      <c r="D378" s="349"/>
      <c r="E378" s="349"/>
      <c r="F378" s="349"/>
      <c r="G378" s="349"/>
      <c r="H378" s="349"/>
      <c r="I378" s="349"/>
      <c r="J378" s="349"/>
      <c r="K378" s="349"/>
      <c r="L378" s="349"/>
      <c r="M378" s="349"/>
      <c r="N378" s="349"/>
      <c r="O378" s="349"/>
      <c r="P378" s="349"/>
      <c r="Q378" s="349"/>
      <c r="R378" s="349"/>
      <c r="S378" s="349"/>
      <c r="T378" s="349"/>
      <c r="U378" s="349"/>
      <c r="V378" s="349"/>
      <c r="W378" s="349"/>
      <c r="X378" s="349"/>
      <c r="Y378" s="349"/>
    </row>
    <row r="379" ht="15.75" customHeight="1">
      <c r="A379" s="349"/>
      <c r="B379" s="349"/>
      <c r="C379" s="349"/>
      <c r="D379" s="349"/>
      <c r="E379" s="349"/>
      <c r="F379" s="349"/>
      <c r="G379" s="349"/>
      <c r="H379" s="349"/>
      <c r="I379" s="349"/>
      <c r="J379" s="349"/>
      <c r="K379" s="349"/>
      <c r="L379" s="349"/>
      <c r="M379" s="349"/>
      <c r="N379" s="349"/>
      <c r="O379" s="349"/>
      <c r="P379" s="349"/>
      <c r="Q379" s="349"/>
      <c r="R379" s="349"/>
      <c r="S379" s="349"/>
      <c r="T379" s="349"/>
      <c r="U379" s="349"/>
      <c r="V379" s="349"/>
      <c r="W379" s="349"/>
      <c r="X379" s="349"/>
      <c r="Y379" s="349"/>
    </row>
    <row r="380" ht="15.75" customHeight="1">
      <c r="A380" s="349"/>
      <c r="B380" s="349"/>
      <c r="C380" s="349"/>
      <c r="D380" s="349"/>
      <c r="E380" s="349"/>
      <c r="F380" s="349"/>
      <c r="G380" s="349"/>
      <c r="H380" s="349"/>
      <c r="I380" s="349"/>
      <c r="J380" s="349"/>
      <c r="K380" s="349"/>
      <c r="L380" s="349"/>
      <c r="M380" s="349"/>
      <c r="N380" s="349"/>
      <c r="O380" s="349"/>
      <c r="P380" s="349"/>
      <c r="Q380" s="349"/>
      <c r="R380" s="349"/>
      <c r="S380" s="349"/>
      <c r="T380" s="349"/>
      <c r="U380" s="349"/>
      <c r="V380" s="349"/>
      <c r="W380" s="349"/>
      <c r="X380" s="349"/>
      <c r="Y380" s="349"/>
    </row>
    <row r="381" ht="15.75" customHeight="1">
      <c r="A381" s="349"/>
      <c r="B381" s="349"/>
      <c r="C381" s="349"/>
      <c r="D381" s="349"/>
      <c r="E381" s="349"/>
      <c r="F381" s="349"/>
      <c r="G381" s="349"/>
      <c r="H381" s="349"/>
      <c r="I381" s="349"/>
      <c r="J381" s="349"/>
      <c r="K381" s="349"/>
      <c r="L381" s="349"/>
      <c r="M381" s="349"/>
      <c r="N381" s="349"/>
      <c r="O381" s="349"/>
      <c r="P381" s="349"/>
      <c r="Q381" s="349"/>
      <c r="R381" s="349"/>
      <c r="S381" s="349"/>
      <c r="T381" s="349"/>
      <c r="U381" s="349"/>
      <c r="V381" s="349"/>
      <c r="W381" s="349"/>
      <c r="X381" s="349"/>
      <c r="Y381" s="349"/>
    </row>
    <row r="382" ht="15.75" customHeight="1">
      <c r="A382" s="349"/>
      <c r="B382" s="349"/>
      <c r="C382" s="349"/>
      <c r="D382" s="349"/>
      <c r="E382" s="349"/>
      <c r="F382" s="349"/>
      <c r="G382" s="349"/>
      <c r="H382" s="349"/>
      <c r="I382" s="349"/>
      <c r="J382" s="349"/>
      <c r="K382" s="349"/>
      <c r="L382" s="349"/>
      <c r="M382" s="349"/>
      <c r="N382" s="349"/>
      <c r="O382" s="349"/>
      <c r="P382" s="349"/>
      <c r="Q382" s="349"/>
      <c r="R382" s="349"/>
      <c r="S382" s="349"/>
      <c r="T382" s="349"/>
      <c r="U382" s="349"/>
      <c r="V382" s="349"/>
      <c r="W382" s="349"/>
      <c r="X382" s="349"/>
      <c r="Y382" s="349"/>
    </row>
    <row r="383" ht="15.75" customHeight="1">
      <c r="A383" s="349"/>
      <c r="B383" s="349"/>
      <c r="C383" s="349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  <c r="R383" s="349"/>
      <c r="S383" s="349"/>
      <c r="T383" s="349"/>
      <c r="U383" s="349"/>
      <c r="V383" s="349"/>
      <c r="W383" s="349"/>
      <c r="X383" s="349"/>
      <c r="Y383" s="349"/>
    </row>
    <row r="384" ht="15.75" customHeight="1">
      <c r="A384" s="349"/>
      <c r="B384" s="349"/>
      <c r="C384" s="349"/>
      <c r="D384" s="349"/>
      <c r="E384" s="349"/>
      <c r="F384" s="349"/>
      <c r="G384" s="349"/>
      <c r="H384" s="349"/>
      <c r="I384" s="349"/>
      <c r="J384" s="349"/>
      <c r="K384" s="349"/>
      <c r="L384" s="349"/>
      <c r="M384" s="349"/>
      <c r="N384" s="349"/>
      <c r="O384" s="349"/>
      <c r="P384" s="349"/>
      <c r="Q384" s="349"/>
      <c r="R384" s="349"/>
      <c r="S384" s="349"/>
      <c r="T384" s="349"/>
      <c r="U384" s="349"/>
      <c r="V384" s="349"/>
      <c r="W384" s="349"/>
      <c r="X384" s="349"/>
      <c r="Y384" s="349"/>
    </row>
    <row r="385" ht="15.75" customHeight="1">
      <c r="A385" s="349"/>
      <c r="B385" s="349"/>
      <c r="C385" s="349"/>
      <c r="D385" s="349"/>
      <c r="E385" s="349"/>
      <c r="F385" s="349"/>
      <c r="G385" s="349"/>
      <c r="H385" s="349"/>
      <c r="I385" s="349"/>
      <c r="J385" s="349"/>
      <c r="K385" s="349"/>
      <c r="L385" s="349"/>
      <c r="M385" s="349"/>
      <c r="N385" s="349"/>
      <c r="O385" s="349"/>
      <c r="P385" s="349"/>
      <c r="Q385" s="349"/>
      <c r="R385" s="349"/>
      <c r="S385" s="349"/>
      <c r="T385" s="349"/>
      <c r="U385" s="349"/>
      <c r="V385" s="349"/>
      <c r="W385" s="349"/>
      <c r="X385" s="349"/>
      <c r="Y385" s="349"/>
    </row>
    <row r="386" ht="15.75" customHeight="1">
      <c r="A386" s="349"/>
      <c r="B386" s="349"/>
      <c r="C386" s="349"/>
      <c r="D386" s="349"/>
      <c r="E386" s="349"/>
      <c r="F386" s="349"/>
      <c r="G386" s="349"/>
      <c r="H386" s="349"/>
      <c r="I386" s="349"/>
      <c r="J386" s="349"/>
      <c r="K386" s="349"/>
      <c r="L386" s="349"/>
      <c r="M386" s="349"/>
      <c r="N386" s="349"/>
      <c r="O386" s="349"/>
      <c r="P386" s="349"/>
      <c r="Q386" s="349"/>
      <c r="R386" s="349"/>
      <c r="S386" s="349"/>
      <c r="T386" s="349"/>
      <c r="U386" s="349"/>
      <c r="V386" s="349"/>
      <c r="W386" s="349"/>
      <c r="X386" s="349"/>
      <c r="Y386" s="349"/>
    </row>
    <row r="387" ht="15.75" customHeight="1">
      <c r="A387" s="349"/>
      <c r="B387" s="349"/>
      <c r="C387" s="349"/>
      <c r="D387" s="349"/>
      <c r="E387" s="349"/>
      <c r="F387" s="349"/>
      <c r="G387" s="349"/>
      <c r="H387" s="349"/>
      <c r="I387" s="349"/>
      <c r="J387" s="349"/>
      <c r="K387" s="349"/>
      <c r="L387" s="349"/>
      <c r="M387" s="349"/>
      <c r="N387" s="349"/>
      <c r="O387" s="349"/>
      <c r="P387" s="349"/>
      <c r="Q387" s="349"/>
      <c r="R387" s="349"/>
      <c r="S387" s="349"/>
      <c r="T387" s="349"/>
      <c r="U387" s="349"/>
      <c r="V387" s="349"/>
      <c r="W387" s="349"/>
      <c r="X387" s="349"/>
      <c r="Y387" s="349"/>
    </row>
    <row r="388" ht="15.75" customHeight="1">
      <c r="A388" s="349"/>
      <c r="B388" s="349"/>
      <c r="C388" s="349"/>
      <c r="D388" s="349"/>
      <c r="E388" s="349"/>
      <c r="F388" s="349"/>
      <c r="G388" s="349"/>
      <c r="H388" s="349"/>
      <c r="I388" s="349"/>
      <c r="J388" s="349"/>
      <c r="K388" s="349"/>
      <c r="L388" s="349"/>
      <c r="M388" s="349"/>
      <c r="N388" s="349"/>
      <c r="O388" s="349"/>
      <c r="P388" s="349"/>
      <c r="Q388" s="349"/>
      <c r="R388" s="349"/>
      <c r="S388" s="349"/>
      <c r="T388" s="349"/>
      <c r="U388" s="349"/>
      <c r="V388" s="349"/>
      <c r="W388" s="349"/>
      <c r="X388" s="349"/>
      <c r="Y388" s="349"/>
    </row>
    <row r="389" ht="15.75" customHeight="1">
      <c r="A389" s="349"/>
      <c r="B389" s="349"/>
      <c r="C389" s="349"/>
      <c r="D389" s="349"/>
      <c r="E389" s="349"/>
      <c r="F389" s="349"/>
      <c r="G389" s="349"/>
      <c r="H389" s="349"/>
      <c r="I389" s="349"/>
      <c r="J389" s="349"/>
      <c r="K389" s="349"/>
      <c r="L389" s="349"/>
      <c r="M389" s="349"/>
      <c r="N389" s="349"/>
      <c r="O389" s="349"/>
      <c r="P389" s="349"/>
      <c r="Q389" s="349"/>
      <c r="R389" s="349"/>
      <c r="S389" s="349"/>
      <c r="T389" s="349"/>
      <c r="U389" s="349"/>
      <c r="V389" s="349"/>
      <c r="W389" s="349"/>
      <c r="X389" s="349"/>
      <c r="Y389" s="349"/>
    </row>
    <row r="390" ht="15.75" customHeight="1">
      <c r="A390" s="349"/>
      <c r="B390" s="349"/>
      <c r="C390" s="349"/>
      <c r="D390" s="349"/>
      <c r="E390" s="349"/>
      <c r="F390" s="349"/>
      <c r="G390" s="349"/>
      <c r="H390" s="349"/>
      <c r="I390" s="349"/>
      <c r="J390" s="349"/>
      <c r="K390" s="349"/>
      <c r="L390" s="349"/>
      <c r="M390" s="349"/>
      <c r="N390" s="349"/>
      <c r="O390" s="349"/>
      <c r="P390" s="349"/>
      <c r="Q390" s="349"/>
      <c r="R390" s="349"/>
      <c r="S390" s="349"/>
      <c r="T390" s="349"/>
      <c r="U390" s="349"/>
      <c r="V390" s="349"/>
      <c r="W390" s="349"/>
      <c r="X390" s="349"/>
      <c r="Y390" s="349"/>
    </row>
    <row r="391" ht="15.75" customHeight="1">
      <c r="A391" s="349"/>
      <c r="B391" s="349"/>
      <c r="C391" s="349"/>
      <c r="D391" s="349"/>
      <c r="E391" s="349"/>
      <c r="F391" s="349"/>
      <c r="G391" s="349"/>
      <c r="H391" s="349"/>
      <c r="I391" s="349"/>
      <c r="J391" s="349"/>
      <c r="K391" s="349"/>
      <c r="L391" s="349"/>
      <c r="M391" s="349"/>
      <c r="N391" s="349"/>
      <c r="O391" s="349"/>
      <c r="P391" s="349"/>
      <c r="Q391" s="349"/>
      <c r="R391" s="349"/>
      <c r="S391" s="349"/>
      <c r="T391" s="349"/>
      <c r="U391" s="349"/>
      <c r="V391" s="349"/>
      <c r="W391" s="349"/>
      <c r="X391" s="349"/>
      <c r="Y391" s="349"/>
    </row>
    <row r="392" ht="15.75" customHeight="1">
      <c r="A392" s="349"/>
      <c r="B392" s="349"/>
      <c r="C392" s="349"/>
      <c r="D392" s="349"/>
      <c r="E392" s="349"/>
      <c r="F392" s="349"/>
      <c r="G392" s="349"/>
      <c r="H392" s="349"/>
      <c r="I392" s="349"/>
      <c r="J392" s="349"/>
      <c r="K392" s="349"/>
      <c r="L392" s="349"/>
      <c r="M392" s="349"/>
      <c r="N392" s="349"/>
      <c r="O392" s="349"/>
      <c r="P392" s="349"/>
      <c r="Q392" s="349"/>
      <c r="R392" s="349"/>
      <c r="S392" s="349"/>
      <c r="T392" s="349"/>
      <c r="U392" s="349"/>
      <c r="V392" s="349"/>
      <c r="W392" s="349"/>
      <c r="X392" s="349"/>
      <c r="Y392" s="349"/>
    </row>
    <row r="393" ht="15.75" customHeight="1">
      <c r="A393" s="349"/>
      <c r="B393" s="349"/>
      <c r="C393" s="349"/>
      <c r="D393" s="349"/>
      <c r="E393" s="349"/>
      <c r="F393" s="349"/>
      <c r="G393" s="349"/>
      <c r="H393" s="349"/>
      <c r="I393" s="349"/>
      <c r="J393" s="349"/>
      <c r="K393" s="349"/>
      <c r="L393" s="349"/>
      <c r="M393" s="349"/>
      <c r="N393" s="349"/>
      <c r="O393" s="349"/>
      <c r="P393" s="349"/>
      <c r="Q393" s="349"/>
      <c r="R393" s="349"/>
      <c r="S393" s="349"/>
      <c r="T393" s="349"/>
      <c r="U393" s="349"/>
      <c r="V393" s="349"/>
      <c r="W393" s="349"/>
      <c r="X393" s="349"/>
      <c r="Y393" s="349"/>
    </row>
    <row r="394" ht="15.75" customHeight="1">
      <c r="A394" s="349"/>
      <c r="B394" s="349"/>
      <c r="C394" s="349"/>
      <c r="D394" s="349"/>
      <c r="E394" s="349"/>
      <c r="F394" s="349"/>
      <c r="G394" s="349"/>
      <c r="H394" s="349"/>
      <c r="I394" s="349"/>
      <c r="J394" s="349"/>
      <c r="K394" s="349"/>
      <c r="L394" s="349"/>
      <c r="M394" s="349"/>
      <c r="N394" s="349"/>
      <c r="O394" s="349"/>
      <c r="P394" s="349"/>
      <c r="Q394" s="349"/>
      <c r="R394" s="349"/>
      <c r="S394" s="349"/>
      <c r="T394" s="349"/>
      <c r="U394" s="349"/>
      <c r="V394" s="349"/>
      <c r="W394" s="349"/>
      <c r="X394" s="349"/>
      <c r="Y394" s="349"/>
    </row>
    <row r="395" ht="15.75" customHeight="1">
      <c r="A395" s="349"/>
      <c r="B395" s="349"/>
      <c r="C395" s="349"/>
      <c r="D395" s="349"/>
      <c r="E395" s="349"/>
      <c r="F395" s="349"/>
      <c r="G395" s="349"/>
      <c r="H395" s="349"/>
      <c r="I395" s="349"/>
      <c r="J395" s="349"/>
      <c r="K395" s="349"/>
      <c r="L395" s="349"/>
      <c r="M395" s="349"/>
      <c r="N395" s="349"/>
      <c r="O395" s="349"/>
      <c r="P395" s="349"/>
      <c r="Q395" s="349"/>
      <c r="R395" s="349"/>
      <c r="S395" s="349"/>
      <c r="T395" s="349"/>
      <c r="U395" s="349"/>
      <c r="V395" s="349"/>
      <c r="W395" s="349"/>
      <c r="X395" s="349"/>
      <c r="Y395" s="349"/>
    </row>
    <row r="396" ht="15.75" customHeight="1">
      <c r="A396" s="349"/>
      <c r="B396" s="349"/>
      <c r="C396" s="349"/>
      <c r="D396" s="349"/>
      <c r="E396" s="349"/>
      <c r="F396" s="349"/>
      <c r="G396" s="349"/>
      <c r="H396" s="349"/>
      <c r="I396" s="349"/>
      <c r="J396" s="349"/>
      <c r="K396" s="349"/>
      <c r="L396" s="349"/>
      <c r="M396" s="349"/>
      <c r="N396" s="349"/>
      <c r="O396" s="349"/>
      <c r="P396" s="349"/>
      <c r="Q396" s="349"/>
      <c r="R396" s="349"/>
      <c r="S396" s="349"/>
      <c r="T396" s="349"/>
      <c r="U396" s="349"/>
      <c r="V396" s="349"/>
      <c r="W396" s="349"/>
      <c r="X396" s="349"/>
      <c r="Y396" s="349"/>
    </row>
    <row r="397" ht="15.75" customHeight="1">
      <c r="A397" s="349"/>
      <c r="B397" s="349"/>
      <c r="C397" s="349"/>
      <c r="D397" s="349"/>
      <c r="E397" s="349"/>
      <c r="F397" s="349"/>
      <c r="G397" s="349"/>
      <c r="H397" s="349"/>
      <c r="I397" s="349"/>
      <c r="J397" s="349"/>
      <c r="K397" s="349"/>
      <c r="L397" s="349"/>
      <c r="M397" s="349"/>
      <c r="N397" s="349"/>
      <c r="O397" s="349"/>
      <c r="P397" s="349"/>
      <c r="Q397" s="349"/>
      <c r="R397" s="349"/>
      <c r="S397" s="349"/>
      <c r="T397" s="349"/>
      <c r="U397" s="349"/>
      <c r="V397" s="349"/>
      <c r="W397" s="349"/>
      <c r="X397" s="349"/>
      <c r="Y397" s="349"/>
    </row>
    <row r="398" ht="15.75" customHeight="1">
      <c r="A398" s="349"/>
      <c r="B398" s="349"/>
      <c r="C398" s="349"/>
      <c r="D398" s="349"/>
      <c r="E398" s="349"/>
      <c r="F398" s="349"/>
      <c r="G398" s="349"/>
      <c r="H398" s="349"/>
      <c r="I398" s="349"/>
      <c r="J398" s="349"/>
      <c r="K398" s="349"/>
      <c r="L398" s="349"/>
      <c r="M398" s="349"/>
      <c r="N398" s="349"/>
      <c r="O398" s="349"/>
      <c r="P398" s="349"/>
      <c r="Q398" s="349"/>
      <c r="R398" s="349"/>
      <c r="S398" s="349"/>
      <c r="T398" s="349"/>
      <c r="U398" s="349"/>
      <c r="V398" s="349"/>
      <c r="W398" s="349"/>
      <c r="X398" s="349"/>
      <c r="Y398" s="349"/>
    </row>
    <row r="399" ht="15.75" customHeight="1">
      <c r="A399" s="349"/>
      <c r="B399" s="349"/>
      <c r="C399" s="349"/>
      <c r="D399" s="349"/>
      <c r="E399" s="349"/>
      <c r="F399" s="349"/>
      <c r="G399" s="349"/>
      <c r="H399" s="349"/>
      <c r="I399" s="349"/>
      <c r="J399" s="349"/>
      <c r="K399" s="349"/>
      <c r="L399" s="349"/>
      <c r="M399" s="349"/>
      <c r="N399" s="349"/>
      <c r="O399" s="349"/>
      <c r="P399" s="349"/>
      <c r="Q399" s="349"/>
      <c r="R399" s="349"/>
      <c r="S399" s="349"/>
      <c r="T399" s="349"/>
      <c r="U399" s="349"/>
      <c r="V399" s="349"/>
      <c r="W399" s="349"/>
      <c r="X399" s="349"/>
      <c r="Y399" s="349"/>
    </row>
    <row r="400" ht="15.75" customHeight="1">
      <c r="A400" s="349"/>
      <c r="B400" s="349"/>
      <c r="C400" s="349"/>
      <c r="D400" s="349"/>
      <c r="E400" s="349"/>
      <c r="F400" s="349"/>
      <c r="G400" s="349"/>
      <c r="H400" s="349"/>
      <c r="I400" s="349"/>
      <c r="J400" s="349"/>
      <c r="K400" s="349"/>
      <c r="L400" s="349"/>
      <c r="M400" s="349"/>
      <c r="N400" s="349"/>
      <c r="O400" s="349"/>
      <c r="P400" s="349"/>
      <c r="Q400" s="349"/>
      <c r="R400" s="349"/>
      <c r="S400" s="349"/>
      <c r="T400" s="349"/>
      <c r="U400" s="349"/>
      <c r="V400" s="349"/>
      <c r="W400" s="349"/>
      <c r="X400" s="349"/>
      <c r="Y400" s="349"/>
    </row>
    <row r="401" ht="15.75" customHeight="1">
      <c r="A401" s="349"/>
      <c r="B401" s="349"/>
      <c r="C401" s="349"/>
      <c r="D401" s="349"/>
      <c r="E401" s="349"/>
      <c r="F401" s="349"/>
      <c r="G401" s="349"/>
      <c r="H401" s="349"/>
      <c r="I401" s="349"/>
      <c r="J401" s="349"/>
      <c r="K401" s="349"/>
      <c r="L401" s="349"/>
      <c r="M401" s="349"/>
      <c r="N401" s="349"/>
      <c r="O401" s="349"/>
      <c r="P401" s="349"/>
      <c r="Q401" s="349"/>
      <c r="R401" s="349"/>
      <c r="S401" s="349"/>
      <c r="T401" s="349"/>
      <c r="U401" s="349"/>
      <c r="V401" s="349"/>
      <c r="W401" s="349"/>
      <c r="X401" s="349"/>
      <c r="Y401" s="349"/>
    </row>
    <row r="402" ht="15.75" customHeight="1">
      <c r="A402" s="349"/>
      <c r="B402" s="349"/>
      <c r="C402" s="349"/>
      <c r="D402" s="349"/>
      <c r="E402" s="349"/>
      <c r="F402" s="349"/>
      <c r="G402" s="349"/>
      <c r="H402" s="349"/>
      <c r="I402" s="349"/>
      <c r="J402" s="349"/>
      <c r="K402" s="349"/>
      <c r="L402" s="349"/>
      <c r="M402" s="349"/>
      <c r="N402" s="349"/>
      <c r="O402" s="349"/>
      <c r="P402" s="349"/>
      <c r="Q402" s="349"/>
      <c r="R402" s="349"/>
      <c r="S402" s="349"/>
      <c r="T402" s="349"/>
      <c r="U402" s="349"/>
      <c r="V402" s="349"/>
      <c r="W402" s="349"/>
      <c r="X402" s="349"/>
      <c r="Y402" s="349"/>
    </row>
    <row r="403" ht="15.75" customHeight="1">
      <c r="A403" s="349"/>
      <c r="B403" s="349"/>
      <c r="C403" s="349"/>
      <c r="D403" s="349"/>
      <c r="E403" s="349"/>
      <c r="F403" s="349"/>
      <c r="G403" s="349"/>
      <c r="H403" s="349"/>
      <c r="I403" s="349"/>
      <c r="J403" s="349"/>
      <c r="K403" s="349"/>
      <c r="L403" s="349"/>
      <c r="M403" s="349"/>
      <c r="N403" s="349"/>
      <c r="O403" s="349"/>
      <c r="P403" s="349"/>
      <c r="Q403" s="349"/>
      <c r="R403" s="349"/>
      <c r="S403" s="349"/>
      <c r="T403" s="349"/>
      <c r="U403" s="349"/>
      <c r="V403" s="349"/>
      <c r="W403" s="349"/>
      <c r="X403" s="349"/>
      <c r="Y403" s="349"/>
    </row>
    <row r="404" ht="15.75" customHeight="1">
      <c r="A404" s="349"/>
      <c r="B404" s="349"/>
      <c r="C404" s="349"/>
      <c r="D404" s="349"/>
      <c r="E404" s="349"/>
      <c r="F404" s="349"/>
      <c r="G404" s="349"/>
      <c r="H404" s="349"/>
      <c r="I404" s="349"/>
      <c r="J404" s="349"/>
      <c r="K404" s="349"/>
      <c r="L404" s="349"/>
      <c r="M404" s="349"/>
      <c r="N404" s="349"/>
      <c r="O404" s="349"/>
      <c r="P404" s="349"/>
      <c r="Q404" s="349"/>
      <c r="R404" s="349"/>
      <c r="S404" s="349"/>
      <c r="T404" s="349"/>
      <c r="U404" s="349"/>
      <c r="V404" s="349"/>
      <c r="W404" s="349"/>
      <c r="X404" s="349"/>
      <c r="Y404" s="349"/>
    </row>
    <row r="405" ht="15.75" customHeight="1">
      <c r="A405" s="349"/>
      <c r="B405" s="349"/>
      <c r="C405" s="349"/>
      <c r="D405" s="349"/>
      <c r="E405" s="349"/>
      <c r="F405" s="349"/>
      <c r="G405" s="349"/>
      <c r="H405" s="349"/>
      <c r="I405" s="349"/>
      <c r="J405" s="349"/>
      <c r="K405" s="349"/>
      <c r="L405" s="349"/>
      <c r="M405" s="349"/>
      <c r="N405" s="349"/>
      <c r="O405" s="349"/>
      <c r="P405" s="349"/>
      <c r="Q405" s="349"/>
      <c r="R405" s="349"/>
      <c r="S405" s="349"/>
      <c r="T405" s="349"/>
      <c r="U405" s="349"/>
      <c r="V405" s="349"/>
      <c r="W405" s="349"/>
      <c r="X405" s="349"/>
      <c r="Y405" s="349"/>
    </row>
    <row r="406" ht="15.75" customHeight="1">
      <c r="A406" s="349"/>
      <c r="B406" s="349"/>
      <c r="C406" s="349"/>
      <c r="D406" s="349"/>
      <c r="E406" s="349"/>
      <c r="F406" s="349"/>
      <c r="G406" s="349"/>
      <c r="H406" s="349"/>
      <c r="I406" s="349"/>
      <c r="J406" s="349"/>
      <c r="K406" s="349"/>
      <c r="L406" s="349"/>
      <c r="M406" s="349"/>
      <c r="N406" s="349"/>
      <c r="O406" s="349"/>
      <c r="P406" s="349"/>
      <c r="Q406" s="349"/>
      <c r="R406" s="349"/>
      <c r="S406" s="349"/>
      <c r="T406" s="349"/>
      <c r="U406" s="349"/>
      <c r="V406" s="349"/>
      <c r="W406" s="349"/>
      <c r="X406" s="349"/>
      <c r="Y406" s="349"/>
    </row>
    <row r="407" ht="15.75" customHeight="1">
      <c r="A407" s="349"/>
      <c r="B407" s="349"/>
      <c r="C407" s="349"/>
      <c r="D407" s="349"/>
      <c r="E407" s="349"/>
      <c r="F407" s="349"/>
      <c r="G407" s="349"/>
      <c r="H407" s="349"/>
      <c r="I407" s="349"/>
      <c r="J407" s="349"/>
      <c r="K407" s="349"/>
      <c r="L407" s="349"/>
      <c r="M407" s="349"/>
      <c r="N407" s="349"/>
      <c r="O407" s="349"/>
      <c r="P407" s="349"/>
      <c r="Q407" s="349"/>
      <c r="R407" s="349"/>
      <c r="S407" s="349"/>
      <c r="T407" s="349"/>
      <c r="U407" s="349"/>
      <c r="V407" s="349"/>
      <c r="W407" s="349"/>
      <c r="X407" s="349"/>
      <c r="Y407" s="349"/>
    </row>
    <row r="408" ht="15.75" customHeight="1">
      <c r="A408" s="349"/>
      <c r="B408" s="349"/>
      <c r="C408" s="349"/>
      <c r="D408" s="349"/>
      <c r="E408" s="349"/>
      <c r="F408" s="349"/>
      <c r="G408" s="349"/>
      <c r="H408" s="349"/>
      <c r="I408" s="349"/>
      <c r="J408" s="349"/>
      <c r="K408" s="349"/>
      <c r="L408" s="349"/>
      <c r="M408" s="349"/>
      <c r="N408" s="349"/>
      <c r="O408" s="349"/>
      <c r="P408" s="349"/>
      <c r="Q408" s="349"/>
      <c r="R408" s="349"/>
      <c r="S408" s="349"/>
      <c r="T408" s="349"/>
      <c r="U408" s="349"/>
      <c r="V408" s="349"/>
      <c r="W408" s="349"/>
      <c r="X408" s="349"/>
      <c r="Y408" s="349"/>
    </row>
    <row r="409" ht="15.75" customHeight="1">
      <c r="A409" s="349"/>
      <c r="B409" s="349"/>
      <c r="C409" s="349"/>
      <c r="D409" s="349"/>
      <c r="E409" s="349"/>
      <c r="F409" s="349"/>
      <c r="G409" s="349"/>
      <c r="H409" s="349"/>
      <c r="I409" s="349"/>
      <c r="J409" s="349"/>
      <c r="K409" s="349"/>
      <c r="L409" s="349"/>
      <c r="M409" s="349"/>
      <c r="N409" s="349"/>
      <c r="O409" s="349"/>
      <c r="P409" s="349"/>
      <c r="Q409" s="349"/>
      <c r="R409" s="349"/>
      <c r="S409" s="349"/>
      <c r="T409" s="349"/>
      <c r="U409" s="349"/>
      <c r="V409" s="349"/>
      <c r="W409" s="349"/>
      <c r="X409" s="349"/>
      <c r="Y409" s="349"/>
    </row>
    <row r="410" ht="15.75" customHeight="1">
      <c r="A410" s="349"/>
      <c r="B410" s="349"/>
      <c r="C410" s="349"/>
      <c r="D410" s="349"/>
      <c r="E410" s="349"/>
      <c r="F410" s="349"/>
      <c r="G410" s="349"/>
      <c r="H410" s="349"/>
      <c r="I410" s="349"/>
      <c r="J410" s="349"/>
      <c r="K410" s="349"/>
      <c r="L410" s="349"/>
      <c r="M410" s="349"/>
      <c r="N410" s="349"/>
      <c r="O410" s="349"/>
      <c r="P410" s="349"/>
      <c r="Q410" s="349"/>
      <c r="R410" s="349"/>
      <c r="S410" s="349"/>
      <c r="T410" s="349"/>
      <c r="U410" s="349"/>
      <c r="V410" s="349"/>
      <c r="W410" s="349"/>
      <c r="X410" s="349"/>
      <c r="Y410" s="349"/>
    </row>
    <row r="411" ht="15.75" customHeight="1">
      <c r="A411" s="349"/>
      <c r="B411" s="349"/>
      <c r="C411" s="349"/>
      <c r="D411" s="349"/>
      <c r="E411" s="349"/>
      <c r="F411" s="349"/>
      <c r="G411" s="349"/>
      <c r="H411" s="349"/>
      <c r="I411" s="349"/>
      <c r="J411" s="349"/>
      <c r="K411" s="349"/>
      <c r="L411" s="349"/>
      <c r="M411" s="349"/>
      <c r="N411" s="349"/>
      <c r="O411" s="349"/>
      <c r="P411" s="349"/>
      <c r="Q411" s="349"/>
      <c r="R411" s="349"/>
      <c r="S411" s="349"/>
      <c r="T411" s="349"/>
      <c r="U411" s="349"/>
      <c r="V411" s="349"/>
      <c r="W411" s="349"/>
      <c r="X411" s="349"/>
      <c r="Y411" s="349"/>
    </row>
    <row r="412" ht="15.75" customHeight="1">
      <c r="A412" s="349"/>
      <c r="B412" s="349"/>
      <c r="C412" s="349"/>
      <c r="D412" s="349"/>
      <c r="E412" s="349"/>
      <c r="F412" s="349"/>
      <c r="G412" s="349"/>
      <c r="H412" s="349"/>
      <c r="I412" s="349"/>
      <c r="J412" s="349"/>
      <c r="K412" s="349"/>
      <c r="L412" s="349"/>
      <c r="M412" s="349"/>
      <c r="N412" s="349"/>
      <c r="O412" s="349"/>
      <c r="P412" s="349"/>
      <c r="Q412" s="349"/>
      <c r="R412" s="349"/>
      <c r="S412" s="349"/>
      <c r="T412" s="349"/>
      <c r="U412" s="349"/>
      <c r="V412" s="349"/>
      <c r="W412" s="349"/>
      <c r="X412" s="349"/>
      <c r="Y412" s="349"/>
    </row>
    <row r="413" ht="15.75" customHeight="1">
      <c r="A413" s="349"/>
      <c r="B413" s="349"/>
      <c r="C413" s="349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  <c r="R413" s="349"/>
      <c r="S413" s="349"/>
      <c r="T413" s="349"/>
      <c r="U413" s="349"/>
      <c r="V413" s="349"/>
      <c r="W413" s="349"/>
      <c r="X413" s="349"/>
      <c r="Y413" s="349"/>
    </row>
    <row r="414" ht="15.75" customHeight="1">
      <c r="A414" s="349"/>
      <c r="B414" s="349"/>
      <c r="C414" s="349"/>
      <c r="D414" s="349"/>
      <c r="E414" s="349"/>
      <c r="F414" s="349"/>
      <c r="G414" s="349"/>
      <c r="H414" s="349"/>
      <c r="I414" s="349"/>
      <c r="J414" s="349"/>
      <c r="K414" s="349"/>
      <c r="L414" s="349"/>
      <c r="M414" s="349"/>
      <c r="N414" s="349"/>
      <c r="O414" s="349"/>
      <c r="P414" s="349"/>
      <c r="Q414" s="349"/>
      <c r="R414" s="349"/>
      <c r="S414" s="349"/>
      <c r="T414" s="349"/>
      <c r="U414" s="349"/>
      <c r="V414" s="349"/>
      <c r="W414" s="349"/>
      <c r="X414" s="349"/>
      <c r="Y414" s="349"/>
    </row>
    <row r="415" ht="15.75" customHeight="1">
      <c r="A415" s="349"/>
      <c r="B415" s="349"/>
      <c r="C415" s="349"/>
      <c r="D415" s="349"/>
      <c r="E415" s="349"/>
      <c r="F415" s="349"/>
      <c r="G415" s="349"/>
      <c r="H415" s="349"/>
      <c r="I415" s="349"/>
      <c r="J415" s="349"/>
      <c r="K415" s="349"/>
      <c r="L415" s="349"/>
      <c r="M415" s="349"/>
      <c r="N415" s="349"/>
      <c r="O415" s="349"/>
      <c r="P415" s="349"/>
      <c r="Q415" s="349"/>
      <c r="R415" s="349"/>
      <c r="S415" s="349"/>
      <c r="T415" s="349"/>
      <c r="U415" s="349"/>
      <c r="V415" s="349"/>
      <c r="W415" s="349"/>
      <c r="X415" s="349"/>
      <c r="Y415" s="349"/>
    </row>
    <row r="416" ht="15.75" customHeight="1">
      <c r="A416" s="349"/>
      <c r="B416" s="349"/>
      <c r="C416" s="349"/>
      <c r="D416" s="349"/>
      <c r="E416" s="349"/>
      <c r="F416" s="349"/>
      <c r="G416" s="349"/>
      <c r="H416" s="349"/>
      <c r="I416" s="349"/>
      <c r="J416" s="349"/>
      <c r="K416" s="349"/>
      <c r="L416" s="349"/>
      <c r="M416" s="349"/>
      <c r="N416" s="349"/>
      <c r="O416" s="349"/>
      <c r="P416" s="349"/>
      <c r="Q416" s="349"/>
      <c r="R416" s="349"/>
      <c r="S416" s="349"/>
      <c r="T416" s="349"/>
      <c r="U416" s="349"/>
      <c r="V416" s="349"/>
      <c r="W416" s="349"/>
      <c r="X416" s="349"/>
      <c r="Y416" s="349"/>
    </row>
    <row r="417" ht="15.75" customHeight="1">
      <c r="A417" s="349"/>
      <c r="B417" s="349"/>
      <c r="C417" s="349"/>
      <c r="D417" s="349"/>
      <c r="E417" s="349"/>
      <c r="F417" s="349"/>
      <c r="G417" s="349"/>
      <c r="H417" s="349"/>
      <c r="I417" s="349"/>
      <c r="J417" s="349"/>
      <c r="K417" s="349"/>
      <c r="L417" s="349"/>
      <c r="M417" s="349"/>
      <c r="N417" s="349"/>
      <c r="O417" s="349"/>
      <c r="P417" s="349"/>
      <c r="Q417" s="349"/>
      <c r="R417" s="349"/>
      <c r="S417" s="349"/>
      <c r="T417" s="349"/>
      <c r="U417" s="349"/>
      <c r="V417" s="349"/>
      <c r="W417" s="349"/>
      <c r="X417" s="349"/>
      <c r="Y417" s="349"/>
    </row>
    <row r="418" ht="15.75" customHeight="1">
      <c r="A418" s="349"/>
      <c r="B418" s="349"/>
      <c r="C418" s="349"/>
      <c r="D418" s="349"/>
      <c r="E418" s="349"/>
      <c r="F418" s="349"/>
      <c r="G418" s="349"/>
      <c r="H418" s="349"/>
      <c r="I418" s="349"/>
      <c r="J418" s="349"/>
      <c r="K418" s="349"/>
      <c r="L418" s="349"/>
      <c r="M418" s="349"/>
      <c r="N418" s="349"/>
      <c r="O418" s="349"/>
      <c r="P418" s="349"/>
      <c r="Q418" s="349"/>
      <c r="R418" s="349"/>
      <c r="S418" s="349"/>
      <c r="T418" s="349"/>
      <c r="U418" s="349"/>
      <c r="V418" s="349"/>
      <c r="W418" s="349"/>
      <c r="X418" s="349"/>
      <c r="Y418" s="349"/>
    </row>
    <row r="419" ht="15.75" customHeight="1">
      <c r="A419" s="349"/>
      <c r="B419" s="349"/>
      <c r="C419" s="349"/>
      <c r="D419" s="349"/>
      <c r="E419" s="349"/>
      <c r="F419" s="349"/>
      <c r="G419" s="349"/>
      <c r="H419" s="349"/>
      <c r="I419" s="349"/>
      <c r="J419" s="349"/>
      <c r="K419" s="349"/>
      <c r="L419" s="349"/>
      <c r="M419" s="349"/>
      <c r="N419" s="349"/>
      <c r="O419" s="349"/>
      <c r="P419" s="349"/>
      <c r="Q419" s="349"/>
      <c r="R419" s="349"/>
      <c r="S419" s="349"/>
      <c r="T419" s="349"/>
      <c r="U419" s="349"/>
      <c r="V419" s="349"/>
      <c r="W419" s="349"/>
      <c r="X419" s="349"/>
      <c r="Y419" s="349"/>
    </row>
    <row r="420" ht="15.75" customHeight="1">
      <c r="A420" s="349"/>
      <c r="B420" s="349"/>
      <c r="C420" s="349"/>
      <c r="D420" s="349"/>
      <c r="E420" s="349"/>
      <c r="F420" s="349"/>
      <c r="G420" s="349"/>
      <c r="H420" s="349"/>
      <c r="I420" s="349"/>
      <c r="J420" s="349"/>
      <c r="K420" s="349"/>
      <c r="L420" s="349"/>
      <c r="M420" s="349"/>
      <c r="N420" s="349"/>
      <c r="O420" s="349"/>
      <c r="P420" s="349"/>
      <c r="Q420" s="349"/>
      <c r="R420" s="349"/>
      <c r="S420" s="349"/>
      <c r="T420" s="349"/>
      <c r="U420" s="349"/>
      <c r="V420" s="349"/>
      <c r="W420" s="349"/>
      <c r="X420" s="349"/>
      <c r="Y420" s="349"/>
    </row>
    <row r="421" ht="15.75" customHeight="1">
      <c r="A421" s="349"/>
      <c r="B421" s="349"/>
      <c r="C421" s="349"/>
      <c r="D421" s="349"/>
      <c r="E421" s="349"/>
      <c r="F421" s="349"/>
      <c r="G421" s="349"/>
      <c r="H421" s="349"/>
      <c r="I421" s="349"/>
      <c r="J421" s="349"/>
      <c r="K421" s="349"/>
      <c r="L421" s="349"/>
      <c r="M421" s="349"/>
      <c r="N421" s="349"/>
      <c r="O421" s="349"/>
      <c r="P421" s="349"/>
      <c r="Q421" s="349"/>
      <c r="R421" s="349"/>
      <c r="S421" s="349"/>
      <c r="T421" s="349"/>
      <c r="U421" s="349"/>
      <c r="V421" s="349"/>
      <c r="W421" s="349"/>
      <c r="X421" s="349"/>
      <c r="Y421" s="349"/>
    </row>
    <row r="422" ht="15.75" customHeight="1">
      <c r="A422" s="349"/>
      <c r="B422" s="349"/>
      <c r="C422" s="349"/>
      <c r="D422" s="349"/>
      <c r="E422" s="349"/>
      <c r="F422" s="349"/>
      <c r="G422" s="349"/>
      <c r="H422" s="349"/>
      <c r="I422" s="349"/>
      <c r="J422" s="349"/>
      <c r="K422" s="349"/>
      <c r="L422" s="349"/>
      <c r="M422" s="349"/>
      <c r="N422" s="349"/>
      <c r="O422" s="349"/>
      <c r="P422" s="349"/>
      <c r="Q422" s="349"/>
      <c r="R422" s="349"/>
      <c r="S422" s="349"/>
      <c r="T422" s="349"/>
      <c r="U422" s="349"/>
      <c r="V422" s="349"/>
      <c r="W422" s="349"/>
      <c r="X422" s="349"/>
      <c r="Y422" s="349"/>
    </row>
    <row r="423" ht="15.75" customHeight="1">
      <c r="A423" s="349"/>
      <c r="B423" s="349"/>
      <c r="C423" s="349"/>
      <c r="D423" s="349"/>
      <c r="E423" s="349"/>
      <c r="F423" s="349"/>
      <c r="G423" s="349"/>
      <c r="H423" s="349"/>
      <c r="I423" s="349"/>
      <c r="J423" s="349"/>
      <c r="K423" s="349"/>
      <c r="L423" s="349"/>
      <c r="M423" s="349"/>
      <c r="N423" s="349"/>
      <c r="O423" s="349"/>
      <c r="P423" s="349"/>
      <c r="Q423" s="349"/>
      <c r="R423" s="349"/>
      <c r="S423" s="349"/>
      <c r="T423" s="349"/>
      <c r="U423" s="349"/>
      <c r="V423" s="349"/>
      <c r="W423" s="349"/>
      <c r="X423" s="349"/>
      <c r="Y423" s="349"/>
    </row>
    <row r="424" ht="15.75" customHeight="1">
      <c r="A424" s="349"/>
      <c r="B424" s="349"/>
      <c r="C424" s="349"/>
      <c r="D424" s="349"/>
      <c r="E424" s="349"/>
      <c r="F424" s="349"/>
      <c r="G424" s="349"/>
      <c r="H424" s="349"/>
      <c r="I424" s="349"/>
      <c r="J424" s="349"/>
      <c r="K424" s="349"/>
      <c r="L424" s="349"/>
      <c r="M424" s="349"/>
      <c r="N424" s="349"/>
      <c r="O424" s="349"/>
      <c r="P424" s="349"/>
      <c r="Q424" s="349"/>
      <c r="R424" s="349"/>
      <c r="S424" s="349"/>
      <c r="T424" s="349"/>
      <c r="U424" s="349"/>
      <c r="V424" s="349"/>
      <c r="W424" s="349"/>
      <c r="X424" s="349"/>
      <c r="Y424" s="349"/>
    </row>
    <row r="425" ht="15.75" customHeight="1">
      <c r="A425" s="349"/>
      <c r="B425" s="349"/>
      <c r="C425" s="349"/>
      <c r="D425" s="349"/>
      <c r="E425" s="349"/>
      <c r="F425" s="349"/>
      <c r="G425" s="349"/>
      <c r="H425" s="349"/>
      <c r="I425" s="349"/>
      <c r="J425" s="349"/>
      <c r="K425" s="349"/>
      <c r="L425" s="349"/>
      <c r="M425" s="349"/>
      <c r="N425" s="349"/>
      <c r="O425" s="349"/>
      <c r="P425" s="349"/>
      <c r="Q425" s="349"/>
      <c r="R425" s="349"/>
      <c r="S425" s="349"/>
      <c r="T425" s="349"/>
      <c r="U425" s="349"/>
      <c r="V425" s="349"/>
      <c r="W425" s="349"/>
      <c r="X425" s="349"/>
      <c r="Y425" s="349"/>
    </row>
    <row r="426" ht="15.75" customHeight="1">
      <c r="A426" s="349"/>
      <c r="B426" s="349"/>
      <c r="C426" s="349"/>
      <c r="D426" s="349"/>
      <c r="E426" s="349"/>
      <c r="F426" s="349"/>
      <c r="G426" s="349"/>
      <c r="H426" s="349"/>
      <c r="I426" s="349"/>
      <c r="J426" s="349"/>
      <c r="K426" s="349"/>
      <c r="L426" s="349"/>
      <c r="M426" s="349"/>
      <c r="N426" s="349"/>
      <c r="O426" s="349"/>
      <c r="P426" s="349"/>
      <c r="Q426" s="349"/>
      <c r="R426" s="349"/>
      <c r="S426" s="349"/>
      <c r="T426" s="349"/>
      <c r="U426" s="349"/>
      <c r="V426" s="349"/>
      <c r="W426" s="349"/>
      <c r="X426" s="349"/>
      <c r="Y426" s="349"/>
    </row>
    <row r="427" ht="15.75" customHeight="1">
      <c r="A427" s="349"/>
      <c r="B427" s="349"/>
      <c r="C427" s="349"/>
      <c r="D427" s="349"/>
      <c r="E427" s="349"/>
      <c r="F427" s="349"/>
      <c r="G427" s="349"/>
      <c r="H427" s="349"/>
      <c r="I427" s="349"/>
      <c r="J427" s="349"/>
      <c r="K427" s="349"/>
      <c r="L427" s="349"/>
      <c r="M427" s="349"/>
      <c r="N427" s="349"/>
      <c r="O427" s="349"/>
      <c r="P427" s="349"/>
      <c r="Q427" s="349"/>
      <c r="R427" s="349"/>
      <c r="S427" s="349"/>
      <c r="T427" s="349"/>
      <c r="U427" s="349"/>
      <c r="V427" s="349"/>
      <c r="W427" s="349"/>
      <c r="X427" s="349"/>
      <c r="Y427" s="349"/>
    </row>
    <row r="428" ht="15.75" customHeight="1">
      <c r="A428" s="349"/>
      <c r="B428" s="349"/>
      <c r="C428" s="349"/>
      <c r="D428" s="349"/>
      <c r="E428" s="349"/>
      <c r="F428" s="349"/>
      <c r="G428" s="349"/>
      <c r="H428" s="349"/>
      <c r="I428" s="349"/>
      <c r="J428" s="349"/>
      <c r="K428" s="349"/>
      <c r="L428" s="349"/>
      <c r="M428" s="349"/>
      <c r="N428" s="349"/>
      <c r="O428" s="349"/>
      <c r="P428" s="349"/>
      <c r="Q428" s="349"/>
      <c r="R428" s="349"/>
      <c r="S428" s="349"/>
      <c r="T428" s="349"/>
      <c r="U428" s="349"/>
      <c r="V428" s="349"/>
      <c r="W428" s="349"/>
      <c r="X428" s="349"/>
      <c r="Y428" s="349"/>
    </row>
    <row r="429" ht="15.75" customHeight="1">
      <c r="A429" s="349"/>
      <c r="B429" s="349"/>
      <c r="C429" s="349"/>
      <c r="D429" s="349"/>
      <c r="E429" s="349"/>
      <c r="F429" s="349"/>
      <c r="G429" s="349"/>
      <c r="H429" s="349"/>
      <c r="I429" s="349"/>
      <c r="J429" s="349"/>
      <c r="K429" s="349"/>
      <c r="L429" s="349"/>
      <c r="M429" s="349"/>
      <c r="N429" s="349"/>
      <c r="O429" s="349"/>
      <c r="P429" s="349"/>
      <c r="Q429" s="349"/>
      <c r="R429" s="349"/>
      <c r="S429" s="349"/>
      <c r="T429" s="349"/>
      <c r="U429" s="349"/>
      <c r="V429" s="349"/>
      <c r="W429" s="349"/>
      <c r="X429" s="349"/>
      <c r="Y429" s="349"/>
    </row>
    <row r="430" ht="15.75" customHeight="1">
      <c r="A430" s="349"/>
      <c r="B430" s="349"/>
      <c r="C430" s="349"/>
      <c r="D430" s="349"/>
      <c r="E430" s="349"/>
      <c r="F430" s="349"/>
      <c r="G430" s="349"/>
      <c r="H430" s="349"/>
      <c r="I430" s="349"/>
      <c r="J430" s="349"/>
      <c r="K430" s="349"/>
      <c r="L430" s="349"/>
      <c r="M430" s="349"/>
      <c r="N430" s="349"/>
      <c r="O430" s="349"/>
      <c r="P430" s="349"/>
      <c r="Q430" s="349"/>
      <c r="R430" s="349"/>
      <c r="S430" s="349"/>
      <c r="T430" s="349"/>
      <c r="U430" s="349"/>
      <c r="V430" s="349"/>
      <c r="W430" s="349"/>
      <c r="X430" s="349"/>
      <c r="Y430" s="349"/>
    </row>
    <row r="431" ht="15.75" customHeight="1">
      <c r="A431" s="349"/>
      <c r="B431" s="349"/>
      <c r="C431" s="349"/>
      <c r="D431" s="349"/>
      <c r="E431" s="349"/>
      <c r="F431" s="349"/>
      <c r="G431" s="349"/>
      <c r="H431" s="349"/>
      <c r="I431" s="349"/>
      <c r="J431" s="349"/>
      <c r="K431" s="349"/>
      <c r="L431" s="349"/>
      <c r="M431" s="349"/>
      <c r="N431" s="349"/>
      <c r="O431" s="349"/>
      <c r="P431" s="349"/>
      <c r="Q431" s="349"/>
      <c r="R431" s="349"/>
      <c r="S431" s="349"/>
      <c r="T431" s="349"/>
      <c r="U431" s="349"/>
      <c r="V431" s="349"/>
      <c r="W431" s="349"/>
      <c r="X431" s="349"/>
      <c r="Y431" s="349"/>
    </row>
    <row r="432" ht="15.75" customHeight="1">
      <c r="A432" s="349"/>
      <c r="B432" s="349"/>
      <c r="C432" s="349"/>
      <c r="D432" s="349"/>
      <c r="E432" s="349"/>
      <c r="F432" s="349"/>
      <c r="G432" s="349"/>
      <c r="H432" s="349"/>
      <c r="I432" s="349"/>
      <c r="J432" s="349"/>
      <c r="K432" s="349"/>
      <c r="L432" s="349"/>
      <c r="M432" s="349"/>
      <c r="N432" s="349"/>
      <c r="O432" s="349"/>
      <c r="P432" s="349"/>
      <c r="Q432" s="349"/>
      <c r="R432" s="349"/>
      <c r="S432" s="349"/>
      <c r="T432" s="349"/>
      <c r="U432" s="349"/>
      <c r="V432" s="349"/>
      <c r="W432" s="349"/>
      <c r="X432" s="349"/>
      <c r="Y432" s="349"/>
    </row>
    <row r="433" ht="15.75" customHeight="1">
      <c r="A433" s="349"/>
      <c r="B433" s="349"/>
      <c r="C433" s="349"/>
      <c r="D433" s="349"/>
      <c r="E433" s="349"/>
      <c r="F433" s="349"/>
      <c r="G433" s="349"/>
      <c r="H433" s="349"/>
      <c r="I433" s="349"/>
      <c r="J433" s="349"/>
      <c r="K433" s="349"/>
      <c r="L433" s="349"/>
      <c r="M433" s="349"/>
      <c r="N433" s="349"/>
      <c r="O433" s="349"/>
      <c r="P433" s="349"/>
      <c r="Q433" s="349"/>
      <c r="R433" s="349"/>
      <c r="S433" s="349"/>
      <c r="T433" s="349"/>
      <c r="U433" s="349"/>
      <c r="V433" s="349"/>
      <c r="W433" s="349"/>
      <c r="X433" s="349"/>
      <c r="Y433" s="349"/>
    </row>
    <row r="434" ht="15.75" customHeight="1">
      <c r="A434" s="349"/>
      <c r="B434" s="349"/>
      <c r="C434" s="349"/>
      <c r="D434" s="349"/>
      <c r="E434" s="349"/>
      <c r="F434" s="349"/>
      <c r="G434" s="349"/>
      <c r="H434" s="349"/>
      <c r="I434" s="349"/>
      <c r="J434" s="349"/>
      <c r="K434" s="349"/>
      <c r="L434" s="349"/>
      <c r="M434" s="349"/>
      <c r="N434" s="349"/>
      <c r="O434" s="349"/>
      <c r="P434" s="349"/>
      <c r="Q434" s="349"/>
      <c r="R434" s="349"/>
      <c r="S434" s="349"/>
      <c r="T434" s="349"/>
      <c r="U434" s="349"/>
      <c r="V434" s="349"/>
      <c r="W434" s="349"/>
      <c r="X434" s="349"/>
      <c r="Y434" s="349"/>
    </row>
    <row r="435" ht="15.75" customHeight="1">
      <c r="A435" s="349"/>
      <c r="B435" s="349"/>
      <c r="C435" s="349"/>
      <c r="D435" s="349"/>
      <c r="E435" s="349"/>
      <c r="F435" s="349"/>
      <c r="G435" s="349"/>
      <c r="H435" s="349"/>
      <c r="I435" s="349"/>
      <c r="J435" s="349"/>
      <c r="K435" s="349"/>
      <c r="L435" s="349"/>
      <c r="M435" s="349"/>
      <c r="N435" s="349"/>
      <c r="O435" s="349"/>
      <c r="P435" s="349"/>
      <c r="Q435" s="349"/>
      <c r="R435" s="349"/>
      <c r="S435" s="349"/>
      <c r="T435" s="349"/>
      <c r="U435" s="349"/>
      <c r="V435" s="349"/>
      <c r="W435" s="349"/>
      <c r="X435" s="349"/>
      <c r="Y435" s="349"/>
    </row>
    <row r="436" ht="15.75" customHeight="1">
      <c r="A436" s="349"/>
      <c r="B436" s="349"/>
      <c r="C436" s="349"/>
      <c r="D436" s="349"/>
      <c r="E436" s="349"/>
      <c r="F436" s="349"/>
      <c r="G436" s="349"/>
      <c r="H436" s="349"/>
      <c r="I436" s="349"/>
      <c r="J436" s="349"/>
      <c r="K436" s="349"/>
      <c r="L436" s="349"/>
      <c r="M436" s="349"/>
      <c r="N436" s="349"/>
      <c r="O436" s="349"/>
      <c r="P436" s="349"/>
      <c r="Q436" s="349"/>
      <c r="R436" s="349"/>
      <c r="S436" s="349"/>
      <c r="T436" s="349"/>
      <c r="U436" s="349"/>
      <c r="V436" s="349"/>
      <c r="W436" s="349"/>
      <c r="X436" s="349"/>
      <c r="Y436" s="349"/>
    </row>
    <row r="437" ht="15.75" customHeight="1">
      <c r="A437" s="349"/>
      <c r="B437" s="349"/>
      <c r="C437" s="349"/>
      <c r="D437" s="349"/>
      <c r="E437" s="349"/>
      <c r="F437" s="349"/>
      <c r="G437" s="349"/>
      <c r="H437" s="349"/>
      <c r="I437" s="349"/>
      <c r="J437" s="349"/>
      <c r="K437" s="349"/>
      <c r="L437" s="349"/>
      <c r="M437" s="349"/>
      <c r="N437" s="349"/>
      <c r="O437" s="349"/>
      <c r="P437" s="349"/>
      <c r="Q437" s="349"/>
      <c r="R437" s="349"/>
      <c r="S437" s="349"/>
      <c r="T437" s="349"/>
      <c r="U437" s="349"/>
      <c r="V437" s="349"/>
      <c r="W437" s="349"/>
      <c r="X437" s="349"/>
      <c r="Y437" s="349"/>
    </row>
    <row r="438" ht="15.75" customHeight="1">
      <c r="A438" s="349"/>
      <c r="B438" s="349"/>
      <c r="C438" s="349"/>
      <c r="D438" s="349"/>
      <c r="E438" s="349"/>
      <c r="F438" s="349"/>
      <c r="G438" s="349"/>
      <c r="H438" s="349"/>
      <c r="I438" s="349"/>
      <c r="J438" s="349"/>
      <c r="K438" s="349"/>
      <c r="L438" s="349"/>
      <c r="M438" s="349"/>
      <c r="N438" s="349"/>
      <c r="O438" s="349"/>
      <c r="P438" s="349"/>
      <c r="Q438" s="349"/>
      <c r="R438" s="349"/>
      <c r="S438" s="349"/>
      <c r="T438" s="349"/>
      <c r="U438" s="349"/>
      <c r="V438" s="349"/>
      <c r="W438" s="349"/>
      <c r="X438" s="349"/>
      <c r="Y438" s="349"/>
    </row>
    <row r="439" ht="15.75" customHeight="1">
      <c r="A439" s="349"/>
      <c r="B439" s="349"/>
      <c r="C439" s="349"/>
      <c r="D439" s="349"/>
      <c r="E439" s="349"/>
      <c r="F439" s="349"/>
      <c r="G439" s="349"/>
      <c r="H439" s="349"/>
      <c r="I439" s="349"/>
      <c r="J439" s="349"/>
      <c r="K439" s="349"/>
      <c r="L439" s="349"/>
      <c r="M439" s="349"/>
      <c r="N439" s="349"/>
      <c r="O439" s="349"/>
      <c r="P439" s="349"/>
      <c r="Q439" s="349"/>
      <c r="R439" s="349"/>
      <c r="S439" s="349"/>
      <c r="T439" s="349"/>
      <c r="U439" s="349"/>
      <c r="V439" s="349"/>
      <c r="W439" s="349"/>
      <c r="X439" s="349"/>
      <c r="Y439" s="349"/>
    </row>
    <row r="440" ht="15.75" customHeight="1">
      <c r="A440" s="349"/>
      <c r="B440" s="349"/>
      <c r="C440" s="349"/>
      <c r="D440" s="349"/>
      <c r="E440" s="349"/>
      <c r="F440" s="349"/>
      <c r="G440" s="349"/>
      <c r="H440" s="349"/>
      <c r="I440" s="349"/>
      <c r="J440" s="349"/>
      <c r="K440" s="349"/>
      <c r="L440" s="349"/>
      <c r="M440" s="349"/>
      <c r="N440" s="349"/>
      <c r="O440" s="349"/>
      <c r="P440" s="349"/>
      <c r="Q440" s="349"/>
      <c r="R440" s="349"/>
      <c r="S440" s="349"/>
      <c r="T440" s="349"/>
      <c r="U440" s="349"/>
      <c r="V440" s="349"/>
      <c r="W440" s="349"/>
      <c r="X440" s="349"/>
      <c r="Y440" s="349"/>
    </row>
    <row r="441" ht="15.75" customHeight="1">
      <c r="A441" s="349"/>
      <c r="B441" s="349"/>
      <c r="C441" s="349"/>
      <c r="D441" s="349"/>
      <c r="E441" s="349"/>
      <c r="F441" s="349"/>
      <c r="G441" s="349"/>
      <c r="H441" s="349"/>
      <c r="I441" s="349"/>
      <c r="J441" s="349"/>
      <c r="K441" s="349"/>
      <c r="L441" s="349"/>
      <c r="M441" s="349"/>
      <c r="N441" s="349"/>
      <c r="O441" s="349"/>
      <c r="P441" s="349"/>
      <c r="Q441" s="349"/>
      <c r="R441" s="349"/>
      <c r="S441" s="349"/>
      <c r="T441" s="349"/>
      <c r="U441" s="349"/>
      <c r="V441" s="349"/>
      <c r="W441" s="349"/>
      <c r="X441" s="349"/>
      <c r="Y441" s="349"/>
    </row>
    <row r="442" ht="15.75" customHeight="1">
      <c r="A442" s="349"/>
      <c r="B442" s="349"/>
      <c r="C442" s="349"/>
      <c r="D442" s="349"/>
      <c r="E442" s="349"/>
      <c r="F442" s="349"/>
      <c r="G442" s="349"/>
      <c r="H442" s="349"/>
      <c r="I442" s="349"/>
      <c r="J442" s="349"/>
      <c r="K442" s="349"/>
      <c r="L442" s="349"/>
      <c r="M442" s="349"/>
      <c r="N442" s="349"/>
      <c r="O442" s="349"/>
      <c r="P442" s="349"/>
      <c r="Q442" s="349"/>
      <c r="R442" s="349"/>
      <c r="S442" s="349"/>
      <c r="T442" s="349"/>
      <c r="U442" s="349"/>
      <c r="V442" s="349"/>
      <c r="W442" s="349"/>
      <c r="X442" s="349"/>
      <c r="Y442" s="349"/>
    </row>
    <row r="443" ht="15.75" customHeight="1">
      <c r="A443" s="349"/>
      <c r="B443" s="349"/>
      <c r="C443" s="349"/>
      <c r="D443" s="349"/>
      <c r="E443" s="349"/>
      <c r="F443" s="349"/>
      <c r="G443" s="349"/>
      <c r="H443" s="349"/>
      <c r="I443" s="349"/>
      <c r="J443" s="349"/>
      <c r="K443" s="349"/>
      <c r="L443" s="349"/>
      <c r="M443" s="349"/>
      <c r="N443" s="349"/>
      <c r="O443" s="349"/>
      <c r="P443" s="349"/>
      <c r="Q443" s="349"/>
      <c r="R443" s="349"/>
      <c r="S443" s="349"/>
      <c r="T443" s="349"/>
      <c r="U443" s="349"/>
      <c r="V443" s="349"/>
      <c r="W443" s="349"/>
      <c r="X443" s="349"/>
      <c r="Y443" s="349"/>
    </row>
    <row r="444" ht="15.75" customHeight="1">
      <c r="A444" s="349"/>
      <c r="B444" s="349"/>
      <c r="C444" s="349"/>
      <c r="D444" s="349"/>
      <c r="E444" s="349"/>
      <c r="F444" s="349"/>
      <c r="G444" s="349"/>
      <c r="H444" s="349"/>
      <c r="I444" s="349"/>
      <c r="J444" s="349"/>
      <c r="K444" s="349"/>
      <c r="L444" s="349"/>
      <c r="M444" s="349"/>
      <c r="N444" s="349"/>
      <c r="O444" s="349"/>
      <c r="P444" s="349"/>
      <c r="Q444" s="349"/>
      <c r="R444" s="349"/>
      <c r="S444" s="349"/>
      <c r="T444" s="349"/>
      <c r="U444" s="349"/>
      <c r="V444" s="349"/>
      <c r="W444" s="349"/>
      <c r="X444" s="349"/>
      <c r="Y444" s="349"/>
    </row>
    <row r="445" ht="15.75" customHeight="1">
      <c r="A445" s="349"/>
      <c r="B445" s="349"/>
      <c r="C445" s="349"/>
      <c r="D445" s="349"/>
      <c r="E445" s="349"/>
      <c r="F445" s="349"/>
      <c r="G445" s="349"/>
      <c r="H445" s="349"/>
      <c r="I445" s="349"/>
      <c r="J445" s="349"/>
      <c r="K445" s="349"/>
      <c r="L445" s="349"/>
      <c r="M445" s="349"/>
      <c r="N445" s="349"/>
      <c r="O445" s="349"/>
      <c r="P445" s="349"/>
      <c r="Q445" s="349"/>
      <c r="R445" s="349"/>
      <c r="S445" s="349"/>
      <c r="T445" s="349"/>
      <c r="U445" s="349"/>
      <c r="V445" s="349"/>
      <c r="W445" s="349"/>
      <c r="X445" s="349"/>
      <c r="Y445" s="349"/>
    </row>
    <row r="446" ht="15.75" customHeight="1">
      <c r="A446" s="349"/>
      <c r="B446" s="349"/>
      <c r="C446" s="349"/>
      <c r="D446" s="349"/>
      <c r="E446" s="349"/>
      <c r="F446" s="349"/>
      <c r="G446" s="349"/>
      <c r="H446" s="349"/>
      <c r="I446" s="349"/>
      <c r="J446" s="349"/>
      <c r="K446" s="349"/>
      <c r="L446" s="349"/>
      <c r="M446" s="349"/>
      <c r="N446" s="349"/>
      <c r="O446" s="349"/>
      <c r="P446" s="349"/>
      <c r="Q446" s="349"/>
      <c r="R446" s="349"/>
      <c r="S446" s="349"/>
      <c r="T446" s="349"/>
      <c r="U446" s="349"/>
      <c r="V446" s="349"/>
      <c r="W446" s="349"/>
      <c r="X446" s="349"/>
      <c r="Y446" s="349"/>
    </row>
    <row r="447" ht="15.75" customHeight="1">
      <c r="A447" s="349"/>
      <c r="B447" s="349"/>
      <c r="C447" s="349"/>
      <c r="D447" s="349"/>
      <c r="E447" s="349"/>
      <c r="F447" s="349"/>
      <c r="G447" s="349"/>
      <c r="H447" s="349"/>
      <c r="I447" s="349"/>
      <c r="J447" s="349"/>
      <c r="K447" s="349"/>
      <c r="L447" s="349"/>
      <c r="M447" s="349"/>
      <c r="N447" s="349"/>
      <c r="O447" s="349"/>
      <c r="P447" s="349"/>
      <c r="Q447" s="349"/>
      <c r="R447" s="349"/>
      <c r="S447" s="349"/>
      <c r="T447" s="349"/>
      <c r="U447" s="349"/>
      <c r="V447" s="349"/>
      <c r="W447" s="349"/>
      <c r="X447" s="349"/>
      <c r="Y447" s="349"/>
    </row>
    <row r="448" ht="15.75" customHeight="1">
      <c r="A448" s="349"/>
      <c r="B448" s="349"/>
      <c r="C448" s="349"/>
      <c r="D448" s="349"/>
      <c r="E448" s="349"/>
      <c r="F448" s="349"/>
      <c r="G448" s="349"/>
      <c r="H448" s="349"/>
      <c r="I448" s="349"/>
      <c r="J448" s="349"/>
      <c r="K448" s="349"/>
      <c r="L448" s="349"/>
      <c r="M448" s="349"/>
      <c r="N448" s="349"/>
      <c r="O448" s="349"/>
      <c r="P448" s="349"/>
      <c r="Q448" s="349"/>
      <c r="R448" s="349"/>
      <c r="S448" s="349"/>
      <c r="T448" s="349"/>
      <c r="U448" s="349"/>
      <c r="V448" s="349"/>
      <c r="W448" s="349"/>
      <c r="X448" s="349"/>
      <c r="Y448" s="349"/>
    </row>
    <row r="449" ht="15.75" customHeight="1">
      <c r="A449" s="349"/>
      <c r="B449" s="349"/>
      <c r="C449" s="349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  <c r="R449" s="349"/>
      <c r="S449" s="349"/>
      <c r="T449" s="349"/>
      <c r="U449" s="349"/>
      <c r="V449" s="349"/>
      <c r="W449" s="349"/>
      <c r="X449" s="349"/>
      <c r="Y449" s="349"/>
    </row>
    <row r="450" ht="15.75" customHeight="1">
      <c r="A450" s="349"/>
      <c r="B450" s="349"/>
      <c r="C450" s="349"/>
      <c r="D450" s="349"/>
      <c r="E450" s="349"/>
      <c r="F450" s="349"/>
      <c r="G450" s="349"/>
      <c r="H450" s="349"/>
      <c r="I450" s="349"/>
      <c r="J450" s="349"/>
      <c r="K450" s="349"/>
      <c r="L450" s="349"/>
      <c r="M450" s="349"/>
      <c r="N450" s="349"/>
      <c r="O450" s="349"/>
      <c r="P450" s="349"/>
      <c r="Q450" s="349"/>
      <c r="R450" s="349"/>
      <c r="S450" s="349"/>
      <c r="T450" s="349"/>
      <c r="U450" s="349"/>
      <c r="V450" s="349"/>
      <c r="W450" s="349"/>
      <c r="X450" s="349"/>
      <c r="Y450" s="349"/>
    </row>
    <row r="451" ht="15.75" customHeight="1">
      <c r="A451" s="349"/>
      <c r="B451" s="349"/>
      <c r="C451" s="349"/>
      <c r="D451" s="349"/>
      <c r="E451" s="349"/>
      <c r="F451" s="349"/>
      <c r="G451" s="349"/>
      <c r="H451" s="349"/>
      <c r="I451" s="349"/>
      <c r="J451" s="349"/>
      <c r="K451" s="349"/>
      <c r="L451" s="349"/>
      <c r="M451" s="349"/>
      <c r="N451" s="349"/>
      <c r="O451" s="349"/>
      <c r="P451" s="349"/>
      <c r="Q451" s="349"/>
      <c r="R451" s="349"/>
      <c r="S451" s="349"/>
      <c r="T451" s="349"/>
      <c r="U451" s="349"/>
      <c r="V451" s="349"/>
      <c r="W451" s="349"/>
      <c r="X451" s="349"/>
      <c r="Y451" s="349"/>
    </row>
    <row r="452" ht="15.75" customHeight="1">
      <c r="A452" s="349"/>
      <c r="B452" s="349"/>
      <c r="C452" s="349"/>
      <c r="D452" s="349"/>
      <c r="E452" s="349"/>
      <c r="F452" s="349"/>
      <c r="G452" s="349"/>
      <c r="H452" s="349"/>
      <c r="I452" s="349"/>
      <c r="J452" s="349"/>
      <c r="K452" s="349"/>
      <c r="L452" s="349"/>
      <c r="M452" s="349"/>
      <c r="N452" s="349"/>
      <c r="O452" s="349"/>
      <c r="P452" s="349"/>
      <c r="Q452" s="349"/>
      <c r="R452" s="349"/>
      <c r="S452" s="349"/>
      <c r="T452" s="349"/>
      <c r="U452" s="349"/>
      <c r="V452" s="349"/>
      <c r="W452" s="349"/>
      <c r="X452" s="349"/>
      <c r="Y452" s="349"/>
    </row>
    <row r="453" ht="15.75" customHeight="1">
      <c r="A453" s="349"/>
      <c r="B453" s="349"/>
      <c r="C453" s="349"/>
      <c r="D453" s="349"/>
      <c r="E453" s="349"/>
      <c r="F453" s="349"/>
      <c r="G453" s="349"/>
      <c r="H453" s="349"/>
      <c r="I453" s="349"/>
      <c r="J453" s="349"/>
      <c r="K453" s="349"/>
      <c r="L453" s="349"/>
      <c r="M453" s="349"/>
      <c r="N453" s="349"/>
      <c r="O453" s="349"/>
      <c r="P453" s="349"/>
      <c r="Q453" s="349"/>
      <c r="R453" s="349"/>
      <c r="S453" s="349"/>
      <c r="T453" s="349"/>
      <c r="U453" s="349"/>
      <c r="V453" s="349"/>
      <c r="W453" s="349"/>
      <c r="X453" s="349"/>
      <c r="Y453" s="349"/>
    </row>
    <row r="454" ht="15.75" customHeight="1">
      <c r="A454" s="349"/>
      <c r="B454" s="349"/>
      <c r="C454" s="349"/>
      <c r="D454" s="349"/>
      <c r="E454" s="349"/>
      <c r="F454" s="349"/>
      <c r="G454" s="349"/>
      <c r="H454" s="349"/>
      <c r="I454" s="349"/>
      <c r="J454" s="349"/>
      <c r="K454" s="349"/>
      <c r="L454" s="349"/>
      <c r="M454" s="349"/>
      <c r="N454" s="349"/>
      <c r="O454" s="349"/>
      <c r="P454" s="349"/>
      <c r="Q454" s="349"/>
      <c r="R454" s="349"/>
      <c r="S454" s="349"/>
      <c r="T454" s="349"/>
      <c r="U454" s="349"/>
      <c r="V454" s="349"/>
      <c r="W454" s="349"/>
      <c r="X454" s="349"/>
      <c r="Y454" s="349"/>
    </row>
    <row r="455" ht="15.75" customHeight="1">
      <c r="A455" s="349"/>
      <c r="B455" s="349"/>
      <c r="C455" s="349"/>
      <c r="D455" s="349"/>
      <c r="E455" s="349"/>
      <c r="F455" s="349"/>
      <c r="G455" s="349"/>
      <c r="H455" s="349"/>
      <c r="I455" s="349"/>
      <c r="J455" s="349"/>
      <c r="K455" s="349"/>
      <c r="L455" s="349"/>
      <c r="M455" s="349"/>
      <c r="N455" s="349"/>
      <c r="O455" s="349"/>
      <c r="P455" s="349"/>
      <c r="Q455" s="349"/>
      <c r="R455" s="349"/>
      <c r="S455" s="349"/>
      <c r="T455" s="349"/>
      <c r="U455" s="349"/>
      <c r="V455" s="349"/>
      <c r="W455" s="349"/>
      <c r="X455" s="349"/>
      <c r="Y455" s="349"/>
    </row>
    <row r="456" ht="15.75" customHeight="1">
      <c r="A456" s="349"/>
      <c r="B456" s="349"/>
      <c r="C456" s="349"/>
      <c r="D456" s="349"/>
      <c r="E456" s="349"/>
      <c r="F456" s="349"/>
      <c r="G456" s="349"/>
      <c r="H456" s="349"/>
      <c r="I456" s="349"/>
      <c r="J456" s="349"/>
      <c r="K456" s="349"/>
      <c r="L456" s="349"/>
      <c r="M456" s="349"/>
      <c r="N456" s="349"/>
      <c r="O456" s="349"/>
      <c r="P456" s="349"/>
      <c r="Q456" s="349"/>
      <c r="R456" s="349"/>
      <c r="S456" s="349"/>
      <c r="T456" s="349"/>
      <c r="U456" s="349"/>
      <c r="V456" s="349"/>
      <c r="W456" s="349"/>
      <c r="X456" s="349"/>
      <c r="Y456" s="349"/>
    </row>
    <row r="457" ht="15.75" customHeight="1">
      <c r="A457" s="349"/>
      <c r="B457" s="349"/>
      <c r="C457" s="349"/>
      <c r="D457" s="349"/>
      <c r="E457" s="349"/>
      <c r="F457" s="349"/>
      <c r="G457" s="349"/>
      <c r="H457" s="349"/>
      <c r="I457" s="349"/>
      <c r="J457" s="349"/>
      <c r="K457" s="349"/>
      <c r="L457" s="349"/>
      <c r="M457" s="349"/>
      <c r="N457" s="349"/>
      <c r="O457" s="349"/>
      <c r="P457" s="349"/>
      <c r="Q457" s="349"/>
      <c r="R457" s="349"/>
      <c r="S457" s="349"/>
      <c r="T457" s="349"/>
      <c r="U457" s="349"/>
      <c r="V457" s="349"/>
      <c r="W457" s="349"/>
      <c r="X457" s="349"/>
      <c r="Y457" s="349"/>
    </row>
    <row r="458" ht="15.75" customHeight="1">
      <c r="A458" s="349"/>
      <c r="B458" s="349"/>
      <c r="C458" s="349"/>
      <c r="D458" s="349"/>
      <c r="E458" s="349"/>
      <c r="F458" s="349"/>
      <c r="G458" s="349"/>
      <c r="H458" s="349"/>
      <c r="I458" s="349"/>
      <c r="J458" s="349"/>
      <c r="K458" s="349"/>
      <c r="L458" s="349"/>
      <c r="M458" s="349"/>
      <c r="N458" s="349"/>
      <c r="O458" s="349"/>
      <c r="P458" s="349"/>
      <c r="Q458" s="349"/>
      <c r="R458" s="349"/>
      <c r="S458" s="349"/>
      <c r="T458" s="349"/>
      <c r="U458" s="349"/>
      <c r="V458" s="349"/>
      <c r="W458" s="349"/>
      <c r="X458" s="349"/>
      <c r="Y458" s="349"/>
    </row>
    <row r="459" ht="15.75" customHeight="1">
      <c r="A459" s="349"/>
      <c r="B459" s="349"/>
      <c r="C459" s="349"/>
      <c r="D459" s="349"/>
      <c r="E459" s="349"/>
      <c r="F459" s="349"/>
      <c r="G459" s="349"/>
      <c r="H459" s="349"/>
      <c r="I459" s="349"/>
      <c r="J459" s="349"/>
      <c r="K459" s="349"/>
      <c r="L459" s="349"/>
      <c r="M459" s="349"/>
      <c r="N459" s="349"/>
      <c r="O459" s="349"/>
      <c r="P459" s="349"/>
      <c r="Q459" s="349"/>
      <c r="R459" s="349"/>
      <c r="S459" s="349"/>
      <c r="T459" s="349"/>
      <c r="U459" s="349"/>
      <c r="V459" s="349"/>
      <c r="W459" s="349"/>
      <c r="X459" s="349"/>
      <c r="Y459" s="349"/>
    </row>
    <row r="460" ht="15.75" customHeight="1">
      <c r="A460" s="349"/>
      <c r="B460" s="349"/>
      <c r="C460" s="349"/>
      <c r="D460" s="349"/>
      <c r="E460" s="349"/>
      <c r="F460" s="349"/>
      <c r="G460" s="349"/>
      <c r="H460" s="349"/>
      <c r="I460" s="349"/>
      <c r="J460" s="349"/>
      <c r="K460" s="349"/>
      <c r="L460" s="349"/>
      <c r="M460" s="349"/>
      <c r="N460" s="349"/>
      <c r="O460" s="349"/>
      <c r="P460" s="349"/>
      <c r="Q460" s="349"/>
      <c r="R460" s="349"/>
      <c r="S460" s="349"/>
      <c r="T460" s="349"/>
      <c r="U460" s="349"/>
      <c r="V460" s="349"/>
      <c r="W460" s="349"/>
      <c r="X460" s="349"/>
      <c r="Y460" s="349"/>
    </row>
    <row r="461" ht="15.75" customHeight="1">
      <c r="A461" s="349"/>
      <c r="B461" s="349"/>
      <c r="C461" s="349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  <c r="R461" s="349"/>
      <c r="S461" s="349"/>
      <c r="T461" s="349"/>
      <c r="U461" s="349"/>
      <c r="V461" s="349"/>
      <c r="W461" s="349"/>
      <c r="X461" s="349"/>
      <c r="Y461" s="349"/>
    </row>
    <row r="462" ht="15.75" customHeight="1">
      <c r="A462" s="349"/>
      <c r="B462" s="349"/>
      <c r="C462" s="349"/>
      <c r="D462" s="349"/>
      <c r="E462" s="349"/>
      <c r="F462" s="349"/>
      <c r="G462" s="349"/>
      <c r="H462" s="349"/>
      <c r="I462" s="349"/>
      <c r="J462" s="349"/>
      <c r="K462" s="349"/>
      <c r="L462" s="349"/>
      <c r="M462" s="349"/>
      <c r="N462" s="349"/>
      <c r="O462" s="349"/>
      <c r="P462" s="349"/>
      <c r="Q462" s="349"/>
      <c r="R462" s="349"/>
      <c r="S462" s="349"/>
      <c r="T462" s="349"/>
      <c r="U462" s="349"/>
      <c r="V462" s="349"/>
      <c r="W462" s="349"/>
      <c r="X462" s="349"/>
      <c r="Y462" s="349"/>
    </row>
    <row r="463" ht="15.75" customHeight="1">
      <c r="A463" s="349"/>
      <c r="B463" s="349"/>
      <c r="C463" s="349"/>
      <c r="D463" s="349"/>
      <c r="E463" s="349"/>
      <c r="F463" s="349"/>
      <c r="G463" s="349"/>
      <c r="H463" s="349"/>
      <c r="I463" s="349"/>
      <c r="J463" s="349"/>
      <c r="K463" s="349"/>
      <c r="L463" s="349"/>
      <c r="M463" s="349"/>
      <c r="N463" s="349"/>
      <c r="O463" s="349"/>
      <c r="P463" s="349"/>
      <c r="Q463" s="349"/>
      <c r="R463" s="349"/>
      <c r="S463" s="349"/>
      <c r="T463" s="349"/>
      <c r="U463" s="349"/>
      <c r="V463" s="349"/>
      <c r="W463" s="349"/>
      <c r="X463" s="349"/>
      <c r="Y463" s="349"/>
    </row>
    <row r="464" ht="15.75" customHeight="1">
      <c r="A464" s="349"/>
      <c r="B464" s="349"/>
      <c r="C464" s="349"/>
      <c r="D464" s="349"/>
      <c r="E464" s="349"/>
      <c r="F464" s="349"/>
      <c r="G464" s="349"/>
      <c r="H464" s="349"/>
      <c r="I464" s="349"/>
      <c r="J464" s="349"/>
      <c r="K464" s="349"/>
      <c r="L464" s="349"/>
      <c r="M464" s="349"/>
      <c r="N464" s="349"/>
      <c r="O464" s="349"/>
      <c r="P464" s="349"/>
      <c r="Q464" s="349"/>
      <c r="R464" s="349"/>
      <c r="S464" s="349"/>
      <c r="T464" s="349"/>
      <c r="U464" s="349"/>
      <c r="V464" s="349"/>
      <c r="W464" s="349"/>
      <c r="X464" s="349"/>
      <c r="Y464" s="349"/>
    </row>
    <row r="465" ht="15.75" customHeight="1">
      <c r="A465" s="349"/>
      <c r="B465" s="349"/>
      <c r="C465" s="349"/>
      <c r="D465" s="349"/>
      <c r="E465" s="349"/>
      <c r="F465" s="349"/>
      <c r="G465" s="349"/>
      <c r="H465" s="349"/>
      <c r="I465" s="349"/>
      <c r="J465" s="349"/>
      <c r="K465" s="349"/>
      <c r="L465" s="349"/>
      <c r="M465" s="349"/>
      <c r="N465" s="349"/>
      <c r="O465" s="349"/>
      <c r="P465" s="349"/>
      <c r="Q465" s="349"/>
      <c r="R465" s="349"/>
      <c r="S465" s="349"/>
      <c r="T465" s="349"/>
      <c r="U465" s="349"/>
      <c r="V465" s="349"/>
      <c r="W465" s="349"/>
      <c r="X465" s="349"/>
      <c r="Y465" s="349"/>
    </row>
    <row r="466" ht="15.75" customHeight="1">
      <c r="A466" s="349"/>
      <c r="B466" s="349"/>
      <c r="C466" s="349"/>
      <c r="D466" s="349"/>
      <c r="E466" s="349"/>
      <c r="F466" s="349"/>
      <c r="G466" s="349"/>
      <c r="H466" s="349"/>
      <c r="I466" s="349"/>
      <c r="J466" s="349"/>
      <c r="K466" s="349"/>
      <c r="L466" s="349"/>
      <c r="M466" s="349"/>
      <c r="N466" s="349"/>
      <c r="O466" s="349"/>
      <c r="P466" s="349"/>
      <c r="Q466" s="349"/>
      <c r="R466" s="349"/>
      <c r="S466" s="349"/>
      <c r="T466" s="349"/>
      <c r="U466" s="349"/>
      <c r="V466" s="349"/>
      <c r="W466" s="349"/>
      <c r="X466" s="349"/>
      <c r="Y466" s="349"/>
    </row>
    <row r="467" ht="15.75" customHeight="1">
      <c r="A467" s="349"/>
      <c r="B467" s="349"/>
      <c r="C467" s="349"/>
      <c r="D467" s="349"/>
      <c r="E467" s="349"/>
      <c r="F467" s="349"/>
      <c r="G467" s="349"/>
      <c r="H467" s="349"/>
      <c r="I467" s="349"/>
      <c r="J467" s="349"/>
      <c r="K467" s="349"/>
      <c r="L467" s="349"/>
      <c r="M467" s="349"/>
      <c r="N467" s="349"/>
      <c r="O467" s="349"/>
      <c r="P467" s="349"/>
      <c r="Q467" s="349"/>
      <c r="R467" s="349"/>
      <c r="S467" s="349"/>
      <c r="T467" s="349"/>
      <c r="U467" s="349"/>
      <c r="V467" s="349"/>
      <c r="W467" s="349"/>
      <c r="X467" s="349"/>
      <c r="Y467" s="349"/>
    </row>
    <row r="468" ht="15.75" customHeight="1">
      <c r="A468" s="349"/>
      <c r="B468" s="349"/>
      <c r="C468" s="349"/>
      <c r="D468" s="349"/>
      <c r="E468" s="349"/>
      <c r="F468" s="349"/>
      <c r="G468" s="349"/>
      <c r="H468" s="349"/>
      <c r="I468" s="349"/>
      <c r="J468" s="349"/>
      <c r="K468" s="349"/>
      <c r="L468" s="349"/>
      <c r="M468" s="349"/>
      <c r="N468" s="349"/>
      <c r="O468" s="349"/>
      <c r="P468" s="349"/>
      <c r="Q468" s="349"/>
      <c r="R468" s="349"/>
      <c r="S468" s="349"/>
      <c r="T468" s="349"/>
      <c r="U468" s="349"/>
      <c r="V468" s="349"/>
      <c r="W468" s="349"/>
      <c r="X468" s="349"/>
      <c r="Y468" s="349"/>
    </row>
    <row r="469" ht="15.75" customHeight="1">
      <c r="A469" s="349"/>
      <c r="B469" s="349"/>
      <c r="C469" s="349"/>
      <c r="D469" s="349"/>
      <c r="E469" s="349"/>
      <c r="F469" s="349"/>
      <c r="G469" s="349"/>
      <c r="H469" s="349"/>
      <c r="I469" s="349"/>
      <c r="J469" s="349"/>
      <c r="K469" s="349"/>
      <c r="L469" s="349"/>
      <c r="M469" s="349"/>
      <c r="N469" s="349"/>
      <c r="O469" s="349"/>
      <c r="P469" s="349"/>
      <c r="Q469" s="349"/>
      <c r="R469" s="349"/>
      <c r="S469" s="349"/>
      <c r="T469" s="349"/>
      <c r="U469" s="349"/>
      <c r="V469" s="349"/>
      <c r="W469" s="349"/>
      <c r="X469" s="349"/>
      <c r="Y469" s="349"/>
    </row>
    <row r="470" ht="15.75" customHeight="1">
      <c r="A470" s="349"/>
      <c r="B470" s="349"/>
      <c r="C470" s="349"/>
      <c r="D470" s="349"/>
      <c r="E470" s="349"/>
      <c r="F470" s="349"/>
      <c r="G470" s="349"/>
      <c r="H470" s="349"/>
      <c r="I470" s="349"/>
      <c r="J470" s="349"/>
      <c r="K470" s="349"/>
      <c r="L470" s="349"/>
      <c r="M470" s="349"/>
      <c r="N470" s="349"/>
      <c r="O470" s="349"/>
      <c r="P470" s="349"/>
      <c r="Q470" s="349"/>
      <c r="R470" s="349"/>
      <c r="S470" s="349"/>
      <c r="T470" s="349"/>
      <c r="U470" s="349"/>
      <c r="V470" s="349"/>
      <c r="W470" s="349"/>
      <c r="X470" s="349"/>
      <c r="Y470" s="349"/>
    </row>
    <row r="471" ht="15.75" customHeight="1">
      <c r="A471" s="349"/>
      <c r="B471" s="349"/>
      <c r="C471" s="349"/>
      <c r="D471" s="349"/>
      <c r="E471" s="349"/>
      <c r="F471" s="349"/>
      <c r="G471" s="349"/>
      <c r="H471" s="349"/>
      <c r="I471" s="349"/>
      <c r="J471" s="349"/>
      <c r="K471" s="349"/>
      <c r="L471" s="349"/>
      <c r="M471" s="349"/>
      <c r="N471" s="349"/>
      <c r="O471" s="349"/>
      <c r="P471" s="349"/>
      <c r="Q471" s="349"/>
      <c r="R471" s="349"/>
      <c r="S471" s="349"/>
      <c r="T471" s="349"/>
      <c r="U471" s="349"/>
      <c r="V471" s="349"/>
      <c r="W471" s="349"/>
      <c r="X471" s="349"/>
      <c r="Y471" s="349"/>
    </row>
    <row r="472" ht="15.75" customHeight="1">
      <c r="A472" s="349"/>
      <c r="B472" s="349"/>
      <c r="C472" s="349"/>
      <c r="D472" s="349"/>
      <c r="E472" s="349"/>
      <c r="F472" s="349"/>
      <c r="G472" s="349"/>
      <c r="H472" s="349"/>
      <c r="I472" s="349"/>
      <c r="J472" s="349"/>
      <c r="K472" s="349"/>
      <c r="L472" s="349"/>
      <c r="M472" s="349"/>
      <c r="N472" s="349"/>
      <c r="O472" s="349"/>
      <c r="P472" s="349"/>
      <c r="Q472" s="349"/>
      <c r="R472" s="349"/>
      <c r="S472" s="349"/>
      <c r="T472" s="349"/>
      <c r="U472" s="349"/>
      <c r="V472" s="349"/>
      <c r="W472" s="349"/>
      <c r="X472" s="349"/>
      <c r="Y472" s="349"/>
    </row>
    <row r="473" ht="15.75" customHeight="1">
      <c r="A473" s="349"/>
      <c r="B473" s="349"/>
      <c r="C473" s="349"/>
      <c r="D473" s="349"/>
      <c r="E473" s="349"/>
      <c r="F473" s="349"/>
      <c r="G473" s="349"/>
      <c r="H473" s="349"/>
      <c r="I473" s="349"/>
      <c r="J473" s="349"/>
      <c r="K473" s="349"/>
      <c r="L473" s="349"/>
      <c r="M473" s="349"/>
      <c r="N473" s="349"/>
      <c r="O473" s="349"/>
      <c r="P473" s="349"/>
      <c r="Q473" s="349"/>
      <c r="R473" s="349"/>
      <c r="S473" s="349"/>
      <c r="T473" s="349"/>
      <c r="U473" s="349"/>
      <c r="V473" s="349"/>
      <c r="W473" s="349"/>
      <c r="X473" s="349"/>
      <c r="Y473" s="349"/>
    </row>
    <row r="474" ht="15.75" customHeight="1">
      <c r="A474" s="349"/>
      <c r="B474" s="349"/>
      <c r="C474" s="349"/>
      <c r="D474" s="349"/>
      <c r="E474" s="349"/>
      <c r="F474" s="349"/>
      <c r="G474" s="349"/>
      <c r="H474" s="349"/>
      <c r="I474" s="349"/>
      <c r="J474" s="349"/>
      <c r="K474" s="349"/>
      <c r="L474" s="349"/>
      <c r="M474" s="349"/>
      <c r="N474" s="349"/>
      <c r="O474" s="349"/>
      <c r="P474" s="349"/>
      <c r="Q474" s="349"/>
      <c r="R474" s="349"/>
      <c r="S474" s="349"/>
      <c r="T474" s="349"/>
      <c r="U474" s="349"/>
      <c r="V474" s="349"/>
      <c r="W474" s="349"/>
      <c r="X474" s="349"/>
      <c r="Y474" s="349"/>
    </row>
    <row r="475" ht="15.75" customHeight="1">
      <c r="A475" s="349"/>
      <c r="B475" s="349"/>
      <c r="C475" s="349"/>
      <c r="D475" s="349"/>
      <c r="E475" s="349"/>
      <c r="F475" s="349"/>
      <c r="G475" s="349"/>
      <c r="H475" s="349"/>
      <c r="I475" s="349"/>
      <c r="J475" s="349"/>
      <c r="K475" s="349"/>
      <c r="L475" s="349"/>
      <c r="M475" s="349"/>
      <c r="N475" s="349"/>
      <c r="O475" s="349"/>
      <c r="P475" s="349"/>
      <c r="Q475" s="349"/>
      <c r="R475" s="349"/>
      <c r="S475" s="349"/>
      <c r="T475" s="349"/>
      <c r="U475" s="349"/>
      <c r="V475" s="349"/>
      <c r="W475" s="349"/>
      <c r="X475" s="349"/>
      <c r="Y475" s="349"/>
    </row>
    <row r="476" ht="15.75" customHeight="1">
      <c r="A476" s="349"/>
      <c r="B476" s="349"/>
      <c r="C476" s="349"/>
      <c r="D476" s="349"/>
      <c r="E476" s="349"/>
      <c r="F476" s="349"/>
      <c r="G476" s="349"/>
      <c r="H476" s="349"/>
      <c r="I476" s="349"/>
      <c r="J476" s="349"/>
      <c r="K476" s="349"/>
      <c r="L476" s="349"/>
      <c r="M476" s="349"/>
      <c r="N476" s="349"/>
      <c r="O476" s="349"/>
      <c r="P476" s="349"/>
      <c r="Q476" s="349"/>
      <c r="R476" s="349"/>
      <c r="S476" s="349"/>
      <c r="T476" s="349"/>
      <c r="U476" s="349"/>
      <c r="V476" s="349"/>
      <c r="W476" s="349"/>
      <c r="X476" s="349"/>
      <c r="Y476" s="349"/>
    </row>
    <row r="477" ht="15.75" customHeight="1">
      <c r="A477" s="349"/>
      <c r="B477" s="349"/>
      <c r="C477" s="349"/>
      <c r="D477" s="349"/>
      <c r="E477" s="349"/>
      <c r="F477" s="349"/>
      <c r="G477" s="349"/>
      <c r="H477" s="349"/>
      <c r="I477" s="349"/>
      <c r="J477" s="349"/>
      <c r="K477" s="349"/>
      <c r="L477" s="349"/>
      <c r="M477" s="349"/>
      <c r="N477" s="349"/>
      <c r="O477" s="349"/>
      <c r="P477" s="349"/>
      <c r="Q477" s="349"/>
      <c r="R477" s="349"/>
      <c r="S477" s="349"/>
      <c r="T477" s="349"/>
      <c r="U477" s="349"/>
      <c r="V477" s="349"/>
      <c r="W477" s="349"/>
      <c r="X477" s="349"/>
      <c r="Y477" s="349"/>
    </row>
    <row r="478" ht="15.75" customHeight="1">
      <c r="A478" s="349"/>
      <c r="B478" s="349"/>
      <c r="C478" s="349"/>
      <c r="D478" s="349"/>
      <c r="E478" s="349"/>
      <c r="F478" s="349"/>
      <c r="G478" s="349"/>
      <c r="H478" s="349"/>
      <c r="I478" s="349"/>
      <c r="J478" s="349"/>
      <c r="K478" s="349"/>
      <c r="L478" s="349"/>
      <c r="M478" s="349"/>
      <c r="N478" s="349"/>
      <c r="O478" s="349"/>
      <c r="P478" s="349"/>
      <c r="Q478" s="349"/>
      <c r="R478" s="349"/>
      <c r="S478" s="349"/>
      <c r="T478" s="349"/>
      <c r="U478" s="349"/>
      <c r="V478" s="349"/>
      <c r="W478" s="349"/>
      <c r="X478" s="349"/>
      <c r="Y478" s="349"/>
    </row>
    <row r="479" ht="15.75" customHeight="1">
      <c r="A479" s="349"/>
      <c r="B479" s="349"/>
      <c r="C479" s="349"/>
      <c r="D479" s="349"/>
      <c r="E479" s="349"/>
      <c r="F479" s="349"/>
      <c r="G479" s="349"/>
      <c r="H479" s="349"/>
      <c r="I479" s="349"/>
      <c r="J479" s="349"/>
      <c r="K479" s="349"/>
      <c r="L479" s="349"/>
      <c r="M479" s="349"/>
      <c r="N479" s="349"/>
      <c r="O479" s="349"/>
      <c r="P479" s="349"/>
      <c r="Q479" s="349"/>
      <c r="R479" s="349"/>
      <c r="S479" s="349"/>
      <c r="T479" s="349"/>
      <c r="U479" s="349"/>
      <c r="V479" s="349"/>
      <c r="W479" s="349"/>
      <c r="X479" s="349"/>
      <c r="Y479" s="349"/>
    </row>
    <row r="480" ht="15.75" customHeight="1">
      <c r="A480" s="349"/>
      <c r="B480" s="349"/>
      <c r="C480" s="349"/>
      <c r="D480" s="349"/>
      <c r="E480" s="349"/>
      <c r="F480" s="349"/>
      <c r="G480" s="349"/>
      <c r="H480" s="349"/>
      <c r="I480" s="349"/>
      <c r="J480" s="349"/>
      <c r="K480" s="349"/>
      <c r="L480" s="349"/>
      <c r="M480" s="349"/>
      <c r="N480" s="349"/>
      <c r="O480" s="349"/>
      <c r="P480" s="349"/>
      <c r="Q480" s="349"/>
      <c r="R480" s="349"/>
      <c r="S480" s="349"/>
      <c r="T480" s="349"/>
      <c r="U480" s="349"/>
      <c r="V480" s="349"/>
      <c r="W480" s="349"/>
      <c r="X480" s="349"/>
      <c r="Y480" s="349"/>
    </row>
    <row r="481" ht="15.75" customHeight="1">
      <c r="A481" s="349"/>
      <c r="B481" s="349"/>
      <c r="C481" s="349"/>
      <c r="D481" s="349"/>
      <c r="E481" s="349"/>
      <c r="F481" s="349"/>
      <c r="G481" s="349"/>
      <c r="H481" s="349"/>
      <c r="I481" s="349"/>
      <c r="J481" s="349"/>
      <c r="K481" s="349"/>
      <c r="L481" s="349"/>
      <c r="M481" s="349"/>
      <c r="N481" s="349"/>
      <c r="O481" s="349"/>
      <c r="P481" s="349"/>
      <c r="Q481" s="349"/>
      <c r="R481" s="349"/>
      <c r="S481" s="349"/>
      <c r="T481" s="349"/>
      <c r="U481" s="349"/>
      <c r="V481" s="349"/>
      <c r="W481" s="349"/>
      <c r="X481" s="349"/>
      <c r="Y481" s="349"/>
    </row>
    <row r="482" ht="15.75" customHeight="1">
      <c r="A482" s="349"/>
      <c r="B482" s="349"/>
      <c r="C482" s="349"/>
      <c r="D482" s="349"/>
      <c r="E482" s="349"/>
      <c r="F482" s="349"/>
      <c r="G482" s="349"/>
      <c r="H482" s="349"/>
      <c r="I482" s="349"/>
      <c r="J482" s="349"/>
      <c r="K482" s="349"/>
      <c r="L482" s="349"/>
      <c r="M482" s="349"/>
      <c r="N482" s="349"/>
      <c r="O482" s="349"/>
      <c r="P482" s="349"/>
      <c r="Q482" s="349"/>
      <c r="R482" s="349"/>
      <c r="S482" s="349"/>
      <c r="T482" s="349"/>
      <c r="U482" s="349"/>
      <c r="V482" s="349"/>
      <c r="W482" s="349"/>
      <c r="X482" s="349"/>
      <c r="Y482" s="349"/>
    </row>
    <row r="483" ht="15.75" customHeight="1">
      <c r="A483" s="349"/>
      <c r="B483" s="349"/>
      <c r="C483" s="349"/>
      <c r="D483" s="349"/>
      <c r="E483" s="349"/>
      <c r="F483" s="349"/>
      <c r="G483" s="349"/>
      <c r="H483" s="349"/>
      <c r="I483" s="349"/>
      <c r="J483" s="349"/>
      <c r="K483" s="349"/>
      <c r="L483" s="349"/>
      <c r="M483" s="349"/>
      <c r="N483" s="349"/>
      <c r="O483" s="349"/>
      <c r="P483" s="349"/>
      <c r="Q483" s="349"/>
      <c r="R483" s="349"/>
      <c r="S483" s="349"/>
      <c r="T483" s="349"/>
      <c r="U483" s="349"/>
      <c r="V483" s="349"/>
      <c r="W483" s="349"/>
      <c r="X483" s="349"/>
      <c r="Y483" s="349"/>
    </row>
    <row r="484" ht="15.75" customHeight="1">
      <c r="A484" s="349"/>
      <c r="B484" s="349"/>
      <c r="C484" s="349"/>
      <c r="D484" s="349"/>
      <c r="E484" s="349"/>
      <c r="F484" s="349"/>
      <c r="G484" s="349"/>
      <c r="H484" s="349"/>
      <c r="I484" s="349"/>
      <c r="J484" s="349"/>
      <c r="K484" s="349"/>
      <c r="L484" s="349"/>
      <c r="M484" s="349"/>
      <c r="N484" s="349"/>
      <c r="O484" s="349"/>
      <c r="P484" s="349"/>
      <c r="Q484" s="349"/>
      <c r="R484" s="349"/>
      <c r="S484" s="349"/>
      <c r="T484" s="349"/>
      <c r="U484" s="349"/>
      <c r="V484" s="349"/>
      <c r="W484" s="349"/>
      <c r="X484" s="349"/>
      <c r="Y484" s="349"/>
    </row>
    <row r="485" ht="15.75" customHeight="1">
      <c r="A485" s="349"/>
      <c r="B485" s="349"/>
      <c r="C485" s="349"/>
      <c r="D485" s="349"/>
      <c r="E485" s="349"/>
      <c r="F485" s="349"/>
      <c r="G485" s="349"/>
      <c r="H485" s="349"/>
      <c r="I485" s="349"/>
      <c r="J485" s="349"/>
      <c r="K485" s="349"/>
      <c r="L485" s="349"/>
      <c r="M485" s="349"/>
      <c r="N485" s="349"/>
      <c r="O485" s="349"/>
      <c r="P485" s="349"/>
      <c r="Q485" s="349"/>
      <c r="R485" s="349"/>
      <c r="S485" s="349"/>
      <c r="T485" s="349"/>
      <c r="U485" s="349"/>
      <c r="V485" s="349"/>
      <c r="W485" s="349"/>
      <c r="X485" s="349"/>
      <c r="Y485" s="349"/>
    </row>
    <row r="486" ht="15.75" customHeight="1">
      <c r="A486" s="349"/>
      <c r="B486" s="349"/>
      <c r="C486" s="349"/>
      <c r="D486" s="349"/>
      <c r="E486" s="349"/>
      <c r="F486" s="349"/>
      <c r="G486" s="349"/>
      <c r="H486" s="349"/>
      <c r="I486" s="349"/>
      <c r="J486" s="349"/>
      <c r="K486" s="349"/>
      <c r="L486" s="349"/>
      <c r="M486" s="349"/>
      <c r="N486" s="349"/>
      <c r="O486" s="349"/>
      <c r="P486" s="349"/>
      <c r="Q486" s="349"/>
      <c r="R486" s="349"/>
      <c r="S486" s="349"/>
      <c r="T486" s="349"/>
      <c r="U486" s="349"/>
      <c r="V486" s="349"/>
      <c r="W486" s="349"/>
      <c r="X486" s="349"/>
      <c r="Y486" s="349"/>
    </row>
    <row r="487" ht="15.75" customHeight="1">
      <c r="A487" s="349"/>
      <c r="B487" s="349"/>
      <c r="C487" s="349"/>
      <c r="D487" s="349"/>
      <c r="E487" s="349"/>
      <c r="F487" s="349"/>
      <c r="G487" s="349"/>
      <c r="H487" s="349"/>
      <c r="I487" s="349"/>
      <c r="J487" s="349"/>
      <c r="K487" s="349"/>
      <c r="L487" s="349"/>
      <c r="M487" s="349"/>
      <c r="N487" s="349"/>
      <c r="O487" s="349"/>
      <c r="P487" s="349"/>
      <c r="Q487" s="349"/>
      <c r="R487" s="349"/>
      <c r="S487" s="349"/>
      <c r="T487" s="349"/>
      <c r="U487" s="349"/>
      <c r="V487" s="349"/>
      <c r="W487" s="349"/>
      <c r="X487" s="349"/>
      <c r="Y487" s="349"/>
    </row>
    <row r="488" ht="15.75" customHeight="1">
      <c r="A488" s="349"/>
      <c r="B488" s="349"/>
      <c r="C488" s="349"/>
      <c r="D488" s="349"/>
      <c r="E488" s="349"/>
      <c r="F488" s="349"/>
      <c r="G488" s="349"/>
      <c r="H488" s="349"/>
      <c r="I488" s="349"/>
      <c r="J488" s="349"/>
      <c r="K488" s="349"/>
      <c r="L488" s="349"/>
      <c r="M488" s="349"/>
      <c r="N488" s="349"/>
      <c r="O488" s="349"/>
      <c r="P488" s="349"/>
      <c r="Q488" s="349"/>
      <c r="R488" s="349"/>
      <c r="S488" s="349"/>
      <c r="T488" s="349"/>
      <c r="U488" s="349"/>
      <c r="V488" s="349"/>
      <c r="W488" s="349"/>
      <c r="X488" s="349"/>
      <c r="Y488" s="349"/>
    </row>
    <row r="489" ht="15.75" customHeight="1">
      <c r="A489" s="349"/>
      <c r="B489" s="349"/>
      <c r="C489" s="349"/>
      <c r="D489" s="349"/>
      <c r="E489" s="349"/>
      <c r="F489" s="349"/>
      <c r="G489" s="349"/>
      <c r="H489" s="349"/>
      <c r="I489" s="349"/>
      <c r="J489" s="349"/>
      <c r="K489" s="349"/>
      <c r="L489" s="349"/>
      <c r="M489" s="349"/>
      <c r="N489" s="349"/>
      <c r="O489" s="349"/>
      <c r="P489" s="349"/>
      <c r="Q489" s="349"/>
      <c r="R489" s="349"/>
      <c r="S489" s="349"/>
      <c r="T489" s="349"/>
      <c r="U489" s="349"/>
      <c r="V489" s="349"/>
      <c r="W489" s="349"/>
      <c r="X489" s="349"/>
      <c r="Y489" s="349"/>
    </row>
    <row r="490" ht="15.75" customHeight="1">
      <c r="A490" s="349"/>
      <c r="B490" s="349"/>
      <c r="C490" s="349"/>
      <c r="D490" s="349"/>
      <c r="E490" s="349"/>
      <c r="F490" s="349"/>
      <c r="G490" s="349"/>
      <c r="H490" s="349"/>
      <c r="I490" s="349"/>
      <c r="J490" s="349"/>
      <c r="K490" s="349"/>
      <c r="L490" s="349"/>
      <c r="M490" s="349"/>
      <c r="N490" s="349"/>
      <c r="O490" s="349"/>
      <c r="P490" s="349"/>
      <c r="Q490" s="349"/>
      <c r="R490" s="349"/>
      <c r="S490" s="349"/>
      <c r="T490" s="349"/>
      <c r="U490" s="349"/>
      <c r="V490" s="349"/>
      <c r="W490" s="349"/>
      <c r="X490" s="349"/>
      <c r="Y490" s="349"/>
    </row>
    <row r="491" ht="15.75" customHeight="1">
      <c r="A491" s="349"/>
      <c r="B491" s="349"/>
      <c r="C491" s="349"/>
      <c r="D491" s="349"/>
      <c r="E491" s="349"/>
      <c r="F491" s="349"/>
      <c r="G491" s="349"/>
      <c r="H491" s="349"/>
      <c r="I491" s="349"/>
      <c r="J491" s="349"/>
      <c r="K491" s="349"/>
      <c r="L491" s="349"/>
      <c r="M491" s="349"/>
      <c r="N491" s="349"/>
      <c r="O491" s="349"/>
      <c r="P491" s="349"/>
      <c r="Q491" s="349"/>
      <c r="R491" s="349"/>
      <c r="S491" s="349"/>
      <c r="T491" s="349"/>
      <c r="U491" s="349"/>
      <c r="V491" s="349"/>
      <c r="W491" s="349"/>
      <c r="X491" s="349"/>
      <c r="Y491" s="349"/>
    </row>
    <row r="492" ht="15.75" customHeight="1">
      <c r="A492" s="349"/>
      <c r="B492" s="349"/>
      <c r="C492" s="349"/>
      <c r="D492" s="349"/>
      <c r="E492" s="349"/>
      <c r="F492" s="349"/>
      <c r="G492" s="349"/>
      <c r="H492" s="349"/>
      <c r="I492" s="349"/>
      <c r="J492" s="349"/>
      <c r="K492" s="349"/>
      <c r="L492" s="349"/>
      <c r="M492" s="349"/>
      <c r="N492" s="349"/>
      <c r="O492" s="349"/>
      <c r="P492" s="349"/>
      <c r="Q492" s="349"/>
      <c r="R492" s="349"/>
      <c r="S492" s="349"/>
      <c r="T492" s="349"/>
      <c r="U492" s="349"/>
      <c r="V492" s="349"/>
      <c r="W492" s="349"/>
      <c r="X492" s="349"/>
      <c r="Y492" s="349"/>
    </row>
    <row r="493" ht="15.75" customHeight="1">
      <c r="A493" s="349"/>
      <c r="B493" s="349"/>
      <c r="C493" s="349"/>
      <c r="D493" s="349"/>
      <c r="E493" s="349"/>
      <c r="F493" s="349"/>
      <c r="G493" s="349"/>
      <c r="H493" s="349"/>
      <c r="I493" s="349"/>
      <c r="J493" s="349"/>
      <c r="K493" s="349"/>
      <c r="L493" s="349"/>
      <c r="M493" s="349"/>
      <c r="N493" s="349"/>
      <c r="O493" s="349"/>
      <c r="P493" s="349"/>
      <c r="Q493" s="349"/>
      <c r="R493" s="349"/>
      <c r="S493" s="349"/>
      <c r="T493" s="349"/>
      <c r="U493" s="349"/>
      <c r="V493" s="349"/>
      <c r="W493" s="349"/>
      <c r="X493" s="349"/>
      <c r="Y493" s="349"/>
    </row>
    <row r="494" ht="15.75" customHeight="1">
      <c r="A494" s="349"/>
      <c r="B494" s="349"/>
      <c r="C494" s="349"/>
      <c r="D494" s="349"/>
      <c r="E494" s="349"/>
      <c r="F494" s="349"/>
      <c r="G494" s="349"/>
      <c r="H494" s="349"/>
      <c r="I494" s="349"/>
      <c r="J494" s="349"/>
      <c r="K494" s="349"/>
      <c r="L494" s="349"/>
      <c r="M494" s="349"/>
      <c r="N494" s="349"/>
      <c r="O494" s="349"/>
      <c r="P494" s="349"/>
      <c r="Q494" s="349"/>
      <c r="R494" s="349"/>
      <c r="S494" s="349"/>
      <c r="T494" s="349"/>
      <c r="U494" s="349"/>
      <c r="V494" s="349"/>
      <c r="W494" s="349"/>
      <c r="X494" s="349"/>
      <c r="Y494" s="349"/>
    </row>
    <row r="495" ht="15.75" customHeight="1">
      <c r="A495" s="349"/>
      <c r="B495" s="349"/>
      <c r="C495" s="349"/>
      <c r="D495" s="349"/>
      <c r="E495" s="349"/>
      <c r="F495" s="349"/>
      <c r="G495" s="349"/>
      <c r="H495" s="349"/>
      <c r="I495" s="349"/>
      <c r="J495" s="349"/>
      <c r="K495" s="349"/>
      <c r="L495" s="349"/>
      <c r="M495" s="349"/>
      <c r="N495" s="349"/>
      <c r="O495" s="349"/>
      <c r="P495" s="349"/>
      <c r="Q495" s="349"/>
      <c r="R495" s="349"/>
      <c r="S495" s="349"/>
      <c r="T495" s="349"/>
      <c r="U495" s="349"/>
      <c r="V495" s="349"/>
      <c r="W495" s="349"/>
      <c r="X495" s="349"/>
      <c r="Y495" s="349"/>
    </row>
    <row r="496" ht="15.75" customHeight="1">
      <c r="A496" s="349"/>
      <c r="B496" s="349"/>
      <c r="C496" s="349"/>
      <c r="D496" s="349"/>
      <c r="E496" s="349"/>
      <c r="F496" s="349"/>
      <c r="G496" s="349"/>
      <c r="H496" s="349"/>
      <c r="I496" s="349"/>
      <c r="J496" s="349"/>
      <c r="K496" s="349"/>
      <c r="L496" s="349"/>
      <c r="M496" s="349"/>
      <c r="N496" s="349"/>
      <c r="O496" s="349"/>
      <c r="P496" s="349"/>
      <c r="Q496" s="349"/>
      <c r="R496" s="349"/>
      <c r="S496" s="349"/>
      <c r="T496" s="349"/>
      <c r="U496" s="349"/>
      <c r="V496" s="349"/>
      <c r="W496" s="349"/>
      <c r="X496" s="349"/>
      <c r="Y496" s="349"/>
    </row>
    <row r="497" ht="15.75" customHeight="1">
      <c r="A497" s="349"/>
      <c r="B497" s="349"/>
      <c r="C497" s="349"/>
      <c r="D497" s="349"/>
      <c r="E497" s="349"/>
      <c r="F497" s="349"/>
      <c r="G497" s="349"/>
      <c r="H497" s="349"/>
      <c r="I497" s="349"/>
      <c r="J497" s="349"/>
      <c r="K497" s="349"/>
      <c r="L497" s="349"/>
      <c r="M497" s="349"/>
      <c r="N497" s="349"/>
      <c r="O497" s="349"/>
      <c r="P497" s="349"/>
      <c r="Q497" s="349"/>
      <c r="R497" s="349"/>
      <c r="S497" s="349"/>
      <c r="T497" s="349"/>
      <c r="U497" s="349"/>
      <c r="V497" s="349"/>
      <c r="W497" s="349"/>
      <c r="X497" s="349"/>
      <c r="Y497" s="349"/>
    </row>
    <row r="498" ht="15.75" customHeight="1">
      <c r="A498" s="349"/>
      <c r="B498" s="349"/>
      <c r="C498" s="349"/>
      <c r="D498" s="349"/>
      <c r="E498" s="349"/>
      <c r="F498" s="349"/>
      <c r="G498" s="349"/>
      <c r="H498" s="349"/>
      <c r="I498" s="349"/>
      <c r="J498" s="349"/>
      <c r="K498" s="349"/>
      <c r="L498" s="349"/>
      <c r="M498" s="349"/>
      <c r="N498" s="349"/>
      <c r="O498" s="349"/>
      <c r="P498" s="349"/>
      <c r="Q498" s="349"/>
      <c r="R498" s="349"/>
      <c r="S498" s="349"/>
      <c r="T498" s="349"/>
      <c r="U498" s="349"/>
      <c r="V498" s="349"/>
      <c r="W498" s="349"/>
      <c r="X498" s="349"/>
      <c r="Y498" s="349"/>
    </row>
    <row r="499" ht="15.75" customHeight="1">
      <c r="A499" s="349"/>
      <c r="B499" s="349"/>
      <c r="C499" s="349"/>
      <c r="D499" s="349"/>
      <c r="E499" s="349"/>
      <c r="F499" s="349"/>
      <c r="G499" s="349"/>
      <c r="H499" s="349"/>
      <c r="I499" s="349"/>
      <c r="J499" s="349"/>
      <c r="K499" s="349"/>
      <c r="L499" s="349"/>
      <c r="M499" s="349"/>
      <c r="N499" s="349"/>
      <c r="O499" s="349"/>
      <c r="P499" s="349"/>
      <c r="Q499" s="349"/>
      <c r="R499" s="349"/>
      <c r="S499" s="349"/>
      <c r="T499" s="349"/>
      <c r="U499" s="349"/>
      <c r="V499" s="349"/>
      <c r="W499" s="349"/>
      <c r="X499" s="349"/>
      <c r="Y499" s="349"/>
    </row>
    <row r="500" ht="15.75" customHeight="1">
      <c r="A500" s="349"/>
      <c r="B500" s="349"/>
      <c r="C500" s="349"/>
      <c r="D500" s="349"/>
      <c r="E500" s="349"/>
      <c r="F500" s="349"/>
      <c r="G500" s="349"/>
      <c r="H500" s="349"/>
      <c r="I500" s="349"/>
      <c r="J500" s="349"/>
      <c r="K500" s="349"/>
      <c r="L500" s="349"/>
      <c r="M500" s="349"/>
      <c r="N500" s="349"/>
      <c r="O500" s="349"/>
      <c r="P500" s="349"/>
      <c r="Q500" s="349"/>
      <c r="R500" s="349"/>
      <c r="S500" s="349"/>
      <c r="T500" s="349"/>
      <c r="U500" s="349"/>
      <c r="V500" s="349"/>
      <c r="W500" s="349"/>
      <c r="X500" s="349"/>
      <c r="Y500" s="349"/>
    </row>
    <row r="501" ht="15.75" customHeight="1">
      <c r="A501" s="349"/>
      <c r="B501" s="349"/>
      <c r="C501" s="349"/>
      <c r="D501" s="349"/>
      <c r="E501" s="349"/>
      <c r="F501" s="349"/>
      <c r="G501" s="349"/>
      <c r="H501" s="349"/>
      <c r="I501" s="349"/>
      <c r="J501" s="349"/>
      <c r="K501" s="349"/>
      <c r="L501" s="349"/>
      <c r="M501" s="349"/>
      <c r="N501" s="349"/>
      <c r="O501" s="349"/>
      <c r="P501" s="349"/>
      <c r="Q501" s="349"/>
      <c r="R501" s="349"/>
      <c r="S501" s="349"/>
      <c r="T501" s="349"/>
      <c r="U501" s="349"/>
      <c r="V501" s="349"/>
      <c r="W501" s="349"/>
      <c r="X501" s="349"/>
      <c r="Y501" s="349"/>
    </row>
    <row r="502" ht="15.75" customHeight="1">
      <c r="A502" s="349"/>
      <c r="B502" s="349"/>
      <c r="C502" s="349"/>
      <c r="D502" s="349"/>
      <c r="E502" s="349"/>
      <c r="F502" s="349"/>
      <c r="G502" s="349"/>
      <c r="H502" s="349"/>
      <c r="I502" s="349"/>
      <c r="J502" s="349"/>
      <c r="K502" s="349"/>
      <c r="L502" s="349"/>
      <c r="M502" s="349"/>
      <c r="N502" s="349"/>
      <c r="O502" s="349"/>
      <c r="P502" s="349"/>
      <c r="Q502" s="349"/>
      <c r="R502" s="349"/>
      <c r="S502" s="349"/>
      <c r="T502" s="349"/>
      <c r="U502" s="349"/>
      <c r="V502" s="349"/>
      <c r="W502" s="349"/>
      <c r="X502" s="349"/>
      <c r="Y502" s="349"/>
    </row>
    <row r="503" ht="15.75" customHeight="1">
      <c r="A503" s="349"/>
      <c r="B503" s="349"/>
      <c r="C503" s="349"/>
      <c r="D503" s="349"/>
      <c r="E503" s="349"/>
      <c r="F503" s="349"/>
      <c r="G503" s="349"/>
      <c r="H503" s="349"/>
      <c r="I503" s="349"/>
      <c r="J503" s="349"/>
      <c r="K503" s="349"/>
      <c r="L503" s="349"/>
      <c r="M503" s="349"/>
      <c r="N503" s="349"/>
      <c r="O503" s="349"/>
      <c r="P503" s="349"/>
      <c r="Q503" s="349"/>
      <c r="R503" s="349"/>
      <c r="S503" s="349"/>
      <c r="T503" s="349"/>
      <c r="U503" s="349"/>
      <c r="V503" s="349"/>
      <c r="W503" s="349"/>
      <c r="X503" s="349"/>
      <c r="Y503" s="349"/>
    </row>
    <row r="504" ht="15.75" customHeight="1">
      <c r="A504" s="349"/>
      <c r="B504" s="349"/>
      <c r="C504" s="349"/>
      <c r="D504" s="349"/>
      <c r="E504" s="349"/>
      <c r="F504" s="349"/>
      <c r="G504" s="349"/>
      <c r="H504" s="349"/>
      <c r="I504" s="349"/>
      <c r="J504" s="349"/>
      <c r="K504" s="349"/>
      <c r="L504" s="349"/>
      <c r="M504" s="349"/>
      <c r="N504" s="349"/>
      <c r="O504" s="349"/>
      <c r="P504" s="349"/>
      <c r="Q504" s="349"/>
      <c r="R504" s="349"/>
      <c r="S504" s="349"/>
      <c r="T504" s="349"/>
      <c r="U504" s="349"/>
      <c r="V504" s="349"/>
      <c r="W504" s="349"/>
      <c r="X504" s="349"/>
      <c r="Y504" s="349"/>
    </row>
    <row r="505" ht="15.75" customHeight="1">
      <c r="A505" s="349"/>
      <c r="B505" s="349"/>
      <c r="C505" s="349"/>
      <c r="D505" s="349"/>
      <c r="E505" s="349"/>
      <c r="F505" s="349"/>
      <c r="G505" s="349"/>
      <c r="H505" s="349"/>
      <c r="I505" s="349"/>
      <c r="J505" s="349"/>
      <c r="K505" s="349"/>
      <c r="L505" s="349"/>
      <c r="M505" s="349"/>
      <c r="N505" s="349"/>
      <c r="O505" s="349"/>
      <c r="P505" s="349"/>
      <c r="Q505" s="349"/>
      <c r="R505" s="349"/>
      <c r="S505" s="349"/>
      <c r="T505" s="349"/>
      <c r="U505" s="349"/>
      <c r="V505" s="349"/>
      <c r="W505" s="349"/>
      <c r="X505" s="349"/>
      <c r="Y505" s="349"/>
    </row>
    <row r="506" ht="15.75" customHeight="1">
      <c r="A506" s="349"/>
      <c r="B506" s="349"/>
      <c r="C506" s="349"/>
      <c r="D506" s="349"/>
      <c r="E506" s="349"/>
      <c r="F506" s="349"/>
      <c r="G506" s="349"/>
      <c r="H506" s="349"/>
      <c r="I506" s="349"/>
      <c r="J506" s="349"/>
      <c r="K506" s="349"/>
      <c r="L506" s="349"/>
      <c r="M506" s="349"/>
      <c r="N506" s="349"/>
      <c r="O506" s="349"/>
      <c r="P506" s="349"/>
      <c r="Q506" s="349"/>
      <c r="R506" s="349"/>
      <c r="S506" s="349"/>
      <c r="T506" s="349"/>
      <c r="U506" s="349"/>
      <c r="V506" s="349"/>
      <c r="W506" s="349"/>
      <c r="X506" s="349"/>
      <c r="Y506" s="349"/>
    </row>
    <row r="507" ht="15.75" customHeight="1">
      <c r="A507" s="349"/>
      <c r="B507" s="349"/>
      <c r="C507" s="349"/>
      <c r="D507" s="349"/>
      <c r="E507" s="349"/>
      <c r="F507" s="349"/>
      <c r="G507" s="349"/>
      <c r="H507" s="349"/>
      <c r="I507" s="349"/>
      <c r="J507" s="349"/>
      <c r="K507" s="349"/>
      <c r="L507" s="349"/>
      <c r="M507" s="349"/>
      <c r="N507" s="349"/>
      <c r="O507" s="349"/>
      <c r="P507" s="349"/>
      <c r="Q507" s="349"/>
      <c r="R507" s="349"/>
      <c r="S507" s="349"/>
      <c r="T507" s="349"/>
      <c r="U507" s="349"/>
      <c r="V507" s="349"/>
      <c r="W507" s="349"/>
      <c r="X507" s="349"/>
      <c r="Y507" s="349"/>
    </row>
    <row r="508" ht="15.75" customHeight="1">
      <c r="A508" s="349"/>
      <c r="B508" s="349"/>
      <c r="C508" s="349"/>
      <c r="D508" s="349"/>
      <c r="E508" s="349"/>
      <c r="F508" s="349"/>
      <c r="G508" s="349"/>
      <c r="H508" s="349"/>
      <c r="I508" s="349"/>
      <c r="J508" s="349"/>
      <c r="K508" s="349"/>
      <c r="L508" s="349"/>
      <c r="M508" s="349"/>
      <c r="N508" s="349"/>
      <c r="O508" s="349"/>
      <c r="P508" s="349"/>
      <c r="Q508" s="349"/>
      <c r="R508" s="349"/>
      <c r="S508" s="349"/>
      <c r="T508" s="349"/>
      <c r="U508" s="349"/>
      <c r="V508" s="349"/>
      <c r="W508" s="349"/>
      <c r="X508" s="349"/>
      <c r="Y508" s="349"/>
    </row>
    <row r="509" ht="15.75" customHeight="1">
      <c r="A509" s="349"/>
      <c r="B509" s="349"/>
      <c r="C509" s="349"/>
      <c r="D509" s="349"/>
      <c r="E509" s="349"/>
      <c r="F509" s="349"/>
      <c r="G509" s="349"/>
      <c r="H509" s="349"/>
      <c r="I509" s="349"/>
      <c r="J509" s="349"/>
      <c r="K509" s="349"/>
      <c r="L509" s="349"/>
      <c r="M509" s="349"/>
      <c r="N509" s="349"/>
      <c r="O509" s="349"/>
      <c r="P509" s="349"/>
      <c r="Q509" s="349"/>
      <c r="R509" s="349"/>
      <c r="S509" s="349"/>
      <c r="T509" s="349"/>
      <c r="U509" s="349"/>
      <c r="V509" s="349"/>
      <c r="W509" s="349"/>
      <c r="X509" s="349"/>
      <c r="Y509" s="349"/>
    </row>
    <row r="510" ht="15.75" customHeight="1">
      <c r="A510" s="349"/>
      <c r="B510" s="349"/>
      <c r="C510" s="349"/>
      <c r="D510" s="349"/>
      <c r="E510" s="349"/>
      <c r="F510" s="349"/>
      <c r="G510" s="349"/>
      <c r="H510" s="349"/>
      <c r="I510" s="349"/>
      <c r="J510" s="349"/>
      <c r="K510" s="349"/>
      <c r="L510" s="349"/>
      <c r="M510" s="349"/>
      <c r="N510" s="349"/>
      <c r="O510" s="349"/>
      <c r="P510" s="349"/>
      <c r="Q510" s="349"/>
      <c r="R510" s="349"/>
      <c r="S510" s="349"/>
      <c r="T510" s="349"/>
      <c r="U510" s="349"/>
      <c r="V510" s="349"/>
      <c r="W510" s="349"/>
      <c r="X510" s="349"/>
      <c r="Y510" s="349"/>
    </row>
    <row r="511" ht="15.75" customHeight="1">
      <c r="A511" s="349"/>
      <c r="B511" s="349"/>
      <c r="C511" s="349"/>
      <c r="D511" s="349"/>
      <c r="E511" s="349"/>
      <c r="F511" s="349"/>
      <c r="G511" s="349"/>
      <c r="H511" s="349"/>
      <c r="I511" s="349"/>
      <c r="J511" s="349"/>
      <c r="K511" s="349"/>
      <c r="L511" s="349"/>
      <c r="M511" s="349"/>
      <c r="N511" s="349"/>
      <c r="O511" s="349"/>
      <c r="P511" s="349"/>
      <c r="Q511" s="349"/>
      <c r="R511" s="349"/>
      <c r="S511" s="349"/>
      <c r="T511" s="349"/>
      <c r="U511" s="349"/>
      <c r="V511" s="349"/>
      <c r="W511" s="349"/>
      <c r="X511" s="349"/>
      <c r="Y511" s="349"/>
    </row>
    <row r="512" ht="15.75" customHeight="1">
      <c r="A512" s="349"/>
      <c r="B512" s="349"/>
      <c r="C512" s="349"/>
      <c r="D512" s="349"/>
      <c r="E512" s="349"/>
      <c r="F512" s="349"/>
      <c r="G512" s="349"/>
      <c r="H512" s="349"/>
      <c r="I512" s="349"/>
      <c r="J512" s="349"/>
      <c r="K512" s="349"/>
      <c r="L512" s="349"/>
      <c r="M512" s="349"/>
      <c r="N512" s="349"/>
      <c r="O512" s="349"/>
      <c r="P512" s="349"/>
      <c r="Q512" s="349"/>
      <c r="R512" s="349"/>
      <c r="S512" s="349"/>
      <c r="T512" s="349"/>
      <c r="U512" s="349"/>
      <c r="V512" s="349"/>
      <c r="W512" s="349"/>
      <c r="X512" s="349"/>
      <c r="Y512" s="349"/>
    </row>
    <row r="513" ht="15.75" customHeight="1">
      <c r="A513" s="349"/>
      <c r="B513" s="349"/>
      <c r="C513" s="349"/>
      <c r="D513" s="349"/>
      <c r="E513" s="349"/>
      <c r="F513" s="349"/>
      <c r="G513" s="349"/>
      <c r="H513" s="349"/>
      <c r="I513" s="349"/>
      <c r="J513" s="349"/>
      <c r="K513" s="349"/>
      <c r="L513" s="349"/>
      <c r="M513" s="349"/>
      <c r="N513" s="349"/>
      <c r="O513" s="349"/>
      <c r="P513" s="349"/>
      <c r="Q513" s="349"/>
      <c r="R513" s="349"/>
      <c r="S513" s="349"/>
      <c r="T513" s="349"/>
      <c r="U513" s="349"/>
      <c r="V513" s="349"/>
      <c r="W513" s="349"/>
      <c r="X513" s="349"/>
      <c r="Y513" s="349"/>
    </row>
    <row r="514" ht="15.75" customHeight="1">
      <c r="A514" s="349"/>
      <c r="B514" s="349"/>
      <c r="C514" s="349"/>
      <c r="D514" s="349"/>
      <c r="E514" s="349"/>
      <c r="F514" s="349"/>
      <c r="G514" s="349"/>
      <c r="H514" s="349"/>
      <c r="I514" s="349"/>
      <c r="J514" s="349"/>
      <c r="K514" s="349"/>
      <c r="L514" s="349"/>
      <c r="M514" s="349"/>
      <c r="N514" s="349"/>
      <c r="O514" s="349"/>
      <c r="P514" s="349"/>
      <c r="Q514" s="349"/>
      <c r="R514" s="349"/>
      <c r="S514" s="349"/>
      <c r="T514" s="349"/>
      <c r="U514" s="349"/>
      <c r="V514" s="349"/>
      <c r="W514" s="349"/>
      <c r="X514" s="349"/>
      <c r="Y514" s="349"/>
    </row>
    <row r="515" ht="15.75" customHeight="1">
      <c r="A515" s="349"/>
      <c r="B515" s="349"/>
      <c r="C515" s="349"/>
      <c r="D515" s="349"/>
      <c r="E515" s="349"/>
      <c r="F515" s="349"/>
      <c r="G515" s="349"/>
      <c r="H515" s="349"/>
      <c r="I515" s="349"/>
      <c r="J515" s="349"/>
      <c r="K515" s="349"/>
      <c r="L515" s="349"/>
      <c r="M515" s="349"/>
      <c r="N515" s="349"/>
      <c r="O515" s="349"/>
      <c r="P515" s="349"/>
      <c r="Q515" s="349"/>
      <c r="R515" s="349"/>
      <c r="S515" s="349"/>
      <c r="T515" s="349"/>
      <c r="U515" s="349"/>
      <c r="V515" s="349"/>
      <c r="W515" s="349"/>
      <c r="X515" s="349"/>
      <c r="Y515" s="349"/>
    </row>
    <row r="516" ht="15.75" customHeight="1">
      <c r="A516" s="349"/>
      <c r="B516" s="349"/>
      <c r="C516" s="349"/>
      <c r="D516" s="349"/>
      <c r="E516" s="349"/>
      <c r="F516" s="349"/>
      <c r="G516" s="349"/>
      <c r="H516" s="349"/>
      <c r="I516" s="349"/>
      <c r="J516" s="349"/>
      <c r="K516" s="349"/>
      <c r="L516" s="349"/>
      <c r="M516" s="349"/>
      <c r="N516" s="349"/>
      <c r="O516" s="349"/>
      <c r="P516" s="349"/>
      <c r="Q516" s="349"/>
      <c r="R516" s="349"/>
      <c r="S516" s="349"/>
      <c r="T516" s="349"/>
      <c r="U516" s="349"/>
      <c r="V516" s="349"/>
      <c r="W516" s="349"/>
      <c r="X516" s="349"/>
      <c r="Y516" s="349"/>
    </row>
    <row r="517" ht="15.75" customHeight="1">
      <c r="A517" s="349"/>
      <c r="B517" s="349"/>
      <c r="C517" s="349"/>
      <c r="D517" s="349"/>
      <c r="E517" s="349"/>
      <c r="F517" s="349"/>
      <c r="G517" s="349"/>
      <c r="H517" s="349"/>
      <c r="I517" s="349"/>
      <c r="J517" s="349"/>
      <c r="K517" s="349"/>
      <c r="L517" s="349"/>
      <c r="M517" s="349"/>
      <c r="N517" s="349"/>
      <c r="O517" s="349"/>
      <c r="P517" s="349"/>
      <c r="Q517" s="349"/>
      <c r="R517" s="349"/>
      <c r="S517" s="349"/>
      <c r="T517" s="349"/>
      <c r="U517" s="349"/>
      <c r="V517" s="349"/>
      <c r="W517" s="349"/>
      <c r="X517" s="349"/>
      <c r="Y517" s="349"/>
    </row>
    <row r="518" ht="15.75" customHeight="1">
      <c r="A518" s="349"/>
      <c r="B518" s="349"/>
      <c r="C518" s="349"/>
      <c r="D518" s="349"/>
      <c r="E518" s="349"/>
      <c r="F518" s="349"/>
      <c r="G518" s="349"/>
      <c r="H518" s="349"/>
      <c r="I518" s="349"/>
      <c r="J518" s="349"/>
      <c r="K518" s="349"/>
      <c r="L518" s="349"/>
      <c r="M518" s="349"/>
      <c r="N518" s="349"/>
      <c r="O518" s="349"/>
      <c r="P518" s="349"/>
      <c r="Q518" s="349"/>
      <c r="R518" s="349"/>
      <c r="S518" s="349"/>
      <c r="T518" s="349"/>
      <c r="U518" s="349"/>
      <c r="V518" s="349"/>
      <c r="W518" s="349"/>
      <c r="X518" s="349"/>
      <c r="Y518" s="349"/>
    </row>
    <row r="519" ht="15.75" customHeight="1">
      <c r="A519" s="349"/>
      <c r="B519" s="349"/>
      <c r="C519" s="349"/>
      <c r="D519" s="349"/>
      <c r="E519" s="349"/>
      <c r="F519" s="349"/>
      <c r="G519" s="349"/>
      <c r="H519" s="349"/>
      <c r="I519" s="349"/>
      <c r="J519" s="349"/>
      <c r="K519" s="349"/>
      <c r="L519" s="349"/>
      <c r="M519" s="349"/>
      <c r="N519" s="349"/>
      <c r="O519" s="349"/>
      <c r="P519" s="349"/>
      <c r="Q519" s="349"/>
      <c r="R519" s="349"/>
      <c r="S519" s="349"/>
      <c r="T519" s="349"/>
      <c r="U519" s="349"/>
      <c r="V519" s="349"/>
      <c r="W519" s="349"/>
      <c r="X519" s="349"/>
      <c r="Y519" s="349"/>
    </row>
    <row r="520" ht="15.75" customHeight="1">
      <c r="A520" s="349"/>
      <c r="B520" s="349"/>
      <c r="C520" s="349"/>
      <c r="D520" s="349"/>
      <c r="E520" s="349"/>
      <c r="F520" s="349"/>
      <c r="G520" s="349"/>
      <c r="H520" s="349"/>
      <c r="I520" s="349"/>
      <c r="J520" s="349"/>
      <c r="K520" s="349"/>
      <c r="L520" s="349"/>
      <c r="M520" s="349"/>
      <c r="N520" s="349"/>
      <c r="O520" s="349"/>
      <c r="P520" s="349"/>
      <c r="Q520" s="349"/>
      <c r="R520" s="349"/>
      <c r="S520" s="349"/>
      <c r="T520" s="349"/>
      <c r="U520" s="349"/>
      <c r="V520" s="349"/>
      <c r="W520" s="349"/>
      <c r="X520" s="349"/>
      <c r="Y520" s="349"/>
    </row>
    <row r="521" ht="15.75" customHeight="1">
      <c r="A521" s="349"/>
      <c r="B521" s="349"/>
      <c r="C521" s="349"/>
      <c r="D521" s="349"/>
      <c r="E521" s="349"/>
      <c r="F521" s="349"/>
      <c r="G521" s="349"/>
      <c r="H521" s="349"/>
      <c r="I521" s="349"/>
      <c r="J521" s="349"/>
      <c r="K521" s="349"/>
      <c r="L521" s="349"/>
      <c r="M521" s="349"/>
      <c r="N521" s="349"/>
      <c r="O521" s="349"/>
      <c r="P521" s="349"/>
      <c r="Q521" s="349"/>
      <c r="R521" s="349"/>
      <c r="S521" s="349"/>
      <c r="T521" s="349"/>
      <c r="U521" s="349"/>
      <c r="V521" s="349"/>
      <c r="W521" s="349"/>
      <c r="X521" s="349"/>
      <c r="Y521" s="349"/>
    </row>
    <row r="522" ht="15.75" customHeight="1">
      <c r="A522" s="349"/>
      <c r="B522" s="349"/>
      <c r="C522" s="349"/>
      <c r="D522" s="349"/>
      <c r="E522" s="349"/>
      <c r="F522" s="349"/>
      <c r="G522" s="349"/>
      <c r="H522" s="349"/>
      <c r="I522" s="349"/>
      <c r="J522" s="349"/>
      <c r="K522" s="349"/>
      <c r="L522" s="349"/>
      <c r="M522" s="349"/>
      <c r="N522" s="349"/>
      <c r="O522" s="349"/>
      <c r="P522" s="349"/>
      <c r="Q522" s="349"/>
      <c r="R522" s="349"/>
      <c r="S522" s="349"/>
      <c r="T522" s="349"/>
      <c r="U522" s="349"/>
      <c r="V522" s="349"/>
      <c r="W522" s="349"/>
      <c r="X522" s="349"/>
      <c r="Y522" s="349"/>
    </row>
    <row r="523" ht="15.75" customHeight="1">
      <c r="A523" s="349"/>
      <c r="B523" s="349"/>
      <c r="C523" s="349"/>
      <c r="D523" s="349"/>
      <c r="E523" s="349"/>
      <c r="F523" s="349"/>
      <c r="G523" s="349"/>
      <c r="H523" s="349"/>
      <c r="I523" s="349"/>
      <c r="J523" s="349"/>
      <c r="K523" s="349"/>
      <c r="L523" s="349"/>
      <c r="M523" s="349"/>
      <c r="N523" s="349"/>
      <c r="O523" s="349"/>
      <c r="P523" s="349"/>
      <c r="Q523" s="349"/>
      <c r="R523" s="349"/>
      <c r="S523" s="349"/>
      <c r="T523" s="349"/>
      <c r="U523" s="349"/>
      <c r="V523" s="349"/>
      <c r="W523" s="349"/>
      <c r="X523" s="349"/>
      <c r="Y523" s="349"/>
    </row>
    <row r="524" ht="15.75" customHeight="1">
      <c r="A524" s="349"/>
      <c r="B524" s="349"/>
      <c r="C524" s="349"/>
      <c r="D524" s="349"/>
      <c r="E524" s="349"/>
      <c r="F524" s="349"/>
      <c r="G524" s="349"/>
      <c r="H524" s="349"/>
      <c r="I524" s="349"/>
      <c r="J524" s="349"/>
      <c r="K524" s="349"/>
      <c r="L524" s="349"/>
      <c r="M524" s="349"/>
      <c r="N524" s="349"/>
      <c r="O524" s="349"/>
      <c r="P524" s="349"/>
      <c r="Q524" s="349"/>
      <c r="R524" s="349"/>
      <c r="S524" s="349"/>
      <c r="T524" s="349"/>
      <c r="U524" s="349"/>
      <c r="V524" s="349"/>
      <c r="W524" s="349"/>
      <c r="X524" s="349"/>
      <c r="Y524" s="349"/>
    </row>
    <row r="525" ht="15.75" customHeight="1">
      <c r="A525" s="349"/>
      <c r="B525" s="349"/>
      <c r="C525" s="349"/>
      <c r="D525" s="349"/>
      <c r="E525" s="349"/>
      <c r="F525" s="349"/>
      <c r="G525" s="349"/>
      <c r="H525" s="349"/>
      <c r="I525" s="349"/>
      <c r="J525" s="349"/>
      <c r="K525" s="349"/>
      <c r="L525" s="349"/>
      <c r="M525" s="349"/>
      <c r="N525" s="349"/>
      <c r="O525" s="349"/>
      <c r="P525" s="349"/>
      <c r="Q525" s="349"/>
      <c r="R525" s="349"/>
      <c r="S525" s="349"/>
      <c r="T525" s="349"/>
      <c r="U525" s="349"/>
      <c r="V525" s="349"/>
      <c r="W525" s="349"/>
      <c r="X525" s="349"/>
      <c r="Y525" s="349"/>
    </row>
    <row r="526" ht="15.75" customHeight="1">
      <c r="A526" s="349"/>
      <c r="B526" s="349"/>
      <c r="C526" s="349"/>
      <c r="D526" s="349"/>
      <c r="E526" s="349"/>
      <c r="F526" s="349"/>
      <c r="G526" s="349"/>
      <c r="H526" s="349"/>
      <c r="I526" s="349"/>
      <c r="J526" s="349"/>
      <c r="K526" s="349"/>
      <c r="L526" s="349"/>
      <c r="M526" s="349"/>
      <c r="N526" s="349"/>
      <c r="O526" s="349"/>
      <c r="P526" s="349"/>
      <c r="Q526" s="349"/>
      <c r="R526" s="349"/>
      <c r="S526" s="349"/>
      <c r="T526" s="349"/>
      <c r="U526" s="349"/>
      <c r="V526" s="349"/>
      <c r="W526" s="349"/>
      <c r="X526" s="349"/>
      <c r="Y526" s="349"/>
    </row>
    <row r="527" ht="15.75" customHeight="1">
      <c r="A527" s="349"/>
      <c r="B527" s="349"/>
      <c r="C527" s="349"/>
      <c r="D527" s="349"/>
      <c r="E527" s="349"/>
      <c r="F527" s="349"/>
      <c r="G527" s="349"/>
      <c r="H527" s="349"/>
      <c r="I527" s="349"/>
      <c r="J527" s="349"/>
      <c r="K527" s="349"/>
      <c r="L527" s="349"/>
      <c r="M527" s="349"/>
      <c r="N527" s="349"/>
      <c r="O527" s="349"/>
      <c r="P527" s="349"/>
      <c r="Q527" s="349"/>
      <c r="R527" s="349"/>
      <c r="S527" s="349"/>
      <c r="T527" s="349"/>
      <c r="U527" s="349"/>
      <c r="V527" s="349"/>
      <c r="W527" s="349"/>
      <c r="X527" s="349"/>
      <c r="Y527" s="349"/>
    </row>
    <row r="528" ht="15.75" customHeight="1">
      <c r="A528" s="349"/>
      <c r="B528" s="349"/>
      <c r="C528" s="349"/>
      <c r="D528" s="349"/>
      <c r="E528" s="349"/>
      <c r="F528" s="349"/>
      <c r="G528" s="349"/>
      <c r="H528" s="349"/>
      <c r="I528" s="349"/>
      <c r="J528" s="349"/>
      <c r="K528" s="349"/>
      <c r="L528" s="349"/>
      <c r="M528" s="349"/>
      <c r="N528" s="349"/>
      <c r="O528" s="349"/>
      <c r="P528" s="349"/>
      <c r="Q528" s="349"/>
      <c r="R528" s="349"/>
      <c r="S528" s="349"/>
      <c r="T528" s="349"/>
      <c r="U528" s="349"/>
      <c r="V528" s="349"/>
      <c r="W528" s="349"/>
      <c r="X528" s="349"/>
      <c r="Y528" s="349"/>
    </row>
    <row r="529" ht="15.75" customHeight="1">
      <c r="A529" s="349"/>
      <c r="B529" s="349"/>
      <c r="C529" s="349"/>
      <c r="D529" s="349"/>
      <c r="E529" s="349"/>
      <c r="F529" s="349"/>
      <c r="G529" s="349"/>
      <c r="H529" s="349"/>
      <c r="I529" s="349"/>
      <c r="J529" s="349"/>
      <c r="K529" s="349"/>
      <c r="L529" s="349"/>
      <c r="M529" s="349"/>
      <c r="N529" s="349"/>
      <c r="O529" s="349"/>
      <c r="P529" s="349"/>
      <c r="Q529" s="349"/>
      <c r="R529" s="349"/>
      <c r="S529" s="349"/>
      <c r="T529" s="349"/>
      <c r="U529" s="349"/>
      <c r="V529" s="349"/>
      <c r="W529" s="349"/>
      <c r="X529" s="349"/>
      <c r="Y529" s="349"/>
    </row>
    <row r="530" ht="15.75" customHeight="1">
      <c r="A530" s="349"/>
      <c r="B530" s="349"/>
      <c r="C530" s="349"/>
      <c r="D530" s="349"/>
      <c r="E530" s="349"/>
      <c r="F530" s="349"/>
      <c r="G530" s="349"/>
      <c r="H530" s="349"/>
      <c r="I530" s="349"/>
      <c r="J530" s="349"/>
      <c r="K530" s="349"/>
      <c r="L530" s="349"/>
      <c r="M530" s="349"/>
      <c r="N530" s="349"/>
      <c r="O530" s="349"/>
      <c r="P530" s="349"/>
      <c r="Q530" s="349"/>
      <c r="R530" s="349"/>
      <c r="S530" s="349"/>
      <c r="T530" s="349"/>
      <c r="U530" s="349"/>
      <c r="V530" s="349"/>
      <c r="W530" s="349"/>
      <c r="X530" s="349"/>
      <c r="Y530" s="349"/>
    </row>
    <row r="531" ht="15.75" customHeight="1">
      <c r="A531" s="349"/>
      <c r="B531" s="349"/>
      <c r="C531" s="349"/>
      <c r="D531" s="349"/>
      <c r="E531" s="349"/>
      <c r="F531" s="349"/>
      <c r="G531" s="349"/>
      <c r="H531" s="349"/>
      <c r="I531" s="349"/>
      <c r="J531" s="349"/>
      <c r="K531" s="349"/>
      <c r="L531" s="349"/>
      <c r="M531" s="349"/>
      <c r="N531" s="349"/>
      <c r="O531" s="349"/>
      <c r="P531" s="349"/>
      <c r="Q531" s="349"/>
      <c r="R531" s="349"/>
      <c r="S531" s="349"/>
      <c r="T531" s="349"/>
      <c r="U531" s="349"/>
      <c r="V531" s="349"/>
      <c r="W531" s="349"/>
      <c r="X531" s="349"/>
      <c r="Y531" s="349"/>
    </row>
    <row r="532" ht="15.75" customHeight="1">
      <c r="A532" s="349"/>
      <c r="B532" s="349"/>
      <c r="C532" s="349"/>
      <c r="D532" s="349"/>
      <c r="E532" s="349"/>
      <c r="F532" s="349"/>
      <c r="G532" s="349"/>
      <c r="H532" s="349"/>
      <c r="I532" s="349"/>
      <c r="J532" s="349"/>
      <c r="K532" s="349"/>
      <c r="L532" s="349"/>
      <c r="M532" s="349"/>
      <c r="N532" s="349"/>
      <c r="O532" s="349"/>
      <c r="P532" s="349"/>
      <c r="Q532" s="349"/>
      <c r="R532" s="349"/>
      <c r="S532" s="349"/>
      <c r="T532" s="349"/>
      <c r="U532" s="349"/>
      <c r="V532" s="349"/>
      <c r="W532" s="349"/>
      <c r="X532" s="349"/>
      <c r="Y532" s="349"/>
    </row>
    <row r="533" ht="15.75" customHeight="1">
      <c r="A533" s="349"/>
      <c r="B533" s="349"/>
      <c r="C533" s="349"/>
      <c r="D533" s="349"/>
      <c r="E533" s="349"/>
      <c r="F533" s="349"/>
      <c r="G533" s="349"/>
      <c r="H533" s="349"/>
      <c r="I533" s="349"/>
      <c r="J533" s="349"/>
      <c r="K533" s="349"/>
      <c r="L533" s="349"/>
      <c r="M533" s="349"/>
      <c r="N533" s="349"/>
      <c r="O533" s="349"/>
      <c r="P533" s="349"/>
      <c r="Q533" s="349"/>
      <c r="R533" s="349"/>
      <c r="S533" s="349"/>
      <c r="T533" s="349"/>
      <c r="U533" s="349"/>
      <c r="V533" s="349"/>
      <c r="W533" s="349"/>
      <c r="X533" s="349"/>
      <c r="Y533" s="349"/>
    </row>
    <row r="534" ht="15.75" customHeight="1">
      <c r="A534" s="349"/>
      <c r="B534" s="349"/>
      <c r="C534" s="349"/>
      <c r="D534" s="349"/>
      <c r="E534" s="349"/>
      <c r="F534" s="349"/>
      <c r="G534" s="349"/>
      <c r="H534" s="349"/>
      <c r="I534" s="349"/>
      <c r="J534" s="349"/>
      <c r="K534" s="349"/>
      <c r="L534" s="349"/>
      <c r="M534" s="349"/>
      <c r="N534" s="349"/>
      <c r="O534" s="349"/>
      <c r="P534" s="349"/>
      <c r="Q534" s="349"/>
      <c r="R534" s="349"/>
      <c r="S534" s="349"/>
      <c r="T534" s="349"/>
      <c r="U534" s="349"/>
      <c r="V534" s="349"/>
      <c r="W534" s="349"/>
      <c r="X534" s="349"/>
      <c r="Y534" s="349"/>
    </row>
    <row r="535" ht="15.75" customHeight="1">
      <c r="A535" s="349"/>
      <c r="B535" s="349"/>
      <c r="C535" s="349"/>
      <c r="D535" s="349"/>
      <c r="E535" s="349"/>
      <c r="F535" s="349"/>
      <c r="G535" s="349"/>
      <c r="H535" s="349"/>
      <c r="I535" s="349"/>
      <c r="J535" s="349"/>
      <c r="K535" s="349"/>
      <c r="L535" s="349"/>
      <c r="M535" s="349"/>
      <c r="N535" s="349"/>
      <c r="O535" s="349"/>
      <c r="P535" s="349"/>
      <c r="Q535" s="349"/>
      <c r="R535" s="349"/>
      <c r="S535" s="349"/>
      <c r="T535" s="349"/>
      <c r="U535" s="349"/>
      <c r="V535" s="349"/>
      <c r="W535" s="349"/>
      <c r="X535" s="349"/>
      <c r="Y535" s="349"/>
    </row>
    <row r="536" ht="15.75" customHeight="1">
      <c r="A536" s="349"/>
      <c r="B536" s="349"/>
      <c r="C536" s="349"/>
      <c r="D536" s="349"/>
      <c r="E536" s="349"/>
      <c r="F536" s="349"/>
      <c r="G536" s="349"/>
      <c r="H536" s="349"/>
      <c r="I536" s="349"/>
      <c r="J536" s="349"/>
      <c r="K536" s="349"/>
      <c r="L536" s="349"/>
      <c r="M536" s="349"/>
      <c r="N536" s="349"/>
      <c r="O536" s="349"/>
      <c r="P536" s="349"/>
      <c r="Q536" s="349"/>
      <c r="R536" s="349"/>
      <c r="S536" s="349"/>
      <c r="T536" s="349"/>
      <c r="U536" s="349"/>
      <c r="V536" s="349"/>
      <c r="W536" s="349"/>
      <c r="X536" s="349"/>
      <c r="Y536" s="349"/>
    </row>
    <row r="537" ht="15.75" customHeight="1">
      <c r="A537" s="349"/>
      <c r="B537" s="349"/>
      <c r="C537" s="349"/>
      <c r="D537" s="349"/>
      <c r="E537" s="349"/>
      <c r="F537" s="349"/>
      <c r="G537" s="349"/>
      <c r="H537" s="349"/>
      <c r="I537" s="349"/>
      <c r="J537" s="349"/>
      <c r="K537" s="349"/>
      <c r="L537" s="349"/>
      <c r="M537" s="349"/>
      <c r="N537" s="349"/>
      <c r="O537" s="349"/>
      <c r="P537" s="349"/>
      <c r="Q537" s="349"/>
      <c r="R537" s="349"/>
      <c r="S537" s="349"/>
      <c r="T537" s="349"/>
      <c r="U537" s="349"/>
      <c r="V537" s="349"/>
      <c r="W537" s="349"/>
      <c r="X537" s="349"/>
      <c r="Y537" s="349"/>
    </row>
    <row r="538" ht="15.75" customHeight="1">
      <c r="A538" s="349"/>
      <c r="B538" s="349"/>
      <c r="C538" s="349"/>
      <c r="D538" s="349"/>
      <c r="E538" s="349"/>
      <c r="F538" s="349"/>
      <c r="G538" s="349"/>
      <c r="H538" s="349"/>
      <c r="I538" s="349"/>
      <c r="J538" s="349"/>
      <c r="K538" s="349"/>
      <c r="L538" s="349"/>
      <c r="M538" s="349"/>
      <c r="N538" s="349"/>
      <c r="O538" s="349"/>
      <c r="P538" s="349"/>
      <c r="Q538" s="349"/>
      <c r="R538" s="349"/>
      <c r="S538" s="349"/>
      <c r="T538" s="349"/>
      <c r="U538" s="349"/>
      <c r="V538" s="349"/>
      <c r="W538" s="349"/>
      <c r="X538" s="349"/>
      <c r="Y538" s="349"/>
    </row>
    <row r="539" ht="15.75" customHeight="1">
      <c r="A539" s="349"/>
      <c r="B539" s="349"/>
      <c r="C539" s="349"/>
      <c r="D539" s="349"/>
      <c r="E539" s="349"/>
      <c r="F539" s="349"/>
      <c r="G539" s="349"/>
      <c r="H539" s="349"/>
      <c r="I539" s="349"/>
      <c r="J539" s="349"/>
      <c r="K539" s="349"/>
      <c r="L539" s="349"/>
      <c r="M539" s="349"/>
      <c r="N539" s="349"/>
      <c r="O539" s="349"/>
      <c r="P539" s="349"/>
      <c r="Q539" s="349"/>
      <c r="R539" s="349"/>
      <c r="S539" s="349"/>
      <c r="T539" s="349"/>
      <c r="U539" s="349"/>
      <c r="V539" s="349"/>
      <c r="W539" s="349"/>
      <c r="X539" s="349"/>
      <c r="Y539" s="349"/>
    </row>
    <row r="540" ht="15.75" customHeight="1">
      <c r="A540" s="349"/>
      <c r="B540" s="349"/>
      <c r="C540" s="349"/>
      <c r="D540" s="349"/>
      <c r="E540" s="349"/>
      <c r="F540" s="349"/>
      <c r="G540" s="349"/>
      <c r="H540" s="349"/>
      <c r="I540" s="349"/>
      <c r="J540" s="349"/>
      <c r="K540" s="349"/>
      <c r="L540" s="349"/>
      <c r="M540" s="349"/>
      <c r="N540" s="349"/>
      <c r="O540" s="349"/>
      <c r="P540" s="349"/>
      <c r="Q540" s="349"/>
      <c r="R540" s="349"/>
      <c r="S540" s="349"/>
      <c r="T540" s="349"/>
      <c r="U540" s="349"/>
      <c r="V540" s="349"/>
      <c r="W540" s="349"/>
      <c r="X540" s="349"/>
      <c r="Y540" s="349"/>
    </row>
    <row r="541" ht="15.75" customHeight="1">
      <c r="A541" s="349"/>
      <c r="B541" s="349"/>
      <c r="C541" s="349"/>
      <c r="D541" s="349"/>
      <c r="E541" s="349"/>
      <c r="F541" s="349"/>
      <c r="G541" s="349"/>
      <c r="H541" s="349"/>
      <c r="I541" s="349"/>
      <c r="J541" s="349"/>
      <c r="K541" s="349"/>
      <c r="L541" s="349"/>
      <c r="M541" s="349"/>
      <c r="N541" s="349"/>
      <c r="O541" s="349"/>
      <c r="P541" s="349"/>
      <c r="Q541" s="349"/>
      <c r="R541" s="349"/>
      <c r="S541" s="349"/>
      <c r="T541" s="349"/>
      <c r="U541" s="349"/>
      <c r="V541" s="349"/>
      <c r="W541" s="349"/>
      <c r="X541" s="349"/>
      <c r="Y541" s="349"/>
    </row>
    <row r="542" ht="15.75" customHeight="1">
      <c r="A542" s="349"/>
      <c r="B542" s="349"/>
      <c r="C542" s="349"/>
      <c r="D542" s="349"/>
      <c r="E542" s="349"/>
      <c r="F542" s="349"/>
      <c r="G542" s="349"/>
      <c r="H542" s="349"/>
      <c r="I542" s="349"/>
      <c r="J542" s="349"/>
      <c r="K542" s="349"/>
      <c r="L542" s="349"/>
      <c r="M542" s="349"/>
      <c r="N542" s="349"/>
      <c r="O542" s="349"/>
      <c r="P542" s="349"/>
      <c r="Q542" s="349"/>
      <c r="R542" s="349"/>
      <c r="S542" s="349"/>
      <c r="T542" s="349"/>
      <c r="U542" s="349"/>
      <c r="V542" s="349"/>
      <c r="W542" s="349"/>
      <c r="X542" s="349"/>
      <c r="Y542" s="349"/>
    </row>
    <row r="543" ht="15.75" customHeight="1">
      <c r="A543" s="349"/>
      <c r="B543" s="349"/>
      <c r="C543" s="349"/>
      <c r="D543" s="349"/>
      <c r="E543" s="349"/>
      <c r="F543" s="349"/>
      <c r="G543" s="349"/>
      <c r="H543" s="349"/>
      <c r="I543" s="349"/>
      <c r="J543" s="349"/>
      <c r="K543" s="349"/>
      <c r="L543" s="349"/>
      <c r="M543" s="349"/>
      <c r="N543" s="349"/>
      <c r="O543" s="349"/>
      <c r="P543" s="349"/>
      <c r="Q543" s="349"/>
      <c r="R543" s="349"/>
      <c r="S543" s="349"/>
      <c r="T543" s="349"/>
      <c r="U543" s="349"/>
      <c r="V543" s="349"/>
      <c r="W543" s="349"/>
      <c r="X543" s="349"/>
      <c r="Y543" s="349"/>
    </row>
    <row r="544" ht="15.75" customHeight="1">
      <c r="A544" s="349"/>
      <c r="B544" s="349"/>
      <c r="C544" s="349"/>
      <c r="D544" s="349"/>
      <c r="E544" s="349"/>
      <c r="F544" s="349"/>
      <c r="G544" s="349"/>
      <c r="H544" s="349"/>
      <c r="I544" s="349"/>
      <c r="J544" s="349"/>
      <c r="K544" s="349"/>
      <c r="L544" s="349"/>
      <c r="M544" s="349"/>
      <c r="N544" s="349"/>
      <c r="O544" s="349"/>
      <c r="P544" s="349"/>
      <c r="Q544" s="349"/>
      <c r="R544" s="349"/>
      <c r="S544" s="349"/>
      <c r="T544" s="349"/>
      <c r="U544" s="349"/>
      <c r="V544" s="349"/>
      <c r="W544" s="349"/>
      <c r="X544" s="349"/>
      <c r="Y544" s="349"/>
    </row>
    <row r="545" ht="15.75" customHeight="1">
      <c r="A545" s="349"/>
      <c r="B545" s="349"/>
      <c r="C545" s="349"/>
      <c r="D545" s="349"/>
      <c r="E545" s="349"/>
      <c r="F545" s="349"/>
      <c r="G545" s="349"/>
      <c r="H545" s="349"/>
      <c r="I545" s="349"/>
      <c r="J545" s="349"/>
      <c r="K545" s="349"/>
      <c r="L545" s="349"/>
      <c r="M545" s="349"/>
      <c r="N545" s="349"/>
      <c r="O545" s="349"/>
      <c r="P545" s="349"/>
      <c r="Q545" s="349"/>
      <c r="R545" s="349"/>
      <c r="S545" s="349"/>
      <c r="T545" s="349"/>
      <c r="U545" s="349"/>
      <c r="V545" s="349"/>
      <c r="W545" s="349"/>
      <c r="X545" s="349"/>
      <c r="Y545" s="349"/>
    </row>
    <row r="546" ht="15.75" customHeight="1">
      <c r="A546" s="349"/>
      <c r="B546" s="349"/>
      <c r="C546" s="349"/>
      <c r="D546" s="349"/>
      <c r="E546" s="349"/>
      <c r="F546" s="349"/>
      <c r="G546" s="349"/>
      <c r="H546" s="349"/>
      <c r="I546" s="349"/>
      <c r="J546" s="349"/>
      <c r="K546" s="349"/>
      <c r="L546" s="349"/>
      <c r="M546" s="349"/>
      <c r="N546" s="349"/>
      <c r="O546" s="349"/>
      <c r="P546" s="349"/>
      <c r="Q546" s="349"/>
      <c r="R546" s="349"/>
      <c r="S546" s="349"/>
      <c r="T546" s="349"/>
      <c r="U546" s="349"/>
      <c r="V546" s="349"/>
      <c r="W546" s="349"/>
      <c r="X546" s="349"/>
      <c r="Y546" s="349"/>
    </row>
    <row r="547" ht="15.75" customHeight="1">
      <c r="A547" s="349"/>
      <c r="B547" s="349"/>
      <c r="C547" s="349"/>
      <c r="D547" s="349"/>
      <c r="E547" s="349"/>
      <c r="F547" s="349"/>
      <c r="G547" s="349"/>
      <c r="H547" s="349"/>
      <c r="I547" s="349"/>
      <c r="J547" s="349"/>
      <c r="K547" s="349"/>
      <c r="L547" s="349"/>
      <c r="M547" s="349"/>
      <c r="N547" s="349"/>
      <c r="O547" s="349"/>
      <c r="P547" s="349"/>
      <c r="Q547" s="349"/>
      <c r="R547" s="349"/>
      <c r="S547" s="349"/>
      <c r="T547" s="349"/>
      <c r="U547" s="349"/>
      <c r="V547" s="349"/>
      <c r="W547" s="349"/>
      <c r="X547" s="349"/>
      <c r="Y547" s="349"/>
    </row>
    <row r="548" ht="15.75" customHeight="1">
      <c r="A548" s="349"/>
      <c r="B548" s="349"/>
      <c r="C548" s="349"/>
      <c r="D548" s="349"/>
      <c r="E548" s="349"/>
      <c r="F548" s="349"/>
      <c r="G548" s="349"/>
      <c r="H548" s="349"/>
      <c r="I548" s="349"/>
      <c r="J548" s="349"/>
      <c r="K548" s="349"/>
      <c r="L548" s="349"/>
      <c r="M548" s="349"/>
      <c r="N548" s="349"/>
      <c r="O548" s="349"/>
      <c r="P548" s="349"/>
      <c r="Q548" s="349"/>
      <c r="R548" s="349"/>
      <c r="S548" s="349"/>
      <c r="T548" s="349"/>
      <c r="U548" s="349"/>
      <c r="V548" s="349"/>
      <c r="W548" s="349"/>
      <c r="X548" s="349"/>
      <c r="Y548" s="349"/>
    </row>
    <row r="549" ht="15.75" customHeight="1">
      <c r="A549" s="349"/>
      <c r="B549" s="349"/>
      <c r="C549" s="349"/>
      <c r="D549" s="349"/>
      <c r="E549" s="349"/>
      <c r="F549" s="349"/>
      <c r="G549" s="349"/>
      <c r="H549" s="349"/>
      <c r="I549" s="349"/>
      <c r="J549" s="349"/>
      <c r="K549" s="349"/>
      <c r="L549" s="349"/>
      <c r="M549" s="349"/>
      <c r="N549" s="349"/>
      <c r="O549" s="349"/>
      <c r="P549" s="349"/>
      <c r="Q549" s="349"/>
      <c r="R549" s="349"/>
      <c r="S549" s="349"/>
      <c r="T549" s="349"/>
      <c r="U549" s="349"/>
      <c r="V549" s="349"/>
      <c r="W549" s="349"/>
      <c r="X549" s="349"/>
      <c r="Y549" s="349"/>
    </row>
    <row r="550" ht="15.75" customHeight="1">
      <c r="A550" s="349"/>
      <c r="B550" s="349"/>
      <c r="C550" s="349"/>
      <c r="D550" s="349"/>
      <c r="E550" s="349"/>
      <c r="F550" s="349"/>
      <c r="G550" s="349"/>
      <c r="H550" s="349"/>
      <c r="I550" s="349"/>
      <c r="J550" s="349"/>
      <c r="K550" s="349"/>
      <c r="L550" s="349"/>
      <c r="M550" s="349"/>
      <c r="N550" s="349"/>
      <c r="O550" s="349"/>
      <c r="P550" s="349"/>
      <c r="Q550" s="349"/>
      <c r="R550" s="349"/>
      <c r="S550" s="349"/>
      <c r="T550" s="349"/>
      <c r="U550" s="349"/>
      <c r="V550" s="349"/>
      <c r="W550" s="349"/>
      <c r="X550" s="349"/>
      <c r="Y550" s="349"/>
    </row>
    <row r="551" ht="15.75" customHeight="1">
      <c r="A551" s="349"/>
      <c r="B551" s="349"/>
      <c r="C551" s="349"/>
      <c r="D551" s="349"/>
      <c r="E551" s="349"/>
      <c r="F551" s="349"/>
      <c r="G551" s="349"/>
      <c r="H551" s="349"/>
      <c r="I551" s="349"/>
      <c r="J551" s="349"/>
      <c r="K551" s="349"/>
      <c r="L551" s="349"/>
      <c r="M551" s="349"/>
      <c r="N551" s="349"/>
      <c r="O551" s="349"/>
      <c r="P551" s="349"/>
      <c r="Q551" s="349"/>
      <c r="R551" s="349"/>
      <c r="S551" s="349"/>
      <c r="T551" s="349"/>
      <c r="U551" s="349"/>
      <c r="V551" s="349"/>
      <c r="W551" s="349"/>
      <c r="X551" s="349"/>
      <c r="Y551" s="349"/>
    </row>
    <row r="552" ht="15.75" customHeight="1">
      <c r="A552" s="349"/>
      <c r="B552" s="349"/>
      <c r="C552" s="349"/>
      <c r="D552" s="349"/>
      <c r="E552" s="349"/>
      <c r="F552" s="349"/>
      <c r="G552" s="349"/>
      <c r="H552" s="349"/>
      <c r="I552" s="349"/>
      <c r="J552" s="349"/>
      <c r="K552" s="349"/>
      <c r="L552" s="349"/>
      <c r="M552" s="349"/>
      <c r="N552" s="349"/>
      <c r="O552" s="349"/>
      <c r="P552" s="349"/>
      <c r="Q552" s="349"/>
      <c r="R552" s="349"/>
      <c r="S552" s="349"/>
      <c r="T552" s="349"/>
      <c r="U552" s="349"/>
      <c r="V552" s="349"/>
      <c r="W552" s="349"/>
      <c r="X552" s="349"/>
      <c r="Y552" s="349"/>
    </row>
    <row r="553" ht="15.75" customHeight="1">
      <c r="A553" s="349"/>
      <c r="B553" s="349"/>
      <c r="C553" s="349"/>
      <c r="D553" s="349"/>
      <c r="E553" s="349"/>
      <c r="F553" s="349"/>
      <c r="G553" s="349"/>
      <c r="H553" s="349"/>
      <c r="I553" s="349"/>
      <c r="J553" s="349"/>
      <c r="K553" s="349"/>
      <c r="L553" s="349"/>
      <c r="M553" s="349"/>
      <c r="N553" s="349"/>
      <c r="O553" s="349"/>
      <c r="P553" s="349"/>
      <c r="Q553" s="349"/>
      <c r="R553" s="349"/>
      <c r="S553" s="349"/>
      <c r="T553" s="349"/>
      <c r="U553" s="349"/>
      <c r="V553" s="349"/>
      <c r="W553" s="349"/>
      <c r="X553" s="349"/>
      <c r="Y553" s="349"/>
    </row>
    <row r="554" ht="15.75" customHeight="1">
      <c r="A554" s="349"/>
      <c r="B554" s="349"/>
      <c r="C554" s="349"/>
      <c r="D554" s="349"/>
      <c r="E554" s="349"/>
      <c r="F554" s="349"/>
      <c r="G554" s="349"/>
      <c r="H554" s="349"/>
      <c r="I554" s="349"/>
      <c r="J554" s="349"/>
      <c r="K554" s="349"/>
      <c r="L554" s="349"/>
      <c r="M554" s="349"/>
      <c r="N554" s="349"/>
      <c r="O554" s="349"/>
      <c r="P554" s="349"/>
      <c r="Q554" s="349"/>
      <c r="R554" s="349"/>
      <c r="S554" s="349"/>
      <c r="T554" s="349"/>
      <c r="U554" s="349"/>
      <c r="V554" s="349"/>
      <c r="W554" s="349"/>
      <c r="X554" s="349"/>
      <c r="Y554" s="349"/>
    </row>
    <row r="555" ht="15.75" customHeight="1">
      <c r="A555" s="349"/>
      <c r="B555" s="349"/>
      <c r="C555" s="349"/>
      <c r="D555" s="349"/>
      <c r="E555" s="349"/>
      <c r="F555" s="349"/>
      <c r="G555" s="349"/>
      <c r="H555" s="349"/>
      <c r="I555" s="349"/>
      <c r="J555" s="349"/>
      <c r="K555" s="349"/>
      <c r="L555" s="349"/>
      <c r="M555" s="349"/>
      <c r="N555" s="349"/>
      <c r="O555" s="349"/>
      <c r="P555" s="349"/>
      <c r="Q555" s="349"/>
      <c r="R555" s="349"/>
      <c r="S555" s="349"/>
      <c r="T555" s="349"/>
      <c r="U555" s="349"/>
      <c r="V555" s="349"/>
      <c r="W555" s="349"/>
      <c r="X555" s="349"/>
      <c r="Y555" s="349"/>
    </row>
    <row r="556" ht="15.75" customHeight="1">
      <c r="A556" s="349"/>
      <c r="B556" s="349"/>
      <c r="C556" s="349"/>
      <c r="D556" s="349"/>
      <c r="E556" s="349"/>
      <c r="F556" s="349"/>
      <c r="G556" s="349"/>
      <c r="H556" s="349"/>
      <c r="I556" s="349"/>
      <c r="J556" s="349"/>
      <c r="K556" s="349"/>
      <c r="L556" s="349"/>
      <c r="M556" s="349"/>
      <c r="N556" s="349"/>
      <c r="O556" s="349"/>
      <c r="P556" s="349"/>
      <c r="Q556" s="349"/>
      <c r="R556" s="349"/>
      <c r="S556" s="349"/>
      <c r="T556" s="349"/>
      <c r="U556" s="349"/>
      <c r="V556" s="349"/>
      <c r="W556" s="349"/>
      <c r="X556" s="349"/>
      <c r="Y556" s="349"/>
    </row>
    <row r="557" ht="15.75" customHeight="1">
      <c r="A557" s="349"/>
      <c r="B557" s="349"/>
      <c r="C557" s="349"/>
      <c r="D557" s="349"/>
      <c r="E557" s="349"/>
      <c r="F557" s="349"/>
      <c r="G557" s="349"/>
      <c r="H557" s="349"/>
      <c r="I557" s="349"/>
      <c r="J557" s="349"/>
      <c r="K557" s="349"/>
      <c r="L557" s="349"/>
      <c r="M557" s="349"/>
      <c r="N557" s="349"/>
      <c r="O557" s="349"/>
      <c r="P557" s="349"/>
      <c r="Q557" s="349"/>
      <c r="R557" s="349"/>
      <c r="S557" s="349"/>
      <c r="T557" s="349"/>
      <c r="U557" s="349"/>
      <c r="V557" s="349"/>
      <c r="W557" s="349"/>
      <c r="X557" s="349"/>
      <c r="Y557" s="349"/>
    </row>
    <row r="558" ht="15.75" customHeight="1">
      <c r="A558" s="349"/>
      <c r="B558" s="349"/>
      <c r="C558" s="349"/>
      <c r="D558" s="349"/>
      <c r="E558" s="349"/>
      <c r="F558" s="349"/>
      <c r="G558" s="349"/>
      <c r="H558" s="349"/>
      <c r="I558" s="349"/>
      <c r="J558" s="349"/>
      <c r="K558" s="349"/>
      <c r="L558" s="349"/>
      <c r="M558" s="349"/>
      <c r="N558" s="349"/>
      <c r="O558" s="349"/>
      <c r="P558" s="349"/>
      <c r="Q558" s="349"/>
      <c r="R558" s="349"/>
      <c r="S558" s="349"/>
      <c r="T558" s="349"/>
      <c r="U558" s="349"/>
      <c r="V558" s="349"/>
      <c r="W558" s="349"/>
      <c r="X558" s="349"/>
      <c r="Y558" s="349"/>
    </row>
    <row r="559" ht="15.75" customHeight="1">
      <c r="A559" s="349"/>
      <c r="B559" s="349"/>
      <c r="C559" s="349"/>
      <c r="D559" s="349"/>
      <c r="E559" s="349"/>
      <c r="F559" s="349"/>
      <c r="G559" s="349"/>
      <c r="H559" s="349"/>
      <c r="I559" s="349"/>
      <c r="J559" s="349"/>
      <c r="K559" s="349"/>
      <c r="L559" s="349"/>
      <c r="M559" s="349"/>
      <c r="N559" s="349"/>
      <c r="O559" s="349"/>
      <c r="P559" s="349"/>
      <c r="Q559" s="349"/>
      <c r="R559" s="349"/>
      <c r="S559" s="349"/>
      <c r="T559" s="349"/>
      <c r="U559" s="349"/>
      <c r="V559" s="349"/>
      <c r="W559" s="349"/>
      <c r="X559" s="349"/>
      <c r="Y559" s="349"/>
    </row>
    <row r="560" ht="15.75" customHeight="1">
      <c r="A560" s="349"/>
      <c r="B560" s="349"/>
      <c r="C560" s="349"/>
      <c r="D560" s="349"/>
      <c r="E560" s="349"/>
      <c r="F560" s="349"/>
      <c r="G560" s="349"/>
      <c r="H560" s="349"/>
      <c r="I560" s="349"/>
      <c r="J560" s="349"/>
      <c r="K560" s="349"/>
      <c r="L560" s="349"/>
      <c r="M560" s="349"/>
      <c r="N560" s="349"/>
      <c r="O560" s="349"/>
      <c r="P560" s="349"/>
      <c r="Q560" s="349"/>
      <c r="R560" s="349"/>
      <c r="S560" s="349"/>
      <c r="T560" s="349"/>
      <c r="U560" s="349"/>
      <c r="V560" s="349"/>
      <c r="W560" s="349"/>
      <c r="X560" s="349"/>
      <c r="Y560" s="349"/>
    </row>
    <row r="561" ht="15.75" customHeight="1">
      <c r="A561" s="349"/>
      <c r="B561" s="349"/>
      <c r="C561" s="349"/>
      <c r="D561" s="349"/>
      <c r="E561" s="349"/>
      <c r="F561" s="349"/>
      <c r="G561" s="349"/>
      <c r="H561" s="349"/>
      <c r="I561" s="349"/>
      <c r="J561" s="349"/>
      <c r="K561" s="349"/>
      <c r="L561" s="349"/>
      <c r="M561" s="349"/>
      <c r="N561" s="349"/>
      <c r="O561" s="349"/>
      <c r="P561" s="349"/>
      <c r="Q561" s="349"/>
      <c r="R561" s="349"/>
      <c r="S561" s="349"/>
      <c r="T561" s="349"/>
      <c r="U561" s="349"/>
      <c r="V561" s="349"/>
      <c r="W561" s="349"/>
      <c r="X561" s="349"/>
      <c r="Y561" s="349"/>
    </row>
    <row r="562" ht="15.75" customHeight="1">
      <c r="A562" s="349"/>
      <c r="B562" s="349"/>
      <c r="C562" s="349"/>
      <c r="D562" s="349"/>
      <c r="E562" s="349"/>
      <c r="F562" s="349"/>
      <c r="G562" s="349"/>
      <c r="H562" s="349"/>
      <c r="I562" s="349"/>
      <c r="J562" s="349"/>
      <c r="K562" s="349"/>
      <c r="L562" s="349"/>
      <c r="M562" s="349"/>
      <c r="N562" s="349"/>
      <c r="O562" s="349"/>
      <c r="P562" s="349"/>
      <c r="Q562" s="349"/>
      <c r="R562" s="349"/>
      <c r="S562" s="349"/>
      <c r="T562" s="349"/>
      <c r="U562" s="349"/>
      <c r="V562" s="349"/>
      <c r="W562" s="349"/>
      <c r="X562" s="349"/>
      <c r="Y562" s="349"/>
    </row>
    <row r="563" ht="15.75" customHeight="1">
      <c r="A563" s="349"/>
      <c r="B563" s="349"/>
      <c r="C563" s="349"/>
      <c r="D563" s="349"/>
      <c r="E563" s="349"/>
      <c r="F563" s="349"/>
      <c r="G563" s="349"/>
      <c r="H563" s="349"/>
      <c r="I563" s="349"/>
      <c r="J563" s="349"/>
      <c r="K563" s="349"/>
      <c r="L563" s="349"/>
      <c r="M563" s="349"/>
      <c r="N563" s="349"/>
      <c r="O563" s="349"/>
      <c r="P563" s="349"/>
      <c r="Q563" s="349"/>
      <c r="R563" s="349"/>
      <c r="S563" s="349"/>
      <c r="T563" s="349"/>
      <c r="U563" s="349"/>
      <c r="V563" s="349"/>
      <c r="W563" s="349"/>
      <c r="X563" s="349"/>
      <c r="Y563" s="349"/>
    </row>
    <row r="564" ht="15.75" customHeight="1">
      <c r="A564" s="349"/>
      <c r="B564" s="349"/>
      <c r="C564" s="349"/>
      <c r="D564" s="349"/>
      <c r="E564" s="349"/>
      <c r="F564" s="349"/>
      <c r="G564" s="349"/>
      <c r="H564" s="349"/>
      <c r="I564" s="349"/>
      <c r="J564" s="349"/>
      <c r="K564" s="349"/>
      <c r="L564" s="349"/>
      <c r="M564" s="349"/>
      <c r="N564" s="349"/>
      <c r="O564" s="349"/>
      <c r="P564" s="349"/>
      <c r="Q564" s="349"/>
      <c r="R564" s="349"/>
      <c r="S564" s="349"/>
      <c r="T564" s="349"/>
      <c r="U564" s="349"/>
      <c r="V564" s="349"/>
      <c r="W564" s="349"/>
      <c r="X564" s="349"/>
      <c r="Y564" s="349"/>
    </row>
    <row r="565" ht="15.75" customHeight="1">
      <c r="A565" s="349"/>
      <c r="B565" s="349"/>
      <c r="C565" s="349"/>
      <c r="D565" s="349"/>
      <c r="E565" s="349"/>
      <c r="F565" s="349"/>
      <c r="G565" s="349"/>
      <c r="H565" s="349"/>
      <c r="I565" s="349"/>
      <c r="J565" s="349"/>
      <c r="K565" s="349"/>
      <c r="L565" s="349"/>
      <c r="M565" s="349"/>
      <c r="N565" s="349"/>
      <c r="O565" s="349"/>
      <c r="P565" s="349"/>
      <c r="Q565" s="349"/>
      <c r="R565" s="349"/>
      <c r="S565" s="349"/>
      <c r="T565" s="349"/>
      <c r="U565" s="349"/>
      <c r="V565" s="349"/>
      <c r="W565" s="349"/>
      <c r="X565" s="349"/>
      <c r="Y565" s="349"/>
    </row>
    <row r="566" ht="15.75" customHeight="1">
      <c r="A566" s="349"/>
      <c r="B566" s="349"/>
      <c r="C566" s="349"/>
      <c r="D566" s="349"/>
      <c r="E566" s="349"/>
      <c r="F566" s="349"/>
      <c r="G566" s="349"/>
      <c r="H566" s="349"/>
      <c r="I566" s="349"/>
      <c r="J566" s="349"/>
      <c r="K566" s="349"/>
      <c r="L566" s="349"/>
      <c r="M566" s="349"/>
      <c r="N566" s="349"/>
      <c r="O566" s="349"/>
      <c r="P566" s="349"/>
      <c r="Q566" s="349"/>
      <c r="R566" s="349"/>
      <c r="S566" s="349"/>
      <c r="T566" s="349"/>
      <c r="U566" s="349"/>
      <c r="V566" s="349"/>
      <c r="W566" s="349"/>
      <c r="X566" s="349"/>
      <c r="Y566" s="349"/>
    </row>
    <row r="567" ht="15.75" customHeight="1">
      <c r="A567" s="349"/>
      <c r="B567" s="349"/>
      <c r="C567" s="349"/>
      <c r="D567" s="349"/>
      <c r="E567" s="349"/>
      <c r="F567" s="349"/>
      <c r="G567" s="349"/>
      <c r="H567" s="349"/>
      <c r="I567" s="349"/>
      <c r="J567" s="349"/>
      <c r="K567" s="349"/>
      <c r="L567" s="349"/>
      <c r="M567" s="349"/>
      <c r="N567" s="349"/>
      <c r="O567" s="349"/>
      <c r="P567" s="349"/>
      <c r="Q567" s="349"/>
      <c r="R567" s="349"/>
      <c r="S567" s="349"/>
      <c r="T567" s="349"/>
      <c r="U567" s="349"/>
      <c r="V567" s="349"/>
      <c r="W567" s="349"/>
      <c r="X567" s="349"/>
      <c r="Y567" s="349"/>
    </row>
    <row r="568" ht="15.75" customHeight="1">
      <c r="A568" s="349"/>
      <c r="B568" s="349"/>
      <c r="C568" s="349"/>
      <c r="D568" s="349"/>
      <c r="E568" s="349"/>
      <c r="F568" s="349"/>
      <c r="G568" s="349"/>
      <c r="H568" s="349"/>
      <c r="I568" s="349"/>
      <c r="J568" s="349"/>
      <c r="K568" s="349"/>
      <c r="L568" s="349"/>
      <c r="M568" s="349"/>
      <c r="N568" s="349"/>
      <c r="O568" s="349"/>
      <c r="P568" s="349"/>
      <c r="Q568" s="349"/>
      <c r="R568" s="349"/>
      <c r="S568" s="349"/>
      <c r="T568" s="349"/>
      <c r="U568" s="349"/>
      <c r="V568" s="349"/>
      <c r="W568" s="349"/>
      <c r="X568" s="349"/>
      <c r="Y568" s="349"/>
    </row>
    <row r="569" ht="15.75" customHeight="1">
      <c r="A569" s="349"/>
      <c r="B569" s="349"/>
      <c r="C569" s="349"/>
      <c r="D569" s="349"/>
      <c r="E569" s="349"/>
      <c r="F569" s="349"/>
      <c r="G569" s="349"/>
      <c r="H569" s="349"/>
      <c r="I569" s="349"/>
      <c r="J569" s="349"/>
      <c r="K569" s="349"/>
      <c r="L569" s="349"/>
      <c r="M569" s="349"/>
      <c r="N569" s="349"/>
      <c r="O569" s="349"/>
      <c r="P569" s="349"/>
      <c r="Q569" s="349"/>
      <c r="R569" s="349"/>
      <c r="S569" s="349"/>
      <c r="T569" s="349"/>
      <c r="U569" s="349"/>
      <c r="V569" s="349"/>
      <c r="W569" s="349"/>
      <c r="X569" s="349"/>
      <c r="Y569" s="349"/>
    </row>
    <row r="570" ht="15.75" customHeight="1">
      <c r="A570" s="349"/>
      <c r="B570" s="349"/>
      <c r="C570" s="349"/>
      <c r="D570" s="349"/>
      <c r="E570" s="349"/>
      <c r="F570" s="349"/>
      <c r="G570" s="349"/>
      <c r="H570" s="349"/>
      <c r="I570" s="349"/>
      <c r="J570" s="349"/>
      <c r="K570" s="349"/>
      <c r="L570" s="349"/>
      <c r="M570" s="349"/>
      <c r="N570" s="349"/>
      <c r="O570" s="349"/>
      <c r="P570" s="349"/>
      <c r="Q570" s="349"/>
      <c r="R570" s="349"/>
      <c r="S570" s="349"/>
      <c r="T570" s="349"/>
      <c r="U570" s="349"/>
      <c r="V570" s="349"/>
      <c r="W570" s="349"/>
      <c r="X570" s="349"/>
      <c r="Y570" s="349"/>
    </row>
    <row r="571" ht="15.75" customHeight="1">
      <c r="A571" s="349"/>
      <c r="B571" s="349"/>
      <c r="C571" s="349"/>
      <c r="D571" s="349"/>
      <c r="E571" s="349"/>
      <c r="F571" s="349"/>
      <c r="G571" s="349"/>
      <c r="H571" s="349"/>
      <c r="I571" s="349"/>
      <c r="J571" s="349"/>
      <c r="K571" s="349"/>
      <c r="L571" s="349"/>
      <c r="M571" s="349"/>
      <c r="N571" s="349"/>
      <c r="O571" s="349"/>
      <c r="P571" s="349"/>
      <c r="Q571" s="349"/>
      <c r="R571" s="349"/>
      <c r="S571" s="349"/>
      <c r="T571" s="349"/>
      <c r="U571" s="349"/>
      <c r="V571" s="349"/>
      <c r="W571" s="349"/>
      <c r="X571" s="349"/>
      <c r="Y571" s="349"/>
    </row>
    <row r="572" ht="15.75" customHeight="1">
      <c r="A572" s="349"/>
      <c r="B572" s="349"/>
      <c r="C572" s="349"/>
      <c r="D572" s="349"/>
      <c r="E572" s="349"/>
      <c r="F572" s="349"/>
      <c r="G572" s="349"/>
      <c r="H572" s="349"/>
      <c r="I572" s="349"/>
      <c r="J572" s="349"/>
      <c r="K572" s="349"/>
      <c r="L572" s="349"/>
      <c r="M572" s="349"/>
      <c r="N572" s="349"/>
      <c r="O572" s="349"/>
      <c r="P572" s="349"/>
      <c r="Q572" s="349"/>
      <c r="R572" s="349"/>
      <c r="S572" s="349"/>
      <c r="T572" s="349"/>
      <c r="U572" s="349"/>
      <c r="V572" s="349"/>
      <c r="W572" s="349"/>
      <c r="X572" s="349"/>
      <c r="Y572" s="349"/>
    </row>
    <row r="573" ht="15.75" customHeight="1">
      <c r="A573" s="349"/>
      <c r="B573" s="349"/>
      <c r="C573" s="349"/>
      <c r="D573" s="349"/>
      <c r="E573" s="349"/>
      <c r="F573" s="349"/>
      <c r="G573" s="349"/>
      <c r="H573" s="349"/>
      <c r="I573" s="349"/>
      <c r="J573" s="349"/>
      <c r="K573" s="349"/>
      <c r="L573" s="349"/>
      <c r="M573" s="349"/>
      <c r="N573" s="349"/>
      <c r="O573" s="349"/>
      <c r="P573" s="349"/>
      <c r="Q573" s="349"/>
      <c r="R573" s="349"/>
      <c r="S573" s="349"/>
      <c r="T573" s="349"/>
      <c r="U573" s="349"/>
      <c r="V573" s="349"/>
      <c r="W573" s="349"/>
      <c r="X573" s="349"/>
      <c r="Y573" s="349"/>
    </row>
    <row r="574" ht="15.75" customHeight="1">
      <c r="A574" s="349"/>
      <c r="B574" s="349"/>
      <c r="C574" s="349"/>
      <c r="D574" s="349"/>
      <c r="E574" s="349"/>
      <c r="F574" s="349"/>
      <c r="G574" s="349"/>
      <c r="H574" s="349"/>
      <c r="I574" s="349"/>
      <c r="J574" s="349"/>
      <c r="K574" s="349"/>
      <c r="L574" s="349"/>
      <c r="M574" s="349"/>
      <c r="N574" s="349"/>
      <c r="O574" s="349"/>
      <c r="P574" s="349"/>
      <c r="Q574" s="349"/>
      <c r="R574" s="349"/>
      <c r="S574" s="349"/>
      <c r="T574" s="349"/>
      <c r="U574" s="349"/>
      <c r="V574" s="349"/>
      <c r="W574" s="349"/>
      <c r="X574" s="349"/>
      <c r="Y574" s="349"/>
    </row>
    <row r="575" ht="15.75" customHeight="1">
      <c r="A575" s="349"/>
      <c r="B575" s="349"/>
      <c r="C575" s="349"/>
      <c r="D575" s="349"/>
      <c r="E575" s="349"/>
      <c r="F575" s="349"/>
      <c r="G575" s="349"/>
      <c r="H575" s="349"/>
      <c r="I575" s="349"/>
      <c r="J575" s="349"/>
      <c r="K575" s="349"/>
      <c r="L575" s="349"/>
      <c r="M575" s="349"/>
      <c r="N575" s="349"/>
      <c r="O575" s="349"/>
      <c r="P575" s="349"/>
      <c r="Q575" s="349"/>
      <c r="R575" s="349"/>
      <c r="S575" s="349"/>
      <c r="T575" s="349"/>
      <c r="U575" s="349"/>
      <c r="V575" s="349"/>
      <c r="W575" s="349"/>
      <c r="X575" s="349"/>
      <c r="Y575" s="349"/>
    </row>
    <row r="576" ht="15.75" customHeight="1">
      <c r="A576" s="349"/>
      <c r="B576" s="349"/>
      <c r="C576" s="349"/>
      <c r="D576" s="349"/>
      <c r="E576" s="349"/>
      <c r="F576" s="349"/>
      <c r="G576" s="349"/>
      <c r="H576" s="349"/>
      <c r="I576" s="349"/>
      <c r="J576" s="349"/>
      <c r="K576" s="349"/>
      <c r="L576" s="349"/>
      <c r="M576" s="349"/>
      <c r="N576" s="349"/>
      <c r="O576" s="349"/>
      <c r="P576" s="349"/>
      <c r="Q576" s="349"/>
      <c r="R576" s="349"/>
      <c r="S576" s="349"/>
      <c r="T576" s="349"/>
      <c r="U576" s="349"/>
      <c r="V576" s="349"/>
      <c r="W576" s="349"/>
      <c r="X576" s="349"/>
      <c r="Y576" s="349"/>
    </row>
    <row r="577" ht="15.75" customHeight="1">
      <c r="A577" s="349"/>
      <c r="B577" s="349"/>
      <c r="C577" s="349"/>
      <c r="D577" s="349"/>
      <c r="E577" s="349"/>
      <c r="F577" s="349"/>
      <c r="G577" s="349"/>
      <c r="H577" s="349"/>
      <c r="I577" s="349"/>
      <c r="J577" s="349"/>
      <c r="K577" s="349"/>
      <c r="L577" s="349"/>
      <c r="M577" s="349"/>
      <c r="N577" s="349"/>
      <c r="O577" s="349"/>
      <c r="P577" s="349"/>
      <c r="Q577" s="349"/>
      <c r="R577" s="349"/>
      <c r="S577" s="349"/>
      <c r="T577" s="349"/>
      <c r="U577" s="349"/>
      <c r="V577" s="349"/>
      <c r="W577" s="349"/>
      <c r="X577" s="349"/>
      <c r="Y577" s="349"/>
    </row>
    <row r="578" ht="15.75" customHeight="1">
      <c r="A578" s="349"/>
      <c r="B578" s="349"/>
      <c r="C578" s="349"/>
      <c r="D578" s="349"/>
      <c r="E578" s="349"/>
      <c r="F578" s="349"/>
      <c r="G578" s="349"/>
      <c r="H578" s="349"/>
      <c r="I578" s="349"/>
      <c r="J578" s="349"/>
      <c r="K578" s="349"/>
      <c r="L578" s="349"/>
      <c r="M578" s="349"/>
      <c r="N578" s="349"/>
      <c r="O578" s="349"/>
      <c r="P578" s="349"/>
      <c r="Q578" s="349"/>
      <c r="R578" s="349"/>
      <c r="S578" s="349"/>
      <c r="T578" s="349"/>
      <c r="U578" s="349"/>
      <c r="V578" s="349"/>
      <c r="W578" s="349"/>
      <c r="X578" s="349"/>
      <c r="Y578" s="349"/>
    </row>
    <row r="579" ht="15.75" customHeight="1">
      <c r="A579" s="349"/>
      <c r="B579" s="349"/>
      <c r="C579" s="349"/>
      <c r="D579" s="349"/>
      <c r="E579" s="349"/>
      <c r="F579" s="349"/>
      <c r="G579" s="349"/>
      <c r="H579" s="349"/>
      <c r="I579" s="349"/>
      <c r="J579" s="349"/>
      <c r="K579" s="349"/>
      <c r="L579" s="349"/>
      <c r="M579" s="349"/>
      <c r="N579" s="349"/>
      <c r="O579" s="349"/>
      <c r="P579" s="349"/>
      <c r="Q579" s="349"/>
      <c r="R579" s="349"/>
      <c r="S579" s="349"/>
      <c r="T579" s="349"/>
      <c r="U579" s="349"/>
      <c r="V579" s="349"/>
      <c r="W579" s="349"/>
      <c r="X579" s="349"/>
      <c r="Y579" s="349"/>
    </row>
    <row r="580" ht="15.75" customHeight="1">
      <c r="A580" s="349"/>
      <c r="B580" s="349"/>
      <c r="C580" s="349"/>
      <c r="D580" s="349"/>
      <c r="E580" s="349"/>
      <c r="F580" s="349"/>
      <c r="G580" s="349"/>
      <c r="H580" s="349"/>
      <c r="I580" s="349"/>
      <c r="J580" s="349"/>
      <c r="K580" s="349"/>
      <c r="L580" s="349"/>
      <c r="M580" s="349"/>
      <c r="N580" s="349"/>
      <c r="O580" s="349"/>
      <c r="P580" s="349"/>
      <c r="Q580" s="349"/>
      <c r="R580" s="349"/>
      <c r="S580" s="349"/>
      <c r="T580" s="349"/>
      <c r="U580" s="349"/>
      <c r="V580" s="349"/>
      <c r="W580" s="349"/>
      <c r="X580" s="349"/>
      <c r="Y580" s="349"/>
    </row>
    <row r="581" ht="15.75" customHeight="1">
      <c r="A581" s="349"/>
      <c r="B581" s="349"/>
      <c r="C581" s="349"/>
      <c r="D581" s="349"/>
      <c r="E581" s="349"/>
      <c r="F581" s="349"/>
      <c r="G581" s="349"/>
      <c r="H581" s="349"/>
      <c r="I581" s="349"/>
      <c r="J581" s="349"/>
      <c r="K581" s="349"/>
      <c r="L581" s="349"/>
      <c r="M581" s="349"/>
      <c r="N581" s="349"/>
      <c r="O581" s="349"/>
      <c r="P581" s="349"/>
      <c r="Q581" s="349"/>
      <c r="R581" s="349"/>
      <c r="S581" s="349"/>
      <c r="T581" s="349"/>
      <c r="U581" s="349"/>
      <c r="V581" s="349"/>
      <c r="W581" s="349"/>
      <c r="X581" s="349"/>
      <c r="Y581" s="349"/>
    </row>
    <row r="582" ht="15.75" customHeight="1">
      <c r="A582" s="349"/>
      <c r="B582" s="349"/>
      <c r="C582" s="349"/>
      <c r="D582" s="349"/>
      <c r="E582" s="349"/>
      <c r="F582" s="349"/>
      <c r="G582" s="349"/>
      <c r="H582" s="349"/>
      <c r="I582" s="349"/>
      <c r="J582" s="349"/>
      <c r="K582" s="349"/>
      <c r="L582" s="349"/>
      <c r="M582" s="349"/>
      <c r="N582" s="349"/>
      <c r="O582" s="349"/>
      <c r="P582" s="349"/>
      <c r="Q582" s="349"/>
      <c r="R582" s="349"/>
      <c r="S582" s="349"/>
      <c r="T582" s="349"/>
      <c r="U582" s="349"/>
      <c r="V582" s="349"/>
      <c r="W582" s="349"/>
      <c r="X582" s="349"/>
      <c r="Y582" s="349"/>
    </row>
    <row r="583" ht="15.75" customHeight="1">
      <c r="A583" s="349"/>
      <c r="B583" s="349"/>
      <c r="C583" s="349"/>
      <c r="D583" s="349"/>
      <c r="E583" s="349"/>
      <c r="F583" s="349"/>
      <c r="G583" s="349"/>
      <c r="H583" s="349"/>
      <c r="I583" s="349"/>
      <c r="J583" s="349"/>
      <c r="K583" s="349"/>
      <c r="L583" s="349"/>
      <c r="M583" s="349"/>
      <c r="N583" s="349"/>
      <c r="O583" s="349"/>
      <c r="P583" s="349"/>
      <c r="Q583" s="349"/>
      <c r="R583" s="349"/>
      <c r="S583" s="349"/>
      <c r="T583" s="349"/>
      <c r="U583" s="349"/>
      <c r="V583" s="349"/>
      <c r="W583" s="349"/>
      <c r="X583" s="349"/>
      <c r="Y583" s="349"/>
    </row>
    <row r="584" ht="15.75" customHeight="1">
      <c r="A584" s="349"/>
      <c r="B584" s="349"/>
      <c r="C584" s="349"/>
      <c r="D584" s="349"/>
      <c r="E584" s="349"/>
      <c r="F584" s="349"/>
      <c r="G584" s="349"/>
      <c r="H584" s="349"/>
      <c r="I584" s="349"/>
      <c r="J584" s="349"/>
      <c r="K584" s="349"/>
      <c r="L584" s="349"/>
      <c r="M584" s="349"/>
      <c r="N584" s="349"/>
      <c r="O584" s="349"/>
      <c r="P584" s="349"/>
      <c r="Q584" s="349"/>
      <c r="R584" s="349"/>
      <c r="S584" s="349"/>
      <c r="T584" s="349"/>
      <c r="U584" s="349"/>
      <c r="V584" s="349"/>
      <c r="W584" s="349"/>
      <c r="X584" s="349"/>
      <c r="Y584" s="349"/>
    </row>
    <row r="585" ht="15.75" customHeight="1">
      <c r="A585" s="349"/>
      <c r="B585" s="349"/>
      <c r="C585" s="349"/>
      <c r="D585" s="349"/>
      <c r="E585" s="349"/>
      <c r="F585" s="349"/>
      <c r="G585" s="349"/>
      <c r="H585" s="349"/>
      <c r="I585" s="349"/>
      <c r="J585" s="349"/>
      <c r="K585" s="349"/>
      <c r="L585" s="349"/>
      <c r="M585" s="349"/>
      <c r="N585" s="349"/>
      <c r="O585" s="349"/>
      <c r="P585" s="349"/>
      <c r="Q585" s="349"/>
      <c r="R585" s="349"/>
      <c r="S585" s="349"/>
      <c r="T585" s="349"/>
      <c r="U585" s="349"/>
      <c r="V585" s="349"/>
      <c r="W585" s="349"/>
      <c r="X585" s="349"/>
      <c r="Y585" s="349"/>
    </row>
    <row r="586" ht="15.75" customHeight="1">
      <c r="A586" s="349"/>
      <c r="B586" s="349"/>
      <c r="C586" s="349"/>
      <c r="D586" s="349"/>
      <c r="E586" s="349"/>
      <c r="F586" s="349"/>
      <c r="G586" s="349"/>
      <c r="H586" s="349"/>
      <c r="I586" s="349"/>
      <c r="J586" s="349"/>
      <c r="K586" s="349"/>
      <c r="L586" s="349"/>
      <c r="M586" s="349"/>
      <c r="N586" s="349"/>
      <c r="O586" s="349"/>
      <c r="P586" s="349"/>
      <c r="Q586" s="349"/>
      <c r="R586" s="349"/>
      <c r="S586" s="349"/>
      <c r="T586" s="349"/>
      <c r="U586" s="349"/>
      <c r="V586" s="349"/>
      <c r="W586" s="349"/>
      <c r="X586" s="349"/>
      <c r="Y586" s="349"/>
    </row>
    <row r="587" ht="15.75" customHeight="1">
      <c r="A587" s="349"/>
      <c r="B587" s="349"/>
      <c r="C587" s="349"/>
      <c r="D587" s="349"/>
      <c r="E587" s="349"/>
      <c r="F587" s="349"/>
      <c r="G587" s="349"/>
      <c r="H587" s="349"/>
      <c r="I587" s="349"/>
      <c r="J587" s="349"/>
      <c r="K587" s="349"/>
      <c r="L587" s="349"/>
      <c r="M587" s="349"/>
      <c r="N587" s="349"/>
      <c r="O587" s="349"/>
      <c r="P587" s="349"/>
      <c r="Q587" s="349"/>
      <c r="R587" s="349"/>
      <c r="S587" s="349"/>
      <c r="T587" s="349"/>
      <c r="U587" s="349"/>
      <c r="V587" s="349"/>
      <c r="W587" s="349"/>
      <c r="X587" s="349"/>
      <c r="Y587" s="349"/>
    </row>
    <row r="588" ht="15.75" customHeight="1">
      <c r="A588" s="349"/>
      <c r="B588" s="349"/>
      <c r="C588" s="349"/>
      <c r="D588" s="349"/>
      <c r="E588" s="349"/>
      <c r="F588" s="349"/>
      <c r="G588" s="349"/>
      <c r="H588" s="349"/>
      <c r="I588" s="349"/>
      <c r="J588" s="349"/>
      <c r="K588" s="349"/>
      <c r="L588" s="349"/>
      <c r="M588" s="349"/>
      <c r="N588" s="349"/>
      <c r="O588" s="349"/>
      <c r="P588" s="349"/>
      <c r="Q588" s="349"/>
      <c r="R588" s="349"/>
      <c r="S588" s="349"/>
      <c r="T588" s="349"/>
      <c r="U588" s="349"/>
      <c r="V588" s="349"/>
      <c r="W588" s="349"/>
      <c r="X588" s="349"/>
      <c r="Y588" s="349"/>
    </row>
    <row r="589" ht="15.75" customHeight="1">
      <c r="A589" s="349"/>
      <c r="B589" s="349"/>
      <c r="C589" s="349"/>
      <c r="D589" s="349"/>
      <c r="E589" s="349"/>
      <c r="F589" s="349"/>
      <c r="G589" s="349"/>
      <c r="H589" s="349"/>
      <c r="I589" s="349"/>
      <c r="J589" s="349"/>
      <c r="K589" s="349"/>
      <c r="L589" s="349"/>
      <c r="M589" s="349"/>
      <c r="N589" s="349"/>
      <c r="O589" s="349"/>
      <c r="P589" s="349"/>
      <c r="Q589" s="349"/>
      <c r="R589" s="349"/>
      <c r="S589" s="349"/>
      <c r="T589" s="349"/>
      <c r="U589" s="349"/>
      <c r="V589" s="349"/>
      <c r="W589" s="349"/>
      <c r="X589" s="349"/>
      <c r="Y589" s="349"/>
    </row>
    <row r="590" ht="15.75" customHeight="1">
      <c r="A590" s="349"/>
      <c r="B590" s="349"/>
      <c r="C590" s="349"/>
      <c r="D590" s="349"/>
      <c r="E590" s="349"/>
      <c r="F590" s="349"/>
      <c r="G590" s="349"/>
      <c r="H590" s="349"/>
      <c r="I590" s="349"/>
      <c r="J590" s="349"/>
      <c r="K590" s="349"/>
      <c r="L590" s="349"/>
      <c r="M590" s="349"/>
      <c r="N590" s="349"/>
      <c r="O590" s="349"/>
      <c r="P590" s="349"/>
      <c r="Q590" s="349"/>
      <c r="R590" s="349"/>
      <c r="S590" s="349"/>
      <c r="T590" s="349"/>
      <c r="U590" s="349"/>
      <c r="V590" s="349"/>
      <c r="W590" s="349"/>
      <c r="X590" s="349"/>
      <c r="Y590" s="349"/>
    </row>
    <row r="591" ht="15.75" customHeight="1">
      <c r="A591" s="349"/>
      <c r="B591" s="349"/>
      <c r="C591" s="349"/>
      <c r="D591" s="349"/>
      <c r="E591" s="349"/>
      <c r="F591" s="349"/>
      <c r="G591" s="349"/>
      <c r="H591" s="349"/>
      <c r="I591" s="349"/>
      <c r="J591" s="349"/>
      <c r="K591" s="349"/>
      <c r="L591" s="349"/>
      <c r="M591" s="349"/>
      <c r="N591" s="349"/>
      <c r="O591" s="349"/>
      <c r="P591" s="349"/>
      <c r="Q591" s="349"/>
      <c r="R591" s="349"/>
      <c r="S591" s="349"/>
      <c r="T591" s="349"/>
      <c r="U591" s="349"/>
      <c r="V591" s="349"/>
      <c r="W591" s="349"/>
      <c r="X591" s="349"/>
      <c r="Y591" s="349"/>
    </row>
    <row r="592" ht="15.75" customHeight="1">
      <c r="A592" s="349"/>
      <c r="B592" s="349"/>
      <c r="C592" s="349"/>
      <c r="D592" s="349"/>
      <c r="E592" s="349"/>
      <c r="F592" s="349"/>
      <c r="G592" s="349"/>
      <c r="H592" s="349"/>
      <c r="I592" s="349"/>
      <c r="J592" s="349"/>
      <c r="K592" s="349"/>
      <c r="L592" s="349"/>
      <c r="M592" s="349"/>
      <c r="N592" s="349"/>
      <c r="O592" s="349"/>
      <c r="P592" s="349"/>
      <c r="Q592" s="349"/>
      <c r="R592" s="349"/>
      <c r="S592" s="349"/>
      <c r="T592" s="349"/>
      <c r="U592" s="349"/>
      <c r="V592" s="349"/>
      <c r="W592" s="349"/>
      <c r="X592" s="349"/>
      <c r="Y592" s="349"/>
    </row>
    <row r="593" ht="15.75" customHeight="1">
      <c r="A593" s="349"/>
      <c r="B593" s="349"/>
      <c r="C593" s="349"/>
      <c r="D593" s="349"/>
      <c r="E593" s="349"/>
      <c r="F593" s="349"/>
      <c r="G593" s="349"/>
      <c r="H593" s="349"/>
      <c r="I593" s="349"/>
      <c r="J593" s="349"/>
      <c r="K593" s="349"/>
      <c r="L593" s="349"/>
      <c r="M593" s="349"/>
      <c r="N593" s="349"/>
      <c r="O593" s="349"/>
      <c r="P593" s="349"/>
      <c r="Q593" s="349"/>
      <c r="R593" s="349"/>
      <c r="S593" s="349"/>
      <c r="T593" s="349"/>
      <c r="U593" s="349"/>
      <c r="V593" s="349"/>
      <c r="W593" s="349"/>
      <c r="X593" s="349"/>
      <c r="Y593" s="349"/>
    </row>
    <row r="594" ht="15.75" customHeight="1">
      <c r="A594" s="349"/>
      <c r="B594" s="349"/>
      <c r="C594" s="349"/>
      <c r="D594" s="349"/>
      <c r="E594" s="349"/>
      <c r="F594" s="349"/>
      <c r="G594" s="349"/>
      <c r="H594" s="349"/>
      <c r="I594" s="349"/>
      <c r="J594" s="349"/>
      <c r="K594" s="349"/>
      <c r="L594" s="349"/>
      <c r="M594" s="349"/>
      <c r="N594" s="349"/>
      <c r="O594" s="349"/>
      <c r="P594" s="349"/>
      <c r="Q594" s="349"/>
      <c r="R594" s="349"/>
      <c r="S594" s="349"/>
      <c r="T594" s="349"/>
      <c r="U594" s="349"/>
      <c r="V594" s="349"/>
      <c r="W594" s="349"/>
      <c r="X594" s="349"/>
      <c r="Y594" s="349"/>
    </row>
    <row r="595" ht="15.75" customHeight="1">
      <c r="A595" s="349"/>
      <c r="B595" s="349"/>
      <c r="C595" s="349"/>
      <c r="D595" s="349"/>
      <c r="E595" s="349"/>
      <c r="F595" s="349"/>
      <c r="G595" s="349"/>
      <c r="H595" s="349"/>
      <c r="I595" s="349"/>
      <c r="J595" s="349"/>
      <c r="K595" s="349"/>
      <c r="L595" s="349"/>
      <c r="M595" s="349"/>
      <c r="N595" s="349"/>
      <c r="O595" s="349"/>
      <c r="P595" s="349"/>
      <c r="Q595" s="349"/>
      <c r="R595" s="349"/>
      <c r="S595" s="349"/>
      <c r="T595" s="349"/>
      <c r="U595" s="349"/>
      <c r="V595" s="349"/>
      <c r="W595" s="349"/>
      <c r="X595" s="349"/>
      <c r="Y595" s="349"/>
    </row>
    <row r="596" ht="15.75" customHeight="1">
      <c r="A596" s="349"/>
      <c r="B596" s="349"/>
      <c r="C596" s="349"/>
      <c r="D596" s="349"/>
      <c r="E596" s="349"/>
      <c r="F596" s="349"/>
      <c r="G596" s="349"/>
      <c r="H596" s="349"/>
      <c r="I596" s="349"/>
      <c r="J596" s="349"/>
      <c r="K596" s="349"/>
      <c r="L596" s="349"/>
      <c r="M596" s="349"/>
      <c r="N596" s="349"/>
      <c r="O596" s="349"/>
      <c r="P596" s="349"/>
      <c r="Q596" s="349"/>
      <c r="R596" s="349"/>
      <c r="S596" s="349"/>
      <c r="T596" s="349"/>
      <c r="U596" s="349"/>
      <c r="V596" s="349"/>
      <c r="W596" s="349"/>
      <c r="X596" s="349"/>
      <c r="Y596" s="349"/>
    </row>
    <row r="597" ht="15.75" customHeight="1">
      <c r="A597" s="349"/>
      <c r="B597" s="349"/>
      <c r="C597" s="349"/>
      <c r="D597" s="349"/>
      <c r="E597" s="349"/>
      <c r="F597" s="349"/>
      <c r="G597" s="349"/>
      <c r="H597" s="349"/>
      <c r="I597" s="349"/>
      <c r="J597" s="349"/>
      <c r="K597" s="349"/>
      <c r="L597" s="349"/>
      <c r="M597" s="349"/>
      <c r="N597" s="349"/>
      <c r="O597" s="349"/>
      <c r="P597" s="349"/>
      <c r="Q597" s="349"/>
      <c r="R597" s="349"/>
      <c r="S597" s="349"/>
      <c r="T597" s="349"/>
      <c r="U597" s="349"/>
      <c r="V597" s="349"/>
      <c r="W597" s="349"/>
      <c r="X597" s="349"/>
      <c r="Y597" s="349"/>
    </row>
    <row r="598" ht="15.75" customHeight="1">
      <c r="A598" s="349"/>
      <c r="B598" s="349"/>
      <c r="C598" s="349"/>
      <c r="D598" s="349"/>
      <c r="E598" s="349"/>
      <c r="F598" s="349"/>
      <c r="G598" s="349"/>
      <c r="H598" s="349"/>
      <c r="I598" s="349"/>
      <c r="J598" s="349"/>
      <c r="K598" s="349"/>
      <c r="L598" s="349"/>
      <c r="M598" s="349"/>
      <c r="N598" s="349"/>
      <c r="O598" s="349"/>
      <c r="P598" s="349"/>
      <c r="Q598" s="349"/>
      <c r="R598" s="349"/>
      <c r="S598" s="349"/>
      <c r="T598" s="349"/>
      <c r="U598" s="349"/>
      <c r="V598" s="349"/>
      <c r="W598" s="349"/>
      <c r="X598" s="349"/>
      <c r="Y598" s="349"/>
    </row>
    <row r="599" ht="15.75" customHeight="1">
      <c r="A599" s="349"/>
      <c r="B599" s="349"/>
      <c r="C599" s="349"/>
      <c r="D599" s="349"/>
      <c r="E599" s="349"/>
      <c r="F599" s="349"/>
      <c r="G599" s="349"/>
      <c r="H599" s="349"/>
      <c r="I599" s="349"/>
      <c r="J599" s="349"/>
      <c r="K599" s="349"/>
      <c r="L599" s="349"/>
      <c r="M599" s="349"/>
      <c r="N599" s="349"/>
      <c r="O599" s="349"/>
      <c r="P599" s="349"/>
      <c r="Q599" s="349"/>
      <c r="R599" s="349"/>
      <c r="S599" s="349"/>
      <c r="T599" s="349"/>
      <c r="U599" s="349"/>
      <c r="V599" s="349"/>
      <c r="W599" s="349"/>
      <c r="X599" s="349"/>
      <c r="Y599" s="349"/>
    </row>
    <row r="600" ht="15.75" customHeight="1">
      <c r="A600" s="349"/>
      <c r="B600" s="349"/>
      <c r="C600" s="349"/>
      <c r="D600" s="349"/>
      <c r="E600" s="349"/>
      <c r="F600" s="349"/>
      <c r="G600" s="349"/>
      <c r="H600" s="349"/>
      <c r="I600" s="349"/>
      <c r="J600" s="349"/>
      <c r="K600" s="349"/>
      <c r="L600" s="349"/>
      <c r="M600" s="349"/>
      <c r="N600" s="349"/>
      <c r="O600" s="349"/>
      <c r="P600" s="349"/>
      <c r="Q600" s="349"/>
      <c r="R600" s="349"/>
      <c r="S600" s="349"/>
      <c r="T600" s="349"/>
      <c r="U600" s="349"/>
      <c r="V600" s="349"/>
      <c r="W600" s="349"/>
      <c r="X600" s="349"/>
      <c r="Y600" s="349"/>
    </row>
    <row r="601" ht="15.75" customHeight="1">
      <c r="A601" s="349"/>
      <c r="B601" s="349"/>
      <c r="C601" s="349"/>
      <c r="D601" s="349"/>
      <c r="E601" s="349"/>
      <c r="F601" s="349"/>
      <c r="G601" s="349"/>
      <c r="H601" s="349"/>
      <c r="I601" s="349"/>
      <c r="J601" s="349"/>
      <c r="K601" s="349"/>
      <c r="L601" s="349"/>
      <c r="M601" s="349"/>
      <c r="N601" s="349"/>
      <c r="O601" s="349"/>
      <c r="P601" s="349"/>
      <c r="Q601" s="349"/>
      <c r="R601" s="349"/>
      <c r="S601" s="349"/>
      <c r="T601" s="349"/>
      <c r="U601" s="349"/>
      <c r="V601" s="349"/>
      <c r="W601" s="349"/>
      <c r="X601" s="349"/>
      <c r="Y601" s="349"/>
    </row>
    <row r="602" ht="15.75" customHeight="1">
      <c r="A602" s="349"/>
      <c r="B602" s="349"/>
      <c r="C602" s="349"/>
      <c r="D602" s="349"/>
      <c r="E602" s="349"/>
      <c r="F602" s="349"/>
      <c r="G602" s="349"/>
      <c r="H602" s="349"/>
      <c r="I602" s="349"/>
      <c r="J602" s="349"/>
      <c r="K602" s="349"/>
      <c r="L602" s="349"/>
      <c r="M602" s="349"/>
      <c r="N602" s="349"/>
      <c r="O602" s="349"/>
      <c r="P602" s="349"/>
      <c r="Q602" s="349"/>
      <c r="R602" s="349"/>
      <c r="S602" s="349"/>
      <c r="T602" s="349"/>
      <c r="U602" s="349"/>
      <c r="V602" s="349"/>
      <c r="W602" s="349"/>
      <c r="X602" s="349"/>
      <c r="Y602" s="349"/>
    </row>
    <row r="603" ht="15.75" customHeight="1">
      <c r="A603" s="349"/>
      <c r="B603" s="349"/>
      <c r="C603" s="349"/>
      <c r="D603" s="349"/>
      <c r="E603" s="349"/>
      <c r="F603" s="349"/>
      <c r="G603" s="349"/>
      <c r="H603" s="349"/>
      <c r="I603" s="349"/>
      <c r="J603" s="349"/>
      <c r="K603" s="349"/>
      <c r="L603" s="349"/>
      <c r="M603" s="349"/>
      <c r="N603" s="349"/>
      <c r="O603" s="349"/>
      <c r="P603" s="349"/>
      <c r="Q603" s="349"/>
      <c r="R603" s="349"/>
      <c r="S603" s="349"/>
      <c r="T603" s="349"/>
      <c r="U603" s="349"/>
      <c r="V603" s="349"/>
      <c r="W603" s="349"/>
      <c r="X603" s="349"/>
      <c r="Y603" s="349"/>
    </row>
    <row r="604" ht="15.75" customHeight="1">
      <c r="A604" s="349"/>
      <c r="B604" s="349"/>
      <c r="C604" s="349"/>
      <c r="D604" s="349"/>
      <c r="E604" s="349"/>
      <c r="F604" s="349"/>
      <c r="G604" s="349"/>
      <c r="H604" s="349"/>
      <c r="I604" s="349"/>
      <c r="J604" s="349"/>
      <c r="K604" s="349"/>
      <c r="L604" s="349"/>
      <c r="M604" s="349"/>
      <c r="N604" s="349"/>
      <c r="O604" s="349"/>
      <c r="P604" s="349"/>
      <c r="Q604" s="349"/>
      <c r="R604" s="349"/>
      <c r="S604" s="349"/>
      <c r="T604" s="349"/>
      <c r="U604" s="349"/>
      <c r="V604" s="349"/>
      <c r="W604" s="349"/>
      <c r="X604" s="349"/>
      <c r="Y604" s="349"/>
    </row>
    <row r="605" ht="15.75" customHeight="1">
      <c r="A605" s="349"/>
      <c r="B605" s="349"/>
      <c r="C605" s="349"/>
      <c r="D605" s="349"/>
      <c r="E605" s="349"/>
      <c r="F605" s="349"/>
      <c r="G605" s="349"/>
      <c r="H605" s="349"/>
      <c r="I605" s="349"/>
      <c r="J605" s="349"/>
      <c r="K605" s="349"/>
      <c r="L605" s="349"/>
      <c r="M605" s="349"/>
      <c r="N605" s="349"/>
      <c r="O605" s="349"/>
      <c r="P605" s="349"/>
      <c r="Q605" s="349"/>
      <c r="R605" s="349"/>
      <c r="S605" s="349"/>
      <c r="T605" s="349"/>
      <c r="U605" s="349"/>
      <c r="V605" s="349"/>
      <c r="W605" s="349"/>
      <c r="X605" s="349"/>
      <c r="Y605" s="349"/>
    </row>
    <row r="606" ht="15.75" customHeight="1">
      <c r="A606" s="349"/>
      <c r="B606" s="349"/>
      <c r="C606" s="349"/>
      <c r="D606" s="349"/>
      <c r="E606" s="349"/>
      <c r="F606" s="349"/>
      <c r="G606" s="349"/>
      <c r="H606" s="349"/>
      <c r="I606" s="349"/>
      <c r="J606" s="349"/>
      <c r="K606" s="349"/>
      <c r="L606" s="349"/>
      <c r="M606" s="349"/>
      <c r="N606" s="349"/>
      <c r="O606" s="349"/>
      <c r="P606" s="349"/>
      <c r="Q606" s="349"/>
      <c r="R606" s="349"/>
      <c r="S606" s="349"/>
      <c r="T606" s="349"/>
      <c r="U606" s="349"/>
      <c r="V606" s="349"/>
      <c r="W606" s="349"/>
      <c r="X606" s="349"/>
      <c r="Y606" s="349"/>
    </row>
    <row r="607" ht="15.75" customHeight="1">
      <c r="A607" s="349"/>
      <c r="B607" s="349"/>
      <c r="C607" s="349"/>
      <c r="D607" s="349"/>
      <c r="E607" s="349"/>
      <c r="F607" s="349"/>
      <c r="G607" s="349"/>
      <c r="H607" s="349"/>
      <c r="I607" s="349"/>
      <c r="J607" s="349"/>
      <c r="K607" s="349"/>
      <c r="L607" s="349"/>
      <c r="M607" s="349"/>
      <c r="N607" s="349"/>
      <c r="O607" s="349"/>
      <c r="P607" s="349"/>
      <c r="Q607" s="349"/>
      <c r="R607" s="349"/>
      <c r="S607" s="349"/>
      <c r="T607" s="349"/>
      <c r="U607" s="349"/>
      <c r="V607" s="349"/>
      <c r="W607" s="349"/>
      <c r="X607" s="349"/>
      <c r="Y607" s="349"/>
    </row>
    <row r="608" ht="15.75" customHeight="1">
      <c r="A608" s="349"/>
      <c r="B608" s="349"/>
      <c r="C608" s="349"/>
      <c r="D608" s="349"/>
      <c r="E608" s="349"/>
      <c r="F608" s="349"/>
      <c r="G608" s="349"/>
      <c r="H608" s="349"/>
      <c r="I608" s="349"/>
      <c r="J608" s="349"/>
      <c r="K608" s="349"/>
      <c r="L608" s="349"/>
      <c r="M608" s="349"/>
      <c r="N608" s="349"/>
      <c r="O608" s="349"/>
      <c r="P608" s="349"/>
      <c r="Q608" s="349"/>
      <c r="R608" s="349"/>
      <c r="S608" s="349"/>
      <c r="T608" s="349"/>
      <c r="U608" s="349"/>
      <c r="V608" s="349"/>
      <c r="W608" s="349"/>
      <c r="X608" s="349"/>
      <c r="Y608" s="349"/>
    </row>
    <row r="609" ht="15.75" customHeight="1">
      <c r="A609" s="349"/>
      <c r="B609" s="349"/>
      <c r="C609" s="349"/>
      <c r="D609" s="349"/>
      <c r="E609" s="349"/>
      <c r="F609" s="349"/>
      <c r="G609" s="349"/>
      <c r="H609" s="349"/>
      <c r="I609" s="349"/>
      <c r="J609" s="349"/>
      <c r="K609" s="349"/>
      <c r="L609" s="349"/>
      <c r="M609" s="349"/>
      <c r="N609" s="349"/>
      <c r="O609" s="349"/>
      <c r="P609" s="349"/>
      <c r="Q609" s="349"/>
      <c r="R609" s="349"/>
      <c r="S609" s="349"/>
      <c r="T609" s="349"/>
      <c r="U609" s="349"/>
      <c r="V609" s="349"/>
      <c r="W609" s="349"/>
      <c r="X609" s="349"/>
      <c r="Y609" s="349"/>
    </row>
    <row r="610" ht="15.75" customHeight="1">
      <c r="A610" s="349"/>
      <c r="B610" s="349"/>
      <c r="C610" s="349"/>
      <c r="D610" s="349"/>
      <c r="E610" s="349"/>
      <c r="F610" s="349"/>
      <c r="G610" s="349"/>
      <c r="H610" s="349"/>
      <c r="I610" s="349"/>
      <c r="J610" s="349"/>
      <c r="K610" s="349"/>
      <c r="L610" s="349"/>
      <c r="M610" s="349"/>
      <c r="N610" s="349"/>
      <c r="O610" s="349"/>
      <c r="P610" s="349"/>
      <c r="Q610" s="349"/>
      <c r="R610" s="349"/>
      <c r="S610" s="349"/>
      <c r="T610" s="349"/>
      <c r="U610" s="349"/>
      <c r="V610" s="349"/>
      <c r="W610" s="349"/>
      <c r="X610" s="349"/>
      <c r="Y610" s="349"/>
    </row>
    <row r="611" ht="15.75" customHeight="1">
      <c r="A611" s="349"/>
      <c r="B611" s="349"/>
      <c r="C611" s="349"/>
      <c r="D611" s="349"/>
      <c r="E611" s="349"/>
      <c r="F611" s="349"/>
      <c r="G611" s="349"/>
      <c r="H611" s="349"/>
      <c r="I611" s="349"/>
      <c r="J611" s="349"/>
      <c r="K611" s="349"/>
      <c r="L611" s="349"/>
      <c r="M611" s="349"/>
      <c r="N611" s="349"/>
      <c r="O611" s="349"/>
      <c r="P611" s="349"/>
      <c r="Q611" s="349"/>
      <c r="R611" s="349"/>
      <c r="S611" s="349"/>
      <c r="T611" s="349"/>
      <c r="U611" s="349"/>
      <c r="V611" s="349"/>
      <c r="W611" s="349"/>
      <c r="X611" s="349"/>
      <c r="Y611" s="349"/>
    </row>
    <row r="612" ht="15.75" customHeight="1">
      <c r="A612" s="349"/>
      <c r="B612" s="349"/>
      <c r="C612" s="349"/>
      <c r="D612" s="349"/>
      <c r="E612" s="349"/>
      <c r="F612" s="349"/>
      <c r="G612" s="349"/>
      <c r="H612" s="349"/>
      <c r="I612" s="349"/>
      <c r="J612" s="349"/>
      <c r="K612" s="349"/>
      <c r="L612" s="349"/>
      <c r="M612" s="349"/>
      <c r="N612" s="349"/>
      <c r="O612" s="349"/>
      <c r="P612" s="349"/>
      <c r="Q612" s="349"/>
      <c r="R612" s="349"/>
      <c r="S612" s="349"/>
      <c r="T612" s="349"/>
      <c r="U612" s="349"/>
      <c r="V612" s="349"/>
      <c r="W612" s="349"/>
      <c r="X612" s="349"/>
      <c r="Y612" s="349"/>
    </row>
    <row r="613" ht="15.75" customHeight="1">
      <c r="A613" s="349"/>
      <c r="B613" s="349"/>
      <c r="C613" s="349"/>
      <c r="D613" s="349"/>
      <c r="E613" s="349"/>
      <c r="F613" s="349"/>
      <c r="G613" s="349"/>
      <c r="H613" s="349"/>
      <c r="I613" s="349"/>
      <c r="J613" s="349"/>
      <c r="K613" s="349"/>
      <c r="L613" s="349"/>
      <c r="M613" s="349"/>
      <c r="N613" s="349"/>
      <c r="O613" s="349"/>
      <c r="P613" s="349"/>
      <c r="Q613" s="349"/>
      <c r="R613" s="349"/>
      <c r="S613" s="349"/>
      <c r="T613" s="349"/>
      <c r="U613" s="349"/>
      <c r="V613" s="349"/>
      <c r="W613" s="349"/>
      <c r="X613" s="349"/>
      <c r="Y613" s="349"/>
    </row>
    <row r="614" ht="15.75" customHeight="1">
      <c r="A614" s="349"/>
      <c r="B614" s="349"/>
      <c r="C614" s="349"/>
      <c r="D614" s="349"/>
      <c r="E614" s="349"/>
      <c r="F614" s="349"/>
      <c r="G614" s="349"/>
      <c r="H614" s="349"/>
      <c r="I614" s="349"/>
      <c r="J614" s="349"/>
      <c r="K614" s="349"/>
      <c r="L614" s="349"/>
      <c r="M614" s="349"/>
      <c r="N614" s="349"/>
      <c r="O614" s="349"/>
      <c r="P614" s="349"/>
      <c r="Q614" s="349"/>
      <c r="R614" s="349"/>
      <c r="S614" s="349"/>
      <c r="T614" s="349"/>
      <c r="U614" s="349"/>
      <c r="V614" s="349"/>
      <c r="W614" s="349"/>
      <c r="X614" s="349"/>
      <c r="Y614" s="349"/>
    </row>
    <row r="615" ht="15.75" customHeight="1">
      <c r="A615" s="349"/>
      <c r="B615" s="349"/>
      <c r="C615" s="349"/>
      <c r="D615" s="349"/>
      <c r="E615" s="349"/>
      <c r="F615" s="349"/>
      <c r="G615" s="349"/>
      <c r="H615" s="349"/>
      <c r="I615" s="349"/>
      <c r="J615" s="349"/>
      <c r="K615" s="349"/>
      <c r="L615" s="349"/>
      <c r="M615" s="349"/>
      <c r="N615" s="349"/>
      <c r="O615" s="349"/>
      <c r="P615" s="349"/>
      <c r="Q615" s="349"/>
      <c r="R615" s="349"/>
      <c r="S615" s="349"/>
      <c r="T615" s="349"/>
      <c r="U615" s="349"/>
      <c r="V615" s="349"/>
      <c r="W615" s="349"/>
      <c r="X615" s="349"/>
      <c r="Y615" s="349"/>
    </row>
    <row r="616" ht="15.75" customHeight="1">
      <c r="A616" s="349"/>
      <c r="B616" s="349"/>
      <c r="C616" s="349"/>
      <c r="D616" s="349"/>
      <c r="E616" s="349"/>
      <c r="F616" s="349"/>
      <c r="G616" s="349"/>
      <c r="H616" s="349"/>
      <c r="I616" s="349"/>
      <c r="J616" s="349"/>
      <c r="K616" s="349"/>
      <c r="L616" s="349"/>
      <c r="M616" s="349"/>
      <c r="N616" s="349"/>
      <c r="O616" s="349"/>
      <c r="P616" s="349"/>
      <c r="Q616" s="349"/>
      <c r="R616" s="349"/>
      <c r="S616" s="349"/>
      <c r="T616" s="349"/>
      <c r="U616" s="349"/>
      <c r="V616" s="349"/>
      <c r="W616" s="349"/>
      <c r="X616" s="349"/>
      <c r="Y616" s="349"/>
    </row>
    <row r="617" ht="15.75" customHeight="1">
      <c r="A617" s="349"/>
      <c r="B617" s="349"/>
      <c r="C617" s="349"/>
      <c r="D617" s="349"/>
      <c r="E617" s="349"/>
      <c r="F617" s="349"/>
      <c r="G617" s="349"/>
      <c r="H617" s="349"/>
      <c r="I617" s="349"/>
      <c r="J617" s="349"/>
      <c r="K617" s="349"/>
      <c r="L617" s="349"/>
      <c r="M617" s="349"/>
      <c r="N617" s="349"/>
      <c r="O617" s="349"/>
      <c r="P617" s="349"/>
      <c r="Q617" s="349"/>
      <c r="R617" s="349"/>
      <c r="S617" s="349"/>
      <c r="T617" s="349"/>
      <c r="U617" s="349"/>
      <c r="V617" s="349"/>
      <c r="W617" s="349"/>
      <c r="X617" s="349"/>
      <c r="Y617" s="349"/>
    </row>
    <row r="618" ht="15.75" customHeight="1">
      <c r="A618" s="349"/>
      <c r="B618" s="349"/>
      <c r="C618" s="349"/>
      <c r="D618" s="349"/>
      <c r="E618" s="349"/>
      <c r="F618" s="349"/>
      <c r="G618" s="349"/>
      <c r="H618" s="349"/>
      <c r="I618" s="349"/>
      <c r="J618" s="349"/>
      <c r="K618" s="349"/>
      <c r="L618" s="349"/>
      <c r="M618" s="349"/>
      <c r="N618" s="349"/>
      <c r="O618" s="349"/>
      <c r="P618" s="349"/>
      <c r="Q618" s="349"/>
      <c r="R618" s="349"/>
      <c r="S618" s="349"/>
      <c r="T618" s="349"/>
      <c r="U618" s="349"/>
      <c r="V618" s="349"/>
      <c r="W618" s="349"/>
      <c r="X618" s="349"/>
      <c r="Y618" s="349"/>
    </row>
    <row r="619" ht="15.75" customHeight="1">
      <c r="A619" s="349"/>
      <c r="B619" s="349"/>
      <c r="C619" s="349"/>
      <c r="D619" s="349"/>
      <c r="E619" s="349"/>
      <c r="F619" s="349"/>
      <c r="G619" s="349"/>
      <c r="H619" s="349"/>
      <c r="I619" s="349"/>
      <c r="J619" s="349"/>
      <c r="K619" s="349"/>
      <c r="L619" s="349"/>
      <c r="M619" s="349"/>
      <c r="N619" s="349"/>
      <c r="O619" s="349"/>
      <c r="P619" s="349"/>
      <c r="Q619" s="349"/>
      <c r="R619" s="349"/>
      <c r="S619" s="349"/>
      <c r="T619" s="349"/>
      <c r="U619" s="349"/>
      <c r="V619" s="349"/>
      <c r="W619" s="349"/>
      <c r="X619" s="349"/>
      <c r="Y619" s="349"/>
    </row>
    <row r="620" ht="15.75" customHeight="1">
      <c r="A620" s="349"/>
      <c r="B620" s="349"/>
      <c r="C620" s="349"/>
      <c r="D620" s="349"/>
      <c r="E620" s="349"/>
      <c r="F620" s="349"/>
      <c r="G620" s="349"/>
      <c r="H620" s="349"/>
      <c r="I620" s="349"/>
      <c r="J620" s="349"/>
      <c r="K620" s="349"/>
      <c r="L620" s="349"/>
      <c r="M620" s="349"/>
      <c r="N620" s="349"/>
      <c r="O620" s="349"/>
      <c r="P620" s="349"/>
      <c r="Q620" s="349"/>
      <c r="R620" s="349"/>
      <c r="S620" s="349"/>
      <c r="T620" s="349"/>
      <c r="U620" s="349"/>
      <c r="V620" s="349"/>
      <c r="W620" s="349"/>
      <c r="X620" s="349"/>
      <c r="Y620" s="349"/>
    </row>
    <row r="621" ht="15.75" customHeight="1">
      <c r="A621" s="349"/>
      <c r="B621" s="349"/>
      <c r="C621" s="349"/>
      <c r="D621" s="349"/>
      <c r="E621" s="349"/>
      <c r="F621" s="349"/>
      <c r="G621" s="349"/>
      <c r="H621" s="349"/>
      <c r="I621" s="349"/>
      <c r="J621" s="349"/>
      <c r="K621" s="349"/>
      <c r="L621" s="349"/>
      <c r="M621" s="349"/>
      <c r="N621" s="349"/>
      <c r="O621" s="349"/>
      <c r="P621" s="349"/>
      <c r="Q621" s="349"/>
      <c r="R621" s="349"/>
      <c r="S621" s="349"/>
      <c r="T621" s="349"/>
      <c r="U621" s="349"/>
      <c r="V621" s="349"/>
      <c r="W621" s="349"/>
      <c r="X621" s="349"/>
      <c r="Y621" s="349"/>
    </row>
    <row r="622" ht="15.75" customHeight="1">
      <c r="A622" s="349"/>
      <c r="B622" s="349"/>
      <c r="C622" s="349"/>
      <c r="D622" s="349"/>
      <c r="E622" s="349"/>
      <c r="F622" s="349"/>
      <c r="G622" s="349"/>
      <c r="H622" s="349"/>
      <c r="I622" s="349"/>
      <c r="J622" s="349"/>
      <c r="K622" s="349"/>
      <c r="L622" s="349"/>
      <c r="M622" s="349"/>
      <c r="N622" s="349"/>
      <c r="O622" s="349"/>
      <c r="P622" s="349"/>
      <c r="Q622" s="349"/>
      <c r="R622" s="349"/>
      <c r="S622" s="349"/>
      <c r="T622" s="349"/>
      <c r="U622" s="349"/>
      <c r="V622" s="349"/>
      <c r="W622" s="349"/>
      <c r="X622" s="349"/>
      <c r="Y622" s="349"/>
    </row>
    <row r="623" ht="15.75" customHeight="1">
      <c r="A623" s="349"/>
      <c r="B623" s="349"/>
      <c r="C623" s="349"/>
      <c r="D623" s="349"/>
      <c r="E623" s="349"/>
      <c r="F623" s="349"/>
      <c r="G623" s="349"/>
      <c r="H623" s="349"/>
      <c r="I623" s="349"/>
      <c r="J623" s="349"/>
      <c r="K623" s="349"/>
      <c r="L623" s="349"/>
      <c r="M623" s="349"/>
      <c r="N623" s="349"/>
      <c r="O623" s="349"/>
      <c r="P623" s="349"/>
      <c r="Q623" s="349"/>
      <c r="R623" s="349"/>
      <c r="S623" s="349"/>
      <c r="T623" s="349"/>
      <c r="U623" s="349"/>
      <c r="V623" s="349"/>
      <c r="W623" s="349"/>
      <c r="X623" s="349"/>
      <c r="Y623" s="349"/>
    </row>
    <row r="624" ht="15.75" customHeight="1">
      <c r="A624" s="349"/>
      <c r="B624" s="349"/>
      <c r="C624" s="349"/>
      <c r="D624" s="349"/>
      <c r="E624" s="349"/>
      <c r="F624" s="349"/>
      <c r="G624" s="349"/>
      <c r="H624" s="349"/>
      <c r="I624" s="349"/>
      <c r="J624" s="349"/>
      <c r="K624" s="349"/>
      <c r="L624" s="349"/>
      <c r="M624" s="349"/>
      <c r="N624" s="349"/>
      <c r="O624" s="349"/>
      <c r="P624" s="349"/>
      <c r="Q624" s="349"/>
      <c r="R624" s="349"/>
      <c r="S624" s="349"/>
      <c r="T624" s="349"/>
      <c r="U624" s="349"/>
      <c r="V624" s="349"/>
      <c r="W624" s="349"/>
      <c r="X624" s="349"/>
      <c r="Y624" s="349"/>
    </row>
    <row r="625" ht="15.75" customHeight="1">
      <c r="A625" s="349"/>
      <c r="B625" s="349"/>
      <c r="C625" s="349"/>
      <c r="D625" s="349"/>
      <c r="E625" s="349"/>
      <c r="F625" s="349"/>
      <c r="G625" s="349"/>
      <c r="H625" s="349"/>
      <c r="I625" s="349"/>
      <c r="J625" s="349"/>
      <c r="K625" s="349"/>
      <c r="L625" s="349"/>
      <c r="M625" s="349"/>
      <c r="N625" s="349"/>
      <c r="O625" s="349"/>
      <c r="P625" s="349"/>
      <c r="Q625" s="349"/>
      <c r="R625" s="349"/>
      <c r="S625" s="349"/>
      <c r="T625" s="349"/>
      <c r="U625" s="349"/>
      <c r="V625" s="349"/>
      <c r="W625" s="349"/>
      <c r="X625" s="349"/>
      <c r="Y625" s="349"/>
    </row>
    <row r="626" ht="15.75" customHeight="1">
      <c r="A626" s="349"/>
      <c r="B626" s="349"/>
      <c r="C626" s="349"/>
      <c r="D626" s="349"/>
      <c r="E626" s="349"/>
      <c r="F626" s="349"/>
      <c r="G626" s="349"/>
      <c r="H626" s="349"/>
      <c r="I626" s="349"/>
      <c r="J626" s="349"/>
      <c r="K626" s="349"/>
      <c r="L626" s="349"/>
      <c r="M626" s="349"/>
      <c r="N626" s="349"/>
      <c r="O626" s="349"/>
      <c r="P626" s="349"/>
      <c r="Q626" s="349"/>
      <c r="R626" s="349"/>
      <c r="S626" s="349"/>
      <c r="T626" s="349"/>
      <c r="U626" s="349"/>
      <c r="V626" s="349"/>
      <c r="W626" s="349"/>
      <c r="X626" s="349"/>
      <c r="Y626" s="349"/>
    </row>
    <row r="627" ht="15.75" customHeight="1">
      <c r="A627" s="349"/>
      <c r="B627" s="349"/>
      <c r="C627" s="349"/>
      <c r="D627" s="349"/>
      <c r="E627" s="349"/>
      <c r="F627" s="349"/>
      <c r="G627" s="349"/>
      <c r="H627" s="349"/>
      <c r="I627" s="349"/>
      <c r="J627" s="349"/>
      <c r="K627" s="349"/>
      <c r="L627" s="349"/>
      <c r="M627" s="349"/>
      <c r="N627" s="349"/>
      <c r="O627" s="349"/>
      <c r="P627" s="349"/>
      <c r="Q627" s="349"/>
      <c r="R627" s="349"/>
      <c r="S627" s="349"/>
      <c r="T627" s="349"/>
      <c r="U627" s="349"/>
      <c r="V627" s="349"/>
      <c r="W627" s="349"/>
      <c r="X627" s="349"/>
      <c r="Y627" s="349"/>
    </row>
    <row r="628" ht="15.75" customHeight="1">
      <c r="A628" s="349"/>
      <c r="B628" s="349"/>
      <c r="C628" s="349"/>
      <c r="D628" s="349"/>
      <c r="E628" s="349"/>
      <c r="F628" s="349"/>
      <c r="G628" s="349"/>
      <c r="H628" s="349"/>
      <c r="I628" s="349"/>
      <c r="J628" s="349"/>
      <c r="K628" s="349"/>
      <c r="L628" s="349"/>
      <c r="M628" s="349"/>
      <c r="N628" s="349"/>
      <c r="O628" s="349"/>
      <c r="P628" s="349"/>
      <c r="Q628" s="349"/>
      <c r="R628" s="349"/>
      <c r="S628" s="349"/>
      <c r="T628" s="349"/>
      <c r="U628" s="349"/>
      <c r="V628" s="349"/>
      <c r="W628" s="349"/>
      <c r="X628" s="349"/>
      <c r="Y628" s="349"/>
    </row>
    <row r="629" ht="15.75" customHeight="1">
      <c r="A629" s="349"/>
      <c r="B629" s="349"/>
      <c r="C629" s="349"/>
      <c r="D629" s="349"/>
      <c r="E629" s="349"/>
      <c r="F629" s="349"/>
      <c r="G629" s="349"/>
      <c r="H629" s="349"/>
      <c r="I629" s="349"/>
      <c r="J629" s="349"/>
      <c r="K629" s="349"/>
      <c r="L629" s="349"/>
      <c r="M629" s="349"/>
      <c r="N629" s="349"/>
      <c r="O629" s="349"/>
      <c r="P629" s="349"/>
      <c r="Q629" s="349"/>
      <c r="R629" s="349"/>
      <c r="S629" s="349"/>
      <c r="T629" s="349"/>
      <c r="U629" s="349"/>
      <c r="V629" s="349"/>
      <c r="W629" s="349"/>
      <c r="X629" s="349"/>
      <c r="Y629" s="349"/>
    </row>
    <row r="630" ht="15.75" customHeight="1">
      <c r="A630" s="349"/>
      <c r="B630" s="349"/>
      <c r="C630" s="349"/>
      <c r="D630" s="349"/>
      <c r="E630" s="349"/>
      <c r="F630" s="349"/>
      <c r="G630" s="349"/>
      <c r="H630" s="349"/>
      <c r="I630" s="349"/>
      <c r="J630" s="349"/>
      <c r="K630" s="349"/>
      <c r="L630" s="349"/>
      <c r="M630" s="349"/>
      <c r="N630" s="349"/>
      <c r="O630" s="349"/>
      <c r="P630" s="349"/>
      <c r="Q630" s="349"/>
      <c r="R630" s="349"/>
      <c r="S630" s="349"/>
      <c r="T630" s="349"/>
      <c r="U630" s="349"/>
      <c r="V630" s="349"/>
      <c r="W630" s="349"/>
      <c r="X630" s="349"/>
      <c r="Y630" s="349"/>
    </row>
    <row r="631" ht="15.75" customHeight="1">
      <c r="A631" s="349"/>
      <c r="B631" s="349"/>
      <c r="C631" s="349"/>
      <c r="D631" s="349"/>
      <c r="E631" s="349"/>
      <c r="F631" s="349"/>
      <c r="G631" s="349"/>
      <c r="H631" s="349"/>
      <c r="I631" s="349"/>
      <c r="J631" s="349"/>
      <c r="K631" s="349"/>
      <c r="L631" s="349"/>
      <c r="M631" s="349"/>
      <c r="N631" s="349"/>
      <c r="O631" s="349"/>
      <c r="P631" s="349"/>
      <c r="Q631" s="349"/>
      <c r="R631" s="349"/>
      <c r="S631" s="349"/>
      <c r="T631" s="349"/>
      <c r="U631" s="349"/>
      <c r="V631" s="349"/>
      <c r="W631" s="349"/>
      <c r="X631" s="349"/>
      <c r="Y631" s="349"/>
    </row>
    <row r="632" ht="15.75" customHeight="1">
      <c r="A632" s="349"/>
      <c r="B632" s="349"/>
      <c r="C632" s="349"/>
      <c r="D632" s="349"/>
      <c r="E632" s="349"/>
      <c r="F632" s="349"/>
      <c r="G632" s="349"/>
      <c r="H632" s="349"/>
      <c r="I632" s="349"/>
      <c r="J632" s="349"/>
      <c r="K632" s="349"/>
      <c r="L632" s="349"/>
      <c r="M632" s="349"/>
      <c r="N632" s="349"/>
      <c r="O632" s="349"/>
      <c r="P632" s="349"/>
      <c r="Q632" s="349"/>
      <c r="R632" s="349"/>
      <c r="S632" s="349"/>
      <c r="T632" s="349"/>
      <c r="U632" s="349"/>
      <c r="V632" s="349"/>
      <c r="W632" s="349"/>
      <c r="X632" s="349"/>
      <c r="Y632" s="349"/>
    </row>
    <row r="633" ht="15.75" customHeight="1">
      <c r="A633" s="349"/>
      <c r="B633" s="349"/>
      <c r="C633" s="349"/>
      <c r="D633" s="349"/>
      <c r="E633" s="349"/>
      <c r="F633" s="349"/>
      <c r="G633" s="349"/>
      <c r="H633" s="349"/>
      <c r="I633" s="349"/>
      <c r="J633" s="349"/>
      <c r="K633" s="349"/>
      <c r="L633" s="349"/>
      <c r="M633" s="349"/>
      <c r="N633" s="349"/>
      <c r="O633" s="349"/>
      <c r="P633" s="349"/>
      <c r="Q633" s="349"/>
      <c r="R633" s="349"/>
      <c r="S633" s="349"/>
      <c r="T633" s="349"/>
      <c r="U633" s="349"/>
      <c r="V633" s="349"/>
      <c r="W633" s="349"/>
      <c r="X633" s="349"/>
      <c r="Y633" s="349"/>
    </row>
    <row r="634" ht="15.75" customHeight="1">
      <c r="A634" s="349"/>
      <c r="B634" s="349"/>
      <c r="C634" s="349"/>
      <c r="D634" s="349"/>
      <c r="E634" s="349"/>
      <c r="F634" s="349"/>
      <c r="G634" s="349"/>
      <c r="H634" s="349"/>
      <c r="I634" s="349"/>
      <c r="J634" s="349"/>
      <c r="K634" s="349"/>
      <c r="L634" s="349"/>
      <c r="M634" s="349"/>
      <c r="N634" s="349"/>
      <c r="O634" s="349"/>
      <c r="P634" s="349"/>
      <c r="Q634" s="349"/>
      <c r="R634" s="349"/>
      <c r="S634" s="349"/>
      <c r="T634" s="349"/>
      <c r="U634" s="349"/>
      <c r="V634" s="349"/>
      <c r="W634" s="349"/>
      <c r="X634" s="349"/>
      <c r="Y634" s="349"/>
    </row>
    <row r="635" ht="15.75" customHeight="1">
      <c r="A635" s="349"/>
      <c r="B635" s="349"/>
      <c r="C635" s="349"/>
      <c r="D635" s="349"/>
      <c r="E635" s="349"/>
      <c r="F635" s="349"/>
      <c r="G635" s="349"/>
      <c r="H635" s="349"/>
      <c r="I635" s="349"/>
      <c r="J635" s="349"/>
      <c r="K635" s="349"/>
      <c r="L635" s="349"/>
      <c r="M635" s="349"/>
      <c r="N635" s="349"/>
      <c r="O635" s="349"/>
      <c r="P635" s="349"/>
      <c r="Q635" s="349"/>
      <c r="R635" s="349"/>
      <c r="S635" s="349"/>
      <c r="T635" s="349"/>
      <c r="U635" s="349"/>
      <c r="V635" s="349"/>
      <c r="W635" s="349"/>
      <c r="X635" s="349"/>
      <c r="Y635" s="349"/>
    </row>
    <row r="636" ht="15.75" customHeight="1">
      <c r="A636" s="349"/>
      <c r="B636" s="349"/>
      <c r="C636" s="349"/>
      <c r="D636" s="349"/>
      <c r="E636" s="349"/>
      <c r="F636" s="349"/>
      <c r="G636" s="349"/>
      <c r="H636" s="349"/>
      <c r="I636" s="349"/>
      <c r="J636" s="349"/>
      <c r="K636" s="349"/>
      <c r="L636" s="349"/>
      <c r="M636" s="349"/>
      <c r="N636" s="349"/>
      <c r="O636" s="349"/>
      <c r="P636" s="349"/>
      <c r="Q636" s="349"/>
      <c r="R636" s="349"/>
      <c r="S636" s="349"/>
      <c r="T636" s="349"/>
      <c r="U636" s="349"/>
      <c r="V636" s="349"/>
      <c r="W636" s="349"/>
      <c r="X636" s="349"/>
      <c r="Y636" s="349"/>
    </row>
    <row r="637" ht="15.75" customHeight="1">
      <c r="A637" s="349"/>
      <c r="B637" s="349"/>
      <c r="C637" s="349"/>
      <c r="D637" s="349"/>
      <c r="E637" s="349"/>
      <c r="F637" s="349"/>
      <c r="G637" s="349"/>
      <c r="H637" s="349"/>
      <c r="I637" s="349"/>
      <c r="J637" s="349"/>
      <c r="K637" s="349"/>
      <c r="L637" s="349"/>
      <c r="M637" s="349"/>
      <c r="N637" s="349"/>
      <c r="O637" s="349"/>
      <c r="P637" s="349"/>
      <c r="Q637" s="349"/>
      <c r="R637" s="349"/>
      <c r="S637" s="349"/>
      <c r="T637" s="349"/>
      <c r="U637" s="349"/>
      <c r="V637" s="349"/>
      <c r="W637" s="349"/>
      <c r="X637" s="349"/>
      <c r="Y637" s="349"/>
    </row>
    <row r="638" ht="15.75" customHeight="1">
      <c r="A638" s="349"/>
      <c r="B638" s="349"/>
      <c r="C638" s="349"/>
      <c r="D638" s="349"/>
      <c r="E638" s="349"/>
      <c r="F638" s="349"/>
      <c r="G638" s="349"/>
      <c r="H638" s="349"/>
      <c r="I638" s="349"/>
      <c r="J638" s="349"/>
      <c r="K638" s="349"/>
      <c r="L638" s="349"/>
      <c r="M638" s="349"/>
      <c r="N638" s="349"/>
      <c r="O638" s="349"/>
      <c r="P638" s="349"/>
      <c r="Q638" s="349"/>
      <c r="R638" s="349"/>
      <c r="S638" s="349"/>
      <c r="T638" s="349"/>
      <c r="U638" s="349"/>
      <c r="V638" s="349"/>
      <c r="W638" s="349"/>
      <c r="X638" s="349"/>
      <c r="Y638" s="349"/>
    </row>
    <row r="639" ht="15.75" customHeight="1">
      <c r="A639" s="349"/>
      <c r="B639" s="349"/>
      <c r="C639" s="349"/>
      <c r="D639" s="349"/>
      <c r="E639" s="349"/>
      <c r="F639" s="349"/>
      <c r="G639" s="349"/>
      <c r="H639" s="349"/>
      <c r="I639" s="349"/>
      <c r="J639" s="349"/>
      <c r="K639" s="349"/>
      <c r="L639" s="349"/>
      <c r="M639" s="349"/>
      <c r="N639" s="349"/>
      <c r="O639" s="349"/>
      <c r="P639" s="349"/>
      <c r="Q639" s="349"/>
      <c r="R639" s="349"/>
      <c r="S639" s="349"/>
      <c r="T639" s="349"/>
      <c r="U639" s="349"/>
      <c r="V639" s="349"/>
      <c r="W639" s="349"/>
      <c r="X639" s="349"/>
      <c r="Y639" s="349"/>
    </row>
    <row r="640" ht="15.75" customHeight="1">
      <c r="A640" s="349"/>
      <c r="B640" s="349"/>
      <c r="C640" s="349"/>
      <c r="D640" s="349"/>
      <c r="E640" s="349"/>
      <c r="F640" s="349"/>
      <c r="G640" s="349"/>
      <c r="H640" s="349"/>
      <c r="I640" s="349"/>
      <c r="J640" s="349"/>
      <c r="K640" s="349"/>
      <c r="L640" s="349"/>
      <c r="M640" s="349"/>
      <c r="N640" s="349"/>
      <c r="O640" s="349"/>
      <c r="P640" s="349"/>
      <c r="Q640" s="349"/>
      <c r="R640" s="349"/>
      <c r="S640" s="349"/>
      <c r="T640" s="349"/>
      <c r="U640" s="349"/>
      <c r="V640" s="349"/>
      <c r="W640" s="349"/>
      <c r="X640" s="349"/>
      <c r="Y640" s="349"/>
    </row>
    <row r="641" ht="15.75" customHeight="1">
      <c r="A641" s="349"/>
      <c r="B641" s="349"/>
      <c r="C641" s="349"/>
      <c r="D641" s="349"/>
      <c r="E641" s="349"/>
      <c r="F641" s="349"/>
      <c r="G641" s="349"/>
      <c r="H641" s="349"/>
      <c r="I641" s="349"/>
      <c r="J641" s="349"/>
      <c r="K641" s="349"/>
      <c r="L641" s="349"/>
      <c r="M641" s="349"/>
      <c r="N641" s="349"/>
      <c r="O641" s="349"/>
      <c r="P641" s="349"/>
      <c r="Q641" s="349"/>
      <c r="R641" s="349"/>
      <c r="S641" s="349"/>
      <c r="T641" s="349"/>
      <c r="U641" s="349"/>
      <c r="V641" s="349"/>
      <c r="W641" s="349"/>
      <c r="X641" s="349"/>
      <c r="Y641" s="349"/>
    </row>
    <row r="642" ht="15.75" customHeight="1">
      <c r="A642" s="349"/>
      <c r="B642" s="349"/>
      <c r="C642" s="349"/>
      <c r="D642" s="349"/>
      <c r="E642" s="349"/>
      <c r="F642" s="349"/>
      <c r="G642" s="349"/>
      <c r="H642" s="349"/>
      <c r="I642" s="349"/>
      <c r="J642" s="349"/>
      <c r="K642" s="349"/>
      <c r="L642" s="349"/>
      <c r="M642" s="349"/>
      <c r="N642" s="349"/>
      <c r="O642" s="349"/>
      <c r="P642" s="349"/>
      <c r="Q642" s="349"/>
      <c r="R642" s="349"/>
      <c r="S642" s="349"/>
      <c r="T642" s="349"/>
      <c r="U642" s="349"/>
      <c r="V642" s="349"/>
      <c r="W642" s="349"/>
      <c r="X642" s="349"/>
      <c r="Y642" s="349"/>
    </row>
    <row r="643" ht="15.75" customHeight="1">
      <c r="A643" s="349"/>
      <c r="B643" s="349"/>
      <c r="C643" s="349"/>
      <c r="D643" s="349"/>
      <c r="E643" s="349"/>
      <c r="F643" s="349"/>
      <c r="G643" s="349"/>
      <c r="H643" s="349"/>
      <c r="I643" s="349"/>
      <c r="J643" s="349"/>
      <c r="K643" s="349"/>
      <c r="L643" s="349"/>
      <c r="M643" s="349"/>
      <c r="N643" s="349"/>
      <c r="O643" s="349"/>
      <c r="P643" s="349"/>
      <c r="Q643" s="349"/>
      <c r="R643" s="349"/>
      <c r="S643" s="349"/>
      <c r="T643" s="349"/>
      <c r="U643" s="349"/>
      <c r="V643" s="349"/>
      <c r="W643" s="349"/>
      <c r="X643" s="349"/>
      <c r="Y643" s="349"/>
    </row>
    <row r="644" ht="15.75" customHeight="1">
      <c r="A644" s="349"/>
      <c r="B644" s="349"/>
      <c r="C644" s="349"/>
      <c r="D644" s="349"/>
      <c r="E644" s="349"/>
      <c r="F644" s="349"/>
      <c r="G644" s="349"/>
      <c r="H644" s="349"/>
      <c r="I644" s="349"/>
      <c r="J644" s="349"/>
      <c r="K644" s="349"/>
      <c r="L644" s="349"/>
      <c r="M644" s="349"/>
      <c r="N644" s="349"/>
      <c r="O644" s="349"/>
      <c r="P644" s="349"/>
      <c r="Q644" s="349"/>
      <c r="R644" s="349"/>
      <c r="S644" s="349"/>
      <c r="T644" s="349"/>
      <c r="U644" s="349"/>
      <c r="V644" s="349"/>
      <c r="W644" s="349"/>
      <c r="X644" s="349"/>
      <c r="Y644" s="349"/>
    </row>
    <row r="645" ht="15.75" customHeight="1">
      <c r="A645" s="349"/>
      <c r="B645" s="349"/>
      <c r="C645" s="349"/>
      <c r="D645" s="349"/>
      <c r="E645" s="349"/>
      <c r="F645" s="349"/>
      <c r="G645" s="349"/>
      <c r="H645" s="349"/>
      <c r="I645" s="349"/>
      <c r="J645" s="349"/>
      <c r="K645" s="349"/>
      <c r="L645" s="349"/>
      <c r="M645" s="349"/>
      <c r="N645" s="349"/>
      <c r="O645" s="349"/>
      <c r="P645" s="349"/>
      <c r="Q645" s="349"/>
      <c r="R645" s="349"/>
      <c r="S645" s="349"/>
      <c r="T645" s="349"/>
      <c r="U645" s="349"/>
      <c r="V645" s="349"/>
      <c r="W645" s="349"/>
      <c r="X645" s="349"/>
      <c r="Y645" s="349"/>
    </row>
    <row r="646" ht="15.75" customHeight="1">
      <c r="A646" s="349"/>
      <c r="B646" s="349"/>
      <c r="C646" s="349"/>
      <c r="D646" s="349"/>
      <c r="E646" s="349"/>
      <c r="F646" s="349"/>
      <c r="G646" s="349"/>
      <c r="H646" s="349"/>
      <c r="I646" s="349"/>
      <c r="J646" s="349"/>
      <c r="K646" s="349"/>
      <c r="L646" s="349"/>
      <c r="M646" s="349"/>
      <c r="N646" s="349"/>
      <c r="O646" s="349"/>
      <c r="P646" s="349"/>
      <c r="Q646" s="349"/>
      <c r="R646" s="349"/>
      <c r="S646" s="349"/>
      <c r="T646" s="349"/>
      <c r="U646" s="349"/>
      <c r="V646" s="349"/>
      <c r="W646" s="349"/>
      <c r="X646" s="349"/>
      <c r="Y646" s="349"/>
    </row>
    <row r="647" ht="15.75" customHeight="1">
      <c r="A647" s="349"/>
      <c r="B647" s="349"/>
      <c r="C647" s="349"/>
      <c r="D647" s="349"/>
      <c r="E647" s="349"/>
      <c r="F647" s="349"/>
      <c r="G647" s="349"/>
      <c r="H647" s="349"/>
      <c r="I647" s="349"/>
      <c r="J647" s="349"/>
      <c r="K647" s="349"/>
      <c r="L647" s="349"/>
      <c r="M647" s="349"/>
      <c r="N647" s="349"/>
      <c r="O647" s="349"/>
      <c r="P647" s="349"/>
      <c r="Q647" s="349"/>
      <c r="R647" s="349"/>
      <c r="S647" s="349"/>
      <c r="T647" s="349"/>
      <c r="U647" s="349"/>
      <c r="V647" s="349"/>
      <c r="W647" s="349"/>
      <c r="X647" s="349"/>
      <c r="Y647" s="349"/>
    </row>
    <row r="648" ht="15.75" customHeight="1">
      <c r="A648" s="349"/>
      <c r="B648" s="349"/>
      <c r="C648" s="349"/>
      <c r="D648" s="349"/>
      <c r="E648" s="349"/>
      <c r="F648" s="349"/>
      <c r="G648" s="349"/>
      <c r="H648" s="349"/>
      <c r="I648" s="349"/>
      <c r="J648" s="349"/>
      <c r="K648" s="349"/>
      <c r="L648" s="349"/>
      <c r="M648" s="349"/>
      <c r="N648" s="349"/>
      <c r="O648" s="349"/>
      <c r="P648" s="349"/>
      <c r="Q648" s="349"/>
      <c r="R648" s="349"/>
      <c r="S648" s="349"/>
      <c r="T648" s="349"/>
      <c r="U648" s="349"/>
      <c r="V648" s="349"/>
      <c r="W648" s="349"/>
      <c r="X648" s="349"/>
      <c r="Y648" s="349"/>
    </row>
    <row r="649" ht="15.75" customHeight="1">
      <c r="A649" s="349"/>
      <c r="B649" s="349"/>
      <c r="C649" s="349"/>
      <c r="D649" s="349"/>
      <c r="E649" s="349"/>
      <c r="F649" s="349"/>
      <c r="G649" s="349"/>
      <c r="H649" s="349"/>
      <c r="I649" s="349"/>
      <c r="J649" s="349"/>
      <c r="K649" s="349"/>
      <c r="L649" s="349"/>
      <c r="M649" s="349"/>
      <c r="N649" s="349"/>
      <c r="O649" s="349"/>
      <c r="P649" s="349"/>
      <c r="Q649" s="349"/>
      <c r="R649" s="349"/>
      <c r="S649" s="349"/>
      <c r="T649" s="349"/>
      <c r="U649" s="349"/>
      <c r="V649" s="349"/>
      <c r="W649" s="349"/>
      <c r="X649" s="349"/>
      <c r="Y649" s="349"/>
    </row>
    <row r="650" ht="15.75" customHeight="1">
      <c r="A650" s="349"/>
      <c r="B650" s="349"/>
      <c r="C650" s="349"/>
      <c r="D650" s="349"/>
      <c r="E650" s="349"/>
      <c r="F650" s="349"/>
      <c r="G650" s="349"/>
      <c r="H650" s="349"/>
      <c r="I650" s="349"/>
      <c r="J650" s="349"/>
      <c r="K650" s="349"/>
      <c r="L650" s="349"/>
      <c r="M650" s="349"/>
      <c r="N650" s="349"/>
      <c r="O650" s="349"/>
      <c r="P650" s="349"/>
      <c r="Q650" s="349"/>
      <c r="R650" s="349"/>
      <c r="S650" s="349"/>
      <c r="T650" s="349"/>
      <c r="U650" s="349"/>
      <c r="V650" s="349"/>
      <c r="W650" s="349"/>
      <c r="X650" s="349"/>
      <c r="Y650" s="349"/>
    </row>
    <row r="651" ht="15.75" customHeight="1">
      <c r="A651" s="349"/>
      <c r="B651" s="349"/>
      <c r="C651" s="349"/>
      <c r="D651" s="349"/>
      <c r="E651" s="349"/>
      <c r="F651" s="349"/>
      <c r="G651" s="349"/>
      <c r="H651" s="349"/>
      <c r="I651" s="349"/>
      <c r="J651" s="349"/>
      <c r="K651" s="349"/>
      <c r="L651" s="349"/>
      <c r="M651" s="349"/>
      <c r="N651" s="349"/>
      <c r="O651" s="349"/>
      <c r="P651" s="349"/>
      <c r="Q651" s="349"/>
      <c r="R651" s="349"/>
      <c r="S651" s="349"/>
      <c r="T651" s="349"/>
      <c r="U651" s="349"/>
      <c r="V651" s="349"/>
      <c r="W651" s="349"/>
      <c r="X651" s="349"/>
      <c r="Y651" s="349"/>
    </row>
    <row r="652" ht="15.75" customHeight="1">
      <c r="A652" s="349"/>
      <c r="B652" s="349"/>
      <c r="C652" s="349"/>
      <c r="D652" s="349"/>
      <c r="E652" s="349"/>
      <c r="F652" s="349"/>
      <c r="G652" s="349"/>
      <c r="H652" s="349"/>
      <c r="I652" s="349"/>
      <c r="J652" s="349"/>
      <c r="K652" s="349"/>
      <c r="L652" s="349"/>
      <c r="M652" s="349"/>
      <c r="N652" s="349"/>
      <c r="O652" s="349"/>
      <c r="P652" s="349"/>
      <c r="Q652" s="349"/>
      <c r="R652" s="349"/>
      <c r="S652" s="349"/>
      <c r="T652" s="349"/>
      <c r="U652" s="349"/>
      <c r="V652" s="349"/>
      <c r="W652" s="349"/>
      <c r="X652" s="349"/>
      <c r="Y652" s="349"/>
    </row>
    <row r="653" ht="15.75" customHeight="1">
      <c r="A653" s="349"/>
      <c r="B653" s="349"/>
      <c r="C653" s="349"/>
      <c r="D653" s="349"/>
      <c r="E653" s="349"/>
      <c r="F653" s="349"/>
      <c r="G653" s="349"/>
      <c r="H653" s="349"/>
      <c r="I653" s="349"/>
      <c r="J653" s="349"/>
      <c r="K653" s="349"/>
      <c r="L653" s="349"/>
      <c r="M653" s="349"/>
      <c r="N653" s="349"/>
      <c r="O653" s="349"/>
      <c r="P653" s="349"/>
      <c r="Q653" s="349"/>
      <c r="R653" s="349"/>
      <c r="S653" s="349"/>
      <c r="T653" s="349"/>
      <c r="U653" s="349"/>
      <c r="V653" s="349"/>
      <c r="W653" s="349"/>
      <c r="X653" s="349"/>
      <c r="Y653" s="349"/>
    </row>
    <row r="654" ht="15.75" customHeight="1">
      <c r="A654" s="349"/>
      <c r="B654" s="349"/>
      <c r="C654" s="349"/>
      <c r="D654" s="349"/>
      <c r="E654" s="349"/>
      <c r="F654" s="349"/>
      <c r="G654" s="349"/>
      <c r="H654" s="349"/>
      <c r="I654" s="349"/>
      <c r="J654" s="349"/>
      <c r="K654" s="349"/>
      <c r="L654" s="349"/>
      <c r="M654" s="349"/>
      <c r="N654" s="349"/>
      <c r="O654" s="349"/>
      <c r="P654" s="349"/>
      <c r="Q654" s="349"/>
      <c r="R654" s="349"/>
      <c r="S654" s="349"/>
      <c r="T654" s="349"/>
      <c r="U654" s="349"/>
      <c r="V654" s="349"/>
      <c r="W654" s="349"/>
      <c r="X654" s="349"/>
      <c r="Y654" s="349"/>
    </row>
    <row r="655" ht="15.75" customHeight="1">
      <c r="A655" s="349"/>
      <c r="B655" s="349"/>
      <c r="C655" s="349"/>
      <c r="D655" s="349"/>
      <c r="E655" s="349"/>
      <c r="F655" s="349"/>
      <c r="G655" s="349"/>
      <c r="H655" s="349"/>
      <c r="I655" s="349"/>
      <c r="J655" s="349"/>
      <c r="K655" s="349"/>
      <c r="L655" s="349"/>
      <c r="M655" s="349"/>
      <c r="N655" s="349"/>
      <c r="O655" s="349"/>
      <c r="P655" s="349"/>
      <c r="Q655" s="349"/>
      <c r="R655" s="349"/>
      <c r="S655" s="349"/>
      <c r="T655" s="349"/>
      <c r="U655" s="349"/>
      <c r="V655" s="349"/>
      <c r="W655" s="349"/>
      <c r="X655" s="349"/>
      <c r="Y655" s="349"/>
    </row>
    <row r="656" ht="15.75" customHeight="1">
      <c r="A656" s="349"/>
      <c r="B656" s="349"/>
      <c r="C656" s="349"/>
      <c r="D656" s="349"/>
      <c r="E656" s="349"/>
      <c r="F656" s="349"/>
      <c r="G656" s="349"/>
      <c r="H656" s="349"/>
      <c r="I656" s="349"/>
      <c r="J656" s="349"/>
      <c r="K656" s="349"/>
      <c r="L656" s="349"/>
      <c r="M656" s="349"/>
      <c r="N656" s="349"/>
      <c r="O656" s="349"/>
      <c r="P656" s="349"/>
      <c r="Q656" s="349"/>
      <c r="R656" s="349"/>
      <c r="S656" s="349"/>
      <c r="T656" s="349"/>
      <c r="U656" s="349"/>
      <c r="V656" s="349"/>
      <c r="W656" s="349"/>
      <c r="X656" s="349"/>
      <c r="Y656" s="349"/>
    </row>
    <row r="657" ht="15.75" customHeight="1">
      <c r="A657" s="349"/>
      <c r="B657" s="349"/>
      <c r="C657" s="349"/>
      <c r="D657" s="349"/>
      <c r="E657" s="349"/>
      <c r="F657" s="349"/>
      <c r="G657" s="349"/>
      <c r="H657" s="349"/>
      <c r="I657" s="349"/>
      <c r="J657" s="349"/>
      <c r="K657" s="349"/>
      <c r="L657" s="349"/>
      <c r="M657" s="349"/>
      <c r="N657" s="349"/>
      <c r="O657" s="349"/>
      <c r="P657" s="349"/>
      <c r="Q657" s="349"/>
      <c r="R657" s="349"/>
      <c r="S657" s="349"/>
      <c r="T657" s="349"/>
      <c r="U657" s="349"/>
      <c r="V657" s="349"/>
      <c r="W657" s="349"/>
      <c r="X657" s="349"/>
      <c r="Y657" s="349"/>
    </row>
    <row r="658" ht="15.75" customHeight="1">
      <c r="A658" s="349"/>
      <c r="B658" s="349"/>
      <c r="C658" s="349"/>
      <c r="D658" s="349"/>
      <c r="E658" s="349"/>
      <c r="F658" s="349"/>
      <c r="G658" s="349"/>
      <c r="H658" s="349"/>
      <c r="I658" s="349"/>
      <c r="J658" s="349"/>
      <c r="K658" s="349"/>
      <c r="L658" s="349"/>
      <c r="M658" s="349"/>
      <c r="N658" s="349"/>
      <c r="O658" s="349"/>
      <c r="P658" s="349"/>
      <c r="Q658" s="349"/>
      <c r="R658" s="349"/>
      <c r="S658" s="349"/>
      <c r="T658" s="349"/>
      <c r="U658" s="349"/>
      <c r="V658" s="349"/>
      <c r="W658" s="349"/>
      <c r="X658" s="349"/>
      <c r="Y658" s="349"/>
    </row>
    <row r="659" ht="15.75" customHeight="1">
      <c r="A659" s="349"/>
      <c r="B659" s="349"/>
      <c r="C659" s="349"/>
      <c r="D659" s="349"/>
      <c r="E659" s="349"/>
      <c r="F659" s="349"/>
      <c r="G659" s="349"/>
      <c r="H659" s="349"/>
      <c r="I659" s="349"/>
      <c r="J659" s="349"/>
      <c r="K659" s="349"/>
      <c r="L659" s="349"/>
      <c r="M659" s="349"/>
      <c r="N659" s="349"/>
      <c r="O659" s="349"/>
      <c r="P659" s="349"/>
      <c r="Q659" s="349"/>
      <c r="R659" s="349"/>
      <c r="S659" s="349"/>
      <c r="T659" s="349"/>
      <c r="U659" s="349"/>
      <c r="V659" s="349"/>
      <c r="W659" s="349"/>
      <c r="X659" s="349"/>
      <c r="Y659" s="349"/>
    </row>
    <row r="660" ht="15.75" customHeight="1">
      <c r="A660" s="349"/>
      <c r="B660" s="349"/>
      <c r="C660" s="349"/>
      <c r="D660" s="349"/>
      <c r="E660" s="349"/>
      <c r="F660" s="349"/>
      <c r="G660" s="349"/>
      <c r="H660" s="349"/>
      <c r="I660" s="349"/>
      <c r="J660" s="349"/>
      <c r="K660" s="349"/>
      <c r="L660" s="349"/>
      <c r="M660" s="349"/>
      <c r="N660" s="349"/>
      <c r="O660" s="349"/>
      <c r="P660" s="349"/>
      <c r="Q660" s="349"/>
      <c r="R660" s="349"/>
      <c r="S660" s="349"/>
      <c r="T660" s="349"/>
      <c r="U660" s="349"/>
      <c r="V660" s="349"/>
      <c r="W660" s="349"/>
      <c r="X660" s="349"/>
      <c r="Y660" s="349"/>
    </row>
    <row r="661" ht="15.75" customHeight="1">
      <c r="A661" s="349"/>
      <c r="B661" s="349"/>
      <c r="C661" s="349"/>
      <c r="D661" s="349"/>
      <c r="E661" s="349"/>
      <c r="F661" s="349"/>
      <c r="G661" s="349"/>
      <c r="H661" s="349"/>
      <c r="I661" s="349"/>
      <c r="J661" s="349"/>
      <c r="K661" s="349"/>
      <c r="L661" s="349"/>
      <c r="M661" s="349"/>
      <c r="N661" s="349"/>
      <c r="O661" s="349"/>
      <c r="P661" s="349"/>
      <c r="Q661" s="349"/>
      <c r="R661" s="349"/>
      <c r="S661" s="349"/>
      <c r="T661" s="349"/>
      <c r="U661" s="349"/>
      <c r="V661" s="349"/>
      <c r="W661" s="349"/>
      <c r="X661" s="349"/>
      <c r="Y661" s="349"/>
    </row>
    <row r="662" ht="15.75" customHeight="1">
      <c r="A662" s="349"/>
      <c r="B662" s="349"/>
      <c r="C662" s="349"/>
      <c r="D662" s="349"/>
      <c r="E662" s="349"/>
      <c r="F662" s="349"/>
      <c r="G662" s="349"/>
      <c r="H662" s="349"/>
      <c r="I662" s="349"/>
      <c r="J662" s="349"/>
      <c r="K662" s="349"/>
      <c r="L662" s="349"/>
      <c r="M662" s="349"/>
      <c r="N662" s="349"/>
      <c r="O662" s="349"/>
      <c r="P662" s="349"/>
      <c r="Q662" s="349"/>
      <c r="R662" s="349"/>
      <c r="S662" s="349"/>
      <c r="T662" s="349"/>
      <c r="U662" s="349"/>
      <c r="V662" s="349"/>
      <c r="W662" s="349"/>
      <c r="X662" s="349"/>
      <c r="Y662" s="349"/>
    </row>
    <row r="663" ht="15.75" customHeight="1">
      <c r="A663" s="349"/>
      <c r="B663" s="349"/>
      <c r="C663" s="349"/>
      <c r="D663" s="349"/>
      <c r="E663" s="349"/>
      <c r="F663" s="349"/>
      <c r="G663" s="349"/>
      <c r="H663" s="349"/>
      <c r="I663" s="349"/>
      <c r="J663" s="349"/>
      <c r="K663" s="349"/>
      <c r="L663" s="349"/>
      <c r="M663" s="349"/>
      <c r="N663" s="349"/>
      <c r="O663" s="349"/>
      <c r="P663" s="349"/>
      <c r="Q663" s="349"/>
      <c r="R663" s="349"/>
      <c r="S663" s="349"/>
      <c r="T663" s="349"/>
      <c r="U663" s="349"/>
      <c r="V663" s="349"/>
      <c r="W663" s="349"/>
      <c r="X663" s="349"/>
      <c r="Y663" s="349"/>
    </row>
    <row r="664" ht="15.75" customHeight="1">
      <c r="A664" s="349"/>
      <c r="B664" s="349"/>
      <c r="C664" s="349"/>
      <c r="D664" s="349"/>
      <c r="E664" s="349"/>
      <c r="F664" s="349"/>
      <c r="G664" s="349"/>
      <c r="H664" s="349"/>
      <c r="I664" s="349"/>
      <c r="J664" s="349"/>
      <c r="K664" s="349"/>
      <c r="L664" s="349"/>
      <c r="M664" s="349"/>
      <c r="N664" s="349"/>
      <c r="O664" s="349"/>
      <c r="P664" s="349"/>
      <c r="Q664" s="349"/>
      <c r="R664" s="349"/>
      <c r="S664" s="349"/>
      <c r="T664" s="349"/>
      <c r="U664" s="349"/>
      <c r="V664" s="349"/>
      <c r="W664" s="349"/>
      <c r="X664" s="349"/>
      <c r="Y664" s="349"/>
    </row>
    <row r="665" ht="15.75" customHeight="1">
      <c r="A665" s="349"/>
      <c r="B665" s="349"/>
      <c r="C665" s="349"/>
      <c r="D665" s="349"/>
      <c r="E665" s="349"/>
      <c r="F665" s="349"/>
      <c r="G665" s="349"/>
      <c r="H665" s="349"/>
      <c r="I665" s="349"/>
      <c r="J665" s="349"/>
      <c r="K665" s="349"/>
      <c r="L665" s="349"/>
      <c r="M665" s="349"/>
      <c r="N665" s="349"/>
      <c r="O665" s="349"/>
      <c r="P665" s="349"/>
      <c r="Q665" s="349"/>
      <c r="R665" s="349"/>
      <c r="S665" s="349"/>
      <c r="T665" s="349"/>
      <c r="U665" s="349"/>
      <c r="V665" s="349"/>
      <c r="W665" s="349"/>
      <c r="X665" s="349"/>
      <c r="Y665" s="349"/>
    </row>
    <row r="666" ht="15.75" customHeight="1">
      <c r="A666" s="349"/>
      <c r="B666" s="349"/>
      <c r="C666" s="349"/>
      <c r="D666" s="349"/>
      <c r="E666" s="349"/>
      <c r="F666" s="349"/>
      <c r="G666" s="349"/>
      <c r="H666" s="349"/>
      <c r="I666" s="349"/>
      <c r="J666" s="349"/>
      <c r="K666" s="349"/>
      <c r="L666" s="349"/>
      <c r="M666" s="349"/>
      <c r="N666" s="349"/>
      <c r="O666" s="349"/>
      <c r="P666" s="349"/>
      <c r="Q666" s="349"/>
      <c r="R666" s="349"/>
      <c r="S666" s="349"/>
      <c r="T666" s="349"/>
      <c r="U666" s="349"/>
      <c r="V666" s="349"/>
      <c r="W666" s="349"/>
      <c r="X666" s="349"/>
      <c r="Y666" s="349"/>
    </row>
    <row r="667" ht="15.75" customHeight="1">
      <c r="A667" s="349"/>
      <c r="B667" s="349"/>
      <c r="C667" s="349"/>
      <c r="D667" s="349"/>
      <c r="E667" s="349"/>
      <c r="F667" s="349"/>
      <c r="G667" s="349"/>
      <c r="H667" s="349"/>
      <c r="I667" s="349"/>
      <c r="J667" s="349"/>
      <c r="K667" s="349"/>
      <c r="L667" s="349"/>
      <c r="M667" s="349"/>
      <c r="N667" s="349"/>
      <c r="O667" s="349"/>
      <c r="P667" s="349"/>
      <c r="Q667" s="349"/>
      <c r="R667" s="349"/>
      <c r="S667" s="349"/>
      <c r="T667" s="349"/>
      <c r="U667" s="349"/>
      <c r="V667" s="349"/>
      <c r="W667" s="349"/>
      <c r="X667" s="349"/>
      <c r="Y667" s="349"/>
    </row>
    <row r="668" ht="15.75" customHeight="1">
      <c r="A668" s="349"/>
      <c r="B668" s="349"/>
      <c r="C668" s="349"/>
      <c r="D668" s="349"/>
      <c r="E668" s="349"/>
      <c r="F668" s="349"/>
      <c r="G668" s="349"/>
      <c r="H668" s="349"/>
      <c r="I668" s="349"/>
      <c r="J668" s="349"/>
      <c r="K668" s="349"/>
      <c r="L668" s="349"/>
      <c r="M668" s="349"/>
      <c r="N668" s="349"/>
      <c r="O668" s="349"/>
      <c r="P668" s="349"/>
      <c r="Q668" s="349"/>
      <c r="R668" s="349"/>
      <c r="S668" s="349"/>
      <c r="T668" s="349"/>
      <c r="U668" s="349"/>
      <c r="V668" s="349"/>
      <c r="W668" s="349"/>
      <c r="X668" s="349"/>
      <c r="Y668" s="349"/>
    </row>
    <row r="669" ht="15.75" customHeight="1">
      <c r="A669" s="349"/>
      <c r="B669" s="349"/>
      <c r="C669" s="349"/>
      <c r="D669" s="349"/>
      <c r="E669" s="349"/>
      <c r="F669" s="349"/>
      <c r="G669" s="349"/>
      <c r="H669" s="349"/>
      <c r="I669" s="349"/>
      <c r="J669" s="349"/>
      <c r="K669" s="349"/>
      <c r="L669" s="349"/>
      <c r="M669" s="349"/>
      <c r="N669" s="349"/>
      <c r="O669" s="349"/>
      <c r="P669" s="349"/>
      <c r="Q669" s="349"/>
      <c r="R669" s="349"/>
      <c r="S669" s="349"/>
      <c r="T669" s="349"/>
      <c r="U669" s="349"/>
      <c r="V669" s="349"/>
      <c r="W669" s="349"/>
      <c r="X669" s="349"/>
      <c r="Y669" s="349"/>
    </row>
    <row r="670" ht="15.75" customHeight="1">
      <c r="A670" s="349"/>
      <c r="B670" s="349"/>
      <c r="C670" s="349"/>
      <c r="D670" s="349"/>
      <c r="E670" s="349"/>
      <c r="F670" s="349"/>
      <c r="G670" s="349"/>
      <c r="H670" s="349"/>
      <c r="I670" s="349"/>
      <c r="J670" s="349"/>
      <c r="K670" s="349"/>
      <c r="L670" s="349"/>
      <c r="M670" s="349"/>
      <c r="N670" s="349"/>
      <c r="O670" s="349"/>
      <c r="P670" s="349"/>
      <c r="Q670" s="349"/>
      <c r="R670" s="349"/>
      <c r="S670" s="349"/>
      <c r="T670" s="349"/>
      <c r="U670" s="349"/>
      <c r="V670" s="349"/>
      <c r="W670" s="349"/>
      <c r="X670" s="349"/>
      <c r="Y670" s="349"/>
    </row>
    <row r="671" ht="15.75" customHeight="1">
      <c r="A671" s="349"/>
      <c r="B671" s="349"/>
      <c r="C671" s="349"/>
      <c r="D671" s="349"/>
      <c r="E671" s="349"/>
      <c r="F671" s="349"/>
      <c r="G671" s="349"/>
      <c r="H671" s="349"/>
      <c r="I671" s="349"/>
      <c r="J671" s="349"/>
      <c r="K671" s="349"/>
      <c r="L671" s="349"/>
      <c r="M671" s="349"/>
      <c r="N671" s="349"/>
      <c r="O671" s="349"/>
      <c r="P671" s="349"/>
      <c r="Q671" s="349"/>
      <c r="R671" s="349"/>
      <c r="S671" s="349"/>
      <c r="T671" s="349"/>
      <c r="U671" s="349"/>
      <c r="V671" s="349"/>
      <c r="W671" s="349"/>
      <c r="X671" s="349"/>
      <c r="Y671" s="349"/>
    </row>
    <row r="672" ht="15.75" customHeight="1">
      <c r="A672" s="349"/>
      <c r="B672" s="349"/>
      <c r="C672" s="349"/>
      <c r="D672" s="349"/>
      <c r="E672" s="349"/>
      <c r="F672" s="349"/>
      <c r="G672" s="349"/>
      <c r="H672" s="349"/>
      <c r="I672" s="349"/>
      <c r="J672" s="349"/>
      <c r="K672" s="349"/>
      <c r="L672" s="349"/>
      <c r="M672" s="349"/>
      <c r="N672" s="349"/>
      <c r="O672" s="349"/>
      <c r="P672" s="349"/>
      <c r="Q672" s="349"/>
      <c r="R672" s="349"/>
      <c r="S672" s="349"/>
      <c r="T672" s="349"/>
      <c r="U672" s="349"/>
      <c r="V672" s="349"/>
      <c r="W672" s="349"/>
      <c r="X672" s="349"/>
      <c r="Y672" s="349"/>
    </row>
    <row r="673" ht="15.75" customHeight="1">
      <c r="A673" s="349"/>
      <c r="B673" s="349"/>
      <c r="C673" s="349"/>
      <c r="D673" s="349"/>
      <c r="E673" s="349"/>
      <c r="F673" s="349"/>
      <c r="G673" s="349"/>
      <c r="H673" s="349"/>
      <c r="I673" s="349"/>
      <c r="J673" s="349"/>
      <c r="K673" s="349"/>
      <c r="L673" s="349"/>
      <c r="M673" s="349"/>
      <c r="N673" s="349"/>
      <c r="O673" s="349"/>
      <c r="P673" s="349"/>
      <c r="Q673" s="349"/>
      <c r="R673" s="349"/>
      <c r="S673" s="349"/>
      <c r="T673" s="349"/>
      <c r="U673" s="349"/>
      <c r="V673" s="349"/>
      <c r="W673" s="349"/>
      <c r="X673" s="349"/>
      <c r="Y673" s="349"/>
    </row>
    <row r="674" ht="15.75" customHeight="1">
      <c r="A674" s="349"/>
      <c r="B674" s="349"/>
      <c r="C674" s="349"/>
      <c r="D674" s="349"/>
      <c r="E674" s="349"/>
      <c r="F674" s="349"/>
      <c r="G674" s="349"/>
      <c r="H674" s="349"/>
      <c r="I674" s="349"/>
      <c r="J674" s="349"/>
      <c r="K674" s="349"/>
      <c r="L674" s="349"/>
      <c r="M674" s="349"/>
      <c r="N674" s="349"/>
      <c r="O674" s="349"/>
      <c r="P674" s="349"/>
      <c r="Q674" s="349"/>
      <c r="R674" s="349"/>
      <c r="S674" s="349"/>
      <c r="T674" s="349"/>
      <c r="U674" s="349"/>
      <c r="V674" s="349"/>
      <c r="W674" s="349"/>
      <c r="X674" s="349"/>
      <c r="Y674" s="349"/>
    </row>
    <row r="675" ht="15.75" customHeight="1">
      <c r="A675" s="349"/>
      <c r="B675" s="349"/>
      <c r="C675" s="349"/>
      <c r="D675" s="349"/>
      <c r="E675" s="349"/>
      <c r="F675" s="349"/>
      <c r="G675" s="349"/>
      <c r="H675" s="349"/>
      <c r="I675" s="349"/>
      <c r="J675" s="349"/>
      <c r="K675" s="349"/>
      <c r="L675" s="349"/>
      <c r="M675" s="349"/>
      <c r="N675" s="349"/>
      <c r="O675" s="349"/>
      <c r="P675" s="349"/>
      <c r="Q675" s="349"/>
      <c r="R675" s="349"/>
      <c r="S675" s="349"/>
      <c r="T675" s="349"/>
      <c r="U675" s="349"/>
      <c r="V675" s="349"/>
      <c r="W675" s="349"/>
      <c r="X675" s="349"/>
      <c r="Y675" s="349"/>
    </row>
    <row r="676" ht="15.75" customHeight="1">
      <c r="A676" s="349"/>
      <c r="B676" s="349"/>
      <c r="C676" s="349"/>
      <c r="D676" s="349"/>
      <c r="E676" s="349"/>
      <c r="F676" s="349"/>
      <c r="G676" s="349"/>
      <c r="H676" s="349"/>
      <c r="I676" s="349"/>
      <c r="J676" s="349"/>
      <c r="K676" s="349"/>
      <c r="L676" s="349"/>
      <c r="M676" s="349"/>
      <c r="N676" s="349"/>
      <c r="O676" s="349"/>
      <c r="P676" s="349"/>
      <c r="Q676" s="349"/>
      <c r="R676" s="349"/>
      <c r="S676" s="349"/>
      <c r="T676" s="349"/>
      <c r="U676" s="349"/>
      <c r="V676" s="349"/>
      <c r="W676" s="349"/>
      <c r="X676" s="349"/>
      <c r="Y676" s="349"/>
    </row>
    <row r="677" ht="15.75" customHeight="1">
      <c r="A677" s="349"/>
      <c r="B677" s="349"/>
      <c r="C677" s="349"/>
      <c r="D677" s="349"/>
      <c r="E677" s="349"/>
      <c r="F677" s="349"/>
      <c r="G677" s="349"/>
      <c r="H677" s="349"/>
      <c r="I677" s="349"/>
      <c r="J677" s="349"/>
      <c r="K677" s="349"/>
      <c r="L677" s="349"/>
      <c r="M677" s="349"/>
      <c r="N677" s="349"/>
      <c r="O677" s="349"/>
      <c r="P677" s="349"/>
      <c r="Q677" s="349"/>
      <c r="R677" s="349"/>
      <c r="S677" s="349"/>
      <c r="T677" s="349"/>
      <c r="U677" s="349"/>
      <c r="V677" s="349"/>
      <c r="W677" s="349"/>
      <c r="X677" s="349"/>
      <c r="Y677" s="349"/>
    </row>
    <row r="678" ht="15.75" customHeight="1">
      <c r="A678" s="349"/>
      <c r="B678" s="349"/>
      <c r="C678" s="349"/>
      <c r="D678" s="349"/>
      <c r="E678" s="349"/>
      <c r="F678" s="349"/>
      <c r="G678" s="349"/>
      <c r="H678" s="349"/>
      <c r="I678" s="349"/>
      <c r="J678" s="349"/>
      <c r="K678" s="349"/>
      <c r="L678" s="349"/>
      <c r="M678" s="349"/>
      <c r="N678" s="349"/>
      <c r="O678" s="349"/>
      <c r="P678" s="349"/>
      <c r="Q678" s="349"/>
      <c r="R678" s="349"/>
      <c r="S678" s="349"/>
      <c r="T678" s="349"/>
      <c r="U678" s="349"/>
      <c r="V678" s="349"/>
      <c r="W678" s="349"/>
      <c r="X678" s="349"/>
      <c r="Y678" s="349"/>
    </row>
    <row r="679" ht="15.75" customHeight="1">
      <c r="A679" s="349"/>
      <c r="B679" s="349"/>
      <c r="C679" s="349"/>
      <c r="D679" s="349"/>
      <c r="E679" s="349"/>
      <c r="F679" s="349"/>
      <c r="G679" s="349"/>
      <c r="H679" s="349"/>
      <c r="I679" s="349"/>
      <c r="J679" s="349"/>
      <c r="K679" s="349"/>
      <c r="L679" s="349"/>
      <c r="M679" s="349"/>
      <c r="N679" s="349"/>
      <c r="O679" s="349"/>
      <c r="P679" s="349"/>
      <c r="Q679" s="349"/>
      <c r="R679" s="349"/>
      <c r="S679" s="349"/>
      <c r="T679" s="349"/>
      <c r="U679" s="349"/>
      <c r="V679" s="349"/>
      <c r="W679" s="349"/>
      <c r="X679" s="349"/>
      <c r="Y679" s="349"/>
    </row>
    <row r="680" ht="15.75" customHeight="1">
      <c r="A680" s="349"/>
      <c r="B680" s="349"/>
      <c r="C680" s="349"/>
      <c r="D680" s="349"/>
      <c r="E680" s="349"/>
      <c r="F680" s="349"/>
      <c r="G680" s="349"/>
      <c r="H680" s="349"/>
      <c r="I680" s="349"/>
      <c r="J680" s="349"/>
      <c r="K680" s="349"/>
      <c r="L680" s="349"/>
      <c r="M680" s="349"/>
      <c r="N680" s="349"/>
      <c r="O680" s="349"/>
      <c r="P680" s="349"/>
      <c r="Q680" s="349"/>
      <c r="R680" s="349"/>
      <c r="S680" s="349"/>
      <c r="T680" s="349"/>
      <c r="U680" s="349"/>
      <c r="V680" s="349"/>
      <c r="W680" s="349"/>
      <c r="X680" s="349"/>
      <c r="Y680" s="349"/>
    </row>
    <row r="681" ht="15.75" customHeight="1">
      <c r="A681" s="349"/>
      <c r="B681" s="349"/>
      <c r="C681" s="349"/>
      <c r="D681" s="349"/>
      <c r="E681" s="349"/>
      <c r="F681" s="349"/>
      <c r="G681" s="349"/>
      <c r="H681" s="349"/>
      <c r="I681" s="349"/>
      <c r="J681" s="349"/>
      <c r="K681" s="349"/>
      <c r="L681" s="349"/>
      <c r="M681" s="349"/>
      <c r="N681" s="349"/>
      <c r="O681" s="349"/>
      <c r="P681" s="349"/>
      <c r="Q681" s="349"/>
      <c r="R681" s="349"/>
      <c r="S681" s="349"/>
      <c r="T681" s="349"/>
      <c r="U681" s="349"/>
      <c r="V681" s="349"/>
      <c r="W681" s="349"/>
      <c r="X681" s="349"/>
      <c r="Y681" s="349"/>
    </row>
    <row r="682" ht="15.75" customHeight="1">
      <c r="A682" s="349"/>
      <c r="B682" s="349"/>
      <c r="C682" s="349"/>
      <c r="D682" s="349"/>
      <c r="E682" s="349"/>
      <c r="F682" s="349"/>
      <c r="G682" s="349"/>
      <c r="H682" s="349"/>
      <c r="I682" s="349"/>
      <c r="J682" s="349"/>
      <c r="K682" s="349"/>
      <c r="L682" s="349"/>
      <c r="M682" s="349"/>
      <c r="N682" s="349"/>
      <c r="O682" s="349"/>
      <c r="P682" s="349"/>
      <c r="Q682" s="349"/>
      <c r="R682" s="349"/>
      <c r="S682" s="349"/>
      <c r="T682" s="349"/>
      <c r="U682" s="349"/>
      <c r="V682" s="349"/>
      <c r="W682" s="349"/>
      <c r="X682" s="349"/>
      <c r="Y682" s="349"/>
    </row>
    <row r="683" ht="15.75" customHeight="1">
      <c r="A683" s="349"/>
      <c r="B683" s="349"/>
      <c r="C683" s="349"/>
      <c r="D683" s="349"/>
      <c r="E683" s="349"/>
      <c r="F683" s="349"/>
      <c r="G683" s="349"/>
      <c r="H683" s="349"/>
      <c r="I683" s="349"/>
      <c r="J683" s="349"/>
      <c r="K683" s="349"/>
      <c r="L683" s="349"/>
      <c r="M683" s="349"/>
      <c r="N683" s="349"/>
      <c r="O683" s="349"/>
      <c r="P683" s="349"/>
      <c r="Q683" s="349"/>
      <c r="R683" s="349"/>
      <c r="S683" s="349"/>
      <c r="T683" s="349"/>
      <c r="U683" s="349"/>
      <c r="V683" s="349"/>
      <c r="W683" s="349"/>
      <c r="X683" s="349"/>
      <c r="Y683" s="349"/>
    </row>
    <row r="684" ht="15.75" customHeight="1">
      <c r="A684" s="349"/>
      <c r="B684" s="349"/>
      <c r="C684" s="349"/>
      <c r="D684" s="349"/>
      <c r="E684" s="349"/>
      <c r="F684" s="349"/>
      <c r="G684" s="349"/>
      <c r="H684" s="349"/>
      <c r="I684" s="349"/>
      <c r="J684" s="349"/>
      <c r="K684" s="349"/>
      <c r="L684" s="349"/>
      <c r="M684" s="349"/>
      <c r="N684" s="349"/>
      <c r="O684" s="349"/>
      <c r="P684" s="349"/>
      <c r="Q684" s="349"/>
      <c r="R684" s="349"/>
      <c r="S684" s="349"/>
      <c r="T684" s="349"/>
      <c r="U684" s="349"/>
      <c r="V684" s="349"/>
      <c r="W684" s="349"/>
      <c r="X684" s="349"/>
      <c r="Y684" s="349"/>
    </row>
    <row r="685" ht="15.75" customHeight="1">
      <c r="A685" s="349"/>
      <c r="B685" s="349"/>
      <c r="C685" s="349"/>
      <c r="D685" s="349"/>
      <c r="E685" s="349"/>
      <c r="F685" s="349"/>
      <c r="G685" s="349"/>
      <c r="H685" s="349"/>
      <c r="I685" s="349"/>
      <c r="J685" s="349"/>
      <c r="K685" s="349"/>
      <c r="L685" s="349"/>
      <c r="M685" s="349"/>
      <c r="N685" s="349"/>
      <c r="O685" s="349"/>
      <c r="P685" s="349"/>
      <c r="Q685" s="349"/>
      <c r="R685" s="349"/>
      <c r="S685" s="349"/>
      <c r="T685" s="349"/>
      <c r="U685" s="349"/>
      <c r="V685" s="349"/>
      <c r="W685" s="349"/>
      <c r="X685" s="349"/>
      <c r="Y685" s="349"/>
    </row>
    <row r="686" ht="15.75" customHeight="1">
      <c r="A686" s="349"/>
      <c r="B686" s="349"/>
      <c r="C686" s="349"/>
      <c r="D686" s="349"/>
      <c r="E686" s="349"/>
      <c r="F686" s="349"/>
      <c r="G686" s="349"/>
      <c r="H686" s="349"/>
      <c r="I686" s="349"/>
      <c r="J686" s="349"/>
      <c r="K686" s="349"/>
      <c r="L686" s="349"/>
      <c r="M686" s="349"/>
      <c r="N686" s="349"/>
      <c r="O686" s="349"/>
      <c r="P686" s="349"/>
      <c r="Q686" s="349"/>
      <c r="R686" s="349"/>
      <c r="S686" s="349"/>
      <c r="T686" s="349"/>
      <c r="U686" s="349"/>
      <c r="V686" s="349"/>
      <c r="W686" s="349"/>
      <c r="X686" s="349"/>
      <c r="Y686" s="349"/>
    </row>
    <row r="687" ht="15.75" customHeight="1">
      <c r="A687" s="349"/>
      <c r="B687" s="349"/>
      <c r="C687" s="349"/>
      <c r="D687" s="349"/>
      <c r="E687" s="349"/>
      <c r="F687" s="349"/>
      <c r="G687" s="349"/>
      <c r="H687" s="349"/>
      <c r="I687" s="349"/>
      <c r="J687" s="349"/>
      <c r="K687" s="349"/>
      <c r="L687" s="349"/>
      <c r="M687" s="349"/>
      <c r="N687" s="349"/>
      <c r="O687" s="349"/>
      <c r="P687" s="349"/>
      <c r="Q687" s="349"/>
      <c r="R687" s="349"/>
      <c r="S687" s="349"/>
      <c r="T687" s="349"/>
      <c r="U687" s="349"/>
      <c r="V687" s="349"/>
      <c r="W687" s="349"/>
      <c r="X687" s="349"/>
      <c r="Y687" s="349"/>
    </row>
    <row r="688" ht="15.75" customHeight="1">
      <c r="A688" s="349"/>
      <c r="B688" s="349"/>
      <c r="C688" s="349"/>
      <c r="D688" s="349"/>
      <c r="E688" s="349"/>
      <c r="F688" s="349"/>
      <c r="G688" s="349"/>
      <c r="H688" s="349"/>
      <c r="I688" s="349"/>
      <c r="J688" s="349"/>
      <c r="K688" s="349"/>
      <c r="L688" s="349"/>
      <c r="M688" s="349"/>
      <c r="N688" s="349"/>
      <c r="O688" s="349"/>
      <c r="P688" s="349"/>
      <c r="Q688" s="349"/>
      <c r="R688" s="349"/>
      <c r="S688" s="349"/>
      <c r="T688" s="349"/>
      <c r="U688" s="349"/>
      <c r="V688" s="349"/>
      <c r="W688" s="349"/>
      <c r="X688" s="349"/>
      <c r="Y688" s="349"/>
    </row>
    <row r="689" ht="15.75" customHeight="1">
      <c r="A689" s="349"/>
      <c r="B689" s="349"/>
      <c r="C689" s="349"/>
      <c r="D689" s="349"/>
      <c r="E689" s="349"/>
      <c r="F689" s="349"/>
      <c r="G689" s="349"/>
      <c r="H689" s="349"/>
      <c r="I689" s="349"/>
      <c r="J689" s="349"/>
      <c r="K689" s="349"/>
      <c r="L689" s="349"/>
      <c r="M689" s="349"/>
      <c r="N689" s="349"/>
      <c r="O689" s="349"/>
      <c r="P689" s="349"/>
      <c r="Q689" s="349"/>
      <c r="R689" s="349"/>
      <c r="S689" s="349"/>
      <c r="T689" s="349"/>
      <c r="U689" s="349"/>
      <c r="V689" s="349"/>
      <c r="W689" s="349"/>
      <c r="X689" s="349"/>
      <c r="Y689" s="349"/>
    </row>
    <row r="690" ht="15.75" customHeight="1">
      <c r="A690" s="349"/>
      <c r="B690" s="349"/>
      <c r="C690" s="349"/>
      <c r="D690" s="349"/>
      <c r="E690" s="349"/>
      <c r="F690" s="349"/>
      <c r="G690" s="349"/>
      <c r="H690" s="349"/>
      <c r="I690" s="349"/>
      <c r="J690" s="349"/>
      <c r="K690" s="349"/>
      <c r="L690" s="349"/>
      <c r="M690" s="349"/>
      <c r="N690" s="349"/>
      <c r="O690" s="349"/>
      <c r="P690" s="349"/>
      <c r="Q690" s="349"/>
      <c r="R690" s="349"/>
      <c r="S690" s="349"/>
      <c r="T690" s="349"/>
      <c r="U690" s="349"/>
      <c r="V690" s="349"/>
      <c r="W690" s="349"/>
      <c r="X690" s="349"/>
      <c r="Y690" s="349"/>
    </row>
    <row r="691" ht="15.75" customHeight="1">
      <c r="A691" s="349"/>
      <c r="B691" s="349"/>
      <c r="C691" s="349"/>
      <c r="D691" s="349"/>
      <c r="E691" s="349"/>
      <c r="F691" s="349"/>
      <c r="G691" s="349"/>
      <c r="H691" s="349"/>
      <c r="I691" s="349"/>
      <c r="J691" s="349"/>
      <c r="K691" s="349"/>
      <c r="L691" s="349"/>
      <c r="M691" s="349"/>
      <c r="N691" s="349"/>
      <c r="O691" s="349"/>
      <c r="P691" s="349"/>
      <c r="Q691" s="349"/>
      <c r="R691" s="349"/>
      <c r="S691" s="349"/>
      <c r="T691" s="349"/>
      <c r="U691" s="349"/>
      <c r="V691" s="349"/>
      <c r="W691" s="349"/>
      <c r="X691" s="349"/>
      <c r="Y691" s="349"/>
    </row>
    <row r="692" ht="15.75" customHeight="1">
      <c r="A692" s="349"/>
      <c r="B692" s="349"/>
      <c r="C692" s="349"/>
      <c r="D692" s="349"/>
      <c r="E692" s="349"/>
      <c r="F692" s="349"/>
      <c r="G692" s="349"/>
      <c r="H692" s="349"/>
      <c r="I692" s="349"/>
      <c r="J692" s="349"/>
      <c r="K692" s="349"/>
      <c r="L692" s="349"/>
      <c r="M692" s="349"/>
      <c r="N692" s="349"/>
      <c r="O692" s="349"/>
      <c r="P692" s="349"/>
      <c r="Q692" s="349"/>
      <c r="R692" s="349"/>
      <c r="S692" s="349"/>
      <c r="T692" s="349"/>
      <c r="U692" s="349"/>
      <c r="V692" s="349"/>
      <c r="W692" s="349"/>
      <c r="X692" s="349"/>
      <c r="Y692" s="349"/>
    </row>
    <row r="693" ht="15.75" customHeight="1">
      <c r="A693" s="349"/>
      <c r="B693" s="349"/>
      <c r="C693" s="349"/>
      <c r="D693" s="349"/>
      <c r="E693" s="349"/>
      <c r="F693" s="349"/>
      <c r="G693" s="349"/>
      <c r="H693" s="349"/>
      <c r="I693" s="349"/>
      <c r="J693" s="349"/>
      <c r="K693" s="349"/>
      <c r="L693" s="349"/>
      <c r="M693" s="349"/>
      <c r="N693" s="349"/>
      <c r="O693" s="349"/>
      <c r="P693" s="349"/>
      <c r="Q693" s="349"/>
      <c r="R693" s="349"/>
      <c r="S693" s="349"/>
      <c r="T693" s="349"/>
      <c r="U693" s="349"/>
      <c r="V693" s="349"/>
      <c r="W693" s="349"/>
      <c r="X693" s="349"/>
      <c r="Y693" s="349"/>
    </row>
    <row r="694" ht="15.75" customHeight="1">
      <c r="A694" s="349"/>
      <c r="B694" s="349"/>
      <c r="C694" s="349"/>
      <c r="D694" s="349"/>
      <c r="E694" s="349"/>
      <c r="F694" s="349"/>
      <c r="G694" s="349"/>
      <c r="H694" s="349"/>
      <c r="I694" s="349"/>
      <c r="J694" s="349"/>
      <c r="K694" s="349"/>
      <c r="L694" s="349"/>
      <c r="M694" s="349"/>
      <c r="N694" s="349"/>
      <c r="O694" s="349"/>
      <c r="P694" s="349"/>
      <c r="Q694" s="349"/>
      <c r="R694" s="349"/>
      <c r="S694" s="349"/>
      <c r="T694" s="349"/>
      <c r="U694" s="349"/>
      <c r="V694" s="349"/>
      <c r="W694" s="349"/>
      <c r="X694" s="349"/>
      <c r="Y694" s="349"/>
    </row>
    <row r="695" ht="15.75" customHeight="1">
      <c r="A695" s="349"/>
      <c r="B695" s="349"/>
      <c r="C695" s="349"/>
      <c r="D695" s="349"/>
      <c r="E695" s="349"/>
      <c r="F695" s="349"/>
      <c r="G695" s="349"/>
      <c r="H695" s="349"/>
      <c r="I695" s="349"/>
      <c r="J695" s="349"/>
      <c r="K695" s="349"/>
      <c r="L695" s="349"/>
      <c r="M695" s="349"/>
      <c r="N695" s="349"/>
      <c r="O695" s="349"/>
      <c r="P695" s="349"/>
      <c r="Q695" s="349"/>
      <c r="R695" s="349"/>
      <c r="S695" s="349"/>
      <c r="T695" s="349"/>
      <c r="U695" s="349"/>
      <c r="V695" s="349"/>
      <c r="W695" s="349"/>
      <c r="X695" s="349"/>
      <c r="Y695" s="349"/>
    </row>
    <row r="696" ht="15.75" customHeight="1">
      <c r="A696" s="349"/>
      <c r="B696" s="349"/>
      <c r="C696" s="349"/>
      <c r="D696" s="349"/>
      <c r="E696" s="349"/>
      <c r="F696" s="349"/>
      <c r="G696" s="349"/>
      <c r="H696" s="349"/>
      <c r="I696" s="349"/>
      <c r="J696" s="349"/>
      <c r="K696" s="349"/>
      <c r="L696" s="349"/>
      <c r="M696" s="349"/>
      <c r="N696" s="349"/>
      <c r="O696" s="349"/>
      <c r="P696" s="349"/>
      <c r="Q696" s="349"/>
      <c r="R696" s="349"/>
      <c r="S696" s="349"/>
      <c r="T696" s="349"/>
      <c r="U696" s="349"/>
      <c r="V696" s="349"/>
      <c r="W696" s="349"/>
      <c r="X696" s="349"/>
      <c r="Y696" s="349"/>
    </row>
    <row r="697" ht="15.75" customHeight="1">
      <c r="A697" s="349"/>
      <c r="B697" s="349"/>
      <c r="C697" s="349"/>
      <c r="D697" s="349"/>
      <c r="E697" s="349"/>
      <c r="F697" s="349"/>
      <c r="G697" s="349"/>
      <c r="H697" s="349"/>
      <c r="I697" s="349"/>
      <c r="J697" s="349"/>
      <c r="K697" s="349"/>
      <c r="L697" s="349"/>
      <c r="M697" s="349"/>
      <c r="N697" s="349"/>
      <c r="O697" s="349"/>
      <c r="P697" s="349"/>
      <c r="Q697" s="349"/>
      <c r="R697" s="349"/>
      <c r="S697" s="349"/>
      <c r="T697" s="349"/>
      <c r="U697" s="349"/>
      <c r="V697" s="349"/>
      <c r="W697" s="349"/>
      <c r="X697" s="349"/>
      <c r="Y697" s="349"/>
    </row>
    <row r="698" ht="15.75" customHeight="1">
      <c r="A698" s="349"/>
      <c r="B698" s="349"/>
      <c r="C698" s="349"/>
      <c r="D698" s="349"/>
      <c r="E698" s="349"/>
      <c r="F698" s="349"/>
      <c r="G698" s="349"/>
      <c r="H698" s="349"/>
      <c r="I698" s="349"/>
      <c r="J698" s="349"/>
      <c r="K698" s="349"/>
      <c r="L698" s="349"/>
      <c r="M698" s="349"/>
      <c r="N698" s="349"/>
      <c r="O698" s="349"/>
      <c r="P698" s="349"/>
      <c r="Q698" s="349"/>
      <c r="R698" s="349"/>
      <c r="S698" s="349"/>
      <c r="T698" s="349"/>
      <c r="U698" s="349"/>
      <c r="V698" s="349"/>
      <c r="W698" s="349"/>
      <c r="X698" s="349"/>
      <c r="Y698" s="349"/>
    </row>
    <row r="699" ht="15.75" customHeight="1">
      <c r="A699" s="349"/>
      <c r="B699" s="349"/>
      <c r="C699" s="349"/>
      <c r="D699" s="349"/>
      <c r="E699" s="349"/>
      <c r="F699" s="349"/>
      <c r="G699" s="349"/>
      <c r="H699" s="349"/>
      <c r="I699" s="349"/>
      <c r="J699" s="349"/>
      <c r="K699" s="349"/>
      <c r="L699" s="349"/>
      <c r="M699" s="349"/>
      <c r="N699" s="349"/>
      <c r="O699" s="349"/>
      <c r="P699" s="349"/>
      <c r="Q699" s="349"/>
      <c r="R699" s="349"/>
      <c r="S699" s="349"/>
      <c r="T699" s="349"/>
      <c r="U699" s="349"/>
      <c r="V699" s="349"/>
      <c r="W699" s="349"/>
      <c r="X699" s="349"/>
      <c r="Y699" s="349"/>
    </row>
    <row r="700" ht="15.75" customHeight="1">
      <c r="A700" s="349"/>
      <c r="B700" s="349"/>
      <c r="C700" s="349"/>
      <c r="D700" s="349"/>
      <c r="E700" s="349"/>
      <c r="F700" s="349"/>
      <c r="G700" s="349"/>
      <c r="H700" s="349"/>
      <c r="I700" s="349"/>
      <c r="J700" s="349"/>
      <c r="K700" s="349"/>
      <c r="L700" s="349"/>
      <c r="M700" s="349"/>
      <c r="N700" s="349"/>
      <c r="O700" s="349"/>
      <c r="P700" s="349"/>
      <c r="Q700" s="349"/>
      <c r="R700" s="349"/>
      <c r="S700" s="349"/>
      <c r="T700" s="349"/>
      <c r="U700" s="349"/>
      <c r="V700" s="349"/>
      <c r="W700" s="349"/>
      <c r="X700" s="349"/>
      <c r="Y700" s="349"/>
    </row>
    <row r="701" ht="15.75" customHeight="1">
      <c r="A701" s="349"/>
      <c r="B701" s="349"/>
      <c r="C701" s="349"/>
      <c r="D701" s="349"/>
      <c r="E701" s="349"/>
      <c r="F701" s="349"/>
      <c r="G701" s="349"/>
      <c r="H701" s="349"/>
      <c r="I701" s="349"/>
      <c r="J701" s="349"/>
      <c r="K701" s="349"/>
      <c r="L701" s="349"/>
      <c r="M701" s="349"/>
      <c r="N701" s="349"/>
      <c r="O701" s="349"/>
      <c r="P701" s="349"/>
      <c r="Q701" s="349"/>
      <c r="R701" s="349"/>
      <c r="S701" s="349"/>
      <c r="T701" s="349"/>
      <c r="U701" s="349"/>
      <c r="V701" s="349"/>
      <c r="W701" s="349"/>
      <c r="X701" s="349"/>
      <c r="Y701" s="349"/>
    </row>
    <row r="702" ht="15.75" customHeight="1">
      <c r="A702" s="349"/>
      <c r="B702" s="349"/>
      <c r="C702" s="349"/>
      <c r="D702" s="349"/>
      <c r="E702" s="349"/>
      <c r="F702" s="349"/>
      <c r="G702" s="349"/>
      <c r="H702" s="349"/>
      <c r="I702" s="349"/>
      <c r="J702" s="349"/>
      <c r="K702" s="349"/>
      <c r="L702" s="349"/>
      <c r="M702" s="349"/>
      <c r="N702" s="349"/>
      <c r="O702" s="349"/>
      <c r="P702" s="349"/>
      <c r="Q702" s="349"/>
      <c r="R702" s="349"/>
      <c r="S702" s="349"/>
      <c r="T702" s="349"/>
      <c r="U702" s="349"/>
      <c r="V702" s="349"/>
      <c r="W702" s="349"/>
      <c r="X702" s="349"/>
      <c r="Y702" s="349"/>
    </row>
    <row r="703" ht="15.75" customHeight="1">
      <c r="A703" s="349"/>
      <c r="B703" s="349"/>
      <c r="C703" s="349"/>
      <c r="D703" s="349"/>
      <c r="E703" s="349"/>
      <c r="F703" s="349"/>
      <c r="G703" s="349"/>
      <c r="H703" s="349"/>
      <c r="I703" s="349"/>
      <c r="J703" s="349"/>
      <c r="K703" s="349"/>
      <c r="L703" s="349"/>
      <c r="M703" s="349"/>
      <c r="N703" s="349"/>
      <c r="O703" s="349"/>
      <c r="P703" s="349"/>
      <c r="Q703" s="349"/>
      <c r="R703" s="349"/>
      <c r="S703" s="349"/>
      <c r="T703" s="349"/>
      <c r="U703" s="349"/>
      <c r="V703" s="349"/>
      <c r="W703" s="349"/>
      <c r="X703" s="349"/>
      <c r="Y703" s="349"/>
    </row>
    <row r="704" ht="15.75" customHeight="1">
      <c r="A704" s="349"/>
      <c r="B704" s="349"/>
      <c r="C704" s="349"/>
      <c r="D704" s="349"/>
      <c r="E704" s="349"/>
      <c r="F704" s="349"/>
      <c r="G704" s="349"/>
      <c r="H704" s="349"/>
      <c r="I704" s="349"/>
      <c r="J704" s="349"/>
      <c r="K704" s="349"/>
      <c r="L704" s="349"/>
      <c r="M704" s="349"/>
      <c r="N704" s="349"/>
      <c r="O704" s="349"/>
      <c r="P704" s="349"/>
      <c r="Q704" s="349"/>
      <c r="R704" s="349"/>
      <c r="S704" s="349"/>
      <c r="T704" s="349"/>
      <c r="U704" s="349"/>
      <c r="V704" s="349"/>
      <c r="W704" s="349"/>
      <c r="X704" s="349"/>
      <c r="Y704" s="349"/>
    </row>
    <row r="705" ht="15.75" customHeight="1">
      <c r="A705" s="349"/>
      <c r="B705" s="349"/>
      <c r="C705" s="349"/>
      <c r="D705" s="349"/>
      <c r="E705" s="349"/>
      <c r="F705" s="349"/>
      <c r="G705" s="349"/>
      <c r="H705" s="349"/>
      <c r="I705" s="349"/>
      <c r="J705" s="349"/>
      <c r="K705" s="349"/>
      <c r="L705" s="349"/>
      <c r="M705" s="349"/>
      <c r="N705" s="349"/>
      <c r="O705" s="349"/>
      <c r="P705" s="349"/>
      <c r="Q705" s="349"/>
      <c r="R705" s="349"/>
      <c r="S705" s="349"/>
      <c r="T705" s="349"/>
      <c r="U705" s="349"/>
      <c r="V705" s="349"/>
      <c r="W705" s="349"/>
      <c r="X705" s="349"/>
      <c r="Y705" s="349"/>
    </row>
    <row r="706" ht="15.75" customHeight="1">
      <c r="A706" s="349"/>
      <c r="B706" s="349"/>
      <c r="C706" s="349"/>
      <c r="D706" s="349"/>
      <c r="E706" s="349"/>
      <c r="F706" s="349"/>
      <c r="G706" s="349"/>
      <c r="H706" s="349"/>
      <c r="I706" s="349"/>
      <c r="J706" s="349"/>
      <c r="K706" s="349"/>
      <c r="L706" s="349"/>
      <c r="M706" s="349"/>
      <c r="N706" s="349"/>
      <c r="O706" s="349"/>
      <c r="P706" s="349"/>
      <c r="Q706" s="349"/>
      <c r="R706" s="349"/>
      <c r="S706" s="349"/>
      <c r="T706" s="349"/>
      <c r="U706" s="349"/>
      <c r="V706" s="349"/>
      <c r="W706" s="349"/>
      <c r="X706" s="349"/>
      <c r="Y706" s="349"/>
    </row>
    <row r="707" ht="15.75" customHeight="1">
      <c r="A707" s="349"/>
      <c r="B707" s="349"/>
      <c r="C707" s="349"/>
      <c r="D707" s="349"/>
      <c r="E707" s="349"/>
      <c r="F707" s="349"/>
      <c r="G707" s="349"/>
      <c r="H707" s="349"/>
      <c r="I707" s="349"/>
      <c r="J707" s="349"/>
      <c r="K707" s="349"/>
      <c r="L707" s="349"/>
      <c r="M707" s="349"/>
      <c r="N707" s="349"/>
      <c r="O707" s="349"/>
      <c r="P707" s="349"/>
      <c r="Q707" s="349"/>
      <c r="R707" s="349"/>
      <c r="S707" s="349"/>
      <c r="T707" s="349"/>
      <c r="U707" s="349"/>
      <c r="V707" s="349"/>
      <c r="W707" s="349"/>
      <c r="X707" s="349"/>
      <c r="Y707" s="349"/>
    </row>
    <row r="708" ht="15.75" customHeight="1">
      <c r="A708" s="349"/>
      <c r="B708" s="349"/>
      <c r="C708" s="349"/>
      <c r="D708" s="349"/>
      <c r="E708" s="349"/>
      <c r="F708" s="349"/>
      <c r="G708" s="349"/>
      <c r="H708" s="349"/>
      <c r="I708" s="349"/>
      <c r="J708" s="349"/>
      <c r="K708" s="349"/>
      <c r="L708" s="349"/>
      <c r="M708" s="349"/>
      <c r="N708" s="349"/>
      <c r="O708" s="349"/>
      <c r="P708" s="349"/>
      <c r="Q708" s="349"/>
      <c r="R708" s="349"/>
      <c r="S708" s="349"/>
      <c r="T708" s="349"/>
      <c r="U708" s="349"/>
      <c r="V708" s="349"/>
      <c r="W708" s="349"/>
      <c r="X708" s="349"/>
      <c r="Y708" s="349"/>
    </row>
    <row r="709" ht="15.75" customHeight="1">
      <c r="A709" s="349"/>
      <c r="B709" s="349"/>
      <c r="C709" s="349"/>
      <c r="D709" s="349"/>
      <c r="E709" s="349"/>
      <c r="F709" s="349"/>
      <c r="G709" s="349"/>
      <c r="H709" s="349"/>
      <c r="I709" s="349"/>
      <c r="J709" s="349"/>
      <c r="K709" s="349"/>
      <c r="L709" s="349"/>
      <c r="M709" s="349"/>
      <c r="N709" s="349"/>
      <c r="O709" s="349"/>
      <c r="P709" s="349"/>
      <c r="Q709" s="349"/>
      <c r="R709" s="349"/>
      <c r="S709" s="349"/>
      <c r="T709" s="349"/>
      <c r="U709" s="349"/>
      <c r="V709" s="349"/>
      <c r="W709" s="349"/>
      <c r="X709" s="349"/>
      <c r="Y709" s="349"/>
    </row>
    <row r="710" ht="15.75" customHeight="1">
      <c r="A710" s="349"/>
      <c r="B710" s="349"/>
      <c r="C710" s="349"/>
      <c r="D710" s="349"/>
      <c r="E710" s="349"/>
      <c r="F710" s="349"/>
      <c r="G710" s="349"/>
      <c r="H710" s="349"/>
      <c r="I710" s="349"/>
      <c r="J710" s="349"/>
      <c r="K710" s="349"/>
      <c r="L710" s="349"/>
      <c r="M710" s="349"/>
      <c r="N710" s="349"/>
      <c r="O710" s="349"/>
      <c r="P710" s="349"/>
      <c r="Q710" s="349"/>
      <c r="R710" s="349"/>
      <c r="S710" s="349"/>
      <c r="T710" s="349"/>
      <c r="U710" s="349"/>
      <c r="V710" s="349"/>
      <c r="W710" s="349"/>
      <c r="X710" s="349"/>
      <c r="Y710" s="349"/>
    </row>
    <row r="711" ht="15.75" customHeight="1">
      <c r="A711" s="349"/>
      <c r="B711" s="349"/>
      <c r="C711" s="349"/>
      <c r="D711" s="349"/>
      <c r="E711" s="349"/>
      <c r="F711" s="349"/>
      <c r="G711" s="349"/>
      <c r="H711" s="349"/>
      <c r="I711" s="349"/>
      <c r="J711" s="349"/>
      <c r="K711" s="349"/>
      <c r="L711" s="349"/>
      <c r="M711" s="349"/>
      <c r="N711" s="349"/>
      <c r="O711" s="349"/>
      <c r="P711" s="349"/>
      <c r="Q711" s="349"/>
      <c r="R711" s="349"/>
      <c r="S711" s="349"/>
      <c r="T711" s="349"/>
      <c r="U711" s="349"/>
      <c r="V711" s="349"/>
      <c r="W711" s="349"/>
      <c r="X711" s="349"/>
      <c r="Y711" s="349"/>
    </row>
    <row r="712" ht="15.75" customHeight="1">
      <c r="A712" s="349"/>
      <c r="B712" s="349"/>
      <c r="C712" s="349"/>
      <c r="D712" s="349"/>
      <c r="E712" s="349"/>
      <c r="F712" s="349"/>
      <c r="G712" s="349"/>
      <c r="H712" s="349"/>
      <c r="I712" s="349"/>
      <c r="J712" s="349"/>
      <c r="K712" s="349"/>
      <c r="L712" s="349"/>
      <c r="M712" s="349"/>
      <c r="N712" s="349"/>
      <c r="O712" s="349"/>
      <c r="P712" s="349"/>
      <c r="Q712" s="349"/>
      <c r="R712" s="349"/>
      <c r="S712" s="349"/>
      <c r="T712" s="349"/>
      <c r="U712" s="349"/>
      <c r="V712" s="349"/>
      <c r="W712" s="349"/>
      <c r="X712" s="349"/>
      <c r="Y712" s="349"/>
    </row>
    <row r="713" ht="15.75" customHeight="1">
      <c r="A713" s="349"/>
      <c r="B713" s="349"/>
      <c r="C713" s="349"/>
      <c r="D713" s="349"/>
      <c r="E713" s="349"/>
      <c r="F713" s="349"/>
      <c r="G713" s="349"/>
      <c r="H713" s="349"/>
      <c r="I713" s="349"/>
      <c r="J713" s="349"/>
      <c r="K713" s="349"/>
      <c r="L713" s="349"/>
      <c r="M713" s="349"/>
      <c r="N713" s="349"/>
      <c r="O713" s="349"/>
      <c r="P713" s="349"/>
      <c r="Q713" s="349"/>
      <c r="R713" s="349"/>
      <c r="S713" s="349"/>
      <c r="T713" s="349"/>
      <c r="U713" s="349"/>
      <c r="V713" s="349"/>
      <c r="W713" s="349"/>
      <c r="X713" s="349"/>
      <c r="Y713" s="349"/>
    </row>
    <row r="714" ht="15.75" customHeight="1">
      <c r="A714" s="349"/>
      <c r="B714" s="349"/>
      <c r="C714" s="349"/>
      <c r="D714" s="349"/>
      <c r="E714" s="349"/>
      <c r="F714" s="349"/>
      <c r="G714" s="349"/>
      <c r="H714" s="349"/>
      <c r="I714" s="349"/>
      <c r="J714" s="349"/>
      <c r="K714" s="349"/>
      <c r="L714" s="349"/>
      <c r="M714" s="349"/>
      <c r="N714" s="349"/>
      <c r="O714" s="349"/>
      <c r="P714" s="349"/>
      <c r="Q714" s="349"/>
      <c r="R714" s="349"/>
      <c r="S714" s="349"/>
      <c r="T714" s="349"/>
      <c r="U714" s="349"/>
      <c r="V714" s="349"/>
      <c r="W714" s="349"/>
      <c r="X714" s="349"/>
      <c r="Y714" s="349"/>
    </row>
    <row r="715" ht="15.75" customHeight="1">
      <c r="A715" s="349"/>
      <c r="B715" s="349"/>
      <c r="C715" s="349"/>
      <c r="D715" s="349"/>
      <c r="E715" s="349"/>
      <c r="F715" s="349"/>
      <c r="G715" s="349"/>
      <c r="H715" s="349"/>
      <c r="I715" s="349"/>
      <c r="J715" s="349"/>
      <c r="K715" s="349"/>
      <c r="L715" s="349"/>
      <c r="M715" s="349"/>
      <c r="N715" s="349"/>
      <c r="O715" s="349"/>
      <c r="P715" s="349"/>
      <c r="Q715" s="349"/>
      <c r="R715" s="349"/>
      <c r="S715" s="349"/>
      <c r="T715" s="349"/>
      <c r="U715" s="349"/>
      <c r="V715" s="349"/>
      <c r="W715" s="349"/>
      <c r="X715" s="349"/>
      <c r="Y715" s="349"/>
    </row>
    <row r="716" ht="15.75" customHeight="1">
      <c r="A716" s="349"/>
      <c r="B716" s="349"/>
      <c r="C716" s="349"/>
      <c r="D716" s="349"/>
      <c r="E716" s="349"/>
      <c r="F716" s="349"/>
      <c r="G716" s="349"/>
      <c r="H716" s="349"/>
      <c r="I716" s="349"/>
      <c r="J716" s="349"/>
      <c r="K716" s="349"/>
      <c r="L716" s="349"/>
      <c r="M716" s="349"/>
      <c r="N716" s="349"/>
      <c r="O716" s="349"/>
      <c r="P716" s="349"/>
      <c r="Q716" s="349"/>
      <c r="R716" s="349"/>
      <c r="S716" s="349"/>
      <c r="T716" s="349"/>
      <c r="U716" s="349"/>
      <c r="V716" s="349"/>
      <c r="W716" s="349"/>
      <c r="X716" s="349"/>
      <c r="Y716" s="349"/>
    </row>
    <row r="717" ht="15.75" customHeight="1">
      <c r="A717" s="349"/>
      <c r="B717" s="349"/>
      <c r="C717" s="349"/>
      <c r="D717" s="349"/>
      <c r="E717" s="349"/>
      <c r="F717" s="349"/>
      <c r="G717" s="349"/>
      <c r="H717" s="349"/>
      <c r="I717" s="349"/>
      <c r="J717" s="349"/>
      <c r="K717" s="349"/>
      <c r="L717" s="349"/>
      <c r="M717" s="349"/>
      <c r="N717" s="349"/>
      <c r="O717" s="349"/>
      <c r="P717" s="349"/>
      <c r="Q717" s="349"/>
      <c r="R717" s="349"/>
      <c r="S717" s="349"/>
      <c r="T717" s="349"/>
      <c r="U717" s="349"/>
      <c r="V717" s="349"/>
      <c r="W717" s="349"/>
      <c r="X717" s="349"/>
      <c r="Y717" s="349"/>
    </row>
    <row r="718" ht="15.75" customHeight="1">
      <c r="A718" s="349"/>
      <c r="B718" s="349"/>
      <c r="C718" s="349"/>
      <c r="D718" s="349"/>
      <c r="E718" s="349"/>
      <c r="F718" s="349"/>
      <c r="G718" s="349"/>
      <c r="H718" s="349"/>
      <c r="I718" s="349"/>
      <c r="J718" s="349"/>
      <c r="K718" s="349"/>
      <c r="L718" s="349"/>
      <c r="M718" s="349"/>
      <c r="N718" s="349"/>
      <c r="O718" s="349"/>
      <c r="P718" s="349"/>
      <c r="Q718" s="349"/>
      <c r="R718" s="349"/>
      <c r="S718" s="349"/>
      <c r="T718" s="349"/>
      <c r="U718" s="349"/>
      <c r="V718" s="349"/>
      <c r="W718" s="349"/>
      <c r="X718" s="349"/>
      <c r="Y718" s="349"/>
    </row>
    <row r="719" ht="15.75" customHeight="1">
      <c r="A719" s="349"/>
      <c r="B719" s="349"/>
      <c r="C719" s="349"/>
      <c r="D719" s="349"/>
      <c r="E719" s="349"/>
      <c r="F719" s="349"/>
      <c r="G719" s="349"/>
      <c r="H719" s="349"/>
      <c r="I719" s="349"/>
      <c r="J719" s="349"/>
      <c r="K719" s="349"/>
      <c r="L719" s="349"/>
      <c r="M719" s="349"/>
      <c r="N719" s="349"/>
      <c r="O719" s="349"/>
      <c r="P719" s="349"/>
      <c r="Q719" s="349"/>
      <c r="R719" s="349"/>
      <c r="S719" s="349"/>
      <c r="T719" s="349"/>
      <c r="U719" s="349"/>
      <c r="V719" s="349"/>
      <c r="W719" s="349"/>
      <c r="X719" s="349"/>
      <c r="Y719" s="349"/>
    </row>
    <row r="720" ht="15.75" customHeight="1">
      <c r="A720" s="349"/>
      <c r="B720" s="349"/>
      <c r="C720" s="349"/>
      <c r="D720" s="349"/>
      <c r="E720" s="349"/>
      <c r="F720" s="349"/>
      <c r="G720" s="349"/>
      <c r="H720" s="349"/>
      <c r="I720" s="349"/>
      <c r="J720" s="349"/>
      <c r="K720" s="349"/>
      <c r="L720" s="349"/>
      <c r="M720" s="349"/>
      <c r="N720" s="349"/>
      <c r="O720" s="349"/>
      <c r="P720" s="349"/>
      <c r="Q720" s="349"/>
      <c r="R720" s="349"/>
      <c r="S720" s="349"/>
      <c r="T720" s="349"/>
      <c r="U720" s="349"/>
      <c r="V720" s="349"/>
      <c r="W720" s="349"/>
      <c r="X720" s="349"/>
      <c r="Y720" s="349"/>
    </row>
    <row r="721" ht="15.75" customHeight="1">
      <c r="A721" s="349"/>
      <c r="B721" s="349"/>
      <c r="C721" s="349"/>
      <c r="D721" s="349"/>
      <c r="E721" s="349"/>
      <c r="F721" s="349"/>
      <c r="G721" s="349"/>
      <c r="H721" s="349"/>
      <c r="I721" s="349"/>
      <c r="J721" s="349"/>
      <c r="K721" s="349"/>
      <c r="L721" s="349"/>
      <c r="M721" s="349"/>
      <c r="N721" s="349"/>
      <c r="O721" s="349"/>
      <c r="P721" s="349"/>
      <c r="Q721" s="349"/>
      <c r="R721" s="349"/>
      <c r="S721" s="349"/>
      <c r="T721" s="349"/>
      <c r="U721" s="349"/>
      <c r="V721" s="349"/>
      <c r="W721" s="349"/>
      <c r="X721" s="349"/>
      <c r="Y721" s="349"/>
    </row>
    <row r="722" ht="15.75" customHeight="1">
      <c r="A722" s="349"/>
      <c r="B722" s="349"/>
      <c r="C722" s="349"/>
      <c r="D722" s="349"/>
      <c r="E722" s="349"/>
      <c r="F722" s="349"/>
      <c r="G722" s="349"/>
      <c r="H722" s="349"/>
      <c r="I722" s="349"/>
      <c r="J722" s="349"/>
      <c r="K722" s="349"/>
      <c r="L722" s="349"/>
      <c r="M722" s="349"/>
      <c r="N722" s="349"/>
      <c r="O722" s="349"/>
      <c r="P722" s="349"/>
      <c r="Q722" s="349"/>
      <c r="R722" s="349"/>
      <c r="S722" s="349"/>
      <c r="T722" s="349"/>
      <c r="U722" s="349"/>
      <c r="V722" s="349"/>
      <c r="W722" s="349"/>
      <c r="X722" s="349"/>
      <c r="Y722" s="349"/>
    </row>
    <row r="723" ht="15.75" customHeight="1">
      <c r="A723" s="349"/>
      <c r="B723" s="349"/>
      <c r="C723" s="349"/>
      <c r="D723" s="349"/>
      <c r="E723" s="349"/>
      <c r="F723" s="349"/>
      <c r="G723" s="349"/>
      <c r="H723" s="349"/>
      <c r="I723" s="349"/>
      <c r="J723" s="349"/>
      <c r="K723" s="349"/>
      <c r="L723" s="349"/>
      <c r="M723" s="349"/>
      <c r="N723" s="349"/>
      <c r="O723" s="349"/>
      <c r="P723" s="349"/>
      <c r="Q723" s="349"/>
      <c r="R723" s="349"/>
      <c r="S723" s="349"/>
      <c r="T723" s="349"/>
      <c r="U723" s="349"/>
      <c r="V723" s="349"/>
      <c r="W723" s="349"/>
      <c r="X723" s="349"/>
      <c r="Y723" s="349"/>
    </row>
    <row r="724" ht="15.75" customHeight="1">
      <c r="A724" s="349"/>
      <c r="B724" s="349"/>
      <c r="C724" s="349"/>
      <c r="D724" s="349"/>
      <c r="E724" s="349"/>
      <c r="F724" s="349"/>
      <c r="G724" s="349"/>
      <c r="H724" s="349"/>
      <c r="I724" s="349"/>
      <c r="J724" s="349"/>
      <c r="K724" s="349"/>
      <c r="L724" s="349"/>
      <c r="M724" s="349"/>
      <c r="N724" s="349"/>
      <c r="O724" s="349"/>
      <c r="P724" s="349"/>
      <c r="Q724" s="349"/>
      <c r="R724" s="349"/>
      <c r="S724" s="349"/>
      <c r="T724" s="349"/>
      <c r="U724" s="349"/>
      <c r="V724" s="349"/>
      <c r="W724" s="349"/>
      <c r="X724" s="349"/>
      <c r="Y724" s="349"/>
    </row>
    <row r="725" ht="15.75" customHeight="1">
      <c r="A725" s="349"/>
      <c r="B725" s="349"/>
      <c r="C725" s="349"/>
      <c r="D725" s="349"/>
      <c r="E725" s="349"/>
      <c r="F725" s="349"/>
      <c r="G725" s="349"/>
      <c r="H725" s="349"/>
      <c r="I725" s="349"/>
      <c r="J725" s="349"/>
      <c r="K725" s="349"/>
      <c r="L725" s="349"/>
      <c r="M725" s="349"/>
      <c r="N725" s="349"/>
      <c r="O725" s="349"/>
      <c r="P725" s="349"/>
      <c r="Q725" s="349"/>
      <c r="R725" s="349"/>
      <c r="S725" s="349"/>
      <c r="T725" s="349"/>
      <c r="U725" s="349"/>
      <c r="V725" s="349"/>
      <c r="W725" s="349"/>
      <c r="X725" s="349"/>
      <c r="Y725" s="349"/>
    </row>
    <row r="726" ht="15.75" customHeight="1">
      <c r="A726" s="349"/>
      <c r="B726" s="349"/>
      <c r="C726" s="349"/>
      <c r="D726" s="349"/>
      <c r="E726" s="349"/>
      <c r="F726" s="349"/>
      <c r="G726" s="349"/>
      <c r="H726" s="349"/>
      <c r="I726" s="349"/>
      <c r="J726" s="349"/>
      <c r="K726" s="349"/>
      <c r="L726" s="349"/>
      <c r="M726" s="349"/>
      <c r="N726" s="349"/>
      <c r="O726" s="349"/>
      <c r="P726" s="349"/>
      <c r="Q726" s="349"/>
      <c r="R726" s="349"/>
      <c r="S726" s="349"/>
      <c r="T726" s="349"/>
      <c r="U726" s="349"/>
      <c r="V726" s="349"/>
      <c r="W726" s="349"/>
      <c r="X726" s="349"/>
      <c r="Y726" s="349"/>
    </row>
    <row r="727" ht="15.75" customHeight="1">
      <c r="A727" s="349"/>
      <c r="B727" s="349"/>
      <c r="C727" s="349"/>
      <c r="D727" s="349"/>
      <c r="E727" s="349"/>
      <c r="F727" s="349"/>
      <c r="G727" s="349"/>
      <c r="H727" s="349"/>
      <c r="I727" s="349"/>
      <c r="J727" s="349"/>
      <c r="K727" s="349"/>
      <c r="L727" s="349"/>
      <c r="M727" s="349"/>
      <c r="N727" s="349"/>
      <c r="O727" s="349"/>
      <c r="P727" s="349"/>
      <c r="Q727" s="349"/>
      <c r="R727" s="349"/>
      <c r="S727" s="349"/>
      <c r="T727" s="349"/>
      <c r="U727" s="349"/>
      <c r="V727" s="349"/>
      <c r="W727" s="349"/>
      <c r="X727" s="349"/>
      <c r="Y727" s="349"/>
    </row>
    <row r="728" ht="15.75" customHeight="1">
      <c r="A728" s="349"/>
      <c r="B728" s="349"/>
      <c r="C728" s="349"/>
      <c r="D728" s="349"/>
      <c r="E728" s="349"/>
      <c r="F728" s="349"/>
      <c r="G728" s="349"/>
      <c r="H728" s="349"/>
      <c r="I728" s="349"/>
      <c r="J728" s="349"/>
      <c r="K728" s="349"/>
      <c r="L728" s="349"/>
      <c r="M728" s="349"/>
      <c r="N728" s="349"/>
      <c r="O728" s="349"/>
      <c r="P728" s="349"/>
      <c r="Q728" s="349"/>
      <c r="R728" s="349"/>
      <c r="S728" s="349"/>
      <c r="T728" s="349"/>
      <c r="U728" s="349"/>
      <c r="V728" s="349"/>
      <c r="W728" s="349"/>
      <c r="X728" s="349"/>
      <c r="Y728" s="349"/>
    </row>
    <row r="729" ht="15.75" customHeight="1">
      <c r="A729" s="349"/>
      <c r="B729" s="349"/>
      <c r="C729" s="349"/>
      <c r="D729" s="349"/>
      <c r="E729" s="349"/>
      <c r="F729" s="349"/>
      <c r="G729" s="349"/>
      <c r="H729" s="349"/>
      <c r="I729" s="349"/>
      <c r="J729" s="349"/>
      <c r="K729" s="349"/>
      <c r="L729" s="349"/>
      <c r="M729" s="349"/>
      <c r="N729" s="349"/>
      <c r="O729" s="349"/>
      <c r="P729" s="349"/>
      <c r="Q729" s="349"/>
      <c r="R729" s="349"/>
      <c r="S729" s="349"/>
      <c r="T729" s="349"/>
      <c r="U729" s="349"/>
      <c r="V729" s="349"/>
      <c r="W729" s="349"/>
      <c r="X729" s="349"/>
      <c r="Y729" s="349"/>
    </row>
    <row r="730" ht="15.75" customHeight="1">
      <c r="A730" s="349"/>
      <c r="B730" s="349"/>
      <c r="C730" s="349"/>
      <c r="D730" s="349"/>
      <c r="E730" s="349"/>
      <c r="F730" s="349"/>
      <c r="G730" s="349"/>
      <c r="H730" s="349"/>
      <c r="I730" s="349"/>
      <c r="J730" s="349"/>
      <c r="K730" s="349"/>
      <c r="L730" s="349"/>
      <c r="M730" s="349"/>
      <c r="N730" s="349"/>
      <c r="O730" s="349"/>
      <c r="P730" s="349"/>
      <c r="Q730" s="349"/>
      <c r="R730" s="349"/>
      <c r="S730" s="349"/>
      <c r="T730" s="349"/>
      <c r="U730" s="349"/>
      <c r="V730" s="349"/>
      <c r="W730" s="349"/>
      <c r="X730" s="349"/>
      <c r="Y730" s="349"/>
    </row>
    <row r="731" ht="15.75" customHeight="1">
      <c r="A731" s="349"/>
      <c r="B731" s="349"/>
      <c r="C731" s="349"/>
      <c r="D731" s="349"/>
      <c r="E731" s="349"/>
      <c r="F731" s="349"/>
      <c r="G731" s="349"/>
      <c r="H731" s="349"/>
      <c r="I731" s="349"/>
      <c r="J731" s="349"/>
      <c r="K731" s="349"/>
      <c r="L731" s="349"/>
      <c r="M731" s="349"/>
      <c r="N731" s="349"/>
      <c r="O731" s="349"/>
      <c r="P731" s="349"/>
      <c r="Q731" s="349"/>
      <c r="R731" s="349"/>
      <c r="S731" s="349"/>
      <c r="T731" s="349"/>
      <c r="U731" s="349"/>
      <c r="V731" s="349"/>
      <c r="W731" s="349"/>
      <c r="X731" s="349"/>
      <c r="Y731" s="349"/>
    </row>
    <row r="732" ht="15.75" customHeight="1">
      <c r="A732" s="349"/>
      <c r="B732" s="349"/>
      <c r="C732" s="349"/>
      <c r="D732" s="349"/>
      <c r="E732" s="349"/>
      <c r="F732" s="349"/>
      <c r="G732" s="349"/>
      <c r="H732" s="349"/>
      <c r="I732" s="349"/>
      <c r="J732" s="349"/>
      <c r="K732" s="349"/>
      <c r="L732" s="349"/>
      <c r="M732" s="349"/>
      <c r="N732" s="349"/>
      <c r="O732" s="349"/>
      <c r="P732" s="349"/>
      <c r="Q732" s="349"/>
      <c r="R732" s="349"/>
      <c r="S732" s="349"/>
      <c r="T732" s="349"/>
      <c r="U732" s="349"/>
      <c r="V732" s="349"/>
      <c r="W732" s="349"/>
      <c r="X732" s="349"/>
      <c r="Y732" s="349"/>
    </row>
    <row r="733" ht="15.75" customHeight="1">
      <c r="A733" s="349"/>
      <c r="B733" s="349"/>
      <c r="C733" s="349"/>
      <c r="D733" s="349"/>
      <c r="E733" s="349"/>
      <c r="F733" s="349"/>
      <c r="G733" s="349"/>
      <c r="H733" s="349"/>
      <c r="I733" s="349"/>
      <c r="J733" s="349"/>
      <c r="K733" s="349"/>
      <c r="L733" s="349"/>
      <c r="M733" s="349"/>
      <c r="N733" s="349"/>
      <c r="O733" s="349"/>
      <c r="P733" s="349"/>
      <c r="Q733" s="349"/>
      <c r="R733" s="349"/>
      <c r="S733" s="349"/>
      <c r="T733" s="349"/>
      <c r="U733" s="349"/>
      <c r="V733" s="349"/>
      <c r="W733" s="349"/>
      <c r="X733" s="349"/>
      <c r="Y733" s="349"/>
    </row>
    <row r="734" ht="15.75" customHeight="1">
      <c r="A734" s="349"/>
      <c r="B734" s="349"/>
      <c r="C734" s="349"/>
      <c r="D734" s="349"/>
      <c r="E734" s="349"/>
      <c r="F734" s="349"/>
      <c r="G734" s="349"/>
      <c r="H734" s="349"/>
      <c r="I734" s="349"/>
      <c r="J734" s="349"/>
      <c r="K734" s="349"/>
      <c r="L734" s="349"/>
      <c r="M734" s="349"/>
      <c r="N734" s="349"/>
      <c r="O734" s="349"/>
      <c r="P734" s="349"/>
      <c r="Q734" s="349"/>
      <c r="R734" s="349"/>
      <c r="S734" s="349"/>
      <c r="T734" s="349"/>
      <c r="U734" s="349"/>
      <c r="V734" s="349"/>
      <c r="W734" s="349"/>
      <c r="X734" s="349"/>
      <c r="Y734" s="349"/>
    </row>
    <row r="735" ht="15.75" customHeight="1">
      <c r="A735" s="349"/>
      <c r="B735" s="349"/>
      <c r="C735" s="349"/>
      <c r="D735" s="349"/>
      <c r="E735" s="349"/>
      <c r="F735" s="349"/>
      <c r="G735" s="349"/>
      <c r="H735" s="349"/>
      <c r="I735" s="349"/>
      <c r="J735" s="349"/>
      <c r="K735" s="349"/>
      <c r="L735" s="349"/>
      <c r="M735" s="349"/>
      <c r="N735" s="349"/>
      <c r="O735" s="349"/>
      <c r="P735" s="349"/>
      <c r="Q735" s="349"/>
      <c r="R735" s="349"/>
      <c r="S735" s="349"/>
      <c r="T735" s="349"/>
      <c r="U735" s="349"/>
      <c r="V735" s="349"/>
      <c r="W735" s="349"/>
      <c r="X735" s="349"/>
      <c r="Y735" s="349"/>
    </row>
    <row r="736" ht="15.75" customHeight="1">
      <c r="A736" s="349"/>
      <c r="B736" s="349"/>
      <c r="C736" s="349"/>
      <c r="D736" s="349"/>
      <c r="E736" s="349"/>
      <c r="F736" s="349"/>
      <c r="G736" s="349"/>
      <c r="H736" s="349"/>
      <c r="I736" s="349"/>
      <c r="J736" s="349"/>
      <c r="K736" s="349"/>
      <c r="L736" s="349"/>
      <c r="M736" s="349"/>
      <c r="N736" s="349"/>
      <c r="O736" s="349"/>
      <c r="P736" s="349"/>
      <c r="Q736" s="349"/>
      <c r="R736" s="349"/>
      <c r="S736" s="349"/>
      <c r="T736" s="349"/>
      <c r="U736" s="349"/>
      <c r="V736" s="349"/>
      <c r="W736" s="349"/>
      <c r="X736" s="349"/>
      <c r="Y736" s="349"/>
    </row>
    <row r="737" ht="15.75" customHeight="1">
      <c r="A737" s="349"/>
      <c r="B737" s="349"/>
      <c r="C737" s="349"/>
      <c r="D737" s="349"/>
      <c r="E737" s="349"/>
      <c r="F737" s="349"/>
      <c r="G737" s="349"/>
      <c r="H737" s="349"/>
      <c r="I737" s="349"/>
      <c r="J737" s="349"/>
      <c r="K737" s="349"/>
      <c r="L737" s="349"/>
      <c r="M737" s="349"/>
      <c r="N737" s="349"/>
      <c r="O737" s="349"/>
      <c r="P737" s="349"/>
      <c r="Q737" s="349"/>
      <c r="R737" s="349"/>
      <c r="S737" s="349"/>
      <c r="T737" s="349"/>
      <c r="U737" s="349"/>
      <c r="V737" s="349"/>
      <c r="W737" s="349"/>
      <c r="X737" s="349"/>
      <c r="Y737" s="349"/>
    </row>
    <row r="738" ht="15.75" customHeight="1">
      <c r="A738" s="349"/>
      <c r="B738" s="349"/>
      <c r="C738" s="349"/>
      <c r="D738" s="349"/>
      <c r="E738" s="349"/>
      <c r="F738" s="349"/>
      <c r="G738" s="349"/>
      <c r="H738" s="349"/>
      <c r="I738" s="349"/>
      <c r="J738" s="349"/>
      <c r="K738" s="349"/>
      <c r="L738" s="349"/>
      <c r="M738" s="349"/>
      <c r="N738" s="349"/>
      <c r="O738" s="349"/>
      <c r="P738" s="349"/>
      <c r="Q738" s="349"/>
      <c r="R738" s="349"/>
      <c r="S738" s="349"/>
      <c r="T738" s="349"/>
      <c r="U738" s="349"/>
      <c r="V738" s="349"/>
      <c r="W738" s="349"/>
      <c r="X738" s="349"/>
      <c r="Y738" s="349"/>
    </row>
    <row r="739" ht="15.75" customHeight="1">
      <c r="A739" s="349"/>
      <c r="B739" s="349"/>
      <c r="C739" s="349"/>
      <c r="D739" s="349"/>
      <c r="E739" s="349"/>
      <c r="F739" s="349"/>
      <c r="G739" s="349"/>
      <c r="H739" s="349"/>
      <c r="I739" s="349"/>
      <c r="J739" s="349"/>
      <c r="K739" s="349"/>
      <c r="L739" s="349"/>
      <c r="M739" s="349"/>
      <c r="N739" s="349"/>
      <c r="O739" s="349"/>
      <c r="P739" s="349"/>
      <c r="Q739" s="349"/>
      <c r="R739" s="349"/>
      <c r="S739" s="349"/>
      <c r="T739" s="349"/>
      <c r="U739" s="349"/>
      <c r="V739" s="349"/>
      <c r="W739" s="349"/>
      <c r="X739" s="349"/>
      <c r="Y739" s="349"/>
    </row>
    <row r="740" ht="15.75" customHeight="1">
      <c r="A740" s="349"/>
      <c r="B740" s="349"/>
      <c r="C740" s="349"/>
      <c r="D740" s="349"/>
      <c r="E740" s="349"/>
      <c r="F740" s="349"/>
      <c r="G740" s="349"/>
      <c r="H740" s="349"/>
      <c r="I740" s="349"/>
      <c r="J740" s="349"/>
      <c r="K740" s="349"/>
      <c r="L740" s="349"/>
      <c r="M740" s="349"/>
      <c r="N740" s="349"/>
      <c r="O740" s="349"/>
      <c r="P740" s="349"/>
      <c r="Q740" s="349"/>
      <c r="R740" s="349"/>
      <c r="S740" s="349"/>
      <c r="T740" s="349"/>
      <c r="U740" s="349"/>
      <c r="V740" s="349"/>
      <c r="W740" s="349"/>
      <c r="X740" s="349"/>
      <c r="Y740" s="349"/>
    </row>
    <row r="741" ht="15.75" customHeight="1">
      <c r="A741" s="349"/>
      <c r="B741" s="349"/>
      <c r="C741" s="349"/>
      <c r="D741" s="349"/>
      <c r="E741" s="349"/>
      <c r="F741" s="349"/>
      <c r="G741" s="349"/>
      <c r="H741" s="349"/>
      <c r="I741" s="349"/>
      <c r="J741" s="349"/>
      <c r="K741" s="349"/>
      <c r="L741" s="349"/>
      <c r="M741" s="349"/>
      <c r="N741" s="349"/>
      <c r="O741" s="349"/>
      <c r="P741" s="349"/>
      <c r="Q741" s="349"/>
      <c r="R741" s="349"/>
      <c r="S741" s="349"/>
      <c r="T741" s="349"/>
      <c r="U741" s="349"/>
      <c r="V741" s="349"/>
      <c r="W741" s="349"/>
      <c r="X741" s="349"/>
      <c r="Y741" s="349"/>
    </row>
    <row r="742" ht="15.75" customHeight="1">
      <c r="A742" s="349"/>
      <c r="B742" s="349"/>
      <c r="C742" s="349"/>
      <c r="D742" s="349"/>
      <c r="E742" s="349"/>
      <c r="F742" s="349"/>
      <c r="G742" s="349"/>
      <c r="H742" s="349"/>
      <c r="I742" s="349"/>
      <c r="J742" s="349"/>
      <c r="K742" s="349"/>
      <c r="L742" s="349"/>
      <c r="M742" s="349"/>
      <c r="N742" s="349"/>
      <c r="O742" s="349"/>
      <c r="P742" s="349"/>
      <c r="Q742" s="349"/>
      <c r="R742" s="349"/>
      <c r="S742" s="349"/>
      <c r="T742" s="349"/>
      <c r="U742" s="349"/>
      <c r="V742" s="349"/>
      <c r="W742" s="349"/>
      <c r="X742" s="349"/>
      <c r="Y742" s="349"/>
    </row>
    <row r="743" ht="15.75" customHeight="1">
      <c r="A743" s="349"/>
      <c r="B743" s="349"/>
      <c r="C743" s="349"/>
      <c r="D743" s="349"/>
      <c r="E743" s="349"/>
      <c r="F743" s="349"/>
      <c r="G743" s="349"/>
      <c r="H743" s="349"/>
      <c r="I743" s="349"/>
      <c r="J743" s="349"/>
      <c r="K743" s="349"/>
      <c r="L743" s="349"/>
      <c r="M743" s="349"/>
      <c r="N743" s="349"/>
      <c r="O743" s="349"/>
      <c r="P743" s="349"/>
      <c r="Q743" s="349"/>
      <c r="R743" s="349"/>
      <c r="S743" s="349"/>
      <c r="T743" s="349"/>
      <c r="U743" s="349"/>
      <c r="V743" s="349"/>
      <c r="W743" s="349"/>
      <c r="X743" s="349"/>
      <c r="Y743" s="349"/>
    </row>
    <row r="744" ht="15.75" customHeight="1">
      <c r="A744" s="349"/>
      <c r="B744" s="349"/>
      <c r="C744" s="349"/>
      <c r="D744" s="349"/>
      <c r="E744" s="349"/>
      <c r="F744" s="349"/>
      <c r="G744" s="349"/>
      <c r="H744" s="349"/>
      <c r="I744" s="349"/>
      <c r="J744" s="349"/>
      <c r="K744" s="349"/>
      <c r="L744" s="349"/>
      <c r="M744" s="349"/>
      <c r="N744" s="349"/>
      <c r="O744" s="349"/>
      <c r="P744" s="349"/>
      <c r="Q744" s="349"/>
      <c r="R744" s="349"/>
      <c r="S744" s="349"/>
      <c r="T744" s="349"/>
      <c r="U744" s="349"/>
      <c r="V744" s="349"/>
      <c r="W744" s="349"/>
      <c r="X744" s="349"/>
      <c r="Y744" s="349"/>
    </row>
    <row r="745" ht="15.75" customHeight="1">
      <c r="A745" s="349"/>
      <c r="B745" s="349"/>
      <c r="C745" s="349"/>
      <c r="D745" s="349"/>
      <c r="E745" s="349"/>
      <c r="F745" s="349"/>
      <c r="G745" s="349"/>
      <c r="H745" s="349"/>
      <c r="I745" s="349"/>
      <c r="J745" s="349"/>
      <c r="K745" s="349"/>
      <c r="L745" s="349"/>
      <c r="M745" s="349"/>
      <c r="N745" s="349"/>
      <c r="O745" s="349"/>
      <c r="P745" s="349"/>
      <c r="Q745" s="349"/>
      <c r="R745" s="349"/>
      <c r="S745" s="349"/>
      <c r="T745" s="349"/>
      <c r="U745" s="349"/>
      <c r="V745" s="349"/>
      <c r="W745" s="349"/>
      <c r="X745" s="349"/>
      <c r="Y745" s="349"/>
    </row>
    <row r="746" ht="15.75" customHeight="1">
      <c r="A746" s="349"/>
      <c r="B746" s="349"/>
      <c r="C746" s="349"/>
      <c r="D746" s="349"/>
      <c r="E746" s="349"/>
      <c r="F746" s="349"/>
      <c r="G746" s="349"/>
      <c r="H746" s="349"/>
      <c r="I746" s="349"/>
      <c r="J746" s="349"/>
      <c r="K746" s="349"/>
      <c r="L746" s="349"/>
      <c r="M746" s="349"/>
      <c r="N746" s="349"/>
      <c r="O746" s="349"/>
      <c r="P746" s="349"/>
      <c r="Q746" s="349"/>
      <c r="R746" s="349"/>
      <c r="S746" s="349"/>
      <c r="T746" s="349"/>
      <c r="U746" s="349"/>
      <c r="V746" s="349"/>
      <c r="W746" s="349"/>
      <c r="X746" s="349"/>
      <c r="Y746" s="349"/>
    </row>
    <row r="747" ht="15.75" customHeight="1">
      <c r="A747" s="349"/>
      <c r="B747" s="349"/>
      <c r="C747" s="349"/>
      <c r="D747" s="349"/>
      <c r="E747" s="349"/>
      <c r="F747" s="349"/>
      <c r="G747" s="349"/>
      <c r="H747" s="349"/>
      <c r="I747" s="349"/>
      <c r="J747" s="349"/>
      <c r="K747" s="349"/>
      <c r="L747" s="349"/>
      <c r="M747" s="349"/>
      <c r="N747" s="349"/>
      <c r="O747" s="349"/>
      <c r="P747" s="349"/>
      <c r="Q747" s="349"/>
      <c r="R747" s="349"/>
      <c r="S747" s="349"/>
      <c r="T747" s="349"/>
      <c r="U747" s="349"/>
      <c r="V747" s="349"/>
      <c r="W747" s="349"/>
      <c r="X747" s="349"/>
      <c r="Y747" s="349"/>
    </row>
    <row r="748" ht="15.75" customHeight="1">
      <c r="A748" s="349"/>
      <c r="B748" s="349"/>
      <c r="C748" s="349"/>
      <c r="D748" s="349"/>
      <c r="E748" s="349"/>
      <c r="F748" s="349"/>
      <c r="G748" s="349"/>
      <c r="H748" s="349"/>
      <c r="I748" s="349"/>
      <c r="J748" s="349"/>
      <c r="K748" s="349"/>
      <c r="L748" s="349"/>
      <c r="M748" s="349"/>
      <c r="N748" s="349"/>
      <c r="O748" s="349"/>
      <c r="P748" s="349"/>
      <c r="Q748" s="349"/>
      <c r="R748" s="349"/>
      <c r="S748" s="349"/>
      <c r="T748" s="349"/>
      <c r="U748" s="349"/>
      <c r="V748" s="349"/>
      <c r="W748" s="349"/>
      <c r="X748" s="349"/>
      <c r="Y748" s="349"/>
    </row>
    <row r="749" ht="15.75" customHeight="1">
      <c r="A749" s="349"/>
      <c r="B749" s="349"/>
      <c r="C749" s="349"/>
      <c r="D749" s="349"/>
      <c r="E749" s="349"/>
      <c r="F749" s="349"/>
      <c r="G749" s="349"/>
      <c r="H749" s="349"/>
      <c r="I749" s="349"/>
      <c r="J749" s="349"/>
      <c r="K749" s="349"/>
      <c r="L749" s="349"/>
      <c r="M749" s="349"/>
      <c r="N749" s="349"/>
      <c r="O749" s="349"/>
      <c r="P749" s="349"/>
      <c r="Q749" s="349"/>
      <c r="R749" s="349"/>
      <c r="S749" s="349"/>
      <c r="T749" s="349"/>
      <c r="U749" s="349"/>
      <c r="V749" s="349"/>
      <c r="W749" s="349"/>
      <c r="X749" s="349"/>
      <c r="Y749" s="349"/>
    </row>
    <row r="750" ht="15.75" customHeight="1">
      <c r="A750" s="349"/>
      <c r="B750" s="349"/>
      <c r="C750" s="349"/>
      <c r="D750" s="349"/>
      <c r="E750" s="349"/>
      <c r="F750" s="349"/>
      <c r="G750" s="349"/>
      <c r="H750" s="349"/>
      <c r="I750" s="349"/>
      <c r="J750" s="349"/>
      <c r="K750" s="349"/>
      <c r="L750" s="349"/>
      <c r="M750" s="349"/>
      <c r="N750" s="349"/>
      <c r="O750" s="349"/>
      <c r="P750" s="349"/>
      <c r="Q750" s="349"/>
      <c r="R750" s="349"/>
      <c r="S750" s="349"/>
      <c r="T750" s="349"/>
      <c r="U750" s="349"/>
      <c r="V750" s="349"/>
      <c r="W750" s="349"/>
      <c r="X750" s="349"/>
      <c r="Y750" s="349"/>
    </row>
    <row r="751" ht="15.75" customHeight="1">
      <c r="A751" s="349"/>
      <c r="B751" s="349"/>
      <c r="C751" s="349"/>
      <c r="D751" s="349"/>
      <c r="E751" s="349"/>
      <c r="F751" s="349"/>
      <c r="G751" s="349"/>
      <c r="H751" s="349"/>
      <c r="I751" s="349"/>
      <c r="J751" s="349"/>
      <c r="K751" s="349"/>
      <c r="L751" s="349"/>
      <c r="M751" s="349"/>
      <c r="N751" s="349"/>
      <c r="O751" s="349"/>
      <c r="P751" s="349"/>
      <c r="Q751" s="349"/>
      <c r="R751" s="349"/>
      <c r="S751" s="349"/>
      <c r="T751" s="349"/>
      <c r="U751" s="349"/>
      <c r="V751" s="349"/>
      <c r="W751" s="349"/>
      <c r="X751" s="349"/>
      <c r="Y751" s="349"/>
    </row>
    <row r="752" ht="15.75" customHeight="1">
      <c r="A752" s="349"/>
      <c r="B752" s="349"/>
      <c r="C752" s="349"/>
      <c r="D752" s="349"/>
      <c r="E752" s="349"/>
      <c r="F752" s="349"/>
      <c r="G752" s="349"/>
      <c r="H752" s="349"/>
      <c r="I752" s="349"/>
      <c r="J752" s="349"/>
      <c r="K752" s="349"/>
      <c r="L752" s="349"/>
      <c r="M752" s="349"/>
      <c r="N752" s="349"/>
      <c r="O752" s="349"/>
      <c r="P752" s="349"/>
      <c r="Q752" s="349"/>
      <c r="R752" s="349"/>
      <c r="S752" s="349"/>
      <c r="T752" s="349"/>
      <c r="U752" s="349"/>
      <c r="V752" s="349"/>
      <c r="W752" s="349"/>
      <c r="X752" s="349"/>
      <c r="Y752" s="349"/>
    </row>
    <row r="753" ht="15.75" customHeight="1">
      <c r="A753" s="349"/>
      <c r="B753" s="349"/>
      <c r="C753" s="349"/>
      <c r="D753" s="349"/>
      <c r="E753" s="349"/>
      <c r="F753" s="349"/>
      <c r="G753" s="349"/>
      <c r="H753" s="349"/>
      <c r="I753" s="349"/>
      <c r="J753" s="349"/>
      <c r="K753" s="349"/>
      <c r="L753" s="349"/>
      <c r="M753" s="349"/>
      <c r="N753" s="349"/>
      <c r="O753" s="349"/>
      <c r="P753" s="349"/>
      <c r="Q753" s="349"/>
      <c r="R753" s="349"/>
      <c r="S753" s="349"/>
      <c r="T753" s="349"/>
      <c r="U753" s="349"/>
      <c r="V753" s="349"/>
      <c r="W753" s="349"/>
      <c r="X753" s="349"/>
      <c r="Y753" s="349"/>
    </row>
    <row r="754" ht="15.75" customHeight="1">
      <c r="A754" s="349"/>
      <c r="B754" s="349"/>
      <c r="C754" s="349"/>
      <c r="D754" s="349"/>
      <c r="E754" s="349"/>
      <c r="F754" s="349"/>
      <c r="G754" s="349"/>
      <c r="H754" s="349"/>
      <c r="I754" s="349"/>
      <c r="J754" s="349"/>
      <c r="K754" s="349"/>
      <c r="L754" s="349"/>
      <c r="M754" s="349"/>
      <c r="N754" s="349"/>
      <c r="O754" s="349"/>
      <c r="P754" s="349"/>
      <c r="Q754" s="349"/>
      <c r="R754" s="349"/>
      <c r="S754" s="349"/>
      <c r="T754" s="349"/>
      <c r="U754" s="349"/>
      <c r="V754" s="349"/>
      <c r="W754" s="349"/>
      <c r="X754" s="349"/>
      <c r="Y754" s="349"/>
    </row>
    <row r="755" ht="15.75" customHeight="1">
      <c r="A755" s="349"/>
      <c r="B755" s="349"/>
      <c r="C755" s="349"/>
      <c r="D755" s="349"/>
      <c r="E755" s="349"/>
      <c r="F755" s="349"/>
      <c r="G755" s="349"/>
      <c r="H755" s="349"/>
      <c r="I755" s="349"/>
      <c r="J755" s="349"/>
      <c r="K755" s="349"/>
      <c r="L755" s="349"/>
      <c r="M755" s="349"/>
      <c r="N755" s="349"/>
      <c r="O755" s="349"/>
      <c r="P755" s="349"/>
      <c r="Q755" s="349"/>
      <c r="R755" s="349"/>
      <c r="S755" s="349"/>
      <c r="T755" s="349"/>
      <c r="U755" s="349"/>
      <c r="V755" s="349"/>
      <c r="W755" s="349"/>
      <c r="X755" s="349"/>
      <c r="Y755" s="349"/>
    </row>
    <row r="756" ht="15.75" customHeight="1">
      <c r="A756" s="349"/>
      <c r="B756" s="349"/>
      <c r="C756" s="349"/>
      <c r="D756" s="349"/>
      <c r="E756" s="349"/>
      <c r="F756" s="349"/>
      <c r="G756" s="349"/>
      <c r="H756" s="349"/>
      <c r="I756" s="349"/>
      <c r="J756" s="349"/>
      <c r="K756" s="349"/>
      <c r="L756" s="349"/>
      <c r="M756" s="349"/>
      <c r="N756" s="349"/>
      <c r="O756" s="349"/>
      <c r="P756" s="349"/>
      <c r="Q756" s="349"/>
      <c r="R756" s="349"/>
      <c r="S756" s="349"/>
      <c r="T756" s="349"/>
      <c r="U756" s="349"/>
      <c r="V756" s="349"/>
      <c r="W756" s="349"/>
      <c r="X756" s="349"/>
      <c r="Y756" s="349"/>
    </row>
    <row r="757" ht="15.75" customHeight="1">
      <c r="A757" s="349"/>
      <c r="B757" s="349"/>
      <c r="C757" s="349"/>
      <c r="D757" s="349"/>
      <c r="E757" s="349"/>
      <c r="F757" s="349"/>
      <c r="G757" s="349"/>
      <c r="H757" s="349"/>
      <c r="I757" s="349"/>
      <c r="J757" s="349"/>
      <c r="K757" s="349"/>
      <c r="L757" s="349"/>
      <c r="M757" s="349"/>
      <c r="N757" s="349"/>
      <c r="O757" s="349"/>
      <c r="P757" s="349"/>
      <c r="Q757" s="349"/>
      <c r="R757" s="349"/>
      <c r="S757" s="349"/>
      <c r="T757" s="349"/>
      <c r="U757" s="349"/>
      <c r="V757" s="349"/>
      <c r="W757" s="349"/>
      <c r="X757" s="349"/>
      <c r="Y757" s="349"/>
    </row>
    <row r="758" ht="15.75" customHeight="1">
      <c r="A758" s="349"/>
      <c r="B758" s="349"/>
      <c r="C758" s="349"/>
      <c r="D758" s="349"/>
      <c r="E758" s="349"/>
      <c r="F758" s="349"/>
      <c r="G758" s="349"/>
      <c r="H758" s="349"/>
      <c r="I758" s="349"/>
      <c r="J758" s="349"/>
      <c r="K758" s="349"/>
      <c r="L758" s="349"/>
      <c r="M758" s="349"/>
      <c r="N758" s="349"/>
      <c r="O758" s="349"/>
      <c r="P758" s="349"/>
      <c r="Q758" s="349"/>
      <c r="R758" s="349"/>
      <c r="S758" s="349"/>
      <c r="T758" s="349"/>
      <c r="U758" s="349"/>
      <c r="V758" s="349"/>
      <c r="W758" s="349"/>
      <c r="X758" s="349"/>
      <c r="Y758" s="349"/>
    </row>
    <row r="759" ht="15.75" customHeight="1">
      <c r="A759" s="349"/>
      <c r="B759" s="349"/>
      <c r="C759" s="349"/>
      <c r="D759" s="349"/>
      <c r="E759" s="349"/>
      <c r="F759" s="349"/>
      <c r="G759" s="349"/>
      <c r="H759" s="349"/>
      <c r="I759" s="349"/>
      <c r="J759" s="349"/>
      <c r="K759" s="349"/>
      <c r="L759" s="349"/>
      <c r="M759" s="349"/>
      <c r="N759" s="349"/>
      <c r="O759" s="349"/>
      <c r="P759" s="349"/>
      <c r="Q759" s="349"/>
      <c r="R759" s="349"/>
      <c r="S759" s="349"/>
      <c r="T759" s="349"/>
      <c r="U759" s="349"/>
      <c r="V759" s="349"/>
      <c r="W759" s="349"/>
      <c r="X759" s="349"/>
      <c r="Y759" s="349"/>
    </row>
    <row r="760" ht="15.75" customHeight="1">
      <c r="A760" s="349"/>
      <c r="B760" s="349"/>
      <c r="C760" s="349"/>
      <c r="D760" s="349"/>
      <c r="E760" s="349"/>
      <c r="F760" s="349"/>
      <c r="G760" s="349"/>
      <c r="H760" s="349"/>
      <c r="I760" s="349"/>
      <c r="J760" s="349"/>
      <c r="K760" s="349"/>
      <c r="L760" s="349"/>
      <c r="M760" s="349"/>
      <c r="N760" s="349"/>
      <c r="O760" s="349"/>
      <c r="P760" s="349"/>
      <c r="Q760" s="349"/>
      <c r="R760" s="349"/>
      <c r="S760" s="349"/>
      <c r="T760" s="349"/>
      <c r="U760" s="349"/>
      <c r="V760" s="349"/>
      <c r="W760" s="349"/>
      <c r="X760" s="349"/>
      <c r="Y760" s="349"/>
    </row>
    <row r="761" ht="15.75" customHeight="1">
      <c r="A761" s="349"/>
      <c r="B761" s="349"/>
      <c r="C761" s="349"/>
      <c r="D761" s="349"/>
      <c r="E761" s="349"/>
      <c r="F761" s="349"/>
      <c r="G761" s="349"/>
      <c r="H761" s="349"/>
      <c r="I761" s="349"/>
      <c r="J761" s="349"/>
      <c r="K761" s="349"/>
      <c r="L761" s="349"/>
      <c r="M761" s="349"/>
      <c r="N761" s="349"/>
      <c r="O761" s="349"/>
      <c r="P761" s="349"/>
      <c r="Q761" s="349"/>
      <c r="R761" s="349"/>
      <c r="S761" s="349"/>
      <c r="T761" s="349"/>
      <c r="U761" s="349"/>
      <c r="V761" s="349"/>
      <c r="W761" s="349"/>
      <c r="X761" s="349"/>
      <c r="Y761" s="349"/>
    </row>
    <row r="762" ht="15.75" customHeight="1">
      <c r="A762" s="349"/>
      <c r="B762" s="349"/>
      <c r="C762" s="349"/>
      <c r="D762" s="349"/>
      <c r="E762" s="349"/>
      <c r="F762" s="349"/>
      <c r="G762" s="349"/>
      <c r="H762" s="349"/>
      <c r="I762" s="349"/>
      <c r="J762" s="349"/>
      <c r="K762" s="349"/>
      <c r="L762" s="349"/>
      <c r="M762" s="349"/>
      <c r="N762" s="349"/>
      <c r="O762" s="349"/>
      <c r="P762" s="349"/>
      <c r="Q762" s="349"/>
      <c r="R762" s="349"/>
      <c r="S762" s="349"/>
      <c r="T762" s="349"/>
      <c r="U762" s="349"/>
      <c r="V762" s="349"/>
      <c r="W762" s="349"/>
      <c r="X762" s="349"/>
      <c r="Y762" s="349"/>
    </row>
    <row r="763" ht="15.75" customHeight="1">
      <c r="A763" s="349"/>
      <c r="B763" s="349"/>
      <c r="C763" s="349"/>
      <c r="D763" s="349"/>
      <c r="E763" s="349"/>
      <c r="F763" s="349"/>
      <c r="G763" s="349"/>
      <c r="H763" s="349"/>
      <c r="I763" s="349"/>
      <c r="J763" s="349"/>
      <c r="K763" s="349"/>
      <c r="L763" s="349"/>
      <c r="M763" s="349"/>
      <c r="N763" s="349"/>
      <c r="O763" s="349"/>
      <c r="P763" s="349"/>
      <c r="Q763" s="349"/>
      <c r="R763" s="349"/>
      <c r="S763" s="349"/>
      <c r="T763" s="349"/>
      <c r="U763" s="349"/>
      <c r="V763" s="349"/>
      <c r="W763" s="349"/>
      <c r="X763" s="349"/>
      <c r="Y763" s="349"/>
    </row>
    <row r="764" ht="15.75" customHeight="1">
      <c r="A764" s="349"/>
      <c r="B764" s="349"/>
      <c r="C764" s="349"/>
      <c r="D764" s="349"/>
      <c r="E764" s="349"/>
      <c r="F764" s="349"/>
      <c r="G764" s="349"/>
      <c r="H764" s="349"/>
      <c r="I764" s="349"/>
      <c r="J764" s="349"/>
      <c r="K764" s="349"/>
      <c r="L764" s="349"/>
      <c r="M764" s="349"/>
      <c r="N764" s="349"/>
      <c r="O764" s="349"/>
      <c r="P764" s="349"/>
      <c r="Q764" s="349"/>
      <c r="R764" s="349"/>
      <c r="S764" s="349"/>
      <c r="T764" s="349"/>
      <c r="U764" s="349"/>
      <c r="V764" s="349"/>
      <c r="W764" s="349"/>
      <c r="X764" s="349"/>
      <c r="Y764" s="349"/>
    </row>
    <row r="765" ht="15.75" customHeight="1">
      <c r="A765" s="349"/>
      <c r="B765" s="349"/>
      <c r="C765" s="349"/>
      <c r="D765" s="349"/>
      <c r="E765" s="349"/>
      <c r="F765" s="349"/>
      <c r="G765" s="349"/>
      <c r="H765" s="349"/>
      <c r="I765" s="349"/>
      <c r="J765" s="349"/>
      <c r="K765" s="349"/>
      <c r="L765" s="349"/>
      <c r="M765" s="349"/>
      <c r="N765" s="349"/>
      <c r="O765" s="349"/>
      <c r="P765" s="349"/>
      <c r="Q765" s="349"/>
      <c r="R765" s="349"/>
      <c r="S765" s="349"/>
      <c r="T765" s="349"/>
      <c r="U765" s="349"/>
      <c r="V765" s="349"/>
      <c r="W765" s="349"/>
      <c r="X765" s="349"/>
      <c r="Y765" s="349"/>
    </row>
    <row r="766" ht="15.75" customHeight="1">
      <c r="A766" s="349"/>
      <c r="B766" s="349"/>
      <c r="C766" s="349"/>
      <c r="D766" s="349"/>
      <c r="E766" s="349"/>
      <c r="F766" s="349"/>
      <c r="G766" s="349"/>
      <c r="H766" s="349"/>
      <c r="I766" s="349"/>
      <c r="J766" s="349"/>
      <c r="K766" s="349"/>
      <c r="L766" s="349"/>
      <c r="M766" s="349"/>
      <c r="N766" s="349"/>
      <c r="O766" s="349"/>
      <c r="P766" s="349"/>
      <c r="Q766" s="349"/>
      <c r="R766" s="349"/>
      <c r="S766" s="349"/>
      <c r="T766" s="349"/>
      <c r="U766" s="349"/>
      <c r="V766" s="349"/>
      <c r="W766" s="349"/>
      <c r="X766" s="349"/>
      <c r="Y766" s="349"/>
    </row>
    <row r="767" ht="15.75" customHeight="1">
      <c r="A767" s="349"/>
      <c r="B767" s="349"/>
      <c r="C767" s="349"/>
      <c r="D767" s="349"/>
      <c r="E767" s="349"/>
      <c r="F767" s="349"/>
      <c r="G767" s="349"/>
      <c r="H767" s="349"/>
      <c r="I767" s="349"/>
      <c r="J767" s="349"/>
      <c r="K767" s="349"/>
      <c r="L767" s="349"/>
      <c r="M767" s="349"/>
      <c r="N767" s="349"/>
      <c r="O767" s="349"/>
      <c r="P767" s="349"/>
      <c r="Q767" s="349"/>
      <c r="R767" s="349"/>
      <c r="S767" s="349"/>
      <c r="T767" s="349"/>
      <c r="U767" s="349"/>
      <c r="V767" s="349"/>
      <c r="W767" s="349"/>
      <c r="X767" s="349"/>
      <c r="Y767" s="349"/>
    </row>
    <row r="768" ht="15.75" customHeight="1">
      <c r="A768" s="349"/>
      <c r="B768" s="349"/>
      <c r="C768" s="349"/>
      <c r="D768" s="349"/>
      <c r="E768" s="349"/>
      <c r="F768" s="349"/>
      <c r="G768" s="349"/>
      <c r="H768" s="349"/>
      <c r="I768" s="349"/>
      <c r="J768" s="349"/>
      <c r="K768" s="349"/>
      <c r="L768" s="349"/>
      <c r="M768" s="349"/>
      <c r="N768" s="349"/>
      <c r="O768" s="349"/>
      <c r="P768" s="349"/>
      <c r="Q768" s="349"/>
      <c r="R768" s="349"/>
      <c r="S768" s="349"/>
      <c r="T768" s="349"/>
      <c r="U768" s="349"/>
      <c r="V768" s="349"/>
      <c r="W768" s="349"/>
      <c r="X768" s="349"/>
      <c r="Y768" s="349"/>
    </row>
    <row r="769" ht="15.75" customHeight="1">
      <c r="A769" s="349"/>
      <c r="B769" s="349"/>
      <c r="C769" s="349"/>
      <c r="D769" s="349"/>
      <c r="E769" s="349"/>
      <c r="F769" s="349"/>
      <c r="G769" s="349"/>
      <c r="H769" s="349"/>
      <c r="I769" s="349"/>
      <c r="J769" s="349"/>
      <c r="K769" s="349"/>
      <c r="L769" s="349"/>
      <c r="M769" s="349"/>
      <c r="N769" s="349"/>
      <c r="O769" s="349"/>
      <c r="P769" s="349"/>
      <c r="Q769" s="349"/>
      <c r="R769" s="349"/>
      <c r="S769" s="349"/>
      <c r="T769" s="349"/>
      <c r="U769" s="349"/>
      <c r="V769" s="349"/>
      <c r="W769" s="349"/>
      <c r="X769" s="349"/>
      <c r="Y769" s="349"/>
    </row>
    <row r="770" ht="15.75" customHeight="1">
      <c r="A770" s="349"/>
      <c r="B770" s="349"/>
      <c r="C770" s="349"/>
      <c r="D770" s="349"/>
      <c r="E770" s="349"/>
      <c r="F770" s="349"/>
      <c r="G770" s="349"/>
      <c r="H770" s="349"/>
      <c r="I770" s="349"/>
      <c r="J770" s="349"/>
      <c r="K770" s="349"/>
      <c r="L770" s="349"/>
      <c r="M770" s="349"/>
      <c r="N770" s="349"/>
      <c r="O770" s="349"/>
      <c r="P770" s="349"/>
      <c r="Q770" s="349"/>
      <c r="R770" s="349"/>
      <c r="S770" s="349"/>
      <c r="T770" s="349"/>
      <c r="U770" s="349"/>
      <c r="V770" s="349"/>
      <c r="W770" s="349"/>
      <c r="X770" s="349"/>
      <c r="Y770" s="349"/>
    </row>
    <row r="771" ht="15.75" customHeight="1">
      <c r="A771" s="349"/>
      <c r="B771" s="349"/>
      <c r="C771" s="349"/>
      <c r="D771" s="349"/>
      <c r="E771" s="349"/>
      <c r="F771" s="349"/>
      <c r="G771" s="349"/>
      <c r="H771" s="349"/>
      <c r="I771" s="349"/>
      <c r="J771" s="349"/>
      <c r="K771" s="349"/>
      <c r="L771" s="349"/>
      <c r="M771" s="349"/>
      <c r="N771" s="349"/>
      <c r="O771" s="349"/>
      <c r="P771" s="349"/>
      <c r="Q771" s="349"/>
      <c r="R771" s="349"/>
      <c r="S771" s="349"/>
      <c r="T771" s="349"/>
      <c r="U771" s="349"/>
      <c r="V771" s="349"/>
      <c r="W771" s="349"/>
      <c r="X771" s="349"/>
      <c r="Y771" s="349"/>
    </row>
    <row r="772" ht="15.75" customHeight="1">
      <c r="A772" s="349"/>
      <c r="B772" s="349"/>
      <c r="C772" s="349"/>
      <c r="D772" s="349"/>
      <c r="E772" s="349"/>
      <c r="F772" s="349"/>
      <c r="G772" s="349"/>
      <c r="H772" s="349"/>
      <c r="I772" s="349"/>
      <c r="J772" s="349"/>
      <c r="K772" s="349"/>
      <c r="L772" s="349"/>
      <c r="M772" s="349"/>
      <c r="N772" s="349"/>
      <c r="O772" s="349"/>
      <c r="P772" s="349"/>
      <c r="Q772" s="349"/>
      <c r="R772" s="349"/>
      <c r="S772" s="349"/>
      <c r="T772" s="349"/>
      <c r="U772" s="349"/>
      <c r="V772" s="349"/>
      <c r="W772" s="349"/>
      <c r="X772" s="349"/>
      <c r="Y772" s="349"/>
    </row>
    <row r="773" ht="15.75" customHeight="1">
      <c r="A773" s="349"/>
      <c r="B773" s="349"/>
      <c r="C773" s="349"/>
      <c r="D773" s="349"/>
      <c r="E773" s="349"/>
      <c r="F773" s="349"/>
      <c r="G773" s="349"/>
      <c r="H773" s="349"/>
      <c r="I773" s="349"/>
      <c r="J773" s="349"/>
      <c r="K773" s="349"/>
      <c r="L773" s="349"/>
      <c r="M773" s="349"/>
      <c r="N773" s="349"/>
      <c r="O773" s="349"/>
      <c r="P773" s="349"/>
      <c r="Q773" s="349"/>
      <c r="R773" s="349"/>
      <c r="S773" s="349"/>
      <c r="T773" s="349"/>
      <c r="U773" s="349"/>
      <c r="V773" s="349"/>
      <c r="W773" s="349"/>
      <c r="X773" s="349"/>
      <c r="Y773" s="349"/>
    </row>
    <row r="774" ht="15.75" customHeight="1">
      <c r="A774" s="349"/>
      <c r="B774" s="349"/>
      <c r="C774" s="349"/>
      <c r="D774" s="349"/>
      <c r="E774" s="349"/>
      <c r="F774" s="349"/>
      <c r="G774" s="349"/>
      <c r="H774" s="349"/>
      <c r="I774" s="349"/>
      <c r="J774" s="349"/>
      <c r="K774" s="349"/>
      <c r="L774" s="349"/>
      <c r="M774" s="349"/>
      <c r="N774" s="349"/>
      <c r="O774" s="349"/>
      <c r="P774" s="349"/>
      <c r="Q774" s="349"/>
      <c r="R774" s="349"/>
      <c r="S774" s="349"/>
      <c r="T774" s="349"/>
      <c r="U774" s="349"/>
      <c r="V774" s="349"/>
      <c r="W774" s="349"/>
      <c r="X774" s="349"/>
      <c r="Y774" s="349"/>
    </row>
    <row r="775" ht="15.75" customHeight="1">
      <c r="A775" s="349"/>
      <c r="B775" s="349"/>
      <c r="C775" s="349"/>
      <c r="D775" s="349"/>
      <c r="E775" s="349"/>
      <c r="F775" s="349"/>
      <c r="G775" s="349"/>
      <c r="H775" s="349"/>
      <c r="I775" s="349"/>
      <c r="J775" s="349"/>
      <c r="K775" s="349"/>
      <c r="L775" s="349"/>
      <c r="M775" s="349"/>
      <c r="N775" s="349"/>
      <c r="O775" s="349"/>
      <c r="P775" s="349"/>
      <c r="Q775" s="349"/>
      <c r="R775" s="349"/>
      <c r="S775" s="349"/>
      <c r="T775" s="349"/>
      <c r="U775" s="349"/>
      <c r="V775" s="349"/>
      <c r="W775" s="349"/>
      <c r="X775" s="349"/>
      <c r="Y775" s="349"/>
    </row>
    <row r="776" ht="15.75" customHeight="1">
      <c r="A776" s="349"/>
      <c r="B776" s="349"/>
      <c r="C776" s="349"/>
      <c r="D776" s="349"/>
      <c r="E776" s="349"/>
      <c r="F776" s="349"/>
      <c r="G776" s="349"/>
      <c r="H776" s="349"/>
      <c r="I776" s="349"/>
      <c r="J776" s="349"/>
      <c r="K776" s="349"/>
      <c r="L776" s="349"/>
      <c r="M776" s="349"/>
      <c r="N776" s="349"/>
      <c r="O776" s="349"/>
      <c r="P776" s="349"/>
      <c r="Q776" s="349"/>
      <c r="R776" s="349"/>
      <c r="S776" s="349"/>
      <c r="T776" s="349"/>
      <c r="U776" s="349"/>
      <c r="V776" s="349"/>
      <c r="W776" s="349"/>
      <c r="X776" s="349"/>
      <c r="Y776" s="349"/>
    </row>
    <row r="777" ht="15.75" customHeight="1">
      <c r="A777" s="349"/>
      <c r="B777" s="349"/>
      <c r="C777" s="349"/>
      <c r="D777" s="349"/>
      <c r="E777" s="349"/>
      <c r="F777" s="349"/>
      <c r="G777" s="349"/>
      <c r="H777" s="349"/>
      <c r="I777" s="349"/>
      <c r="J777" s="349"/>
      <c r="K777" s="349"/>
      <c r="L777" s="349"/>
      <c r="M777" s="349"/>
      <c r="N777" s="349"/>
      <c r="O777" s="349"/>
      <c r="P777" s="349"/>
      <c r="Q777" s="349"/>
      <c r="R777" s="349"/>
      <c r="S777" s="349"/>
      <c r="T777" s="349"/>
      <c r="U777" s="349"/>
      <c r="V777" s="349"/>
      <c r="W777" s="349"/>
      <c r="X777" s="349"/>
      <c r="Y777" s="349"/>
    </row>
    <row r="778" ht="15.75" customHeight="1">
      <c r="A778" s="349"/>
      <c r="B778" s="349"/>
      <c r="C778" s="349"/>
      <c r="D778" s="349"/>
      <c r="E778" s="349"/>
      <c r="F778" s="349"/>
      <c r="G778" s="349"/>
      <c r="H778" s="349"/>
      <c r="I778" s="349"/>
      <c r="J778" s="349"/>
      <c r="K778" s="349"/>
      <c r="L778" s="349"/>
      <c r="M778" s="349"/>
      <c r="N778" s="349"/>
      <c r="O778" s="349"/>
      <c r="P778" s="349"/>
      <c r="Q778" s="349"/>
      <c r="R778" s="349"/>
      <c r="S778" s="349"/>
      <c r="T778" s="349"/>
      <c r="U778" s="349"/>
      <c r="V778" s="349"/>
      <c r="W778" s="349"/>
      <c r="X778" s="349"/>
      <c r="Y778" s="349"/>
    </row>
    <row r="779" ht="15.75" customHeight="1">
      <c r="A779" s="349"/>
      <c r="B779" s="349"/>
      <c r="C779" s="349"/>
      <c r="D779" s="349"/>
      <c r="E779" s="349"/>
      <c r="F779" s="349"/>
      <c r="G779" s="349"/>
      <c r="H779" s="349"/>
      <c r="I779" s="349"/>
      <c r="J779" s="349"/>
      <c r="K779" s="349"/>
      <c r="L779" s="349"/>
      <c r="M779" s="349"/>
      <c r="N779" s="349"/>
      <c r="O779" s="349"/>
      <c r="P779" s="349"/>
      <c r="Q779" s="349"/>
      <c r="R779" s="349"/>
      <c r="S779" s="349"/>
      <c r="T779" s="349"/>
      <c r="U779" s="349"/>
      <c r="V779" s="349"/>
      <c r="W779" s="349"/>
      <c r="X779" s="349"/>
      <c r="Y779" s="349"/>
    </row>
    <row r="780" ht="15.75" customHeight="1">
      <c r="A780" s="349"/>
      <c r="B780" s="349"/>
      <c r="C780" s="349"/>
      <c r="D780" s="349"/>
      <c r="E780" s="349"/>
      <c r="F780" s="349"/>
      <c r="G780" s="349"/>
      <c r="H780" s="349"/>
      <c r="I780" s="349"/>
      <c r="J780" s="349"/>
      <c r="K780" s="349"/>
      <c r="L780" s="349"/>
      <c r="M780" s="349"/>
      <c r="N780" s="349"/>
      <c r="O780" s="349"/>
      <c r="P780" s="349"/>
      <c r="Q780" s="349"/>
      <c r="R780" s="349"/>
      <c r="S780" s="349"/>
      <c r="T780" s="349"/>
      <c r="U780" s="349"/>
      <c r="V780" s="349"/>
      <c r="W780" s="349"/>
      <c r="X780" s="349"/>
      <c r="Y780" s="349"/>
    </row>
    <row r="781" ht="15.75" customHeight="1">
      <c r="A781" s="349"/>
      <c r="B781" s="349"/>
      <c r="C781" s="349"/>
      <c r="D781" s="349"/>
      <c r="E781" s="349"/>
      <c r="F781" s="349"/>
      <c r="G781" s="349"/>
      <c r="H781" s="349"/>
      <c r="I781" s="349"/>
      <c r="J781" s="349"/>
      <c r="K781" s="349"/>
      <c r="L781" s="349"/>
      <c r="M781" s="349"/>
      <c r="N781" s="349"/>
      <c r="O781" s="349"/>
      <c r="P781" s="349"/>
      <c r="Q781" s="349"/>
      <c r="R781" s="349"/>
      <c r="S781" s="349"/>
      <c r="T781" s="349"/>
      <c r="U781" s="349"/>
      <c r="V781" s="349"/>
      <c r="W781" s="349"/>
      <c r="X781" s="349"/>
      <c r="Y781" s="349"/>
    </row>
    <row r="782" ht="15.75" customHeight="1">
      <c r="A782" s="349"/>
      <c r="B782" s="349"/>
      <c r="C782" s="349"/>
      <c r="D782" s="349"/>
      <c r="E782" s="349"/>
      <c r="F782" s="349"/>
      <c r="G782" s="349"/>
      <c r="H782" s="349"/>
      <c r="I782" s="349"/>
      <c r="J782" s="349"/>
      <c r="K782" s="349"/>
      <c r="L782" s="349"/>
      <c r="M782" s="349"/>
      <c r="N782" s="349"/>
      <c r="O782" s="349"/>
      <c r="P782" s="349"/>
      <c r="Q782" s="349"/>
      <c r="R782" s="349"/>
      <c r="S782" s="349"/>
      <c r="T782" s="349"/>
      <c r="U782" s="349"/>
      <c r="V782" s="349"/>
      <c r="W782" s="349"/>
      <c r="X782" s="349"/>
      <c r="Y782" s="349"/>
    </row>
    <row r="783" ht="15.75" customHeight="1">
      <c r="A783" s="349"/>
      <c r="B783" s="349"/>
      <c r="C783" s="349"/>
      <c r="D783" s="349"/>
      <c r="E783" s="349"/>
      <c r="F783" s="349"/>
      <c r="G783" s="349"/>
      <c r="H783" s="349"/>
      <c r="I783" s="349"/>
      <c r="J783" s="349"/>
      <c r="K783" s="349"/>
      <c r="L783" s="349"/>
      <c r="M783" s="349"/>
      <c r="N783" s="349"/>
      <c r="O783" s="349"/>
      <c r="P783" s="349"/>
      <c r="Q783" s="349"/>
      <c r="R783" s="349"/>
      <c r="S783" s="349"/>
      <c r="T783" s="349"/>
      <c r="U783" s="349"/>
      <c r="V783" s="349"/>
      <c r="W783" s="349"/>
      <c r="X783" s="349"/>
      <c r="Y783" s="349"/>
    </row>
    <row r="784" ht="15.75" customHeight="1">
      <c r="A784" s="349"/>
      <c r="B784" s="349"/>
      <c r="C784" s="349"/>
      <c r="D784" s="349"/>
      <c r="E784" s="349"/>
      <c r="F784" s="349"/>
      <c r="G784" s="349"/>
      <c r="H784" s="349"/>
      <c r="I784" s="349"/>
      <c r="J784" s="349"/>
      <c r="K784" s="349"/>
      <c r="L784" s="349"/>
      <c r="M784" s="349"/>
      <c r="N784" s="349"/>
      <c r="O784" s="349"/>
      <c r="P784" s="349"/>
      <c r="Q784" s="349"/>
      <c r="R784" s="349"/>
      <c r="S784" s="349"/>
      <c r="T784" s="349"/>
      <c r="U784" s="349"/>
      <c r="V784" s="349"/>
      <c r="W784" s="349"/>
      <c r="X784" s="349"/>
      <c r="Y784" s="349"/>
    </row>
    <row r="785" ht="15.75" customHeight="1">
      <c r="A785" s="349"/>
      <c r="B785" s="349"/>
      <c r="C785" s="349"/>
      <c r="D785" s="349"/>
      <c r="E785" s="349"/>
      <c r="F785" s="349"/>
      <c r="G785" s="349"/>
      <c r="H785" s="349"/>
      <c r="I785" s="349"/>
      <c r="J785" s="349"/>
      <c r="K785" s="349"/>
      <c r="L785" s="349"/>
      <c r="M785" s="349"/>
      <c r="N785" s="349"/>
      <c r="O785" s="349"/>
      <c r="P785" s="349"/>
      <c r="Q785" s="349"/>
      <c r="R785" s="349"/>
      <c r="S785" s="349"/>
      <c r="T785" s="349"/>
      <c r="U785" s="349"/>
      <c r="V785" s="349"/>
      <c r="W785" s="349"/>
      <c r="X785" s="349"/>
      <c r="Y785" s="349"/>
    </row>
    <row r="786" ht="15.75" customHeight="1">
      <c r="A786" s="349"/>
      <c r="B786" s="349"/>
      <c r="C786" s="349"/>
      <c r="D786" s="349"/>
      <c r="E786" s="349"/>
      <c r="F786" s="349"/>
      <c r="G786" s="349"/>
      <c r="H786" s="349"/>
      <c r="I786" s="349"/>
      <c r="J786" s="349"/>
      <c r="K786" s="349"/>
      <c r="L786" s="349"/>
      <c r="M786" s="349"/>
      <c r="N786" s="349"/>
      <c r="O786" s="349"/>
      <c r="P786" s="349"/>
      <c r="Q786" s="349"/>
      <c r="R786" s="349"/>
      <c r="S786" s="349"/>
      <c r="T786" s="349"/>
      <c r="U786" s="349"/>
      <c r="V786" s="349"/>
      <c r="W786" s="349"/>
      <c r="X786" s="349"/>
      <c r="Y786" s="349"/>
    </row>
    <row r="787" ht="15.75" customHeight="1">
      <c r="A787" s="349"/>
      <c r="B787" s="349"/>
      <c r="C787" s="349"/>
      <c r="D787" s="349"/>
      <c r="E787" s="349"/>
      <c r="F787" s="349"/>
      <c r="G787" s="349"/>
      <c r="H787" s="349"/>
      <c r="I787" s="349"/>
      <c r="J787" s="349"/>
      <c r="K787" s="349"/>
      <c r="L787" s="349"/>
      <c r="M787" s="349"/>
      <c r="N787" s="349"/>
      <c r="O787" s="349"/>
      <c r="P787" s="349"/>
      <c r="Q787" s="349"/>
      <c r="R787" s="349"/>
      <c r="S787" s="349"/>
      <c r="T787" s="349"/>
      <c r="U787" s="349"/>
      <c r="V787" s="349"/>
      <c r="W787" s="349"/>
      <c r="X787" s="349"/>
      <c r="Y787" s="349"/>
    </row>
    <row r="788" ht="15.75" customHeight="1">
      <c r="A788" s="349"/>
      <c r="B788" s="349"/>
      <c r="C788" s="349"/>
      <c r="D788" s="349"/>
      <c r="E788" s="349"/>
      <c r="F788" s="349"/>
      <c r="G788" s="349"/>
      <c r="H788" s="349"/>
      <c r="I788" s="349"/>
      <c r="J788" s="349"/>
      <c r="K788" s="349"/>
      <c r="L788" s="349"/>
      <c r="M788" s="349"/>
      <c r="N788" s="349"/>
      <c r="O788" s="349"/>
      <c r="P788" s="349"/>
      <c r="Q788" s="349"/>
      <c r="R788" s="349"/>
      <c r="S788" s="349"/>
      <c r="T788" s="349"/>
      <c r="U788" s="349"/>
      <c r="V788" s="349"/>
      <c r="W788" s="349"/>
      <c r="X788" s="349"/>
      <c r="Y788" s="349"/>
    </row>
    <row r="789" ht="15.75" customHeight="1">
      <c r="A789" s="349"/>
      <c r="B789" s="349"/>
      <c r="C789" s="349"/>
      <c r="D789" s="349"/>
      <c r="E789" s="349"/>
      <c r="F789" s="349"/>
      <c r="G789" s="349"/>
      <c r="H789" s="349"/>
      <c r="I789" s="349"/>
      <c r="J789" s="349"/>
      <c r="K789" s="349"/>
      <c r="L789" s="349"/>
      <c r="M789" s="349"/>
      <c r="N789" s="349"/>
      <c r="O789" s="349"/>
      <c r="P789" s="349"/>
      <c r="Q789" s="349"/>
      <c r="R789" s="349"/>
      <c r="S789" s="349"/>
      <c r="T789" s="349"/>
      <c r="U789" s="349"/>
      <c r="V789" s="349"/>
      <c r="W789" s="349"/>
      <c r="X789" s="349"/>
      <c r="Y789" s="349"/>
    </row>
    <row r="790" ht="15.75" customHeight="1">
      <c r="A790" s="349"/>
      <c r="B790" s="349"/>
      <c r="C790" s="349"/>
      <c r="D790" s="349"/>
      <c r="E790" s="349"/>
      <c r="F790" s="349"/>
      <c r="G790" s="349"/>
      <c r="H790" s="349"/>
      <c r="I790" s="349"/>
      <c r="J790" s="349"/>
      <c r="K790" s="349"/>
      <c r="L790" s="349"/>
      <c r="M790" s="349"/>
      <c r="N790" s="349"/>
      <c r="O790" s="349"/>
      <c r="P790" s="349"/>
      <c r="Q790" s="349"/>
      <c r="R790" s="349"/>
      <c r="S790" s="349"/>
      <c r="T790" s="349"/>
      <c r="U790" s="349"/>
      <c r="V790" s="349"/>
      <c r="W790" s="349"/>
      <c r="X790" s="349"/>
      <c r="Y790" s="349"/>
    </row>
    <row r="791" ht="15.75" customHeight="1">
      <c r="A791" s="349"/>
      <c r="B791" s="349"/>
      <c r="C791" s="349"/>
      <c r="D791" s="349"/>
      <c r="E791" s="349"/>
      <c r="F791" s="349"/>
      <c r="G791" s="349"/>
      <c r="H791" s="349"/>
      <c r="I791" s="349"/>
      <c r="J791" s="349"/>
      <c r="K791" s="349"/>
      <c r="L791" s="349"/>
      <c r="M791" s="349"/>
      <c r="N791" s="349"/>
      <c r="O791" s="349"/>
      <c r="P791" s="349"/>
      <c r="Q791" s="349"/>
      <c r="R791" s="349"/>
      <c r="S791" s="349"/>
      <c r="T791" s="349"/>
      <c r="U791" s="349"/>
      <c r="V791" s="349"/>
      <c r="W791" s="349"/>
      <c r="X791" s="349"/>
      <c r="Y791" s="349"/>
    </row>
    <row r="792" ht="15.75" customHeight="1">
      <c r="A792" s="349"/>
      <c r="B792" s="349"/>
      <c r="C792" s="349"/>
      <c r="D792" s="349"/>
      <c r="E792" s="349"/>
      <c r="F792" s="349"/>
      <c r="G792" s="349"/>
      <c r="H792" s="349"/>
      <c r="I792" s="349"/>
      <c r="J792" s="349"/>
      <c r="K792" s="349"/>
      <c r="L792" s="349"/>
      <c r="M792" s="349"/>
      <c r="N792" s="349"/>
      <c r="O792" s="349"/>
      <c r="P792" s="349"/>
      <c r="Q792" s="349"/>
      <c r="R792" s="349"/>
      <c r="S792" s="349"/>
      <c r="T792" s="349"/>
      <c r="U792" s="349"/>
      <c r="V792" s="349"/>
      <c r="W792" s="349"/>
      <c r="X792" s="349"/>
      <c r="Y792" s="349"/>
    </row>
    <row r="793" ht="15.75" customHeight="1">
      <c r="A793" s="349"/>
      <c r="B793" s="349"/>
      <c r="C793" s="349"/>
      <c r="D793" s="349"/>
      <c r="E793" s="349"/>
      <c r="F793" s="349"/>
      <c r="G793" s="349"/>
      <c r="H793" s="349"/>
      <c r="I793" s="349"/>
      <c r="J793" s="349"/>
      <c r="K793" s="349"/>
      <c r="L793" s="349"/>
      <c r="M793" s="349"/>
      <c r="N793" s="349"/>
      <c r="O793" s="349"/>
      <c r="P793" s="349"/>
      <c r="Q793" s="349"/>
      <c r="R793" s="349"/>
      <c r="S793" s="349"/>
      <c r="T793" s="349"/>
      <c r="U793" s="349"/>
      <c r="V793" s="349"/>
      <c r="W793" s="349"/>
      <c r="X793" s="349"/>
      <c r="Y793" s="349"/>
    </row>
    <row r="794" ht="15.75" customHeight="1">
      <c r="A794" s="349"/>
      <c r="B794" s="349"/>
      <c r="C794" s="349"/>
      <c r="D794" s="349"/>
      <c r="E794" s="349"/>
      <c r="F794" s="349"/>
      <c r="G794" s="349"/>
      <c r="H794" s="349"/>
      <c r="I794" s="349"/>
      <c r="J794" s="349"/>
      <c r="K794" s="349"/>
      <c r="L794" s="349"/>
      <c r="M794" s="349"/>
      <c r="N794" s="349"/>
      <c r="O794" s="349"/>
      <c r="P794" s="349"/>
      <c r="Q794" s="349"/>
      <c r="R794" s="349"/>
      <c r="S794" s="349"/>
      <c r="T794" s="349"/>
      <c r="U794" s="349"/>
      <c r="V794" s="349"/>
      <c r="W794" s="349"/>
      <c r="X794" s="349"/>
      <c r="Y794" s="349"/>
    </row>
    <row r="795" ht="15.75" customHeight="1">
      <c r="A795" s="349"/>
      <c r="B795" s="349"/>
      <c r="C795" s="349"/>
      <c r="D795" s="349"/>
      <c r="E795" s="349"/>
      <c r="F795" s="349"/>
      <c r="G795" s="349"/>
      <c r="H795" s="349"/>
      <c r="I795" s="349"/>
      <c r="J795" s="349"/>
      <c r="K795" s="349"/>
      <c r="L795" s="349"/>
      <c r="M795" s="349"/>
      <c r="N795" s="349"/>
      <c r="O795" s="349"/>
      <c r="P795" s="349"/>
      <c r="Q795" s="349"/>
      <c r="R795" s="349"/>
      <c r="S795" s="349"/>
      <c r="T795" s="349"/>
      <c r="U795" s="349"/>
      <c r="V795" s="349"/>
      <c r="W795" s="349"/>
      <c r="X795" s="349"/>
      <c r="Y795" s="349"/>
    </row>
    <row r="796" ht="15.75" customHeight="1">
      <c r="A796" s="349"/>
      <c r="B796" s="349"/>
      <c r="C796" s="349"/>
      <c r="D796" s="349"/>
      <c r="E796" s="349"/>
      <c r="F796" s="349"/>
      <c r="G796" s="349"/>
      <c r="H796" s="349"/>
      <c r="I796" s="349"/>
      <c r="J796" s="349"/>
      <c r="K796" s="349"/>
      <c r="L796" s="349"/>
      <c r="M796" s="349"/>
      <c r="N796" s="349"/>
      <c r="O796" s="349"/>
      <c r="P796" s="349"/>
      <c r="Q796" s="349"/>
      <c r="R796" s="349"/>
      <c r="S796" s="349"/>
      <c r="T796" s="349"/>
      <c r="U796" s="349"/>
      <c r="V796" s="349"/>
      <c r="W796" s="349"/>
      <c r="X796" s="349"/>
      <c r="Y796" s="349"/>
    </row>
    <row r="797" ht="15.75" customHeight="1">
      <c r="A797" s="349"/>
      <c r="B797" s="349"/>
      <c r="C797" s="349"/>
      <c r="D797" s="349"/>
      <c r="E797" s="349"/>
      <c r="F797" s="349"/>
      <c r="G797" s="349"/>
      <c r="H797" s="349"/>
      <c r="I797" s="349"/>
      <c r="J797" s="349"/>
      <c r="K797" s="349"/>
      <c r="L797" s="349"/>
      <c r="M797" s="349"/>
      <c r="N797" s="349"/>
      <c r="O797" s="349"/>
      <c r="P797" s="349"/>
      <c r="Q797" s="349"/>
      <c r="R797" s="349"/>
      <c r="S797" s="349"/>
      <c r="T797" s="349"/>
      <c r="U797" s="349"/>
      <c r="V797" s="349"/>
      <c r="W797" s="349"/>
      <c r="X797" s="349"/>
      <c r="Y797" s="349"/>
    </row>
    <row r="798" ht="15.75" customHeight="1">
      <c r="A798" s="349"/>
      <c r="B798" s="349"/>
      <c r="C798" s="349"/>
      <c r="D798" s="349"/>
      <c r="E798" s="349"/>
      <c r="F798" s="349"/>
      <c r="G798" s="349"/>
      <c r="H798" s="349"/>
      <c r="I798" s="349"/>
      <c r="J798" s="349"/>
      <c r="K798" s="349"/>
      <c r="L798" s="349"/>
      <c r="M798" s="349"/>
      <c r="N798" s="349"/>
      <c r="O798" s="349"/>
      <c r="P798" s="349"/>
      <c r="Q798" s="349"/>
      <c r="R798" s="349"/>
      <c r="S798" s="349"/>
      <c r="T798" s="349"/>
      <c r="U798" s="349"/>
      <c r="V798" s="349"/>
      <c r="W798" s="349"/>
      <c r="X798" s="349"/>
      <c r="Y798" s="349"/>
    </row>
    <row r="799" ht="15.75" customHeight="1">
      <c r="A799" s="349"/>
      <c r="B799" s="349"/>
      <c r="C799" s="349"/>
      <c r="D799" s="349"/>
      <c r="E799" s="349"/>
      <c r="F799" s="349"/>
      <c r="G799" s="349"/>
      <c r="H799" s="349"/>
      <c r="I799" s="349"/>
      <c r="J799" s="349"/>
      <c r="K799" s="349"/>
      <c r="L799" s="349"/>
      <c r="M799" s="349"/>
      <c r="N799" s="349"/>
      <c r="O799" s="349"/>
      <c r="P799" s="349"/>
      <c r="Q799" s="349"/>
      <c r="R799" s="349"/>
      <c r="S799" s="349"/>
      <c r="T799" s="349"/>
      <c r="U799" s="349"/>
      <c r="V799" s="349"/>
      <c r="W799" s="349"/>
      <c r="X799" s="349"/>
      <c r="Y799" s="349"/>
    </row>
    <row r="800" ht="15.75" customHeight="1">
      <c r="A800" s="349"/>
      <c r="B800" s="349"/>
      <c r="C800" s="349"/>
      <c r="D800" s="349"/>
      <c r="E800" s="349"/>
      <c r="F800" s="349"/>
      <c r="G800" s="349"/>
      <c r="H800" s="349"/>
      <c r="I800" s="349"/>
      <c r="J800" s="349"/>
      <c r="K800" s="349"/>
      <c r="L800" s="349"/>
      <c r="M800" s="349"/>
      <c r="N800" s="349"/>
      <c r="O800" s="349"/>
      <c r="P800" s="349"/>
      <c r="Q800" s="349"/>
      <c r="R800" s="349"/>
      <c r="S800" s="349"/>
      <c r="T800" s="349"/>
      <c r="U800" s="349"/>
      <c r="V800" s="349"/>
      <c r="W800" s="349"/>
      <c r="X800" s="349"/>
      <c r="Y800" s="349"/>
    </row>
    <row r="801" ht="15.75" customHeight="1">
      <c r="A801" s="349"/>
      <c r="B801" s="349"/>
      <c r="C801" s="349"/>
      <c r="D801" s="349"/>
      <c r="E801" s="349"/>
      <c r="F801" s="349"/>
      <c r="G801" s="349"/>
      <c r="H801" s="349"/>
      <c r="I801" s="349"/>
      <c r="J801" s="349"/>
      <c r="K801" s="349"/>
      <c r="L801" s="349"/>
      <c r="M801" s="349"/>
      <c r="N801" s="349"/>
      <c r="O801" s="349"/>
      <c r="P801" s="349"/>
      <c r="Q801" s="349"/>
      <c r="R801" s="349"/>
      <c r="S801" s="349"/>
      <c r="T801" s="349"/>
      <c r="U801" s="349"/>
      <c r="V801" s="349"/>
      <c r="W801" s="349"/>
      <c r="X801" s="349"/>
      <c r="Y801" s="349"/>
    </row>
    <row r="802" ht="15.75" customHeight="1">
      <c r="A802" s="349"/>
      <c r="B802" s="349"/>
      <c r="C802" s="349"/>
      <c r="D802" s="349"/>
      <c r="E802" s="349"/>
      <c r="F802" s="349"/>
      <c r="G802" s="349"/>
      <c r="H802" s="349"/>
      <c r="I802" s="349"/>
      <c r="J802" s="349"/>
      <c r="K802" s="349"/>
      <c r="L802" s="349"/>
      <c r="M802" s="349"/>
      <c r="N802" s="349"/>
      <c r="O802" s="349"/>
      <c r="P802" s="349"/>
      <c r="Q802" s="349"/>
      <c r="R802" s="349"/>
      <c r="S802" s="349"/>
      <c r="T802" s="349"/>
      <c r="U802" s="349"/>
      <c r="V802" s="349"/>
      <c r="W802" s="349"/>
      <c r="X802" s="349"/>
      <c r="Y802" s="349"/>
    </row>
    <row r="803" ht="15.75" customHeight="1">
      <c r="A803" s="349"/>
      <c r="B803" s="349"/>
      <c r="C803" s="349"/>
      <c r="D803" s="349"/>
      <c r="E803" s="349"/>
      <c r="F803" s="349"/>
      <c r="G803" s="349"/>
      <c r="H803" s="349"/>
      <c r="I803" s="349"/>
      <c r="J803" s="349"/>
      <c r="K803" s="349"/>
      <c r="L803" s="349"/>
      <c r="M803" s="349"/>
      <c r="N803" s="349"/>
      <c r="O803" s="349"/>
      <c r="P803" s="349"/>
      <c r="Q803" s="349"/>
      <c r="R803" s="349"/>
      <c r="S803" s="349"/>
      <c r="T803" s="349"/>
      <c r="U803" s="349"/>
      <c r="V803" s="349"/>
      <c r="W803" s="349"/>
      <c r="X803" s="349"/>
      <c r="Y803" s="349"/>
    </row>
    <row r="804" ht="15.75" customHeight="1">
      <c r="A804" s="349"/>
      <c r="B804" s="349"/>
      <c r="C804" s="349"/>
      <c r="D804" s="349"/>
      <c r="E804" s="349"/>
      <c r="F804" s="349"/>
      <c r="G804" s="349"/>
      <c r="H804" s="349"/>
      <c r="I804" s="349"/>
      <c r="J804" s="349"/>
      <c r="K804" s="349"/>
      <c r="L804" s="349"/>
      <c r="M804" s="349"/>
      <c r="N804" s="349"/>
      <c r="O804" s="349"/>
      <c r="P804" s="349"/>
      <c r="Q804" s="349"/>
      <c r="R804" s="349"/>
      <c r="S804" s="349"/>
      <c r="T804" s="349"/>
      <c r="U804" s="349"/>
      <c r="V804" s="349"/>
      <c r="W804" s="349"/>
      <c r="X804" s="349"/>
      <c r="Y804" s="349"/>
    </row>
    <row r="805" ht="15.75" customHeight="1">
      <c r="A805" s="349"/>
      <c r="B805" s="349"/>
      <c r="C805" s="349"/>
      <c r="D805" s="349"/>
      <c r="E805" s="349"/>
      <c r="F805" s="349"/>
      <c r="G805" s="349"/>
      <c r="H805" s="349"/>
      <c r="I805" s="349"/>
      <c r="J805" s="349"/>
      <c r="K805" s="349"/>
      <c r="L805" s="349"/>
      <c r="M805" s="349"/>
      <c r="N805" s="349"/>
      <c r="O805" s="349"/>
      <c r="P805" s="349"/>
      <c r="Q805" s="349"/>
      <c r="R805" s="349"/>
      <c r="S805" s="349"/>
      <c r="T805" s="349"/>
      <c r="U805" s="349"/>
      <c r="V805" s="349"/>
      <c r="W805" s="349"/>
      <c r="X805" s="349"/>
      <c r="Y805" s="349"/>
    </row>
    <row r="806" ht="15.75" customHeight="1">
      <c r="A806" s="349"/>
      <c r="B806" s="349"/>
      <c r="C806" s="349"/>
      <c r="D806" s="349"/>
      <c r="E806" s="349"/>
      <c r="F806" s="349"/>
      <c r="G806" s="349"/>
      <c r="H806" s="349"/>
      <c r="I806" s="349"/>
      <c r="J806" s="349"/>
      <c r="K806" s="349"/>
      <c r="L806" s="349"/>
      <c r="M806" s="349"/>
      <c r="N806" s="349"/>
      <c r="O806" s="349"/>
      <c r="P806" s="349"/>
      <c r="Q806" s="349"/>
      <c r="R806" s="349"/>
      <c r="S806" s="349"/>
      <c r="T806" s="349"/>
      <c r="U806" s="349"/>
      <c r="V806" s="349"/>
      <c r="W806" s="349"/>
      <c r="X806" s="349"/>
      <c r="Y806" s="349"/>
    </row>
    <row r="807" ht="15.75" customHeight="1">
      <c r="A807" s="349"/>
      <c r="B807" s="349"/>
      <c r="C807" s="349"/>
      <c r="D807" s="349"/>
      <c r="E807" s="349"/>
      <c r="F807" s="349"/>
      <c r="G807" s="349"/>
      <c r="H807" s="349"/>
      <c r="I807" s="349"/>
      <c r="J807" s="349"/>
      <c r="K807" s="349"/>
      <c r="L807" s="349"/>
      <c r="M807" s="349"/>
      <c r="N807" s="349"/>
      <c r="O807" s="349"/>
      <c r="P807" s="349"/>
      <c r="Q807" s="349"/>
      <c r="R807" s="349"/>
      <c r="S807" s="349"/>
      <c r="T807" s="349"/>
      <c r="U807" s="349"/>
      <c r="V807" s="349"/>
      <c r="W807" s="349"/>
      <c r="X807" s="349"/>
      <c r="Y807" s="349"/>
    </row>
    <row r="808" ht="15.75" customHeight="1">
      <c r="A808" s="349"/>
      <c r="B808" s="349"/>
      <c r="C808" s="349"/>
      <c r="D808" s="349"/>
      <c r="E808" s="349"/>
      <c r="F808" s="349"/>
      <c r="G808" s="349"/>
      <c r="H808" s="349"/>
      <c r="I808" s="349"/>
      <c r="J808" s="349"/>
      <c r="K808" s="349"/>
      <c r="L808" s="349"/>
      <c r="M808" s="349"/>
      <c r="N808" s="349"/>
      <c r="O808" s="349"/>
      <c r="P808" s="349"/>
      <c r="Q808" s="349"/>
      <c r="R808" s="349"/>
      <c r="S808" s="349"/>
      <c r="T808" s="349"/>
      <c r="U808" s="349"/>
      <c r="V808" s="349"/>
      <c r="W808" s="349"/>
      <c r="X808" s="349"/>
      <c r="Y808" s="349"/>
    </row>
    <row r="809" ht="15.75" customHeight="1">
      <c r="A809" s="349"/>
      <c r="B809" s="349"/>
      <c r="C809" s="349"/>
      <c r="D809" s="349"/>
      <c r="E809" s="349"/>
      <c r="F809" s="349"/>
      <c r="G809" s="349"/>
      <c r="H809" s="349"/>
      <c r="I809" s="349"/>
      <c r="J809" s="349"/>
      <c r="K809" s="349"/>
      <c r="L809" s="349"/>
      <c r="M809" s="349"/>
      <c r="N809" s="349"/>
      <c r="O809" s="349"/>
      <c r="P809" s="349"/>
      <c r="Q809" s="349"/>
      <c r="R809" s="349"/>
      <c r="S809" s="349"/>
      <c r="T809" s="349"/>
      <c r="U809" s="349"/>
      <c r="V809" s="349"/>
      <c r="W809" s="349"/>
      <c r="X809" s="349"/>
      <c r="Y809" s="349"/>
    </row>
    <row r="810" ht="15.75" customHeight="1">
      <c r="A810" s="349"/>
      <c r="B810" s="349"/>
      <c r="C810" s="349"/>
      <c r="D810" s="349"/>
      <c r="E810" s="349"/>
      <c r="F810" s="349"/>
      <c r="G810" s="349"/>
      <c r="H810" s="349"/>
      <c r="I810" s="349"/>
      <c r="J810" s="349"/>
      <c r="K810" s="349"/>
      <c r="L810" s="349"/>
      <c r="M810" s="349"/>
      <c r="N810" s="349"/>
      <c r="O810" s="349"/>
      <c r="P810" s="349"/>
      <c r="Q810" s="349"/>
      <c r="R810" s="349"/>
      <c r="S810" s="349"/>
      <c r="T810" s="349"/>
      <c r="U810" s="349"/>
      <c r="V810" s="349"/>
      <c r="W810" s="349"/>
      <c r="X810" s="349"/>
      <c r="Y810" s="349"/>
    </row>
    <row r="811" ht="15.75" customHeight="1">
      <c r="A811" s="349"/>
      <c r="B811" s="349"/>
      <c r="C811" s="349"/>
      <c r="D811" s="349"/>
      <c r="E811" s="349"/>
      <c r="F811" s="349"/>
      <c r="G811" s="349"/>
      <c r="H811" s="349"/>
      <c r="I811" s="349"/>
      <c r="J811" s="349"/>
      <c r="K811" s="349"/>
      <c r="L811" s="349"/>
      <c r="M811" s="349"/>
      <c r="N811" s="349"/>
      <c r="O811" s="349"/>
      <c r="P811" s="349"/>
      <c r="Q811" s="349"/>
      <c r="R811" s="349"/>
      <c r="S811" s="349"/>
      <c r="T811" s="349"/>
      <c r="U811" s="349"/>
      <c r="V811" s="349"/>
      <c r="W811" s="349"/>
      <c r="X811" s="349"/>
      <c r="Y811" s="349"/>
    </row>
    <row r="812" ht="15.75" customHeight="1">
      <c r="A812" s="349"/>
      <c r="B812" s="349"/>
      <c r="C812" s="349"/>
      <c r="D812" s="349"/>
      <c r="E812" s="349"/>
      <c r="F812" s="349"/>
      <c r="G812" s="349"/>
      <c r="H812" s="349"/>
      <c r="I812" s="349"/>
      <c r="J812" s="349"/>
      <c r="K812" s="349"/>
      <c r="L812" s="349"/>
      <c r="M812" s="349"/>
      <c r="N812" s="349"/>
      <c r="O812" s="349"/>
      <c r="P812" s="349"/>
      <c r="Q812" s="349"/>
      <c r="R812" s="349"/>
      <c r="S812" s="349"/>
      <c r="T812" s="349"/>
      <c r="U812" s="349"/>
      <c r="V812" s="349"/>
      <c r="W812" s="349"/>
      <c r="X812" s="349"/>
      <c r="Y812" s="349"/>
    </row>
    <row r="813" ht="15.75" customHeight="1">
      <c r="A813" s="349"/>
      <c r="B813" s="349"/>
      <c r="C813" s="349"/>
      <c r="D813" s="349"/>
      <c r="E813" s="349"/>
      <c r="F813" s="349"/>
      <c r="G813" s="349"/>
      <c r="H813" s="349"/>
      <c r="I813" s="349"/>
      <c r="J813" s="349"/>
      <c r="K813" s="349"/>
      <c r="L813" s="349"/>
      <c r="M813" s="349"/>
      <c r="N813" s="349"/>
      <c r="O813" s="349"/>
      <c r="P813" s="349"/>
      <c r="Q813" s="349"/>
      <c r="R813" s="349"/>
      <c r="S813" s="349"/>
      <c r="T813" s="349"/>
      <c r="U813" s="349"/>
      <c r="V813" s="349"/>
      <c r="W813" s="349"/>
      <c r="X813" s="349"/>
      <c r="Y813" s="349"/>
    </row>
    <row r="814" ht="15.75" customHeight="1">
      <c r="A814" s="349"/>
      <c r="B814" s="349"/>
      <c r="C814" s="349"/>
      <c r="D814" s="349"/>
      <c r="E814" s="349"/>
      <c r="F814" s="349"/>
      <c r="G814" s="349"/>
      <c r="H814" s="349"/>
      <c r="I814" s="349"/>
      <c r="J814" s="349"/>
      <c r="K814" s="349"/>
      <c r="L814" s="349"/>
      <c r="M814" s="349"/>
      <c r="N814" s="349"/>
      <c r="O814" s="349"/>
      <c r="P814" s="349"/>
      <c r="Q814" s="349"/>
      <c r="R814" s="349"/>
      <c r="S814" s="349"/>
      <c r="T814" s="349"/>
      <c r="U814" s="349"/>
      <c r="V814" s="349"/>
      <c r="W814" s="349"/>
      <c r="X814" s="349"/>
      <c r="Y814" s="349"/>
    </row>
    <row r="815" ht="15.75" customHeight="1">
      <c r="A815" s="349"/>
      <c r="B815" s="349"/>
      <c r="C815" s="349"/>
      <c r="D815" s="349"/>
      <c r="E815" s="349"/>
      <c r="F815" s="349"/>
      <c r="G815" s="349"/>
      <c r="H815" s="349"/>
      <c r="I815" s="349"/>
      <c r="J815" s="349"/>
      <c r="K815" s="349"/>
      <c r="L815" s="349"/>
      <c r="M815" s="349"/>
      <c r="N815" s="349"/>
      <c r="O815" s="349"/>
      <c r="P815" s="349"/>
      <c r="Q815" s="349"/>
      <c r="R815" s="349"/>
      <c r="S815" s="349"/>
      <c r="T815" s="349"/>
      <c r="U815" s="349"/>
      <c r="V815" s="349"/>
      <c r="W815" s="349"/>
      <c r="X815" s="349"/>
      <c r="Y815" s="349"/>
    </row>
    <row r="816" ht="15.75" customHeight="1">
      <c r="A816" s="349"/>
      <c r="B816" s="349"/>
      <c r="C816" s="349"/>
      <c r="D816" s="349"/>
      <c r="E816" s="349"/>
      <c r="F816" s="349"/>
      <c r="G816" s="349"/>
      <c r="H816" s="349"/>
      <c r="I816" s="349"/>
      <c r="J816" s="349"/>
      <c r="K816" s="349"/>
      <c r="L816" s="349"/>
      <c r="M816" s="349"/>
      <c r="N816" s="349"/>
      <c r="O816" s="349"/>
      <c r="P816" s="349"/>
      <c r="Q816" s="349"/>
      <c r="R816" s="349"/>
      <c r="S816" s="349"/>
      <c r="T816" s="349"/>
      <c r="U816" s="349"/>
      <c r="V816" s="349"/>
      <c r="W816" s="349"/>
      <c r="X816" s="349"/>
      <c r="Y816" s="349"/>
    </row>
    <row r="817" ht="15.75" customHeight="1">
      <c r="A817" s="349"/>
      <c r="B817" s="349"/>
      <c r="C817" s="349"/>
      <c r="D817" s="349"/>
      <c r="E817" s="349"/>
      <c r="F817" s="349"/>
      <c r="G817" s="349"/>
      <c r="H817" s="349"/>
      <c r="I817" s="349"/>
      <c r="J817" s="349"/>
      <c r="K817" s="349"/>
      <c r="L817" s="349"/>
      <c r="M817" s="349"/>
      <c r="N817" s="349"/>
      <c r="O817" s="349"/>
      <c r="P817" s="349"/>
      <c r="Q817" s="349"/>
      <c r="R817" s="349"/>
      <c r="S817" s="349"/>
      <c r="T817" s="349"/>
      <c r="U817" s="349"/>
      <c r="V817" s="349"/>
      <c r="W817" s="349"/>
      <c r="X817" s="349"/>
      <c r="Y817" s="349"/>
    </row>
    <row r="818" ht="15.75" customHeight="1">
      <c r="A818" s="349"/>
      <c r="B818" s="349"/>
      <c r="C818" s="349"/>
      <c r="D818" s="349"/>
      <c r="E818" s="349"/>
      <c r="F818" s="349"/>
      <c r="G818" s="349"/>
      <c r="H818" s="349"/>
      <c r="I818" s="349"/>
      <c r="J818" s="349"/>
      <c r="K818" s="349"/>
      <c r="L818" s="349"/>
      <c r="M818" s="349"/>
      <c r="N818" s="349"/>
      <c r="O818" s="349"/>
      <c r="P818" s="349"/>
      <c r="Q818" s="349"/>
      <c r="R818" s="349"/>
      <c r="S818" s="349"/>
      <c r="T818" s="349"/>
      <c r="U818" s="349"/>
      <c r="V818" s="349"/>
      <c r="W818" s="349"/>
      <c r="X818" s="349"/>
      <c r="Y818" s="349"/>
    </row>
    <row r="819" ht="15.75" customHeight="1">
      <c r="A819" s="349"/>
      <c r="B819" s="349"/>
      <c r="C819" s="349"/>
      <c r="D819" s="349"/>
      <c r="E819" s="349"/>
      <c r="F819" s="349"/>
      <c r="G819" s="349"/>
      <c r="H819" s="349"/>
      <c r="I819" s="349"/>
      <c r="J819" s="349"/>
      <c r="K819" s="349"/>
      <c r="L819" s="349"/>
      <c r="M819" s="349"/>
      <c r="N819" s="349"/>
      <c r="O819" s="349"/>
      <c r="P819" s="349"/>
      <c r="Q819" s="349"/>
      <c r="R819" s="349"/>
      <c r="S819" s="349"/>
      <c r="T819" s="349"/>
      <c r="U819" s="349"/>
      <c r="V819" s="349"/>
      <c r="W819" s="349"/>
      <c r="X819" s="349"/>
      <c r="Y819" s="349"/>
    </row>
    <row r="820" ht="15.75" customHeight="1">
      <c r="A820" s="349"/>
      <c r="B820" s="349"/>
      <c r="C820" s="349"/>
      <c r="D820" s="349"/>
      <c r="E820" s="349"/>
      <c r="F820" s="349"/>
      <c r="G820" s="349"/>
      <c r="H820" s="349"/>
      <c r="I820" s="349"/>
      <c r="J820" s="349"/>
      <c r="K820" s="349"/>
      <c r="L820" s="349"/>
      <c r="M820" s="349"/>
      <c r="N820" s="349"/>
      <c r="O820" s="349"/>
      <c r="P820" s="349"/>
      <c r="Q820" s="349"/>
      <c r="R820" s="349"/>
      <c r="S820" s="349"/>
      <c r="T820" s="349"/>
      <c r="U820" s="349"/>
      <c r="V820" s="349"/>
      <c r="W820" s="349"/>
      <c r="X820" s="349"/>
      <c r="Y820" s="349"/>
    </row>
    <row r="821" ht="15.75" customHeight="1">
      <c r="A821" s="349"/>
      <c r="B821" s="349"/>
      <c r="C821" s="349"/>
      <c r="D821" s="349"/>
      <c r="E821" s="349"/>
      <c r="F821" s="349"/>
      <c r="G821" s="349"/>
      <c r="H821" s="349"/>
      <c r="I821" s="349"/>
      <c r="J821" s="349"/>
      <c r="K821" s="349"/>
      <c r="L821" s="349"/>
      <c r="M821" s="349"/>
      <c r="N821" s="349"/>
      <c r="O821" s="349"/>
      <c r="P821" s="349"/>
      <c r="Q821" s="349"/>
      <c r="R821" s="349"/>
      <c r="S821" s="349"/>
      <c r="T821" s="349"/>
      <c r="U821" s="349"/>
      <c r="V821" s="349"/>
      <c r="W821" s="349"/>
      <c r="X821" s="349"/>
      <c r="Y821" s="349"/>
    </row>
    <row r="822" ht="15.75" customHeight="1">
      <c r="A822" s="349"/>
      <c r="B822" s="349"/>
      <c r="C822" s="349"/>
      <c r="D822" s="349"/>
      <c r="E822" s="349"/>
      <c r="F822" s="349"/>
      <c r="G822" s="349"/>
      <c r="H822" s="349"/>
      <c r="I822" s="349"/>
      <c r="J822" s="349"/>
      <c r="K822" s="349"/>
      <c r="L822" s="349"/>
      <c r="M822" s="349"/>
      <c r="N822" s="349"/>
      <c r="O822" s="349"/>
      <c r="P822" s="349"/>
      <c r="Q822" s="349"/>
      <c r="R822" s="349"/>
      <c r="S822" s="349"/>
      <c r="T822" s="349"/>
      <c r="U822" s="349"/>
      <c r="V822" s="349"/>
      <c r="W822" s="349"/>
      <c r="X822" s="349"/>
      <c r="Y822" s="349"/>
    </row>
    <row r="823" ht="15.75" customHeight="1">
      <c r="A823" s="349"/>
      <c r="B823" s="349"/>
      <c r="C823" s="349"/>
      <c r="D823" s="349"/>
      <c r="E823" s="349"/>
      <c r="F823" s="349"/>
      <c r="G823" s="349"/>
      <c r="H823" s="349"/>
      <c r="I823" s="349"/>
      <c r="J823" s="349"/>
      <c r="K823" s="349"/>
      <c r="L823" s="349"/>
      <c r="M823" s="349"/>
      <c r="N823" s="349"/>
      <c r="O823" s="349"/>
      <c r="P823" s="349"/>
      <c r="Q823" s="349"/>
      <c r="R823" s="349"/>
      <c r="S823" s="349"/>
      <c r="T823" s="349"/>
      <c r="U823" s="349"/>
      <c r="V823" s="349"/>
      <c r="W823" s="349"/>
      <c r="X823" s="349"/>
      <c r="Y823" s="349"/>
    </row>
    <row r="824" ht="15.75" customHeight="1">
      <c r="A824" s="349"/>
      <c r="B824" s="349"/>
      <c r="C824" s="349"/>
      <c r="D824" s="349"/>
      <c r="E824" s="349"/>
      <c r="F824" s="349"/>
      <c r="G824" s="349"/>
      <c r="H824" s="349"/>
      <c r="I824" s="349"/>
      <c r="J824" s="349"/>
      <c r="K824" s="349"/>
      <c r="L824" s="349"/>
      <c r="M824" s="349"/>
      <c r="N824" s="349"/>
      <c r="O824" s="349"/>
      <c r="P824" s="349"/>
      <c r="Q824" s="349"/>
      <c r="R824" s="349"/>
      <c r="S824" s="349"/>
      <c r="T824" s="349"/>
      <c r="U824" s="349"/>
      <c r="V824" s="349"/>
      <c r="W824" s="349"/>
      <c r="X824" s="349"/>
      <c r="Y824" s="349"/>
    </row>
    <row r="825" ht="15.75" customHeight="1">
      <c r="A825" s="349"/>
      <c r="B825" s="349"/>
      <c r="C825" s="349"/>
      <c r="D825" s="349"/>
      <c r="E825" s="349"/>
      <c r="F825" s="349"/>
      <c r="G825" s="349"/>
      <c r="H825" s="349"/>
      <c r="I825" s="349"/>
      <c r="J825" s="349"/>
      <c r="K825" s="349"/>
      <c r="L825" s="349"/>
      <c r="M825" s="349"/>
      <c r="N825" s="349"/>
      <c r="O825" s="349"/>
      <c r="P825" s="349"/>
      <c r="Q825" s="349"/>
      <c r="R825" s="349"/>
      <c r="S825" s="349"/>
      <c r="T825" s="349"/>
      <c r="U825" s="349"/>
      <c r="V825" s="349"/>
      <c r="W825" s="349"/>
      <c r="X825" s="349"/>
      <c r="Y825" s="349"/>
    </row>
    <row r="826" ht="15.75" customHeight="1">
      <c r="A826" s="349"/>
      <c r="B826" s="349"/>
      <c r="C826" s="349"/>
      <c r="D826" s="349"/>
      <c r="E826" s="349"/>
      <c r="F826" s="349"/>
      <c r="G826" s="349"/>
      <c r="H826" s="349"/>
      <c r="I826" s="349"/>
      <c r="J826" s="349"/>
      <c r="K826" s="349"/>
      <c r="L826" s="349"/>
      <c r="M826" s="349"/>
      <c r="N826" s="349"/>
      <c r="O826" s="349"/>
      <c r="P826" s="349"/>
      <c r="Q826" s="349"/>
      <c r="R826" s="349"/>
      <c r="S826" s="349"/>
      <c r="T826" s="349"/>
      <c r="U826" s="349"/>
      <c r="V826" s="349"/>
      <c r="W826" s="349"/>
      <c r="X826" s="349"/>
      <c r="Y826" s="349"/>
    </row>
    <row r="827" ht="15.75" customHeight="1">
      <c r="A827" s="349"/>
      <c r="B827" s="349"/>
      <c r="C827" s="349"/>
      <c r="D827" s="349"/>
      <c r="E827" s="349"/>
      <c r="F827" s="349"/>
      <c r="G827" s="349"/>
      <c r="H827" s="349"/>
      <c r="I827" s="349"/>
      <c r="J827" s="349"/>
      <c r="K827" s="349"/>
      <c r="L827" s="349"/>
      <c r="M827" s="349"/>
      <c r="N827" s="349"/>
      <c r="O827" s="349"/>
      <c r="P827" s="349"/>
      <c r="Q827" s="349"/>
      <c r="R827" s="349"/>
      <c r="S827" s="349"/>
      <c r="T827" s="349"/>
      <c r="U827" s="349"/>
      <c r="V827" s="349"/>
      <c r="W827" s="349"/>
      <c r="X827" s="349"/>
      <c r="Y827" s="349"/>
    </row>
    <row r="828" ht="15.75" customHeight="1">
      <c r="A828" s="349"/>
      <c r="B828" s="349"/>
      <c r="C828" s="349"/>
      <c r="D828" s="349"/>
      <c r="E828" s="349"/>
      <c r="F828" s="349"/>
      <c r="G828" s="349"/>
      <c r="H828" s="349"/>
      <c r="I828" s="349"/>
      <c r="J828" s="349"/>
      <c r="K828" s="349"/>
      <c r="L828" s="349"/>
      <c r="M828" s="349"/>
      <c r="N828" s="349"/>
      <c r="O828" s="349"/>
      <c r="P828" s="349"/>
      <c r="Q828" s="349"/>
      <c r="R828" s="349"/>
      <c r="S828" s="349"/>
      <c r="T828" s="349"/>
      <c r="U828" s="349"/>
      <c r="V828" s="349"/>
      <c r="W828" s="349"/>
      <c r="X828" s="349"/>
      <c r="Y828" s="349"/>
    </row>
    <row r="829" ht="15.75" customHeight="1">
      <c r="A829" s="349"/>
      <c r="B829" s="349"/>
      <c r="C829" s="349"/>
      <c r="D829" s="349"/>
      <c r="E829" s="349"/>
      <c r="F829" s="349"/>
      <c r="G829" s="349"/>
      <c r="H829" s="349"/>
      <c r="I829" s="349"/>
      <c r="J829" s="349"/>
      <c r="K829" s="349"/>
      <c r="L829" s="349"/>
      <c r="M829" s="349"/>
      <c r="N829" s="349"/>
      <c r="O829" s="349"/>
      <c r="P829" s="349"/>
      <c r="Q829" s="349"/>
      <c r="R829" s="349"/>
      <c r="S829" s="349"/>
      <c r="T829" s="349"/>
      <c r="U829" s="349"/>
      <c r="V829" s="349"/>
      <c r="W829" s="349"/>
      <c r="X829" s="349"/>
      <c r="Y829" s="349"/>
    </row>
    <row r="830" ht="15.75" customHeight="1">
      <c r="A830" s="349"/>
      <c r="B830" s="349"/>
      <c r="C830" s="349"/>
      <c r="D830" s="349"/>
      <c r="E830" s="349"/>
      <c r="F830" s="349"/>
      <c r="G830" s="349"/>
      <c r="H830" s="349"/>
      <c r="I830" s="349"/>
      <c r="J830" s="349"/>
      <c r="K830" s="349"/>
      <c r="L830" s="349"/>
      <c r="M830" s="349"/>
      <c r="N830" s="349"/>
      <c r="O830" s="349"/>
      <c r="P830" s="349"/>
      <c r="Q830" s="349"/>
      <c r="R830" s="349"/>
      <c r="S830" s="349"/>
      <c r="T830" s="349"/>
      <c r="U830" s="349"/>
      <c r="V830" s="349"/>
      <c r="W830" s="349"/>
      <c r="X830" s="349"/>
      <c r="Y830" s="349"/>
    </row>
    <row r="831" ht="15.75" customHeight="1">
      <c r="A831" s="349"/>
      <c r="B831" s="349"/>
      <c r="C831" s="349"/>
      <c r="D831" s="349"/>
      <c r="E831" s="349"/>
      <c r="F831" s="349"/>
      <c r="G831" s="349"/>
      <c r="H831" s="349"/>
      <c r="I831" s="349"/>
      <c r="J831" s="349"/>
      <c r="K831" s="349"/>
      <c r="L831" s="349"/>
      <c r="M831" s="349"/>
      <c r="N831" s="349"/>
      <c r="O831" s="349"/>
      <c r="P831" s="349"/>
      <c r="Q831" s="349"/>
      <c r="R831" s="349"/>
      <c r="S831" s="349"/>
      <c r="T831" s="349"/>
      <c r="U831" s="349"/>
      <c r="V831" s="349"/>
      <c r="W831" s="349"/>
      <c r="X831" s="349"/>
      <c r="Y831" s="349"/>
    </row>
    <row r="832" ht="15.75" customHeight="1">
      <c r="A832" s="349"/>
      <c r="B832" s="349"/>
      <c r="C832" s="349"/>
      <c r="D832" s="349"/>
      <c r="E832" s="349"/>
      <c r="F832" s="349"/>
      <c r="G832" s="349"/>
      <c r="H832" s="349"/>
      <c r="I832" s="349"/>
      <c r="J832" s="349"/>
      <c r="K832" s="349"/>
      <c r="L832" s="349"/>
      <c r="M832" s="349"/>
      <c r="N832" s="349"/>
      <c r="O832" s="349"/>
      <c r="P832" s="349"/>
      <c r="Q832" s="349"/>
      <c r="R832" s="349"/>
      <c r="S832" s="349"/>
      <c r="T832" s="349"/>
      <c r="U832" s="349"/>
      <c r="V832" s="349"/>
      <c r="W832" s="349"/>
      <c r="X832" s="349"/>
      <c r="Y832" s="349"/>
    </row>
    <row r="833" ht="15.75" customHeight="1">
      <c r="A833" s="349"/>
      <c r="B833" s="349"/>
      <c r="C833" s="349"/>
      <c r="D833" s="349"/>
      <c r="E833" s="349"/>
      <c r="F833" s="349"/>
      <c r="G833" s="349"/>
      <c r="H833" s="349"/>
      <c r="I833" s="349"/>
      <c r="J833" s="349"/>
      <c r="K833" s="349"/>
      <c r="L833" s="349"/>
      <c r="M833" s="349"/>
      <c r="N833" s="349"/>
      <c r="O833" s="349"/>
      <c r="P833" s="349"/>
      <c r="Q833" s="349"/>
      <c r="R833" s="349"/>
      <c r="S833" s="349"/>
      <c r="T833" s="349"/>
      <c r="U833" s="349"/>
      <c r="V833" s="349"/>
      <c r="W833" s="349"/>
      <c r="X833" s="349"/>
      <c r="Y833" s="349"/>
    </row>
    <row r="834" ht="15.75" customHeight="1">
      <c r="A834" s="349"/>
      <c r="B834" s="349"/>
      <c r="C834" s="349"/>
      <c r="D834" s="349"/>
      <c r="E834" s="349"/>
      <c r="F834" s="349"/>
      <c r="G834" s="349"/>
      <c r="H834" s="349"/>
      <c r="I834" s="349"/>
      <c r="J834" s="349"/>
      <c r="K834" s="349"/>
      <c r="L834" s="349"/>
      <c r="M834" s="349"/>
      <c r="N834" s="349"/>
      <c r="O834" s="349"/>
      <c r="P834" s="349"/>
      <c r="Q834" s="349"/>
      <c r="R834" s="349"/>
      <c r="S834" s="349"/>
      <c r="T834" s="349"/>
      <c r="U834" s="349"/>
      <c r="V834" s="349"/>
      <c r="W834" s="349"/>
      <c r="X834" s="349"/>
      <c r="Y834" s="349"/>
    </row>
    <row r="835" ht="15.75" customHeight="1">
      <c r="A835" s="349"/>
      <c r="B835" s="349"/>
      <c r="C835" s="349"/>
      <c r="D835" s="349"/>
      <c r="E835" s="349"/>
      <c r="F835" s="349"/>
      <c r="G835" s="349"/>
      <c r="H835" s="349"/>
      <c r="I835" s="349"/>
      <c r="J835" s="349"/>
      <c r="K835" s="349"/>
      <c r="L835" s="349"/>
      <c r="M835" s="349"/>
      <c r="N835" s="349"/>
      <c r="O835" s="349"/>
      <c r="P835" s="349"/>
      <c r="Q835" s="349"/>
      <c r="R835" s="349"/>
      <c r="S835" s="349"/>
      <c r="T835" s="349"/>
      <c r="U835" s="349"/>
      <c r="V835" s="349"/>
      <c r="W835" s="349"/>
      <c r="X835" s="349"/>
      <c r="Y835" s="349"/>
    </row>
    <row r="836" ht="15.75" customHeight="1">
      <c r="A836" s="349"/>
      <c r="B836" s="349"/>
      <c r="C836" s="349"/>
      <c r="D836" s="349"/>
      <c r="E836" s="349"/>
      <c r="F836" s="349"/>
      <c r="G836" s="349"/>
      <c r="H836" s="349"/>
      <c r="I836" s="349"/>
      <c r="J836" s="349"/>
      <c r="K836" s="349"/>
      <c r="L836" s="349"/>
      <c r="M836" s="349"/>
      <c r="N836" s="349"/>
      <c r="O836" s="349"/>
      <c r="P836" s="349"/>
      <c r="Q836" s="349"/>
      <c r="R836" s="349"/>
      <c r="S836" s="349"/>
      <c r="T836" s="349"/>
      <c r="U836" s="349"/>
      <c r="V836" s="349"/>
      <c r="W836" s="349"/>
      <c r="X836" s="349"/>
      <c r="Y836" s="349"/>
    </row>
    <row r="837" ht="15.75" customHeight="1">
      <c r="A837" s="349"/>
      <c r="B837" s="349"/>
      <c r="C837" s="349"/>
      <c r="D837" s="349"/>
      <c r="E837" s="349"/>
      <c r="F837" s="349"/>
      <c r="G837" s="349"/>
      <c r="H837" s="349"/>
      <c r="I837" s="349"/>
      <c r="J837" s="349"/>
      <c r="K837" s="349"/>
      <c r="L837" s="349"/>
      <c r="M837" s="349"/>
      <c r="N837" s="349"/>
      <c r="O837" s="349"/>
      <c r="P837" s="349"/>
      <c r="Q837" s="349"/>
      <c r="R837" s="349"/>
      <c r="S837" s="349"/>
      <c r="T837" s="349"/>
      <c r="U837" s="349"/>
      <c r="V837" s="349"/>
      <c r="W837" s="349"/>
      <c r="X837" s="349"/>
      <c r="Y837" s="349"/>
    </row>
    <row r="838" ht="15.75" customHeight="1">
      <c r="A838" s="349"/>
      <c r="B838" s="349"/>
      <c r="C838" s="349"/>
      <c r="D838" s="349"/>
      <c r="E838" s="349"/>
      <c r="F838" s="349"/>
      <c r="G838" s="349"/>
      <c r="H838" s="349"/>
      <c r="I838" s="349"/>
      <c r="J838" s="349"/>
      <c r="K838" s="349"/>
      <c r="L838" s="349"/>
      <c r="M838" s="349"/>
      <c r="N838" s="349"/>
      <c r="O838" s="349"/>
      <c r="P838" s="349"/>
      <c r="Q838" s="349"/>
      <c r="R838" s="349"/>
      <c r="S838" s="349"/>
      <c r="T838" s="349"/>
      <c r="U838" s="349"/>
      <c r="V838" s="349"/>
      <c r="W838" s="349"/>
      <c r="X838" s="349"/>
      <c r="Y838" s="349"/>
    </row>
    <row r="839" ht="15.75" customHeight="1">
      <c r="A839" s="349"/>
      <c r="B839" s="349"/>
      <c r="C839" s="349"/>
      <c r="D839" s="349"/>
      <c r="E839" s="349"/>
      <c r="F839" s="349"/>
      <c r="G839" s="349"/>
      <c r="H839" s="349"/>
      <c r="I839" s="349"/>
      <c r="J839" s="349"/>
      <c r="K839" s="349"/>
      <c r="L839" s="349"/>
      <c r="M839" s="349"/>
      <c r="N839" s="349"/>
      <c r="O839" s="349"/>
      <c r="P839" s="349"/>
      <c r="Q839" s="349"/>
      <c r="R839" s="349"/>
      <c r="S839" s="349"/>
      <c r="T839" s="349"/>
      <c r="U839" s="349"/>
      <c r="V839" s="349"/>
      <c r="W839" s="349"/>
      <c r="X839" s="349"/>
      <c r="Y839" s="349"/>
    </row>
    <row r="840" ht="15.75" customHeight="1">
      <c r="A840" s="349"/>
      <c r="B840" s="349"/>
      <c r="C840" s="349"/>
      <c r="D840" s="349"/>
      <c r="E840" s="349"/>
      <c r="F840" s="349"/>
      <c r="G840" s="349"/>
      <c r="H840" s="349"/>
      <c r="I840" s="349"/>
      <c r="J840" s="349"/>
      <c r="K840" s="349"/>
      <c r="L840" s="349"/>
      <c r="M840" s="349"/>
      <c r="N840" s="349"/>
      <c r="O840" s="349"/>
      <c r="P840" s="349"/>
      <c r="Q840" s="349"/>
      <c r="R840" s="349"/>
      <c r="S840" s="349"/>
      <c r="T840" s="349"/>
      <c r="U840" s="349"/>
      <c r="V840" s="349"/>
      <c r="W840" s="349"/>
      <c r="X840" s="349"/>
      <c r="Y840" s="349"/>
    </row>
    <row r="841" ht="15.75" customHeight="1">
      <c r="A841" s="349"/>
      <c r="B841" s="349"/>
      <c r="C841" s="349"/>
      <c r="D841" s="349"/>
      <c r="E841" s="349"/>
      <c r="F841" s="349"/>
      <c r="G841" s="349"/>
      <c r="H841" s="349"/>
      <c r="I841" s="349"/>
      <c r="J841" s="349"/>
      <c r="K841" s="349"/>
      <c r="L841" s="349"/>
      <c r="M841" s="349"/>
      <c r="N841" s="349"/>
      <c r="O841" s="349"/>
      <c r="P841" s="349"/>
      <c r="Q841" s="349"/>
      <c r="R841" s="349"/>
      <c r="S841" s="349"/>
      <c r="T841" s="349"/>
      <c r="U841" s="349"/>
      <c r="V841" s="349"/>
      <c r="W841" s="349"/>
      <c r="X841" s="349"/>
      <c r="Y841" s="349"/>
    </row>
    <row r="842" ht="15.75" customHeight="1">
      <c r="A842" s="349"/>
      <c r="B842" s="349"/>
      <c r="C842" s="349"/>
      <c r="D842" s="349"/>
      <c r="E842" s="349"/>
      <c r="F842" s="349"/>
      <c r="G842" s="349"/>
      <c r="H842" s="349"/>
      <c r="I842" s="349"/>
      <c r="J842" s="349"/>
      <c r="K842" s="349"/>
      <c r="L842" s="349"/>
      <c r="M842" s="349"/>
      <c r="N842" s="349"/>
      <c r="O842" s="349"/>
      <c r="P842" s="349"/>
      <c r="Q842" s="349"/>
      <c r="R842" s="349"/>
      <c r="S842" s="349"/>
      <c r="T842" s="349"/>
      <c r="U842" s="349"/>
      <c r="V842" s="349"/>
      <c r="W842" s="349"/>
      <c r="X842" s="349"/>
      <c r="Y842" s="349"/>
    </row>
    <row r="843" ht="15.75" customHeight="1">
      <c r="A843" s="349"/>
      <c r="B843" s="349"/>
      <c r="C843" s="349"/>
      <c r="D843" s="349"/>
      <c r="E843" s="349"/>
      <c r="F843" s="349"/>
      <c r="G843" s="349"/>
      <c r="H843" s="349"/>
      <c r="I843" s="349"/>
      <c r="J843" s="349"/>
      <c r="K843" s="349"/>
      <c r="L843" s="349"/>
      <c r="M843" s="349"/>
      <c r="N843" s="349"/>
      <c r="O843" s="349"/>
      <c r="P843" s="349"/>
      <c r="Q843" s="349"/>
      <c r="R843" s="349"/>
      <c r="S843" s="349"/>
      <c r="T843" s="349"/>
      <c r="U843" s="349"/>
      <c r="V843" s="349"/>
      <c r="W843" s="349"/>
      <c r="X843" s="349"/>
      <c r="Y843" s="349"/>
    </row>
    <row r="844" ht="15.75" customHeight="1">
      <c r="A844" s="349"/>
      <c r="B844" s="349"/>
      <c r="C844" s="349"/>
      <c r="D844" s="349"/>
      <c r="E844" s="349"/>
      <c r="F844" s="349"/>
      <c r="G844" s="349"/>
      <c r="H844" s="349"/>
      <c r="I844" s="349"/>
      <c r="J844" s="349"/>
      <c r="K844" s="349"/>
      <c r="L844" s="349"/>
      <c r="M844" s="349"/>
      <c r="N844" s="349"/>
      <c r="O844" s="349"/>
      <c r="P844" s="349"/>
      <c r="Q844" s="349"/>
      <c r="R844" s="349"/>
      <c r="S844" s="349"/>
      <c r="T844" s="349"/>
      <c r="U844" s="349"/>
      <c r="V844" s="349"/>
      <c r="W844" s="349"/>
      <c r="X844" s="349"/>
      <c r="Y844" s="349"/>
    </row>
    <row r="845" ht="15.75" customHeight="1">
      <c r="A845" s="349"/>
      <c r="B845" s="349"/>
      <c r="C845" s="349"/>
      <c r="D845" s="349"/>
      <c r="E845" s="349"/>
      <c r="F845" s="349"/>
      <c r="G845" s="349"/>
      <c r="H845" s="349"/>
      <c r="I845" s="349"/>
      <c r="J845" s="349"/>
      <c r="K845" s="349"/>
      <c r="L845" s="349"/>
      <c r="M845" s="349"/>
      <c r="N845" s="349"/>
      <c r="O845" s="349"/>
      <c r="P845" s="349"/>
      <c r="Q845" s="349"/>
      <c r="R845" s="349"/>
      <c r="S845" s="349"/>
      <c r="T845" s="349"/>
      <c r="U845" s="349"/>
      <c r="V845" s="349"/>
      <c r="W845" s="349"/>
      <c r="X845" s="349"/>
      <c r="Y845" s="349"/>
    </row>
    <row r="846" ht="15.75" customHeight="1">
      <c r="A846" s="349"/>
      <c r="B846" s="349"/>
      <c r="C846" s="349"/>
      <c r="D846" s="349"/>
      <c r="E846" s="349"/>
      <c r="F846" s="349"/>
      <c r="G846" s="349"/>
      <c r="H846" s="349"/>
      <c r="I846" s="349"/>
      <c r="J846" s="349"/>
      <c r="K846" s="349"/>
      <c r="L846" s="349"/>
      <c r="M846" s="349"/>
      <c r="N846" s="349"/>
      <c r="O846" s="349"/>
      <c r="P846" s="349"/>
      <c r="Q846" s="349"/>
      <c r="R846" s="349"/>
      <c r="S846" s="349"/>
      <c r="T846" s="349"/>
      <c r="U846" s="349"/>
      <c r="V846" s="349"/>
      <c r="W846" s="349"/>
      <c r="X846" s="349"/>
      <c r="Y846" s="349"/>
    </row>
    <row r="847" ht="15.75" customHeight="1">
      <c r="A847" s="349"/>
      <c r="B847" s="349"/>
      <c r="C847" s="349"/>
      <c r="D847" s="349"/>
      <c r="E847" s="349"/>
      <c r="F847" s="349"/>
      <c r="G847" s="349"/>
      <c r="H847" s="349"/>
      <c r="I847" s="349"/>
      <c r="J847" s="349"/>
      <c r="K847" s="349"/>
      <c r="L847" s="349"/>
      <c r="M847" s="349"/>
      <c r="N847" s="349"/>
      <c r="O847" s="349"/>
      <c r="P847" s="349"/>
      <c r="Q847" s="349"/>
      <c r="R847" s="349"/>
      <c r="S847" s="349"/>
      <c r="T847" s="349"/>
      <c r="U847" s="349"/>
      <c r="V847" s="349"/>
      <c r="W847" s="349"/>
      <c r="X847" s="349"/>
      <c r="Y847" s="349"/>
    </row>
    <row r="848" ht="15.75" customHeight="1">
      <c r="A848" s="349"/>
      <c r="B848" s="349"/>
      <c r="C848" s="349"/>
      <c r="D848" s="349"/>
      <c r="E848" s="349"/>
      <c r="F848" s="349"/>
      <c r="G848" s="349"/>
      <c r="H848" s="349"/>
      <c r="I848" s="349"/>
      <c r="J848" s="349"/>
      <c r="K848" s="349"/>
      <c r="L848" s="349"/>
      <c r="M848" s="349"/>
      <c r="N848" s="349"/>
      <c r="O848" s="349"/>
      <c r="P848" s="349"/>
      <c r="Q848" s="349"/>
      <c r="R848" s="349"/>
      <c r="S848" s="349"/>
      <c r="T848" s="349"/>
      <c r="U848" s="349"/>
      <c r="V848" s="349"/>
      <c r="W848" s="349"/>
      <c r="X848" s="349"/>
      <c r="Y848" s="349"/>
    </row>
    <row r="849" ht="15.75" customHeight="1">
      <c r="A849" s="349"/>
      <c r="B849" s="349"/>
      <c r="C849" s="349"/>
      <c r="D849" s="349"/>
      <c r="E849" s="349"/>
      <c r="F849" s="349"/>
      <c r="G849" s="349"/>
      <c r="H849" s="349"/>
      <c r="I849" s="349"/>
      <c r="J849" s="349"/>
      <c r="K849" s="349"/>
      <c r="L849" s="349"/>
      <c r="M849" s="349"/>
      <c r="N849" s="349"/>
      <c r="O849" s="349"/>
      <c r="P849" s="349"/>
      <c r="Q849" s="349"/>
      <c r="R849" s="349"/>
      <c r="S849" s="349"/>
      <c r="T849" s="349"/>
      <c r="U849" s="349"/>
      <c r="V849" s="349"/>
      <c r="W849" s="349"/>
      <c r="X849" s="349"/>
      <c r="Y849" s="349"/>
    </row>
    <row r="850" ht="15.75" customHeight="1">
      <c r="A850" s="349"/>
      <c r="B850" s="349"/>
      <c r="C850" s="349"/>
      <c r="D850" s="349"/>
      <c r="E850" s="349"/>
      <c r="F850" s="349"/>
      <c r="G850" s="349"/>
      <c r="H850" s="349"/>
      <c r="I850" s="349"/>
      <c r="J850" s="349"/>
      <c r="K850" s="349"/>
      <c r="L850" s="349"/>
      <c r="M850" s="349"/>
      <c r="N850" s="349"/>
      <c r="O850" s="349"/>
      <c r="P850" s="349"/>
      <c r="Q850" s="349"/>
      <c r="R850" s="349"/>
      <c r="S850" s="349"/>
      <c r="T850" s="349"/>
      <c r="U850" s="349"/>
      <c r="V850" s="349"/>
      <c r="W850" s="349"/>
      <c r="X850" s="349"/>
      <c r="Y850" s="349"/>
    </row>
    <row r="851" ht="15.75" customHeight="1">
      <c r="A851" s="349"/>
      <c r="B851" s="349"/>
      <c r="C851" s="349"/>
      <c r="D851" s="349"/>
      <c r="E851" s="349"/>
      <c r="F851" s="349"/>
      <c r="G851" s="349"/>
      <c r="H851" s="349"/>
      <c r="I851" s="349"/>
      <c r="J851" s="349"/>
      <c r="K851" s="349"/>
      <c r="L851" s="349"/>
      <c r="M851" s="349"/>
      <c r="N851" s="349"/>
      <c r="O851" s="349"/>
      <c r="P851" s="349"/>
      <c r="Q851" s="349"/>
      <c r="R851" s="349"/>
      <c r="S851" s="349"/>
      <c r="T851" s="349"/>
      <c r="U851" s="349"/>
      <c r="V851" s="349"/>
      <c r="W851" s="349"/>
      <c r="X851" s="349"/>
      <c r="Y851" s="349"/>
    </row>
    <row r="852" ht="15.75" customHeight="1">
      <c r="A852" s="349"/>
      <c r="B852" s="349"/>
      <c r="C852" s="349"/>
      <c r="D852" s="349"/>
      <c r="E852" s="349"/>
      <c r="F852" s="349"/>
      <c r="G852" s="349"/>
      <c r="H852" s="349"/>
      <c r="I852" s="349"/>
      <c r="J852" s="349"/>
      <c r="K852" s="349"/>
      <c r="L852" s="349"/>
      <c r="M852" s="349"/>
      <c r="N852" s="349"/>
      <c r="O852" s="349"/>
      <c r="P852" s="349"/>
      <c r="Q852" s="349"/>
      <c r="R852" s="349"/>
      <c r="S852" s="349"/>
      <c r="T852" s="349"/>
      <c r="U852" s="349"/>
      <c r="V852" s="349"/>
      <c r="W852" s="349"/>
      <c r="X852" s="349"/>
      <c r="Y852" s="349"/>
    </row>
    <row r="853" ht="15.75" customHeight="1">
      <c r="A853" s="349"/>
      <c r="B853" s="349"/>
      <c r="C853" s="349"/>
      <c r="D853" s="349"/>
      <c r="E853" s="349"/>
      <c r="F853" s="349"/>
      <c r="G853" s="349"/>
      <c r="H853" s="349"/>
      <c r="I853" s="349"/>
      <c r="J853" s="349"/>
      <c r="K853" s="349"/>
      <c r="L853" s="349"/>
      <c r="M853" s="349"/>
      <c r="N853" s="349"/>
      <c r="O853" s="349"/>
      <c r="P853" s="349"/>
      <c r="Q853" s="349"/>
      <c r="R853" s="349"/>
      <c r="S853" s="349"/>
      <c r="T853" s="349"/>
      <c r="U853" s="349"/>
      <c r="V853" s="349"/>
      <c r="W853" s="349"/>
      <c r="X853" s="349"/>
      <c r="Y853" s="349"/>
    </row>
    <row r="854" ht="15.75" customHeight="1">
      <c r="A854" s="349"/>
      <c r="B854" s="349"/>
      <c r="C854" s="349"/>
      <c r="D854" s="349"/>
      <c r="E854" s="349"/>
      <c r="F854" s="349"/>
      <c r="G854" s="349"/>
      <c r="H854" s="349"/>
      <c r="I854" s="349"/>
      <c r="J854" s="349"/>
      <c r="K854" s="349"/>
      <c r="L854" s="349"/>
      <c r="M854" s="349"/>
      <c r="N854" s="349"/>
      <c r="O854" s="349"/>
      <c r="P854" s="349"/>
      <c r="Q854" s="349"/>
      <c r="R854" s="349"/>
      <c r="S854" s="349"/>
      <c r="T854" s="349"/>
      <c r="U854" s="349"/>
      <c r="V854" s="349"/>
      <c r="W854" s="349"/>
      <c r="X854" s="349"/>
      <c r="Y854" s="349"/>
    </row>
    <row r="855" ht="15.75" customHeight="1">
      <c r="A855" s="349"/>
      <c r="B855" s="349"/>
      <c r="C855" s="349"/>
      <c r="D855" s="349"/>
      <c r="E855" s="349"/>
      <c r="F855" s="349"/>
      <c r="G855" s="349"/>
      <c r="H855" s="349"/>
      <c r="I855" s="349"/>
      <c r="J855" s="349"/>
      <c r="K855" s="349"/>
      <c r="L855" s="349"/>
      <c r="M855" s="349"/>
      <c r="N855" s="349"/>
      <c r="O855" s="349"/>
      <c r="P855" s="349"/>
      <c r="Q855" s="349"/>
      <c r="R855" s="349"/>
      <c r="S855" s="349"/>
      <c r="T855" s="349"/>
      <c r="U855" s="349"/>
      <c r="V855" s="349"/>
      <c r="W855" s="349"/>
      <c r="X855" s="349"/>
      <c r="Y855" s="349"/>
    </row>
    <row r="856" ht="15.75" customHeight="1">
      <c r="A856" s="349"/>
      <c r="B856" s="349"/>
      <c r="C856" s="349"/>
      <c r="D856" s="349"/>
      <c r="E856" s="349"/>
      <c r="F856" s="349"/>
      <c r="G856" s="349"/>
      <c r="H856" s="349"/>
      <c r="I856" s="349"/>
      <c r="J856" s="349"/>
      <c r="K856" s="349"/>
      <c r="L856" s="349"/>
      <c r="M856" s="349"/>
      <c r="N856" s="349"/>
      <c r="O856" s="349"/>
      <c r="P856" s="349"/>
      <c r="Q856" s="349"/>
      <c r="R856" s="349"/>
      <c r="S856" s="349"/>
      <c r="T856" s="349"/>
      <c r="U856" s="349"/>
      <c r="V856" s="349"/>
      <c r="W856" s="349"/>
      <c r="X856" s="349"/>
      <c r="Y856" s="349"/>
    </row>
    <row r="857" ht="15.75" customHeight="1">
      <c r="A857" s="349"/>
      <c r="B857" s="349"/>
      <c r="C857" s="349"/>
      <c r="D857" s="349"/>
      <c r="E857" s="349"/>
      <c r="F857" s="349"/>
      <c r="G857" s="349"/>
      <c r="H857" s="349"/>
      <c r="I857" s="349"/>
      <c r="J857" s="349"/>
      <c r="K857" s="349"/>
      <c r="L857" s="349"/>
      <c r="M857" s="349"/>
      <c r="N857" s="349"/>
      <c r="O857" s="349"/>
      <c r="P857" s="349"/>
      <c r="Q857" s="349"/>
      <c r="R857" s="349"/>
      <c r="S857" s="349"/>
      <c r="T857" s="349"/>
      <c r="U857" s="349"/>
      <c r="V857" s="349"/>
      <c r="W857" s="349"/>
      <c r="X857" s="349"/>
      <c r="Y857" s="349"/>
    </row>
    <row r="858" ht="15.75" customHeight="1">
      <c r="A858" s="349"/>
      <c r="B858" s="349"/>
      <c r="C858" s="349"/>
      <c r="D858" s="349"/>
      <c r="E858" s="349"/>
      <c r="F858" s="349"/>
      <c r="G858" s="349"/>
      <c r="H858" s="349"/>
      <c r="I858" s="349"/>
      <c r="J858" s="349"/>
      <c r="K858" s="349"/>
      <c r="L858" s="349"/>
      <c r="M858" s="349"/>
      <c r="N858" s="349"/>
      <c r="O858" s="349"/>
      <c r="P858" s="349"/>
      <c r="Q858" s="349"/>
      <c r="R858" s="349"/>
      <c r="S858" s="349"/>
      <c r="T858" s="349"/>
      <c r="U858" s="349"/>
      <c r="V858" s="349"/>
      <c r="W858" s="349"/>
      <c r="X858" s="349"/>
      <c r="Y858" s="349"/>
    </row>
    <row r="859" ht="15.75" customHeight="1">
      <c r="A859" s="349"/>
      <c r="B859" s="349"/>
      <c r="C859" s="349"/>
      <c r="D859" s="349"/>
      <c r="E859" s="349"/>
      <c r="F859" s="349"/>
      <c r="G859" s="349"/>
      <c r="H859" s="349"/>
      <c r="I859" s="349"/>
      <c r="J859" s="349"/>
      <c r="K859" s="349"/>
      <c r="L859" s="349"/>
      <c r="M859" s="349"/>
      <c r="N859" s="349"/>
      <c r="O859" s="349"/>
      <c r="P859" s="349"/>
      <c r="Q859" s="349"/>
      <c r="R859" s="349"/>
      <c r="S859" s="349"/>
      <c r="T859" s="349"/>
      <c r="U859" s="349"/>
      <c r="V859" s="349"/>
      <c r="W859" s="349"/>
      <c r="X859" s="349"/>
      <c r="Y859" s="349"/>
    </row>
    <row r="860" ht="15.75" customHeight="1">
      <c r="A860" s="349"/>
      <c r="B860" s="349"/>
      <c r="C860" s="349"/>
      <c r="D860" s="349"/>
      <c r="E860" s="349"/>
      <c r="F860" s="349"/>
      <c r="G860" s="349"/>
      <c r="H860" s="349"/>
      <c r="I860" s="349"/>
      <c r="J860" s="349"/>
      <c r="K860" s="349"/>
      <c r="L860" s="349"/>
      <c r="M860" s="349"/>
      <c r="N860" s="349"/>
      <c r="O860" s="349"/>
      <c r="P860" s="349"/>
      <c r="Q860" s="349"/>
      <c r="R860" s="349"/>
      <c r="S860" s="349"/>
      <c r="T860" s="349"/>
      <c r="U860" s="349"/>
      <c r="V860" s="349"/>
      <c r="W860" s="349"/>
      <c r="X860" s="349"/>
      <c r="Y860" s="349"/>
    </row>
    <row r="861" ht="15.75" customHeight="1">
      <c r="A861" s="349"/>
      <c r="B861" s="349"/>
      <c r="C861" s="349"/>
      <c r="D861" s="349"/>
      <c r="E861" s="349"/>
      <c r="F861" s="349"/>
      <c r="G861" s="349"/>
      <c r="H861" s="349"/>
      <c r="I861" s="349"/>
      <c r="J861" s="349"/>
      <c r="K861" s="349"/>
      <c r="L861" s="349"/>
      <c r="M861" s="349"/>
      <c r="N861" s="349"/>
      <c r="O861" s="349"/>
      <c r="P861" s="349"/>
      <c r="Q861" s="349"/>
      <c r="R861" s="349"/>
      <c r="S861" s="349"/>
      <c r="T861" s="349"/>
      <c r="U861" s="349"/>
      <c r="V861" s="349"/>
      <c r="W861" s="349"/>
      <c r="X861" s="349"/>
      <c r="Y861" s="349"/>
    </row>
    <row r="862" ht="15.75" customHeight="1">
      <c r="A862" s="349"/>
      <c r="B862" s="349"/>
      <c r="C862" s="349"/>
      <c r="D862" s="349"/>
      <c r="E862" s="349"/>
      <c r="F862" s="349"/>
      <c r="G862" s="349"/>
      <c r="H862" s="349"/>
      <c r="I862" s="349"/>
      <c r="J862" s="349"/>
      <c r="K862" s="349"/>
      <c r="L862" s="349"/>
      <c r="M862" s="349"/>
      <c r="N862" s="349"/>
      <c r="O862" s="349"/>
      <c r="P862" s="349"/>
      <c r="Q862" s="349"/>
      <c r="R862" s="349"/>
      <c r="S862" s="349"/>
      <c r="T862" s="349"/>
      <c r="U862" s="349"/>
      <c r="V862" s="349"/>
      <c r="W862" s="349"/>
      <c r="X862" s="349"/>
      <c r="Y862" s="349"/>
    </row>
    <row r="863" ht="15.75" customHeight="1">
      <c r="A863" s="349"/>
      <c r="B863" s="349"/>
      <c r="C863" s="349"/>
      <c r="D863" s="349"/>
      <c r="E863" s="349"/>
      <c r="F863" s="349"/>
      <c r="G863" s="349"/>
      <c r="H863" s="349"/>
      <c r="I863" s="349"/>
      <c r="J863" s="349"/>
      <c r="K863" s="349"/>
      <c r="L863" s="349"/>
      <c r="M863" s="349"/>
      <c r="N863" s="349"/>
      <c r="O863" s="349"/>
      <c r="P863" s="349"/>
      <c r="Q863" s="349"/>
      <c r="R863" s="349"/>
      <c r="S863" s="349"/>
      <c r="T863" s="349"/>
      <c r="U863" s="349"/>
      <c r="V863" s="349"/>
      <c r="W863" s="349"/>
      <c r="X863" s="349"/>
      <c r="Y863" s="349"/>
    </row>
    <row r="864" ht="15.75" customHeight="1">
      <c r="A864" s="349"/>
      <c r="B864" s="349"/>
      <c r="C864" s="349"/>
      <c r="D864" s="349"/>
      <c r="E864" s="349"/>
      <c r="F864" s="349"/>
      <c r="G864" s="349"/>
      <c r="H864" s="349"/>
      <c r="I864" s="349"/>
      <c r="J864" s="349"/>
      <c r="K864" s="349"/>
      <c r="L864" s="349"/>
      <c r="M864" s="349"/>
      <c r="N864" s="349"/>
      <c r="O864" s="349"/>
      <c r="P864" s="349"/>
      <c r="Q864" s="349"/>
      <c r="R864" s="349"/>
      <c r="S864" s="349"/>
      <c r="T864" s="349"/>
      <c r="U864" s="349"/>
      <c r="V864" s="349"/>
      <c r="W864" s="349"/>
      <c r="X864" s="349"/>
      <c r="Y864" s="349"/>
    </row>
    <row r="865" ht="15.75" customHeight="1">
      <c r="A865" s="349"/>
      <c r="B865" s="349"/>
      <c r="C865" s="349"/>
      <c r="D865" s="349"/>
      <c r="E865" s="349"/>
      <c r="F865" s="349"/>
      <c r="G865" s="349"/>
      <c r="H865" s="349"/>
      <c r="I865" s="349"/>
      <c r="J865" s="349"/>
      <c r="K865" s="349"/>
      <c r="L865" s="349"/>
      <c r="M865" s="349"/>
      <c r="N865" s="349"/>
      <c r="O865" s="349"/>
      <c r="P865" s="349"/>
      <c r="Q865" s="349"/>
      <c r="R865" s="349"/>
      <c r="S865" s="349"/>
      <c r="T865" s="349"/>
      <c r="U865" s="349"/>
      <c r="V865" s="349"/>
      <c r="W865" s="349"/>
      <c r="X865" s="349"/>
      <c r="Y865" s="349"/>
    </row>
    <row r="866" ht="15.75" customHeight="1">
      <c r="A866" s="349"/>
      <c r="B866" s="349"/>
      <c r="C866" s="349"/>
      <c r="D866" s="349"/>
      <c r="E866" s="349"/>
      <c r="F866" s="349"/>
      <c r="G866" s="349"/>
      <c r="H866" s="349"/>
      <c r="I866" s="349"/>
      <c r="J866" s="349"/>
      <c r="K866" s="349"/>
      <c r="L866" s="349"/>
      <c r="M866" s="349"/>
      <c r="N866" s="349"/>
      <c r="O866" s="349"/>
      <c r="P866" s="349"/>
      <c r="Q866" s="349"/>
      <c r="R866" s="349"/>
      <c r="S866" s="349"/>
      <c r="T866" s="349"/>
      <c r="U866" s="349"/>
      <c r="V866" s="349"/>
      <c r="W866" s="349"/>
      <c r="X866" s="349"/>
      <c r="Y866" s="349"/>
    </row>
    <row r="867" ht="15.75" customHeight="1">
      <c r="A867" s="349"/>
      <c r="B867" s="349"/>
      <c r="C867" s="349"/>
      <c r="D867" s="349"/>
      <c r="E867" s="349"/>
      <c r="F867" s="349"/>
      <c r="G867" s="349"/>
      <c r="H867" s="349"/>
      <c r="I867" s="349"/>
      <c r="J867" s="349"/>
      <c r="K867" s="349"/>
      <c r="L867" s="349"/>
      <c r="M867" s="349"/>
      <c r="N867" s="349"/>
      <c r="O867" s="349"/>
      <c r="P867" s="349"/>
      <c r="Q867" s="349"/>
      <c r="R867" s="349"/>
      <c r="S867" s="349"/>
      <c r="T867" s="349"/>
      <c r="U867" s="349"/>
      <c r="V867" s="349"/>
      <c r="W867" s="349"/>
      <c r="X867" s="349"/>
      <c r="Y867" s="349"/>
    </row>
    <row r="868" ht="15.75" customHeight="1">
      <c r="A868" s="349"/>
      <c r="B868" s="349"/>
      <c r="C868" s="349"/>
      <c r="D868" s="349"/>
      <c r="E868" s="349"/>
      <c r="F868" s="349"/>
      <c r="G868" s="349"/>
      <c r="H868" s="349"/>
      <c r="I868" s="349"/>
      <c r="J868" s="349"/>
      <c r="K868" s="349"/>
      <c r="L868" s="349"/>
      <c r="M868" s="349"/>
      <c r="N868" s="349"/>
      <c r="O868" s="349"/>
      <c r="P868" s="349"/>
      <c r="Q868" s="349"/>
      <c r="R868" s="349"/>
      <c r="S868" s="349"/>
      <c r="T868" s="349"/>
      <c r="U868" s="349"/>
      <c r="V868" s="349"/>
      <c r="W868" s="349"/>
      <c r="X868" s="349"/>
      <c r="Y868" s="349"/>
    </row>
    <row r="869" ht="15.75" customHeight="1">
      <c r="A869" s="349"/>
      <c r="B869" s="349"/>
      <c r="C869" s="349"/>
      <c r="D869" s="349"/>
      <c r="E869" s="349"/>
      <c r="F869" s="349"/>
      <c r="G869" s="349"/>
      <c r="H869" s="349"/>
      <c r="I869" s="349"/>
      <c r="J869" s="349"/>
      <c r="K869" s="349"/>
      <c r="L869" s="349"/>
      <c r="M869" s="349"/>
      <c r="N869" s="349"/>
      <c r="O869" s="349"/>
      <c r="P869" s="349"/>
      <c r="Q869" s="349"/>
      <c r="R869" s="349"/>
      <c r="S869" s="349"/>
      <c r="T869" s="349"/>
      <c r="U869" s="349"/>
      <c r="V869" s="349"/>
      <c r="W869" s="349"/>
      <c r="X869" s="349"/>
      <c r="Y869" s="349"/>
    </row>
    <row r="870" ht="15.75" customHeight="1">
      <c r="A870" s="349"/>
      <c r="B870" s="349"/>
      <c r="C870" s="349"/>
      <c r="D870" s="349"/>
      <c r="E870" s="349"/>
      <c r="F870" s="349"/>
      <c r="G870" s="349"/>
      <c r="H870" s="349"/>
      <c r="I870" s="349"/>
      <c r="J870" s="349"/>
      <c r="K870" s="349"/>
      <c r="L870" s="349"/>
      <c r="M870" s="349"/>
      <c r="N870" s="349"/>
      <c r="O870" s="349"/>
      <c r="P870" s="349"/>
      <c r="Q870" s="349"/>
      <c r="R870" s="349"/>
      <c r="S870" s="349"/>
      <c r="T870" s="349"/>
      <c r="U870" s="349"/>
      <c r="V870" s="349"/>
      <c r="W870" s="349"/>
      <c r="X870" s="349"/>
      <c r="Y870" s="349"/>
    </row>
    <row r="871" ht="15.75" customHeight="1">
      <c r="A871" s="349"/>
      <c r="B871" s="349"/>
      <c r="C871" s="349"/>
      <c r="D871" s="349"/>
      <c r="E871" s="349"/>
      <c r="F871" s="349"/>
      <c r="G871" s="349"/>
      <c r="H871" s="349"/>
      <c r="I871" s="349"/>
      <c r="J871" s="349"/>
      <c r="K871" s="349"/>
      <c r="L871" s="349"/>
      <c r="M871" s="349"/>
      <c r="N871" s="349"/>
      <c r="O871" s="349"/>
      <c r="P871" s="349"/>
      <c r="Q871" s="349"/>
      <c r="R871" s="349"/>
      <c r="S871" s="349"/>
      <c r="T871" s="349"/>
      <c r="U871" s="349"/>
      <c r="V871" s="349"/>
      <c r="W871" s="349"/>
      <c r="X871" s="349"/>
      <c r="Y871" s="349"/>
    </row>
    <row r="872" ht="15.75" customHeight="1">
      <c r="A872" s="349"/>
      <c r="B872" s="349"/>
      <c r="C872" s="349"/>
      <c r="D872" s="349"/>
      <c r="E872" s="349"/>
      <c r="F872" s="349"/>
      <c r="G872" s="349"/>
      <c r="H872" s="349"/>
      <c r="I872" s="349"/>
      <c r="J872" s="349"/>
      <c r="K872" s="349"/>
      <c r="L872" s="349"/>
      <c r="M872" s="349"/>
      <c r="N872" s="349"/>
      <c r="O872" s="349"/>
      <c r="P872" s="349"/>
      <c r="Q872" s="349"/>
      <c r="R872" s="349"/>
      <c r="S872" s="349"/>
      <c r="T872" s="349"/>
      <c r="U872" s="349"/>
      <c r="V872" s="349"/>
      <c r="W872" s="349"/>
      <c r="X872" s="349"/>
      <c r="Y872" s="349"/>
    </row>
    <row r="873" ht="15.75" customHeight="1">
      <c r="A873" s="349"/>
      <c r="B873" s="349"/>
      <c r="C873" s="349"/>
      <c r="D873" s="349"/>
      <c r="E873" s="349"/>
      <c r="F873" s="349"/>
      <c r="G873" s="349"/>
      <c r="H873" s="349"/>
      <c r="I873" s="349"/>
      <c r="J873" s="349"/>
      <c r="K873" s="349"/>
      <c r="L873" s="349"/>
      <c r="M873" s="349"/>
      <c r="N873" s="349"/>
      <c r="O873" s="349"/>
      <c r="P873" s="349"/>
      <c r="Q873" s="349"/>
      <c r="R873" s="349"/>
      <c r="S873" s="349"/>
      <c r="T873" s="349"/>
      <c r="U873" s="349"/>
      <c r="V873" s="349"/>
      <c r="W873" s="349"/>
      <c r="X873" s="349"/>
      <c r="Y873" s="349"/>
    </row>
    <row r="874" ht="15.75" customHeight="1">
      <c r="A874" s="349"/>
      <c r="B874" s="349"/>
      <c r="C874" s="349"/>
      <c r="D874" s="349"/>
      <c r="E874" s="349"/>
      <c r="F874" s="349"/>
      <c r="G874" s="349"/>
      <c r="H874" s="349"/>
      <c r="I874" s="349"/>
      <c r="J874" s="349"/>
      <c r="K874" s="349"/>
      <c r="L874" s="349"/>
      <c r="M874" s="349"/>
      <c r="N874" s="349"/>
      <c r="O874" s="349"/>
      <c r="P874" s="349"/>
      <c r="Q874" s="349"/>
      <c r="R874" s="349"/>
      <c r="S874" s="349"/>
      <c r="T874" s="349"/>
      <c r="U874" s="349"/>
      <c r="V874" s="349"/>
      <c r="W874" s="349"/>
      <c r="X874" s="349"/>
      <c r="Y874" s="349"/>
    </row>
    <row r="875" ht="15.75" customHeight="1">
      <c r="A875" s="349"/>
      <c r="B875" s="349"/>
      <c r="C875" s="349"/>
      <c r="D875" s="349"/>
      <c r="E875" s="349"/>
      <c r="F875" s="349"/>
      <c r="G875" s="349"/>
      <c r="H875" s="349"/>
      <c r="I875" s="349"/>
      <c r="J875" s="349"/>
      <c r="K875" s="349"/>
      <c r="L875" s="349"/>
      <c r="M875" s="349"/>
      <c r="N875" s="349"/>
      <c r="O875" s="349"/>
      <c r="P875" s="349"/>
      <c r="Q875" s="349"/>
      <c r="R875" s="349"/>
      <c r="S875" s="349"/>
      <c r="T875" s="349"/>
      <c r="U875" s="349"/>
      <c r="V875" s="349"/>
      <c r="W875" s="349"/>
      <c r="X875" s="349"/>
      <c r="Y875" s="349"/>
    </row>
    <row r="876" ht="15.75" customHeight="1">
      <c r="A876" s="349"/>
      <c r="B876" s="349"/>
      <c r="C876" s="349"/>
      <c r="D876" s="349"/>
      <c r="E876" s="349"/>
      <c r="F876" s="349"/>
      <c r="G876" s="349"/>
      <c r="H876" s="349"/>
      <c r="I876" s="349"/>
      <c r="J876" s="349"/>
      <c r="K876" s="349"/>
      <c r="L876" s="349"/>
      <c r="M876" s="349"/>
      <c r="N876" s="349"/>
      <c r="O876" s="349"/>
      <c r="P876" s="349"/>
      <c r="Q876" s="349"/>
      <c r="R876" s="349"/>
      <c r="S876" s="349"/>
      <c r="T876" s="349"/>
      <c r="U876" s="349"/>
      <c r="V876" s="349"/>
      <c r="W876" s="349"/>
      <c r="X876" s="349"/>
      <c r="Y876" s="349"/>
    </row>
    <row r="877" ht="15.75" customHeight="1">
      <c r="A877" s="349"/>
      <c r="B877" s="349"/>
      <c r="C877" s="349"/>
      <c r="D877" s="349"/>
      <c r="E877" s="349"/>
      <c r="F877" s="349"/>
      <c r="G877" s="349"/>
      <c r="H877" s="349"/>
      <c r="I877" s="349"/>
      <c r="J877" s="349"/>
      <c r="K877" s="349"/>
      <c r="L877" s="349"/>
      <c r="M877" s="349"/>
      <c r="N877" s="349"/>
      <c r="O877" s="349"/>
      <c r="P877" s="349"/>
      <c r="Q877" s="349"/>
      <c r="R877" s="349"/>
      <c r="S877" s="349"/>
      <c r="T877" s="349"/>
      <c r="U877" s="349"/>
      <c r="V877" s="349"/>
      <c r="W877" s="349"/>
      <c r="X877" s="349"/>
      <c r="Y877" s="349"/>
    </row>
    <row r="878" ht="15.75" customHeight="1">
      <c r="A878" s="349"/>
      <c r="B878" s="349"/>
      <c r="C878" s="349"/>
      <c r="D878" s="349"/>
      <c r="E878" s="349"/>
      <c r="F878" s="349"/>
      <c r="G878" s="349"/>
      <c r="H878" s="349"/>
      <c r="I878" s="349"/>
      <c r="J878" s="349"/>
      <c r="K878" s="349"/>
      <c r="L878" s="349"/>
      <c r="M878" s="349"/>
      <c r="N878" s="349"/>
      <c r="O878" s="349"/>
      <c r="P878" s="349"/>
      <c r="Q878" s="349"/>
      <c r="R878" s="349"/>
      <c r="S878" s="349"/>
      <c r="T878" s="349"/>
      <c r="U878" s="349"/>
      <c r="V878" s="349"/>
      <c r="W878" s="349"/>
      <c r="X878" s="349"/>
      <c r="Y878" s="349"/>
    </row>
    <row r="879" ht="15.75" customHeight="1">
      <c r="A879" s="349"/>
      <c r="B879" s="349"/>
      <c r="C879" s="349"/>
      <c r="D879" s="349"/>
      <c r="E879" s="349"/>
      <c r="F879" s="349"/>
      <c r="G879" s="349"/>
      <c r="H879" s="349"/>
      <c r="I879" s="349"/>
      <c r="J879" s="349"/>
      <c r="K879" s="349"/>
      <c r="L879" s="349"/>
      <c r="M879" s="349"/>
      <c r="N879" s="349"/>
      <c r="O879" s="349"/>
      <c r="P879" s="349"/>
      <c r="Q879" s="349"/>
      <c r="R879" s="349"/>
      <c r="S879" s="349"/>
      <c r="T879" s="349"/>
      <c r="U879" s="349"/>
      <c r="V879" s="349"/>
      <c r="W879" s="349"/>
      <c r="X879" s="349"/>
      <c r="Y879" s="349"/>
    </row>
    <row r="880" ht="15.75" customHeight="1">
      <c r="A880" s="349"/>
      <c r="B880" s="349"/>
      <c r="C880" s="349"/>
      <c r="D880" s="349"/>
      <c r="E880" s="349"/>
      <c r="F880" s="349"/>
      <c r="G880" s="349"/>
      <c r="H880" s="349"/>
      <c r="I880" s="349"/>
      <c r="J880" s="349"/>
      <c r="K880" s="349"/>
      <c r="L880" s="349"/>
      <c r="M880" s="349"/>
      <c r="N880" s="349"/>
      <c r="O880" s="349"/>
      <c r="P880" s="349"/>
      <c r="Q880" s="349"/>
      <c r="R880" s="349"/>
      <c r="S880" s="349"/>
      <c r="T880" s="349"/>
      <c r="U880" s="349"/>
      <c r="V880" s="349"/>
      <c r="W880" s="349"/>
      <c r="X880" s="349"/>
      <c r="Y880" s="349"/>
    </row>
    <row r="881" ht="15.75" customHeight="1">
      <c r="A881" s="349"/>
      <c r="B881" s="349"/>
      <c r="C881" s="349"/>
      <c r="D881" s="349"/>
      <c r="E881" s="349"/>
      <c r="F881" s="349"/>
      <c r="G881" s="349"/>
      <c r="H881" s="349"/>
      <c r="I881" s="349"/>
      <c r="J881" s="349"/>
      <c r="K881" s="349"/>
      <c r="L881" s="349"/>
      <c r="M881" s="349"/>
      <c r="N881" s="349"/>
      <c r="O881" s="349"/>
      <c r="P881" s="349"/>
      <c r="Q881" s="349"/>
      <c r="R881" s="349"/>
      <c r="S881" s="349"/>
      <c r="T881" s="349"/>
      <c r="U881" s="349"/>
      <c r="V881" s="349"/>
      <c r="W881" s="349"/>
      <c r="X881" s="349"/>
      <c r="Y881" s="349"/>
    </row>
    <row r="882" ht="15.75" customHeight="1">
      <c r="A882" s="349"/>
      <c r="B882" s="349"/>
      <c r="C882" s="349"/>
      <c r="D882" s="349"/>
      <c r="E882" s="349"/>
      <c r="F882" s="349"/>
      <c r="G882" s="349"/>
      <c r="H882" s="349"/>
      <c r="I882" s="349"/>
      <c r="J882" s="349"/>
      <c r="K882" s="349"/>
      <c r="L882" s="349"/>
      <c r="M882" s="349"/>
      <c r="N882" s="349"/>
      <c r="O882" s="349"/>
      <c r="P882" s="349"/>
      <c r="Q882" s="349"/>
      <c r="R882" s="349"/>
      <c r="S882" s="349"/>
      <c r="T882" s="349"/>
      <c r="U882" s="349"/>
      <c r="V882" s="349"/>
      <c r="W882" s="349"/>
      <c r="X882" s="349"/>
      <c r="Y882" s="349"/>
    </row>
    <row r="883" ht="15.75" customHeight="1">
      <c r="A883" s="349"/>
      <c r="B883" s="349"/>
      <c r="C883" s="349"/>
      <c r="D883" s="349"/>
      <c r="E883" s="349"/>
      <c r="F883" s="349"/>
      <c r="G883" s="349"/>
      <c r="H883" s="349"/>
      <c r="I883" s="349"/>
      <c r="J883" s="349"/>
      <c r="K883" s="349"/>
      <c r="L883" s="349"/>
      <c r="M883" s="349"/>
      <c r="N883" s="349"/>
      <c r="O883" s="349"/>
      <c r="P883" s="349"/>
      <c r="Q883" s="349"/>
      <c r="R883" s="349"/>
      <c r="S883" s="349"/>
      <c r="T883" s="349"/>
      <c r="U883" s="349"/>
      <c r="V883" s="349"/>
      <c r="W883" s="349"/>
      <c r="X883" s="349"/>
      <c r="Y883" s="349"/>
    </row>
    <row r="884" ht="15.75" customHeight="1">
      <c r="A884" s="349"/>
      <c r="B884" s="349"/>
      <c r="C884" s="349"/>
      <c r="D884" s="349"/>
      <c r="E884" s="349"/>
      <c r="F884" s="349"/>
      <c r="G884" s="349"/>
      <c r="H884" s="349"/>
      <c r="I884" s="349"/>
      <c r="J884" s="349"/>
      <c r="K884" s="349"/>
      <c r="L884" s="349"/>
      <c r="M884" s="349"/>
      <c r="N884" s="349"/>
      <c r="O884" s="349"/>
      <c r="P884" s="349"/>
      <c r="Q884" s="349"/>
      <c r="R884" s="349"/>
      <c r="S884" s="349"/>
      <c r="T884" s="349"/>
      <c r="U884" s="349"/>
      <c r="V884" s="349"/>
      <c r="W884" s="349"/>
      <c r="X884" s="349"/>
      <c r="Y884" s="349"/>
    </row>
    <row r="885" ht="15.75" customHeight="1">
      <c r="A885" s="349"/>
      <c r="B885" s="349"/>
      <c r="C885" s="349"/>
      <c r="D885" s="349"/>
      <c r="E885" s="349"/>
      <c r="F885" s="349"/>
      <c r="G885" s="349"/>
      <c r="H885" s="349"/>
      <c r="I885" s="349"/>
      <c r="J885" s="349"/>
      <c r="K885" s="349"/>
      <c r="L885" s="349"/>
      <c r="M885" s="349"/>
      <c r="N885" s="349"/>
      <c r="O885" s="349"/>
      <c r="P885" s="349"/>
      <c r="Q885" s="349"/>
      <c r="R885" s="349"/>
      <c r="S885" s="349"/>
      <c r="T885" s="349"/>
      <c r="U885" s="349"/>
      <c r="V885" s="349"/>
      <c r="W885" s="349"/>
      <c r="X885" s="349"/>
      <c r="Y885" s="349"/>
    </row>
    <row r="886" ht="15.75" customHeight="1">
      <c r="A886" s="349"/>
      <c r="B886" s="349"/>
      <c r="C886" s="349"/>
      <c r="D886" s="349"/>
      <c r="E886" s="349"/>
      <c r="F886" s="349"/>
      <c r="G886" s="349"/>
      <c r="H886" s="349"/>
      <c r="I886" s="349"/>
      <c r="J886" s="349"/>
      <c r="K886" s="349"/>
      <c r="L886" s="349"/>
      <c r="M886" s="349"/>
      <c r="N886" s="349"/>
      <c r="O886" s="349"/>
      <c r="P886" s="349"/>
      <c r="Q886" s="349"/>
      <c r="R886" s="349"/>
      <c r="S886" s="349"/>
      <c r="T886" s="349"/>
      <c r="U886" s="349"/>
      <c r="V886" s="349"/>
      <c r="W886" s="349"/>
      <c r="X886" s="349"/>
      <c r="Y886" s="349"/>
    </row>
    <row r="887" ht="15.75" customHeight="1">
      <c r="A887" s="349"/>
      <c r="B887" s="349"/>
      <c r="C887" s="349"/>
      <c r="D887" s="349"/>
      <c r="E887" s="349"/>
      <c r="F887" s="349"/>
      <c r="G887" s="349"/>
      <c r="H887" s="349"/>
      <c r="I887" s="349"/>
      <c r="J887" s="349"/>
      <c r="K887" s="349"/>
      <c r="L887" s="349"/>
      <c r="M887" s="349"/>
      <c r="N887" s="349"/>
      <c r="O887" s="349"/>
      <c r="P887" s="349"/>
      <c r="Q887" s="349"/>
      <c r="R887" s="349"/>
      <c r="S887" s="349"/>
      <c r="T887" s="349"/>
      <c r="U887" s="349"/>
      <c r="V887" s="349"/>
      <c r="W887" s="349"/>
      <c r="X887" s="349"/>
      <c r="Y887" s="349"/>
    </row>
    <row r="888" ht="15.75" customHeight="1">
      <c r="A888" s="349"/>
      <c r="B888" s="349"/>
      <c r="C888" s="349"/>
      <c r="D888" s="349"/>
      <c r="E888" s="349"/>
      <c r="F888" s="349"/>
      <c r="G888" s="349"/>
      <c r="H888" s="349"/>
      <c r="I888" s="349"/>
      <c r="J888" s="349"/>
      <c r="K888" s="349"/>
      <c r="L888" s="349"/>
      <c r="M888" s="349"/>
      <c r="N888" s="349"/>
      <c r="O888" s="349"/>
      <c r="P888" s="349"/>
      <c r="Q888" s="349"/>
      <c r="R888" s="349"/>
      <c r="S888" s="349"/>
      <c r="T888" s="349"/>
      <c r="U888" s="349"/>
      <c r="V888" s="349"/>
      <c r="W888" s="349"/>
      <c r="X888" s="349"/>
      <c r="Y888" s="349"/>
    </row>
    <row r="889" ht="15.75" customHeight="1">
      <c r="A889" s="349"/>
      <c r="B889" s="349"/>
      <c r="C889" s="349"/>
      <c r="D889" s="349"/>
      <c r="E889" s="349"/>
      <c r="F889" s="349"/>
      <c r="G889" s="349"/>
      <c r="H889" s="349"/>
      <c r="I889" s="349"/>
      <c r="J889" s="349"/>
      <c r="K889" s="349"/>
      <c r="L889" s="349"/>
      <c r="M889" s="349"/>
      <c r="N889" s="349"/>
      <c r="O889" s="349"/>
      <c r="P889" s="349"/>
      <c r="Q889" s="349"/>
      <c r="R889" s="349"/>
      <c r="S889" s="349"/>
      <c r="T889" s="349"/>
      <c r="U889" s="349"/>
      <c r="V889" s="349"/>
      <c r="W889" s="349"/>
      <c r="X889" s="349"/>
      <c r="Y889" s="349"/>
    </row>
    <row r="890" ht="15.75" customHeight="1">
      <c r="A890" s="349"/>
      <c r="B890" s="349"/>
      <c r="C890" s="349"/>
      <c r="D890" s="349"/>
      <c r="E890" s="349"/>
      <c r="F890" s="349"/>
      <c r="G890" s="349"/>
      <c r="H890" s="349"/>
      <c r="I890" s="349"/>
      <c r="J890" s="349"/>
      <c r="K890" s="349"/>
      <c r="L890" s="349"/>
      <c r="M890" s="349"/>
      <c r="N890" s="349"/>
      <c r="O890" s="349"/>
      <c r="P890" s="349"/>
      <c r="Q890" s="349"/>
      <c r="R890" s="349"/>
      <c r="S890" s="349"/>
      <c r="T890" s="349"/>
      <c r="U890" s="349"/>
      <c r="V890" s="349"/>
      <c r="W890" s="349"/>
      <c r="X890" s="349"/>
      <c r="Y890" s="349"/>
    </row>
    <row r="891" ht="15.75" customHeight="1">
      <c r="A891" s="349"/>
      <c r="B891" s="349"/>
      <c r="C891" s="349"/>
      <c r="D891" s="349"/>
      <c r="E891" s="349"/>
      <c r="F891" s="349"/>
      <c r="G891" s="349"/>
      <c r="H891" s="349"/>
      <c r="I891" s="349"/>
      <c r="J891" s="349"/>
      <c r="K891" s="349"/>
      <c r="L891" s="349"/>
      <c r="M891" s="349"/>
      <c r="N891" s="349"/>
      <c r="O891" s="349"/>
      <c r="P891" s="349"/>
      <c r="Q891" s="349"/>
      <c r="R891" s="349"/>
      <c r="S891" s="349"/>
      <c r="T891" s="349"/>
      <c r="U891" s="349"/>
      <c r="V891" s="349"/>
      <c r="W891" s="349"/>
      <c r="X891" s="349"/>
      <c r="Y891" s="349"/>
    </row>
    <row r="892" ht="15.75" customHeight="1">
      <c r="A892" s="349"/>
      <c r="B892" s="349"/>
      <c r="C892" s="349"/>
      <c r="D892" s="349"/>
      <c r="E892" s="349"/>
      <c r="F892" s="349"/>
      <c r="G892" s="349"/>
      <c r="H892" s="349"/>
      <c r="I892" s="349"/>
      <c r="J892" s="349"/>
      <c r="K892" s="349"/>
      <c r="L892" s="349"/>
      <c r="M892" s="349"/>
      <c r="N892" s="349"/>
      <c r="O892" s="349"/>
      <c r="P892" s="349"/>
      <c r="Q892" s="349"/>
      <c r="R892" s="349"/>
      <c r="S892" s="349"/>
      <c r="T892" s="349"/>
      <c r="U892" s="349"/>
      <c r="V892" s="349"/>
      <c r="W892" s="349"/>
      <c r="X892" s="349"/>
      <c r="Y892" s="349"/>
    </row>
    <row r="893" ht="15.75" customHeight="1">
      <c r="A893" s="349"/>
      <c r="B893" s="349"/>
      <c r="C893" s="349"/>
      <c r="D893" s="349"/>
      <c r="E893" s="349"/>
      <c r="F893" s="349"/>
      <c r="G893" s="349"/>
      <c r="H893" s="349"/>
      <c r="I893" s="349"/>
      <c r="J893" s="349"/>
      <c r="K893" s="349"/>
      <c r="L893" s="349"/>
      <c r="M893" s="349"/>
      <c r="N893" s="349"/>
      <c r="O893" s="349"/>
      <c r="P893" s="349"/>
      <c r="Q893" s="349"/>
      <c r="R893" s="349"/>
      <c r="S893" s="349"/>
      <c r="T893" s="349"/>
      <c r="U893" s="349"/>
      <c r="V893" s="349"/>
      <c r="W893" s="349"/>
      <c r="X893" s="349"/>
      <c r="Y893" s="349"/>
    </row>
    <row r="894" ht="15.75" customHeight="1">
      <c r="A894" s="349"/>
      <c r="B894" s="349"/>
      <c r="C894" s="349"/>
      <c r="D894" s="349"/>
      <c r="E894" s="349"/>
      <c r="F894" s="349"/>
      <c r="G894" s="349"/>
      <c r="H894" s="349"/>
      <c r="I894" s="349"/>
      <c r="J894" s="349"/>
      <c r="K894" s="349"/>
      <c r="L894" s="349"/>
      <c r="M894" s="349"/>
      <c r="N894" s="349"/>
      <c r="O894" s="349"/>
      <c r="P894" s="349"/>
      <c r="Q894" s="349"/>
      <c r="R894" s="349"/>
      <c r="S894" s="349"/>
      <c r="T894" s="349"/>
      <c r="U894" s="349"/>
      <c r="V894" s="349"/>
      <c r="W894" s="349"/>
      <c r="X894" s="349"/>
      <c r="Y894" s="349"/>
    </row>
    <row r="895" ht="15.75" customHeight="1">
      <c r="A895" s="349"/>
      <c r="B895" s="349"/>
      <c r="C895" s="349"/>
      <c r="D895" s="349"/>
      <c r="E895" s="349"/>
      <c r="F895" s="349"/>
      <c r="G895" s="349"/>
      <c r="H895" s="349"/>
      <c r="I895" s="349"/>
      <c r="J895" s="349"/>
      <c r="K895" s="349"/>
      <c r="L895" s="349"/>
      <c r="M895" s="349"/>
      <c r="N895" s="349"/>
      <c r="O895" s="349"/>
      <c r="P895" s="349"/>
      <c r="Q895" s="349"/>
      <c r="R895" s="349"/>
      <c r="S895" s="349"/>
      <c r="T895" s="349"/>
      <c r="U895" s="349"/>
      <c r="V895" s="349"/>
      <c r="W895" s="349"/>
      <c r="X895" s="349"/>
      <c r="Y895" s="349"/>
    </row>
    <row r="896" ht="15.75" customHeight="1">
      <c r="A896" s="349"/>
      <c r="B896" s="349"/>
      <c r="C896" s="349"/>
      <c r="D896" s="349"/>
      <c r="E896" s="349"/>
      <c r="F896" s="349"/>
      <c r="G896" s="349"/>
      <c r="H896" s="349"/>
      <c r="I896" s="349"/>
      <c r="J896" s="349"/>
      <c r="K896" s="349"/>
      <c r="L896" s="349"/>
      <c r="M896" s="349"/>
      <c r="N896" s="349"/>
      <c r="O896" s="349"/>
      <c r="P896" s="349"/>
      <c r="Q896" s="349"/>
      <c r="R896" s="349"/>
      <c r="S896" s="349"/>
      <c r="T896" s="349"/>
      <c r="U896" s="349"/>
      <c r="V896" s="349"/>
      <c r="W896" s="349"/>
      <c r="X896" s="349"/>
      <c r="Y896" s="349"/>
    </row>
    <row r="897" ht="15.75" customHeight="1">
      <c r="A897" s="349"/>
      <c r="B897" s="349"/>
      <c r="C897" s="349"/>
      <c r="D897" s="349"/>
      <c r="E897" s="349"/>
      <c r="F897" s="349"/>
      <c r="G897" s="349"/>
      <c r="H897" s="349"/>
      <c r="I897" s="349"/>
      <c r="J897" s="349"/>
      <c r="K897" s="349"/>
      <c r="L897" s="349"/>
      <c r="M897" s="349"/>
      <c r="N897" s="349"/>
      <c r="O897" s="349"/>
      <c r="P897" s="349"/>
      <c r="Q897" s="349"/>
      <c r="R897" s="349"/>
      <c r="S897" s="349"/>
      <c r="T897" s="349"/>
      <c r="U897" s="349"/>
      <c r="V897" s="349"/>
      <c r="W897" s="349"/>
      <c r="X897" s="349"/>
      <c r="Y897" s="349"/>
    </row>
    <row r="898" ht="15.75" customHeight="1">
      <c r="A898" s="349"/>
      <c r="B898" s="349"/>
      <c r="C898" s="349"/>
      <c r="D898" s="349"/>
      <c r="E898" s="349"/>
      <c r="F898" s="349"/>
      <c r="G898" s="349"/>
      <c r="H898" s="349"/>
      <c r="I898" s="349"/>
      <c r="J898" s="349"/>
      <c r="K898" s="349"/>
      <c r="L898" s="349"/>
      <c r="M898" s="349"/>
      <c r="N898" s="349"/>
      <c r="O898" s="349"/>
      <c r="P898" s="349"/>
      <c r="Q898" s="349"/>
      <c r="R898" s="349"/>
      <c r="S898" s="349"/>
      <c r="T898" s="349"/>
      <c r="U898" s="349"/>
      <c r="V898" s="349"/>
      <c r="W898" s="349"/>
      <c r="X898" s="349"/>
      <c r="Y898" s="349"/>
    </row>
    <row r="899" ht="15.75" customHeight="1">
      <c r="A899" s="349"/>
      <c r="B899" s="349"/>
      <c r="C899" s="349"/>
      <c r="D899" s="349"/>
      <c r="E899" s="349"/>
      <c r="F899" s="349"/>
      <c r="G899" s="349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  <c r="R899" s="349"/>
      <c r="S899" s="349"/>
      <c r="T899" s="349"/>
      <c r="U899" s="349"/>
      <c r="V899" s="349"/>
      <c r="W899" s="349"/>
      <c r="X899" s="349"/>
      <c r="Y899" s="349"/>
    </row>
    <row r="900" ht="15.75" customHeight="1">
      <c r="A900" s="349"/>
      <c r="B900" s="349"/>
      <c r="C900" s="349"/>
      <c r="D900" s="349"/>
      <c r="E900" s="349"/>
      <c r="F900" s="349"/>
      <c r="G900" s="349"/>
      <c r="H900" s="349"/>
      <c r="I900" s="349"/>
      <c r="J900" s="349"/>
      <c r="K900" s="349"/>
      <c r="L900" s="349"/>
      <c r="M900" s="349"/>
      <c r="N900" s="349"/>
      <c r="O900" s="349"/>
      <c r="P900" s="349"/>
      <c r="Q900" s="349"/>
      <c r="R900" s="349"/>
      <c r="S900" s="349"/>
      <c r="T900" s="349"/>
      <c r="U900" s="349"/>
      <c r="V900" s="349"/>
      <c r="W900" s="349"/>
      <c r="X900" s="349"/>
      <c r="Y900" s="349"/>
    </row>
    <row r="901" ht="15.75" customHeight="1">
      <c r="A901" s="349"/>
      <c r="B901" s="349"/>
      <c r="C901" s="349"/>
      <c r="D901" s="349"/>
      <c r="E901" s="349"/>
      <c r="F901" s="349"/>
      <c r="G901" s="349"/>
      <c r="H901" s="349"/>
      <c r="I901" s="349"/>
      <c r="J901" s="349"/>
      <c r="K901" s="349"/>
      <c r="L901" s="349"/>
      <c r="M901" s="349"/>
      <c r="N901" s="349"/>
      <c r="O901" s="349"/>
      <c r="P901" s="349"/>
      <c r="Q901" s="349"/>
      <c r="R901" s="349"/>
      <c r="S901" s="349"/>
      <c r="T901" s="349"/>
      <c r="U901" s="349"/>
      <c r="V901" s="349"/>
      <c r="W901" s="349"/>
      <c r="X901" s="349"/>
      <c r="Y901" s="349"/>
    </row>
    <row r="902" ht="15.75" customHeight="1">
      <c r="A902" s="349"/>
      <c r="B902" s="349"/>
      <c r="C902" s="349"/>
      <c r="D902" s="349"/>
      <c r="E902" s="349"/>
      <c r="F902" s="349"/>
      <c r="G902" s="349"/>
      <c r="H902" s="349"/>
      <c r="I902" s="349"/>
      <c r="J902" s="349"/>
      <c r="K902" s="349"/>
      <c r="L902" s="349"/>
      <c r="M902" s="349"/>
      <c r="N902" s="349"/>
      <c r="O902" s="349"/>
      <c r="P902" s="349"/>
      <c r="Q902" s="349"/>
      <c r="R902" s="349"/>
      <c r="S902" s="349"/>
      <c r="T902" s="349"/>
      <c r="U902" s="349"/>
      <c r="V902" s="349"/>
      <c r="W902" s="349"/>
      <c r="X902" s="349"/>
      <c r="Y902" s="349"/>
    </row>
    <row r="903" ht="15.75" customHeight="1">
      <c r="A903" s="349"/>
      <c r="B903" s="349"/>
      <c r="C903" s="349"/>
      <c r="D903" s="349"/>
      <c r="E903" s="349"/>
      <c r="F903" s="349"/>
      <c r="G903" s="349"/>
      <c r="H903" s="349"/>
      <c r="I903" s="349"/>
      <c r="J903" s="349"/>
      <c r="K903" s="349"/>
      <c r="L903" s="349"/>
      <c r="M903" s="349"/>
      <c r="N903" s="349"/>
      <c r="O903" s="349"/>
      <c r="P903" s="349"/>
      <c r="Q903" s="349"/>
      <c r="R903" s="349"/>
      <c r="S903" s="349"/>
      <c r="T903" s="349"/>
      <c r="U903" s="349"/>
      <c r="V903" s="349"/>
      <c r="W903" s="349"/>
      <c r="X903" s="349"/>
      <c r="Y903" s="349"/>
    </row>
    <row r="904" ht="15.75" customHeight="1">
      <c r="A904" s="349"/>
      <c r="B904" s="349"/>
      <c r="C904" s="349"/>
      <c r="D904" s="349"/>
      <c r="E904" s="349"/>
      <c r="F904" s="349"/>
      <c r="G904" s="349"/>
      <c r="H904" s="349"/>
      <c r="I904" s="349"/>
      <c r="J904" s="349"/>
      <c r="K904" s="349"/>
      <c r="L904" s="349"/>
      <c r="M904" s="349"/>
      <c r="N904" s="349"/>
      <c r="O904" s="349"/>
      <c r="P904" s="349"/>
      <c r="Q904" s="349"/>
      <c r="R904" s="349"/>
      <c r="S904" s="349"/>
      <c r="T904" s="349"/>
      <c r="U904" s="349"/>
      <c r="V904" s="349"/>
      <c r="W904" s="349"/>
      <c r="X904" s="349"/>
      <c r="Y904" s="349"/>
    </row>
    <row r="905" ht="15.75" customHeight="1">
      <c r="A905" s="349"/>
      <c r="B905" s="349"/>
      <c r="C905" s="349"/>
      <c r="D905" s="349"/>
      <c r="E905" s="349"/>
      <c r="F905" s="349"/>
      <c r="G905" s="349"/>
      <c r="H905" s="349"/>
      <c r="I905" s="349"/>
      <c r="J905" s="349"/>
      <c r="K905" s="349"/>
      <c r="L905" s="349"/>
      <c r="M905" s="349"/>
      <c r="N905" s="349"/>
      <c r="O905" s="349"/>
      <c r="P905" s="349"/>
      <c r="Q905" s="349"/>
      <c r="R905" s="349"/>
      <c r="S905" s="349"/>
      <c r="T905" s="349"/>
      <c r="U905" s="349"/>
      <c r="V905" s="349"/>
      <c r="W905" s="349"/>
      <c r="X905" s="349"/>
      <c r="Y905" s="349"/>
    </row>
    <row r="906" ht="15.75" customHeight="1">
      <c r="A906" s="349"/>
      <c r="B906" s="349"/>
      <c r="C906" s="349"/>
      <c r="D906" s="349"/>
      <c r="E906" s="349"/>
      <c r="F906" s="349"/>
      <c r="G906" s="349"/>
      <c r="H906" s="349"/>
      <c r="I906" s="349"/>
      <c r="J906" s="349"/>
      <c r="K906" s="349"/>
      <c r="L906" s="349"/>
      <c r="M906" s="349"/>
      <c r="N906" s="349"/>
      <c r="O906" s="349"/>
      <c r="P906" s="349"/>
      <c r="Q906" s="349"/>
      <c r="R906" s="349"/>
      <c r="S906" s="349"/>
      <c r="T906" s="349"/>
      <c r="U906" s="349"/>
      <c r="V906" s="349"/>
      <c r="W906" s="349"/>
      <c r="X906" s="349"/>
      <c r="Y906" s="349"/>
    </row>
    <row r="907" ht="15.75" customHeight="1">
      <c r="A907" s="349"/>
      <c r="B907" s="349"/>
      <c r="C907" s="349"/>
      <c r="D907" s="349"/>
      <c r="E907" s="349"/>
      <c r="F907" s="349"/>
      <c r="G907" s="349"/>
      <c r="H907" s="349"/>
      <c r="I907" s="349"/>
      <c r="J907" s="349"/>
      <c r="K907" s="349"/>
      <c r="L907" s="349"/>
      <c r="M907" s="349"/>
      <c r="N907" s="349"/>
      <c r="O907" s="349"/>
      <c r="P907" s="349"/>
      <c r="Q907" s="349"/>
      <c r="R907" s="349"/>
      <c r="S907" s="349"/>
      <c r="T907" s="349"/>
      <c r="U907" s="349"/>
      <c r="V907" s="349"/>
      <c r="W907" s="349"/>
      <c r="X907" s="349"/>
      <c r="Y907" s="349"/>
    </row>
    <row r="908" ht="15.75" customHeight="1">
      <c r="A908" s="349"/>
      <c r="B908" s="349"/>
      <c r="C908" s="349"/>
      <c r="D908" s="349"/>
      <c r="E908" s="349"/>
      <c r="F908" s="349"/>
      <c r="G908" s="349"/>
      <c r="H908" s="349"/>
      <c r="I908" s="349"/>
      <c r="J908" s="349"/>
      <c r="K908" s="349"/>
      <c r="L908" s="349"/>
      <c r="M908" s="349"/>
      <c r="N908" s="349"/>
      <c r="O908" s="349"/>
      <c r="P908" s="349"/>
      <c r="Q908" s="349"/>
      <c r="R908" s="349"/>
      <c r="S908" s="349"/>
      <c r="T908" s="349"/>
      <c r="U908" s="349"/>
      <c r="V908" s="349"/>
      <c r="W908" s="349"/>
      <c r="X908" s="349"/>
      <c r="Y908" s="349"/>
    </row>
    <row r="909" ht="15.75" customHeight="1">
      <c r="A909" s="349"/>
      <c r="B909" s="349"/>
      <c r="C909" s="349"/>
      <c r="D909" s="349"/>
      <c r="E909" s="349"/>
      <c r="F909" s="349"/>
      <c r="G909" s="349"/>
      <c r="H909" s="349"/>
      <c r="I909" s="349"/>
      <c r="J909" s="349"/>
      <c r="K909" s="349"/>
      <c r="L909" s="349"/>
      <c r="M909" s="349"/>
      <c r="N909" s="349"/>
      <c r="O909" s="349"/>
      <c r="P909" s="349"/>
      <c r="Q909" s="349"/>
      <c r="R909" s="349"/>
      <c r="S909" s="349"/>
      <c r="T909" s="349"/>
      <c r="U909" s="349"/>
      <c r="V909" s="349"/>
      <c r="W909" s="349"/>
      <c r="X909" s="349"/>
      <c r="Y909" s="349"/>
    </row>
    <row r="910" ht="15.75" customHeight="1">
      <c r="A910" s="349"/>
      <c r="B910" s="349"/>
      <c r="C910" s="349"/>
      <c r="D910" s="349"/>
      <c r="E910" s="349"/>
      <c r="F910" s="349"/>
      <c r="G910" s="349"/>
      <c r="H910" s="349"/>
      <c r="I910" s="349"/>
      <c r="J910" s="349"/>
      <c r="K910" s="349"/>
      <c r="L910" s="349"/>
      <c r="M910" s="349"/>
      <c r="N910" s="349"/>
      <c r="O910" s="349"/>
      <c r="P910" s="349"/>
      <c r="Q910" s="349"/>
      <c r="R910" s="349"/>
      <c r="S910" s="349"/>
      <c r="T910" s="349"/>
      <c r="U910" s="349"/>
      <c r="V910" s="349"/>
      <c r="W910" s="349"/>
      <c r="X910" s="349"/>
      <c r="Y910" s="349"/>
    </row>
    <row r="911" ht="15.75" customHeight="1">
      <c r="A911" s="349"/>
      <c r="B911" s="349"/>
      <c r="C911" s="349"/>
      <c r="D911" s="349"/>
      <c r="E911" s="349"/>
      <c r="F911" s="349"/>
      <c r="G911" s="349"/>
      <c r="H911" s="349"/>
      <c r="I911" s="349"/>
      <c r="J911" s="349"/>
      <c r="K911" s="349"/>
      <c r="L911" s="349"/>
      <c r="M911" s="349"/>
      <c r="N911" s="349"/>
      <c r="O911" s="349"/>
      <c r="P911" s="349"/>
      <c r="Q911" s="349"/>
      <c r="R911" s="349"/>
      <c r="S911" s="349"/>
      <c r="T911" s="349"/>
      <c r="U911" s="349"/>
      <c r="V911" s="349"/>
      <c r="W911" s="349"/>
      <c r="X911" s="349"/>
      <c r="Y911" s="349"/>
    </row>
    <row r="912" ht="15.75" customHeight="1">
      <c r="A912" s="349"/>
      <c r="B912" s="349"/>
      <c r="C912" s="349"/>
      <c r="D912" s="349"/>
      <c r="E912" s="349"/>
      <c r="F912" s="349"/>
      <c r="G912" s="349"/>
      <c r="H912" s="349"/>
      <c r="I912" s="349"/>
      <c r="J912" s="349"/>
      <c r="K912" s="349"/>
      <c r="L912" s="349"/>
      <c r="M912" s="349"/>
      <c r="N912" s="349"/>
      <c r="O912" s="349"/>
      <c r="P912" s="349"/>
      <c r="Q912" s="349"/>
      <c r="R912" s="349"/>
      <c r="S912" s="349"/>
      <c r="T912" s="349"/>
      <c r="U912" s="349"/>
      <c r="V912" s="349"/>
      <c r="W912" s="349"/>
      <c r="X912" s="349"/>
      <c r="Y912" s="349"/>
    </row>
    <row r="913" ht="15.75" customHeight="1">
      <c r="A913" s="349"/>
      <c r="B913" s="349"/>
      <c r="C913" s="349"/>
      <c r="D913" s="349"/>
      <c r="E913" s="349"/>
      <c r="F913" s="349"/>
      <c r="G913" s="349"/>
      <c r="H913" s="349"/>
      <c r="I913" s="349"/>
      <c r="J913" s="349"/>
      <c r="K913" s="349"/>
      <c r="L913" s="349"/>
      <c r="M913" s="349"/>
      <c r="N913" s="349"/>
      <c r="O913" s="349"/>
      <c r="P913" s="349"/>
      <c r="Q913" s="349"/>
      <c r="R913" s="349"/>
      <c r="S913" s="349"/>
      <c r="T913" s="349"/>
      <c r="U913" s="349"/>
      <c r="V913" s="349"/>
      <c r="W913" s="349"/>
      <c r="X913" s="349"/>
      <c r="Y913" s="349"/>
    </row>
    <row r="914" ht="15.75" customHeight="1">
      <c r="A914" s="349"/>
      <c r="B914" s="349"/>
      <c r="C914" s="349"/>
      <c r="D914" s="349"/>
      <c r="E914" s="349"/>
      <c r="F914" s="349"/>
      <c r="G914" s="349"/>
      <c r="H914" s="349"/>
      <c r="I914" s="349"/>
      <c r="J914" s="349"/>
      <c r="K914" s="349"/>
      <c r="L914" s="349"/>
      <c r="M914" s="349"/>
      <c r="N914" s="349"/>
      <c r="O914" s="349"/>
      <c r="P914" s="349"/>
      <c r="Q914" s="349"/>
      <c r="R914" s="349"/>
      <c r="S914" s="349"/>
      <c r="T914" s="349"/>
      <c r="U914" s="349"/>
      <c r="V914" s="349"/>
      <c r="W914" s="349"/>
      <c r="X914" s="349"/>
      <c r="Y914" s="349"/>
    </row>
    <row r="915" ht="15.75" customHeight="1">
      <c r="A915" s="349"/>
      <c r="B915" s="349"/>
      <c r="C915" s="349"/>
      <c r="D915" s="349"/>
      <c r="E915" s="349"/>
      <c r="F915" s="349"/>
      <c r="G915" s="349"/>
      <c r="H915" s="349"/>
      <c r="I915" s="349"/>
      <c r="J915" s="349"/>
      <c r="K915" s="349"/>
      <c r="L915" s="349"/>
      <c r="M915" s="349"/>
      <c r="N915" s="349"/>
      <c r="O915" s="349"/>
      <c r="P915" s="349"/>
      <c r="Q915" s="349"/>
      <c r="R915" s="349"/>
      <c r="S915" s="349"/>
      <c r="T915" s="349"/>
      <c r="U915" s="349"/>
      <c r="V915" s="349"/>
      <c r="W915" s="349"/>
      <c r="X915" s="349"/>
      <c r="Y915" s="349"/>
    </row>
    <row r="916" ht="15.75" customHeight="1">
      <c r="A916" s="349"/>
      <c r="B916" s="349"/>
      <c r="C916" s="349"/>
      <c r="D916" s="349"/>
      <c r="E916" s="349"/>
      <c r="F916" s="349"/>
      <c r="G916" s="349"/>
      <c r="H916" s="349"/>
      <c r="I916" s="349"/>
      <c r="J916" s="349"/>
      <c r="K916" s="349"/>
      <c r="L916" s="349"/>
      <c r="M916" s="349"/>
      <c r="N916" s="349"/>
      <c r="O916" s="349"/>
      <c r="P916" s="349"/>
      <c r="Q916" s="349"/>
      <c r="R916" s="349"/>
      <c r="S916" s="349"/>
      <c r="T916" s="349"/>
      <c r="U916" s="349"/>
      <c r="V916" s="349"/>
      <c r="W916" s="349"/>
      <c r="X916" s="349"/>
      <c r="Y916" s="349"/>
    </row>
    <row r="917" ht="15.75" customHeight="1">
      <c r="A917" s="349"/>
      <c r="B917" s="349"/>
      <c r="C917" s="349"/>
      <c r="D917" s="349"/>
      <c r="E917" s="349"/>
      <c r="F917" s="349"/>
      <c r="G917" s="349"/>
      <c r="H917" s="349"/>
      <c r="I917" s="349"/>
      <c r="J917" s="349"/>
      <c r="K917" s="349"/>
      <c r="L917" s="349"/>
      <c r="M917" s="349"/>
      <c r="N917" s="349"/>
      <c r="O917" s="349"/>
      <c r="P917" s="349"/>
      <c r="Q917" s="349"/>
      <c r="R917" s="349"/>
      <c r="S917" s="349"/>
      <c r="T917" s="349"/>
      <c r="U917" s="349"/>
      <c r="V917" s="349"/>
      <c r="W917" s="349"/>
      <c r="X917" s="349"/>
      <c r="Y917" s="349"/>
    </row>
    <row r="918" ht="15.75" customHeight="1">
      <c r="A918" s="349"/>
      <c r="B918" s="349"/>
      <c r="C918" s="349"/>
      <c r="D918" s="349"/>
      <c r="E918" s="349"/>
      <c r="F918" s="349"/>
      <c r="G918" s="349"/>
      <c r="H918" s="349"/>
      <c r="I918" s="349"/>
      <c r="J918" s="349"/>
      <c r="K918" s="349"/>
      <c r="L918" s="349"/>
      <c r="M918" s="349"/>
      <c r="N918" s="349"/>
      <c r="O918" s="349"/>
      <c r="P918" s="349"/>
      <c r="Q918" s="349"/>
      <c r="R918" s="349"/>
      <c r="S918" s="349"/>
      <c r="T918" s="349"/>
      <c r="U918" s="349"/>
      <c r="V918" s="349"/>
      <c r="W918" s="349"/>
      <c r="X918" s="349"/>
      <c r="Y918" s="349"/>
    </row>
    <row r="919" ht="15.75" customHeight="1">
      <c r="A919" s="349"/>
      <c r="B919" s="349"/>
      <c r="C919" s="349"/>
      <c r="D919" s="349"/>
      <c r="E919" s="349"/>
      <c r="F919" s="349"/>
      <c r="G919" s="349"/>
      <c r="H919" s="349"/>
      <c r="I919" s="349"/>
      <c r="J919" s="349"/>
      <c r="K919" s="349"/>
      <c r="L919" s="349"/>
      <c r="M919" s="349"/>
      <c r="N919" s="349"/>
      <c r="O919" s="349"/>
      <c r="P919" s="349"/>
      <c r="Q919" s="349"/>
      <c r="R919" s="349"/>
      <c r="S919" s="349"/>
      <c r="T919" s="349"/>
      <c r="U919" s="349"/>
      <c r="V919" s="349"/>
      <c r="W919" s="349"/>
      <c r="X919" s="349"/>
      <c r="Y919" s="349"/>
    </row>
    <row r="920" ht="15.75" customHeight="1">
      <c r="A920" s="349"/>
      <c r="B920" s="349"/>
      <c r="C920" s="349"/>
      <c r="D920" s="349"/>
      <c r="E920" s="349"/>
      <c r="F920" s="349"/>
      <c r="G920" s="349"/>
      <c r="H920" s="349"/>
      <c r="I920" s="349"/>
      <c r="J920" s="349"/>
      <c r="K920" s="349"/>
      <c r="L920" s="349"/>
      <c r="M920" s="349"/>
      <c r="N920" s="349"/>
      <c r="O920" s="349"/>
      <c r="P920" s="349"/>
      <c r="Q920" s="349"/>
      <c r="R920" s="349"/>
      <c r="S920" s="349"/>
      <c r="T920" s="349"/>
      <c r="U920" s="349"/>
      <c r="V920" s="349"/>
      <c r="W920" s="349"/>
      <c r="X920" s="349"/>
      <c r="Y920" s="349"/>
    </row>
    <row r="921" ht="15.75" customHeight="1">
      <c r="A921" s="349"/>
      <c r="B921" s="349"/>
      <c r="C921" s="349"/>
      <c r="D921" s="349"/>
      <c r="E921" s="349"/>
      <c r="F921" s="349"/>
      <c r="G921" s="349"/>
      <c r="H921" s="349"/>
      <c r="I921" s="349"/>
      <c r="J921" s="349"/>
      <c r="K921" s="349"/>
      <c r="L921" s="349"/>
      <c r="M921" s="349"/>
      <c r="N921" s="349"/>
      <c r="O921" s="349"/>
      <c r="P921" s="349"/>
      <c r="Q921" s="349"/>
      <c r="R921" s="349"/>
      <c r="S921" s="349"/>
      <c r="T921" s="349"/>
      <c r="U921" s="349"/>
      <c r="V921" s="349"/>
      <c r="W921" s="349"/>
      <c r="X921" s="349"/>
      <c r="Y921" s="349"/>
    </row>
    <row r="922" ht="15.75" customHeight="1">
      <c r="A922" s="349"/>
      <c r="B922" s="349"/>
      <c r="C922" s="349"/>
      <c r="D922" s="349"/>
      <c r="E922" s="349"/>
      <c r="F922" s="349"/>
      <c r="G922" s="349"/>
      <c r="H922" s="349"/>
      <c r="I922" s="349"/>
      <c r="J922" s="349"/>
      <c r="K922" s="349"/>
      <c r="L922" s="349"/>
      <c r="M922" s="349"/>
      <c r="N922" s="349"/>
      <c r="O922" s="349"/>
      <c r="P922" s="349"/>
      <c r="Q922" s="349"/>
      <c r="R922" s="349"/>
      <c r="S922" s="349"/>
      <c r="T922" s="349"/>
      <c r="U922" s="349"/>
      <c r="V922" s="349"/>
      <c r="W922" s="349"/>
      <c r="X922" s="349"/>
      <c r="Y922" s="349"/>
    </row>
    <row r="923" ht="15.75" customHeight="1">
      <c r="A923" s="349"/>
      <c r="B923" s="349"/>
      <c r="C923" s="349"/>
      <c r="D923" s="349"/>
      <c r="E923" s="349"/>
      <c r="F923" s="349"/>
      <c r="G923" s="349"/>
      <c r="H923" s="349"/>
      <c r="I923" s="349"/>
      <c r="J923" s="349"/>
      <c r="K923" s="349"/>
      <c r="L923" s="349"/>
      <c r="M923" s="349"/>
      <c r="N923" s="349"/>
      <c r="O923" s="349"/>
      <c r="P923" s="349"/>
      <c r="Q923" s="349"/>
      <c r="R923" s="349"/>
      <c r="S923" s="349"/>
      <c r="T923" s="349"/>
      <c r="U923" s="349"/>
      <c r="V923" s="349"/>
      <c r="W923" s="349"/>
      <c r="X923" s="349"/>
      <c r="Y923" s="349"/>
    </row>
    <row r="924" ht="15.75" customHeight="1">
      <c r="A924" s="349"/>
      <c r="B924" s="349"/>
      <c r="C924" s="349"/>
      <c r="D924" s="349"/>
      <c r="E924" s="349"/>
      <c r="F924" s="349"/>
      <c r="G924" s="349"/>
      <c r="H924" s="349"/>
      <c r="I924" s="349"/>
      <c r="J924" s="349"/>
      <c r="K924" s="349"/>
      <c r="L924" s="349"/>
      <c r="M924" s="349"/>
      <c r="N924" s="349"/>
      <c r="O924" s="349"/>
      <c r="P924" s="349"/>
      <c r="Q924" s="349"/>
      <c r="R924" s="349"/>
      <c r="S924" s="349"/>
      <c r="T924" s="349"/>
      <c r="U924" s="349"/>
      <c r="V924" s="349"/>
      <c r="W924" s="349"/>
      <c r="X924" s="349"/>
      <c r="Y924" s="349"/>
    </row>
    <row r="925" ht="15.75" customHeight="1">
      <c r="A925" s="349"/>
      <c r="B925" s="349"/>
      <c r="C925" s="349"/>
      <c r="D925" s="349"/>
      <c r="E925" s="349"/>
      <c r="F925" s="349"/>
      <c r="G925" s="349"/>
      <c r="H925" s="349"/>
      <c r="I925" s="349"/>
      <c r="J925" s="349"/>
      <c r="K925" s="349"/>
      <c r="L925" s="349"/>
      <c r="M925" s="349"/>
      <c r="N925" s="349"/>
      <c r="O925" s="349"/>
      <c r="P925" s="349"/>
      <c r="Q925" s="349"/>
      <c r="R925" s="349"/>
      <c r="S925" s="349"/>
      <c r="T925" s="349"/>
      <c r="U925" s="349"/>
      <c r="V925" s="349"/>
      <c r="W925" s="349"/>
      <c r="X925" s="349"/>
      <c r="Y925" s="349"/>
    </row>
    <row r="926" ht="15.75" customHeight="1">
      <c r="A926" s="349"/>
      <c r="B926" s="349"/>
      <c r="C926" s="349"/>
      <c r="D926" s="349"/>
      <c r="E926" s="349"/>
      <c r="F926" s="349"/>
      <c r="G926" s="349"/>
      <c r="H926" s="349"/>
      <c r="I926" s="349"/>
      <c r="J926" s="349"/>
      <c r="K926" s="349"/>
      <c r="L926" s="349"/>
      <c r="M926" s="349"/>
      <c r="N926" s="349"/>
      <c r="O926" s="349"/>
      <c r="P926" s="349"/>
      <c r="Q926" s="349"/>
      <c r="R926" s="349"/>
      <c r="S926" s="349"/>
      <c r="T926" s="349"/>
      <c r="U926" s="349"/>
      <c r="V926" s="349"/>
      <c r="W926" s="349"/>
      <c r="X926" s="349"/>
      <c r="Y926" s="349"/>
    </row>
    <row r="927" ht="15.75" customHeight="1">
      <c r="A927" s="349"/>
      <c r="B927" s="349"/>
      <c r="C927" s="349"/>
      <c r="D927" s="349"/>
      <c r="E927" s="349"/>
      <c r="F927" s="349"/>
      <c r="G927" s="349"/>
      <c r="H927" s="349"/>
      <c r="I927" s="349"/>
      <c r="J927" s="349"/>
      <c r="K927" s="349"/>
      <c r="L927" s="349"/>
      <c r="M927" s="349"/>
      <c r="N927" s="349"/>
      <c r="O927" s="349"/>
      <c r="P927" s="349"/>
      <c r="Q927" s="349"/>
      <c r="R927" s="349"/>
      <c r="S927" s="349"/>
      <c r="T927" s="349"/>
      <c r="U927" s="349"/>
      <c r="V927" s="349"/>
      <c r="W927" s="349"/>
      <c r="X927" s="349"/>
      <c r="Y927" s="349"/>
    </row>
    <row r="928" ht="15.75" customHeight="1">
      <c r="A928" s="349"/>
      <c r="B928" s="349"/>
      <c r="C928" s="349"/>
      <c r="D928" s="349"/>
      <c r="E928" s="349"/>
      <c r="F928" s="349"/>
      <c r="G928" s="349"/>
      <c r="H928" s="349"/>
      <c r="I928" s="349"/>
      <c r="J928" s="349"/>
      <c r="K928" s="349"/>
      <c r="L928" s="349"/>
      <c r="M928" s="349"/>
      <c r="N928" s="349"/>
      <c r="O928" s="349"/>
      <c r="P928" s="349"/>
      <c r="Q928" s="349"/>
      <c r="R928" s="349"/>
      <c r="S928" s="349"/>
      <c r="T928" s="349"/>
      <c r="U928" s="349"/>
      <c r="V928" s="349"/>
      <c r="W928" s="349"/>
      <c r="X928" s="349"/>
      <c r="Y928" s="349"/>
    </row>
    <row r="929" ht="15.75" customHeight="1">
      <c r="A929" s="349"/>
      <c r="B929" s="349"/>
      <c r="C929" s="349"/>
      <c r="D929" s="349"/>
      <c r="E929" s="349"/>
      <c r="F929" s="349"/>
      <c r="G929" s="349"/>
      <c r="H929" s="349"/>
      <c r="I929" s="349"/>
      <c r="J929" s="349"/>
      <c r="K929" s="349"/>
      <c r="L929" s="349"/>
      <c r="M929" s="349"/>
      <c r="N929" s="349"/>
      <c r="O929" s="349"/>
      <c r="P929" s="349"/>
      <c r="Q929" s="349"/>
      <c r="R929" s="349"/>
      <c r="S929" s="349"/>
      <c r="T929" s="349"/>
      <c r="U929" s="349"/>
      <c r="V929" s="349"/>
      <c r="W929" s="349"/>
      <c r="X929" s="349"/>
      <c r="Y929" s="349"/>
    </row>
    <row r="930" ht="15.75" customHeight="1">
      <c r="A930" s="349"/>
      <c r="B930" s="349"/>
      <c r="C930" s="349"/>
      <c r="D930" s="349"/>
      <c r="E930" s="349"/>
      <c r="F930" s="349"/>
      <c r="G930" s="349"/>
      <c r="H930" s="349"/>
      <c r="I930" s="349"/>
      <c r="J930" s="349"/>
      <c r="K930" s="349"/>
      <c r="L930" s="349"/>
      <c r="M930" s="349"/>
      <c r="N930" s="349"/>
      <c r="O930" s="349"/>
      <c r="P930" s="349"/>
      <c r="Q930" s="349"/>
      <c r="R930" s="349"/>
      <c r="S930" s="349"/>
      <c r="T930" s="349"/>
      <c r="U930" s="349"/>
      <c r="V930" s="349"/>
      <c r="W930" s="349"/>
      <c r="X930" s="349"/>
      <c r="Y930" s="349"/>
    </row>
    <row r="931" ht="15.75" customHeight="1">
      <c r="A931" s="349"/>
      <c r="B931" s="349"/>
      <c r="C931" s="349"/>
      <c r="D931" s="349"/>
      <c r="E931" s="349"/>
      <c r="F931" s="349"/>
      <c r="G931" s="349"/>
      <c r="H931" s="349"/>
      <c r="I931" s="349"/>
      <c r="J931" s="349"/>
      <c r="K931" s="349"/>
      <c r="L931" s="349"/>
      <c r="M931" s="349"/>
      <c r="N931" s="349"/>
      <c r="O931" s="349"/>
      <c r="P931" s="349"/>
      <c r="Q931" s="349"/>
      <c r="R931" s="349"/>
      <c r="S931" s="349"/>
      <c r="T931" s="349"/>
      <c r="U931" s="349"/>
      <c r="V931" s="349"/>
      <c r="W931" s="349"/>
      <c r="X931" s="349"/>
      <c r="Y931" s="349"/>
    </row>
    <row r="932" ht="15.75" customHeight="1">
      <c r="A932" s="349"/>
      <c r="B932" s="349"/>
      <c r="C932" s="349"/>
      <c r="D932" s="349"/>
      <c r="E932" s="349"/>
      <c r="F932" s="349"/>
      <c r="G932" s="349"/>
      <c r="H932" s="349"/>
      <c r="I932" s="349"/>
      <c r="J932" s="349"/>
      <c r="K932" s="349"/>
      <c r="L932" s="349"/>
      <c r="M932" s="349"/>
      <c r="N932" s="349"/>
      <c r="O932" s="349"/>
      <c r="P932" s="349"/>
      <c r="Q932" s="349"/>
      <c r="R932" s="349"/>
      <c r="S932" s="349"/>
      <c r="T932" s="349"/>
      <c r="U932" s="349"/>
      <c r="V932" s="349"/>
      <c r="W932" s="349"/>
      <c r="X932" s="349"/>
      <c r="Y932" s="349"/>
    </row>
    <row r="933" ht="15.75" customHeight="1">
      <c r="A933" s="349"/>
      <c r="B933" s="349"/>
      <c r="C933" s="349"/>
      <c r="D933" s="349"/>
      <c r="E933" s="349"/>
      <c r="F933" s="349"/>
      <c r="G933" s="349"/>
      <c r="H933" s="349"/>
      <c r="I933" s="349"/>
      <c r="J933" s="349"/>
      <c r="K933" s="349"/>
      <c r="L933" s="349"/>
      <c r="M933" s="349"/>
      <c r="N933" s="349"/>
      <c r="O933" s="349"/>
      <c r="P933" s="349"/>
      <c r="Q933" s="349"/>
      <c r="R933" s="349"/>
      <c r="S933" s="349"/>
      <c r="T933" s="349"/>
      <c r="U933" s="349"/>
      <c r="V933" s="349"/>
      <c r="W933" s="349"/>
      <c r="X933" s="349"/>
      <c r="Y933" s="349"/>
    </row>
    <row r="934" ht="15.75" customHeight="1">
      <c r="A934" s="349"/>
      <c r="B934" s="349"/>
      <c r="C934" s="349"/>
      <c r="D934" s="349"/>
      <c r="E934" s="349"/>
      <c r="F934" s="349"/>
      <c r="G934" s="349"/>
      <c r="H934" s="349"/>
      <c r="I934" s="349"/>
      <c r="J934" s="349"/>
      <c r="K934" s="349"/>
      <c r="L934" s="349"/>
      <c r="M934" s="349"/>
      <c r="N934" s="349"/>
      <c r="O934" s="349"/>
      <c r="P934" s="349"/>
      <c r="Q934" s="349"/>
      <c r="R934" s="349"/>
      <c r="S934" s="349"/>
      <c r="T934" s="349"/>
      <c r="U934" s="349"/>
      <c r="V934" s="349"/>
      <c r="W934" s="349"/>
      <c r="X934" s="349"/>
      <c r="Y934" s="349"/>
    </row>
    <row r="935" ht="15.75" customHeight="1">
      <c r="A935" s="349"/>
      <c r="B935" s="349"/>
      <c r="C935" s="349"/>
      <c r="D935" s="349"/>
      <c r="E935" s="349"/>
      <c r="F935" s="349"/>
      <c r="G935" s="349"/>
      <c r="H935" s="349"/>
      <c r="I935" s="349"/>
      <c r="J935" s="349"/>
      <c r="K935" s="349"/>
      <c r="L935" s="349"/>
      <c r="M935" s="349"/>
      <c r="N935" s="349"/>
      <c r="O935" s="349"/>
      <c r="P935" s="349"/>
      <c r="Q935" s="349"/>
      <c r="R935" s="349"/>
      <c r="S935" s="349"/>
      <c r="T935" s="349"/>
      <c r="U935" s="349"/>
      <c r="V935" s="349"/>
      <c r="W935" s="349"/>
      <c r="X935" s="349"/>
      <c r="Y935" s="349"/>
    </row>
    <row r="936" ht="15.75" customHeight="1">
      <c r="A936" s="349"/>
      <c r="B936" s="349"/>
      <c r="C936" s="349"/>
      <c r="D936" s="349"/>
      <c r="E936" s="349"/>
      <c r="F936" s="349"/>
      <c r="G936" s="349"/>
      <c r="H936" s="349"/>
      <c r="I936" s="349"/>
      <c r="J936" s="349"/>
      <c r="K936" s="349"/>
      <c r="L936" s="349"/>
      <c r="M936" s="349"/>
      <c r="N936" s="349"/>
      <c r="O936" s="349"/>
      <c r="P936" s="349"/>
      <c r="Q936" s="349"/>
      <c r="R936" s="349"/>
      <c r="S936" s="349"/>
      <c r="T936" s="349"/>
      <c r="U936" s="349"/>
      <c r="V936" s="349"/>
      <c r="W936" s="349"/>
      <c r="X936" s="349"/>
      <c r="Y936" s="349"/>
    </row>
    <row r="937" ht="15.75" customHeight="1">
      <c r="A937" s="349"/>
      <c r="B937" s="349"/>
      <c r="C937" s="349"/>
      <c r="D937" s="349"/>
      <c r="E937" s="349"/>
      <c r="F937" s="349"/>
      <c r="G937" s="349"/>
      <c r="H937" s="349"/>
      <c r="I937" s="349"/>
      <c r="J937" s="349"/>
      <c r="K937" s="349"/>
      <c r="L937" s="349"/>
      <c r="M937" s="349"/>
      <c r="N937" s="349"/>
      <c r="O937" s="349"/>
      <c r="P937" s="349"/>
      <c r="Q937" s="349"/>
      <c r="R937" s="349"/>
      <c r="S937" s="349"/>
      <c r="T937" s="349"/>
      <c r="U937" s="349"/>
      <c r="V937" s="349"/>
      <c r="W937" s="349"/>
      <c r="X937" s="349"/>
      <c r="Y937" s="349"/>
    </row>
    <row r="938" ht="15.75" customHeight="1">
      <c r="A938" s="349"/>
      <c r="B938" s="349"/>
      <c r="C938" s="349"/>
      <c r="D938" s="349"/>
      <c r="E938" s="349"/>
      <c r="F938" s="349"/>
      <c r="G938" s="349"/>
      <c r="H938" s="349"/>
      <c r="I938" s="349"/>
      <c r="J938" s="349"/>
      <c r="K938" s="349"/>
      <c r="L938" s="349"/>
      <c r="M938" s="349"/>
      <c r="N938" s="349"/>
      <c r="O938" s="349"/>
      <c r="P938" s="349"/>
      <c r="Q938" s="349"/>
      <c r="R938" s="349"/>
      <c r="S938" s="349"/>
      <c r="T938" s="349"/>
      <c r="U938" s="349"/>
      <c r="V938" s="349"/>
      <c r="W938" s="349"/>
      <c r="X938" s="349"/>
      <c r="Y938" s="349"/>
    </row>
    <row r="939" ht="15.75" customHeight="1">
      <c r="A939" s="349"/>
      <c r="B939" s="349"/>
      <c r="C939" s="349"/>
      <c r="D939" s="349"/>
      <c r="E939" s="349"/>
      <c r="F939" s="349"/>
      <c r="G939" s="349"/>
      <c r="H939" s="349"/>
      <c r="I939" s="349"/>
      <c r="J939" s="349"/>
      <c r="K939" s="349"/>
      <c r="L939" s="349"/>
      <c r="M939" s="349"/>
      <c r="N939" s="349"/>
      <c r="O939" s="349"/>
      <c r="P939" s="349"/>
      <c r="Q939" s="349"/>
      <c r="R939" s="349"/>
      <c r="S939" s="349"/>
      <c r="T939" s="349"/>
      <c r="U939" s="349"/>
      <c r="V939" s="349"/>
      <c r="W939" s="349"/>
      <c r="X939" s="349"/>
      <c r="Y939" s="349"/>
    </row>
    <row r="940" ht="15.75" customHeight="1">
      <c r="A940" s="349"/>
      <c r="B940" s="349"/>
      <c r="C940" s="349"/>
      <c r="D940" s="349"/>
      <c r="E940" s="349"/>
      <c r="F940" s="349"/>
      <c r="G940" s="349"/>
      <c r="H940" s="349"/>
      <c r="I940" s="349"/>
      <c r="J940" s="349"/>
      <c r="K940" s="349"/>
      <c r="L940" s="349"/>
      <c r="M940" s="349"/>
      <c r="N940" s="349"/>
      <c r="O940" s="349"/>
      <c r="P940" s="349"/>
      <c r="Q940" s="349"/>
      <c r="R940" s="349"/>
      <c r="S940" s="349"/>
      <c r="T940" s="349"/>
      <c r="U940" s="349"/>
      <c r="V940" s="349"/>
      <c r="W940" s="349"/>
      <c r="X940" s="349"/>
      <c r="Y940" s="349"/>
    </row>
    <row r="941" ht="15.75" customHeight="1">
      <c r="A941" s="349"/>
      <c r="B941" s="349"/>
      <c r="C941" s="349"/>
      <c r="D941" s="349"/>
      <c r="E941" s="349"/>
      <c r="F941" s="349"/>
      <c r="G941" s="349"/>
      <c r="H941" s="349"/>
      <c r="I941" s="349"/>
      <c r="J941" s="349"/>
      <c r="K941" s="349"/>
      <c r="L941" s="349"/>
      <c r="M941" s="349"/>
      <c r="N941" s="349"/>
      <c r="O941" s="349"/>
      <c r="P941" s="349"/>
      <c r="Q941" s="349"/>
      <c r="R941" s="349"/>
      <c r="S941" s="349"/>
      <c r="T941" s="349"/>
      <c r="U941" s="349"/>
      <c r="V941" s="349"/>
      <c r="W941" s="349"/>
      <c r="X941" s="349"/>
      <c r="Y941" s="349"/>
    </row>
    <row r="942" ht="15.75" customHeight="1">
      <c r="A942" s="349"/>
      <c r="B942" s="349"/>
      <c r="C942" s="349"/>
      <c r="D942" s="349"/>
      <c r="E942" s="349"/>
      <c r="F942" s="349"/>
      <c r="G942" s="349"/>
      <c r="H942" s="349"/>
      <c r="I942" s="349"/>
      <c r="J942" s="349"/>
      <c r="K942" s="349"/>
      <c r="L942" s="349"/>
      <c r="M942" s="349"/>
      <c r="N942" s="349"/>
      <c r="O942" s="349"/>
      <c r="P942" s="349"/>
      <c r="Q942" s="349"/>
      <c r="R942" s="349"/>
      <c r="S942" s="349"/>
      <c r="T942" s="349"/>
      <c r="U942" s="349"/>
      <c r="V942" s="349"/>
      <c r="W942" s="349"/>
      <c r="X942" s="349"/>
      <c r="Y942" s="349"/>
    </row>
    <row r="943" ht="15.75" customHeight="1">
      <c r="A943" s="349"/>
      <c r="B943" s="349"/>
      <c r="C943" s="349"/>
      <c r="D943" s="349"/>
      <c r="E943" s="349"/>
      <c r="F943" s="349"/>
      <c r="G943" s="349"/>
      <c r="H943" s="349"/>
      <c r="I943" s="349"/>
      <c r="J943" s="349"/>
      <c r="K943" s="349"/>
      <c r="L943" s="349"/>
      <c r="M943" s="349"/>
      <c r="N943" s="349"/>
      <c r="O943" s="349"/>
      <c r="P943" s="349"/>
      <c r="Q943" s="349"/>
      <c r="R943" s="349"/>
      <c r="S943" s="349"/>
      <c r="T943" s="349"/>
      <c r="U943" s="349"/>
      <c r="V943" s="349"/>
      <c r="W943" s="349"/>
      <c r="X943" s="349"/>
      <c r="Y943" s="349"/>
    </row>
    <row r="944" ht="15.75" customHeight="1">
      <c r="A944" s="349"/>
      <c r="B944" s="349"/>
      <c r="C944" s="349"/>
      <c r="D944" s="349"/>
      <c r="E944" s="349"/>
      <c r="F944" s="349"/>
      <c r="G944" s="349"/>
      <c r="H944" s="349"/>
      <c r="I944" s="349"/>
      <c r="J944" s="349"/>
      <c r="K944" s="349"/>
      <c r="L944" s="349"/>
      <c r="M944" s="349"/>
      <c r="N944" s="349"/>
      <c r="O944" s="349"/>
      <c r="P944" s="349"/>
      <c r="Q944" s="349"/>
      <c r="R944" s="349"/>
      <c r="S944" s="349"/>
      <c r="T944" s="349"/>
      <c r="U944" s="349"/>
      <c r="V944" s="349"/>
      <c r="W944" s="349"/>
      <c r="X944" s="349"/>
      <c r="Y944" s="349"/>
    </row>
    <row r="945" ht="15.75" customHeight="1">
      <c r="A945" s="349"/>
      <c r="B945" s="349"/>
      <c r="C945" s="349"/>
      <c r="D945" s="349"/>
      <c r="E945" s="349"/>
      <c r="F945" s="349"/>
      <c r="G945" s="349"/>
      <c r="H945" s="349"/>
      <c r="I945" s="349"/>
      <c r="J945" s="349"/>
      <c r="K945" s="349"/>
      <c r="L945" s="349"/>
      <c r="M945" s="349"/>
      <c r="N945" s="349"/>
      <c r="O945" s="349"/>
      <c r="P945" s="349"/>
      <c r="Q945" s="349"/>
      <c r="R945" s="349"/>
      <c r="S945" s="349"/>
      <c r="T945" s="349"/>
      <c r="U945" s="349"/>
      <c r="V945" s="349"/>
      <c r="W945" s="349"/>
      <c r="X945" s="349"/>
      <c r="Y945" s="349"/>
    </row>
    <row r="946" ht="15.75" customHeight="1">
      <c r="A946" s="349"/>
      <c r="B946" s="349"/>
      <c r="C946" s="349"/>
      <c r="D946" s="349"/>
      <c r="E946" s="349"/>
      <c r="F946" s="349"/>
      <c r="G946" s="349"/>
      <c r="H946" s="349"/>
      <c r="I946" s="349"/>
      <c r="J946" s="349"/>
      <c r="K946" s="349"/>
      <c r="L946" s="349"/>
      <c r="M946" s="349"/>
      <c r="N946" s="349"/>
      <c r="O946" s="349"/>
      <c r="P946" s="349"/>
      <c r="Q946" s="349"/>
      <c r="R946" s="349"/>
      <c r="S946" s="349"/>
      <c r="T946" s="349"/>
      <c r="U946" s="349"/>
      <c r="V946" s="349"/>
      <c r="W946" s="349"/>
      <c r="X946" s="349"/>
      <c r="Y946" s="349"/>
    </row>
    <row r="947" ht="15.75" customHeight="1">
      <c r="A947" s="349"/>
      <c r="B947" s="349"/>
      <c r="C947" s="349"/>
      <c r="D947" s="349"/>
      <c r="E947" s="349"/>
      <c r="F947" s="349"/>
      <c r="G947" s="349"/>
      <c r="H947" s="349"/>
      <c r="I947" s="349"/>
      <c r="J947" s="349"/>
      <c r="K947" s="349"/>
      <c r="L947" s="349"/>
      <c r="M947" s="349"/>
      <c r="N947" s="349"/>
      <c r="O947" s="349"/>
      <c r="P947" s="349"/>
      <c r="Q947" s="349"/>
      <c r="R947" s="349"/>
      <c r="S947" s="349"/>
      <c r="T947" s="349"/>
      <c r="U947" s="349"/>
      <c r="V947" s="349"/>
      <c r="W947" s="349"/>
      <c r="X947" s="349"/>
      <c r="Y947" s="349"/>
    </row>
    <row r="948" ht="15.75" customHeight="1">
      <c r="A948" s="349"/>
      <c r="B948" s="349"/>
      <c r="C948" s="349"/>
      <c r="D948" s="349"/>
      <c r="E948" s="349"/>
      <c r="F948" s="349"/>
      <c r="G948" s="349"/>
      <c r="H948" s="349"/>
      <c r="I948" s="349"/>
      <c r="J948" s="349"/>
      <c r="K948" s="349"/>
      <c r="L948" s="349"/>
      <c r="M948" s="349"/>
      <c r="N948" s="349"/>
      <c r="O948" s="349"/>
      <c r="P948" s="349"/>
      <c r="Q948" s="349"/>
      <c r="R948" s="349"/>
      <c r="S948" s="349"/>
      <c r="T948" s="349"/>
      <c r="U948" s="349"/>
      <c r="V948" s="349"/>
      <c r="W948" s="349"/>
      <c r="X948" s="349"/>
      <c r="Y948" s="349"/>
    </row>
    <row r="949" ht="15.75" customHeight="1">
      <c r="A949" s="349"/>
      <c r="B949" s="349"/>
      <c r="C949" s="349"/>
      <c r="D949" s="349"/>
      <c r="E949" s="349"/>
      <c r="F949" s="349"/>
      <c r="G949" s="349"/>
      <c r="H949" s="349"/>
      <c r="I949" s="349"/>
      <c r="J949" s="349"/>
      <c r="K949" s="349"/>
      <c r="L949" s="349"/>
      <c r="M949" s="349"/>
      <c r="N949" s="349"/>
      <c r="O949" s="349"/>
      <c r="P949" s="349"/>
      <c r="Q949" s="349"/>
      <c r="R949" s="349"/>
      <c r="S949" s="349"/>
      <c r="T949" s="349"/>
      <c r="U949" s="349"/>
      <c r="V949" s="349"/>
      <c r="W949" s="349"/>
      <c r="X949" s="349"/>
      <c r="Y949" s="349"/>
    </row>
    <row r="950" ht="15.75" customHeight="1">
      <c r="A950" s="349"/>
      <c r="B950" s="349"/>
      <c r="C950" s="349"/>
      <c r="D950" s="349"/>
      <c r="E950" s="349"/>
      <c r="F950" s="349"/>
      <c r="G950" s="349"/>
      <c r="H950" s="349"/>
      <c r="I950" s="349"/>
      <c r="J950" s="349"/>
      <c r="K950" s="349"/>
      <c r="L950" s="349"/>
      <c r="M950" s="349"/>
      <c r="N950" s="349"/>
      <c r="O950" s="349"/>
      <c r="P950" s="349"/>
      <c r="Q950" s="349"/>
      <c r="R950" s="349"/>
      <c r="S950" s="349"/>
      <c r="T950" s="349"/>
      <c r="U950" s="349"/>
      <c r="V950" s="349"/>
      <c r="W950" s="349"/>
      <c r="X950" s="349"/>
      <c r="Y950" s="349"/>
    </row>
    <row r="951" ht="15.75" customHeight="1">
      <c r="A951" s="349"/>
      <c r="B951" s="349"/>
      <c r="C951" s="349"/>
      <c r="D951" s="349"/>
      <c r="E951" s="349"/>
      <c r="F951" s="349"/>
      <c r="G951" s="349"/>
      <c r="H951" s="349"/>
      <c r="I951" s="349"/>
      <c r="J951" s="349"/>
      <c r="K951" s="349"/>
      <c r="L951" s="349"/>
      <c r="M951" s="349"/>
      <c r="N951" s="349"/>
      <c r="O951" s="349"/>
      <c r="P951" s="349"/>
      <c r="Q951" s="349"/>
      <c r="R951" s="349"/>
      <c r="S951" s="349"/>
      <c r="T951" s="349"/>
      <c r="U951" s="349"/>
      <c r="V951" s="349"/>
      <c r="W951" s="349"/>
      <c r="X951" s="349"/>
      <c r="Y951" s="349"/>
    </row>
    <row r="952" ht="15.75" customHeight="1">
      <c r="A952" s="349"/>
      <c r="B952" s="349"/>
      <c r="C952" s="349"/>
      <c r="D952" s="349"/>
      <c r="E952" s="349"/>
      <c r="F952" s="349"/>
      <c r="G952" s="349"/>
      <c r="H952" s="349"/>
      <c r="I952" s="349"/>
      <c r="J952" s="349"/>
      <c r="K952" s="349"/>
      <c r="L952" s="349"/>
      <c r="M952" s="349"/>
      <c r="N952" s="349"/>
      <c r="O952" s="349"/>
      <c r="P952" s="349"/>
      <c r="Q952" s="349"/>
      <c r="R952" s="349"/>
      <c r="S952" s="349"/>
      <c r="T952" s="349"/>
      <c r="U952" s="349"/>
      <c r="V952" s="349"/>
      <c r="W952" s="349"/>
      <c r="X952" s="349"/>
      <c r="Y952" s="349"/>
    </row>
    <row r="953" ht="15.75" customHeight="1">
      <c r="A953" s="349"/>
      <c r="B953" s="349"/>
      <c r="C953" s="349"/>
      <c r="D953" s="349"/>
      <c r="E953" s="349"/>
      <c r="F953" s="349"/>
      <c r="G953" s="349"/>
      <c r="H953" s="349"/>
      <c r="I953" s="349"/>
      <c r="J953" s="349"/>
      <c r="K953" s="349"/>
      <c r="L953" s="349"/>
      <c r="M953" s="349"/>
      <c r="N953" s="349"/>
      <c r="O953" s="349"/>
      <c r="P953" s="349"/>
      <c r="Q953" s="349"/>
      <c r="R953" s="349"/>
      <c r="S953" s="349"/>
      <c r="T953" s="349"/>
      <c r="U953" s="349"/>
      <c r="V953" s="349"/>
      <c r="W953" s="349"/>
      <c r="X953" s="349"/>
      <c r="Y953" s="349"/>
    </row>
    <row r="954" ht="15.75" customHeight="1">
      <c r="A954" s="349"/>
      <c r="B954" s="349"/>
      <c r="C954" s="349"/>
      <c r="D954" s="349"/>
      <c r="E954" s="349"/>
      <c r="F954" s="349"/>
      <c r="G954" s="349"/>
      <c r="H954" s="349"/>
      <c r="I954" s="349"/>
      <c r="J954" s="349"/>
      <c r="K954" s="349"/>
      <c r="L954" s="349"/>
      <c r="M954" s="349"/>
      <c r="N954" s="349"/>
      <c r="O954" s="349"/>
      <c r="P954" s="349"/>
      <c r="Q954" s="349"/>
      <c r="R954" s="349"/>
      <c r="S954" s="349"/>
      <c r="T954" s="349"/>
      <c r="U954" s="349"/>
      <c r="V954" s="349"/>
      <c r="W954" s="349"/>
      <c r="X954" s="349"/>
      <c r="Y954" s="349"/>
    </row>
    <row r="955" ht="15.75" customHeight="1">
      <c r="A955" s="349"/>
      <c r="B955" s="349"/>
      <c r="C955" s="349"/>
      <c r="D955" s="349"/>
      <c r="E955" s="349"/>
      <c r="F955" s="349"/>
      <c r="G955" s="349"/>
      <c r="H955" s="349"/>
      <c r="I955" s="349"/>
      <c r="J955" s="349"/>
      <c r="K955" s="349"/>
      <c r="L955" s="349"/>
      <c r="M955" s="349"/>
      <c r="N955" s="349"/>
      <c r="O955" s="349"/>
      <c r="P955" s="349"/>
      <c r="Q955" s="349"/>
      <c r="R955" s="349"/>
      <c r="S955" s="349"/>
      <c r="T955" s="349"/>
      <c r="U955" s="349"/>
      <c r="V955" s="349"/>
      <c r="W955" s="349"/>
      <c r="X955" s="349"/>
      <c r="Y955" s="349"/>
    </row>
    <row r="956" ht="15.75" customHeight="1">
      <c r="A956" s="349"/>
      <c r="B956" s="349"/>
      <c r="C956" s="349"/>
      <c r="D956" s="349"/>
      <c r="E956" s="349"/>
      <c r="F956" s="349"/>
      <c r="G956" s="349"/>
      <c r="H956" s="349"/>
      <c r="I956" s="349"/>
      <c r="J956" s="349"/>
      <c r="K956" s="349"/>
      <c r="L956" s="349"/>
      <c r="M956" s="349"/>
      <c r="N956" s="349"/>
      <c r="O956" s="349"/>
      <c r="P956" s="349"/>
      <c r="Q956" s="349"/>
      <c r="R956" s="349"/>
      <c r="S956" s="349"/>
      <c r="T956" s="349"/>
      <c r="U956" s="349"/>
      <c r="V956" s="349"/>
      <c r="W956" s="349"/>
      <c r="X956" s="349"/>
      <c r="Y956" s="349"/>
    </row>
    <row r="957" ht="15.75" customHeight="1">
      <c r="A957" s="349"/>
      <c r="B957" s="349"/>
      <c r="C957" s="349"/>
      <c r="D957" s="349"/>
      <c r="E957" s="349"/>
      <c r="F957" s="349"/>
      <c r="G957" s="349"/>
      <c r="H957" s="349"/>
      <c r="I957" s="349"/>
      <c r="J957" s="349"/>
      <c r="K957" s="349"/>
      <c r="L957" s="349"/>
      <c r="M957" s="349"/>
      <c r="N957" s="349"/>
      <c r="O957" s="349"/>
      <c r="P957" s="349"/>
      <c r="Q957" s="349"/>
      <c r="R957" s="349"/>
      <c r="S957" s="349"/>
      <c r="T957" s="349"/>
      <c r="U957" s="349"/>
      <c r="V957" s="349"/>
      <c r="W957" s="349"/>
      <c r="X957" s="349"/>
      <c r="Y957" s="349"/>
    </row>
    <row r="958" ht="15.75" customHeight="1">
      <c r="A958" s="349"/>
      <c r="B958" s="349"/>
      <c r="C958" s="349"/>
      <c r="D958" s="349"/>
      <c r="E958" s="349"/>
      <c r="F958" s="349"/>
      <c r="G958" s="349"/>
      <c r="H958" s="349"/>
      <c r="I958" s="349"/>
      <c r="J958" s="349"/>
      <c r="K958" s="349"/>
      <c r="L958" s="349"/>
      <c r="M958" s="349"/>
      <c r="N958" s="349"/>
      <c r="O958" s="349"/>
      <c r="P958" s="349"/>
      <c r="Q958" s="349"/>
      <c r="R958" s="349"/>
      <c r="S958" s="349"/>
      <c r="T958" s="349"/>
      <c r="U958" s="349"/>
      <c r="V958" s="349"/>
      <c r="W958" s="349"/>
      <c r="X958" s="349"/>
      <c r="Y958" s="349"/>
    </row>
    <row r="959" ht="15.75" customHeight="1">
      <c r="A959" s="349"/>
      <c r="B959" s="349"/>
      <c r="C959" s="349"/>
      <c r="D959" s="349"/>
      <c r="E959" s="349"/>
      <c r="F959" s="349"/>
      <c r="G959" s="349"/>
      <c r="H959" s="349"/>
      <c r="I959" s="349"/>
      <c r="J959" s="349"/>
      <c r="K959" s="349"/>
      <c r="L959" s="349"/>
      <c r="M959" s="349"/>
      <c r="N959" s="349"/>
      <c r="O959" s="349"/>
      <c r="P959" s="349"/>
      <c r="Q959" s="349"/>
      <c r="R959" s="349"/>
      <c r="S959" s="349"/>
      <c r="T959" s="349"/>
      <c r="U959" s="349"/>
      <c r="V959" s="349"/>
      <c r="W959" s="349"/>
      <c r="X959" s="349"/>
      <c r="Y959" s="349"/>
    </row>
    <row r="960" ht="15.75" customHeight="1">
      <c r="A960" s="349"/>
      <c r="B960" s="349"/>
      <c r="C960" s="349"/>
      <c r="D960" s="349"/>
      <c r="E960" s="349"/>
      <c r="F960" s="349"/>
      <c r="G960" s="349"/>
      <c r="H960" s="349"/>
      <c r="I960" s="349"/>
      <c r="J960" s="349"/>
      <c r="K960" s="349"/>
      <c r="L960" s="349"/>
      <c r="M960" s="349"/>
      <c r="N960" s="349"/>
      <c r="O960" s="349"/>
      <c r="P960" s="349"/>
      <c r="Q960" s="349"/>
      <c r="R960" s="349"/>
      <c r="S960" s="349"/>
      <c r="T960" s="349"/>
      <c r="U960" s="349"/>
      <c r="V960" s="349"/>
      <c r="W960" s="349"/>
      <c r="X960" s="349"/>
      <c r="Y960" s="349"/>
    </row>
    <row r="961" ht="15.75" customHeight="1">
      <c r="A961" s="349"/>
      <c r="B961" s="349"/>
      <c r="C961" s="349"/>
      <c r="D961" s="349"/>
      <c r="E961" s="349"/>
      <c r="F961" s="349"/>
      <c r="G961" s="349"/>
      <c r="H961" s="349"/>
      <c r="I961" s="349"/>
      <c r="J961" s="349"/>
      <c r="K961" s="349"/>
      <c r="L961" s="349"/>
      <c r="M961" s="349"/>
      <c r="N961" s="349"/>
      <c r="O961" s="349"/>
      <c r="P961" s="349"/>
      <c r="Q961" s="349"/>
      <c r="R961" s="349"/>
      <c r="S961" s="349"/>
      <c r="T961" s="349"/>
      <c r="U961" s="349"/>
      <c r="V961" s="349"/>
      <c r="W961" s="349"/>
      <c r="X961" s="349"/>
      <c r="Y961" s="349"/>
    </row>
    <row r="962" ht="15.75" customHeight="1">
      <c r="A962" s="349"/>
      <c r="B962" s="349"/>
      <c r="C962" s="349"/>
      <c r="D962" s="349"/>
      <c r="E962" s="349"/>
      <c r="F962" s="349"/>
      <c r="G962" s="349"/>
      <c r="H962" s="349"/>
      <c r="I962" s="349"/>
      <c r="J962" s="349"/>
      <c r="K962" s="349"/>
      <c r="L962" s="349"/>
      <c r="M962" s="349"/>
      <c r="N962" s="349"/>
      <c r="O962" s="349"/>
      <c r="P962" s="349"/>
      <c r="Q962" s="349"/>
      <c r="R962" s="349"/>
      <c r="S962" s="349"/>
      <c r="T962" s="349"/>
      <c r="U962" s="349"/>
      <c r="V962" s="349"/>
      <c r="W962" s="349"/>
      <c r="X962" s="349"/>
      <c r="Y962" s="349"/>
    </row>
    <row r="963" ht="15.75" customHeight="1">
      <c r="A963" s="349"/>
      <c r="B963" s="349"/>
      <c r="C963" s="349"/>
      <c r="D963" s="349"/>
      <c r="E963" s="349"/>
      <c r="F963" s="349"/>
      <c r="G963" s="349"/>
      <c r="H963" s="349"/>
      <c r="I963" s="349"/>
      <c r="J963" s="349"/>
      <c r="K963" s="349"/>
      <c r="L963" s="349"/>
      <c r="M963" s="349"/>
      <c r="N963" s="349"/>
      <c r="O963" s="349"/>
      <c r="P963" s="349"/>
      <c r="Q963" s="349"/>
      <c r="R963" s="349"/>
      <c r="S963" s="349"/>
      <c r="T963" s="349"/>
      <c r="U963" s="349"/>
      <c r="V963" s="349"/>
      <c r="W963" s="349"/>
      <c r="X963" s="349"/>
      <c r="Y963" s="349"/>
    </row>
    <row r="964" ht="15.75" customHeight="1">
      <c r="A964" s="349"/>
      <c r="B964" s="349"/>
      <c r="C964" s="349"/>
      <c r="D964" s="349"/>
      <c r="E964" s="349"/>
      <c r="F964" s="349"/>
      <c r="G964" s="349"/>
      <c r="H964" s="349"/>
      <c r="I964" s="349"/>
      <c r="J964" s="349"/>
      <c r="K964" s="349"/>
      <c r="L964" s="349"/>
      <c r="M964" s="349"/>
      <c r="N964" s="349"/>
      <c r="O964" s="349"/>
      <c r="P964" s="349"/>
      <c r="Q964" s="349"/>
      <c r="R964" s="349"/>
      <c r="S964" s="349"/>
      <c r="T964" s="349"/>
      <c r="U964" s="349"/>
      <c r="V964" s="349"/>
      <c r="W964" s="349"/>
      <c r="X964" s="349"/>
      <c r="Y964" s="349"/>
    </row>
    <row r="965" ht="15.75" customHeight="1">
      <c r="A965" s="349"/>
      <c r="B965" s="349"/>
      <c r="C965" s="349"/>
      <c r="D965" s="349"/>
      <c r="E965" s="349"/>
      <c r="F965" s="349"/>
      <c r="G965" s="349"/>
      <c r="H965" s="349"/>
      <c r="I965" s="349"/>
      <c r="J965" s="349"/>
      <c r="K965" s="349"/>
      <c r="L965" s="349"/>
      <c r="M965" s="349"/>
      <c r="N965" s="349"/>
      <c r="O965" s="349"/>
      <c r="P965" s="349"/>
      <c r="Q965" s="349"/>
      <c r="R965" s="349"/>
      <c r="S965" s="349"/>
      <c r="T965" s="349"/>
      <c r="U965" s="349"/>
      <c r="V965" s="349"/>
      <c r="W965" s="349"/>
      <c r="X965" s="349"/>
      <c r="Y965" s="349"/>
    </row>
    <row r="966" ht="15.75" customHeight="1">
      <c r="A966" s="349"/>
      <c r="B966" s="349"/>
      <c r="C966" s="349"/>
      <c r="D966" s="349"/>
      <c r="E966" s="349"/>
      <c r="F966" s="349"/>
      <c r="G966" s="349"/>
      <c r="H966" s="349"/>
      <c r="I966" s="349"/>
      <c r="J966" s="349"/>
      <c r="K966" s="349"/>
      <c r="L966" s="349"/>
      <c r="M966" s="349"/>
      <c r="N966" s="349"/>
      <c r="O966" s="349"/>
      <c r="P966" s="349"/>
      <c r="Q966" s="349"/>
      <c r="R966" s="349"/>
      <c r="S966" s="349"/>
      <c r="T966" s="349"/>
      <c r="U966" s="349"/>
      <c r="V966" s="349"/>
      <c r="W966" s="349"/>
      <c r="X966" s="349"/>
      <c r="Y966" s="349"/>
    </row>
    <row r="967" ht="15.75" customHeight="1">
      <c r="A967" s="349"/>
      <c r="B967" s="349"/>
      <c r="C967" s="349"/>
      <c r="D967" s="349"/>
      <c r="E967" s="349"/>
      <c r="F967" s="349"/>
      <c r="G967" s="349"/>
      <c r="H967" s="349"/>
      <c r="I967" s="349"/>
      <c r="J967" s="349"/>
      <c r="K967" s="349"/>
      <c r="L967" s="349"/>
      <c r="M967" s="349"/>
      <c r="N967" s="349"/>
      <c r="O967" s="349"/>
      <c r="P967" s="349"/>
      <c r="Q967" s="349"/>
      <c r="R967" s="349"/>
      <c r="S967" s="349"/>
      <c r="T967" s="349"/>
      <c r="U967" s="349"/>
      <c r="V967" s="349"/>
      <c r="W967" s="349"/>
      <c r="X967" s="349"/>
      <c r="Y967" s="349"/>
    </row>
    <row r="968" ht="15.75" customHeight="1">
      <c r="A968" s="349"/>
      <c r="B968" s="349"/>
      <c r="C968" s="349"/>
      <c r="D968" s="349"/>
      <c r="E968" s="349"/>
      <c r="F968" s="349"/>
      <c r="G968" s="349"/>
      <c r="H968" s="349"/>
      <c r="I968" s="349"/>
      <c r="J968" s="349"/>
      <c r="K968" s="349"/>
      <c r="L968" s="349"/>
      <c r="M968" s="349"/>
      <c r="N968" s="349"/>
      <c r="O968" s="349"/>
      <c r="P968" s="349"/>
      <c r="Q968" s="349"/>
      <c r="R968" s="349"/>
      <c r="S968" s="349"/>
      <c r="T968" s="349"/>
      <c r="U968" s="349"/>
      <c r="V968" s="349"/>
      <c r="W968" s="349"/>
      <c r="X968" s="349"/>
      <c r="Y968" s="349"/>
    </row>
    <row r="969" ht="15.75" customHeight="1">
      <c r="A969" s="349"/>
      <c r="B969" s="349"/>
      <c r="C969" s="349"/>
      <c r="D969" s="349"/>
      <c r="E969" s="349"/>
      <c r="F969" s="349"/>
      <c r="G969" s="349"/>
      <c r="H969" s="349"/>
      <c r="I969" s="349"/>
      <c r="J969" s="349"/>
      <c r="K969" s="349"/>
      <c r="L969" s="349"/>
      <c r="M969" s="349"/>
      <c r="N969" s="349"/>
      <c r="O969" s="349"/>
      <c r="P969" s="349"/>
      <c r="Q969" s="349"/>
      <c r="R969" s="349"/>
      <c r="S969" s="349"/>
      <c r="T969" s="349"/>
      <c r="U969" s="349"/>
      <c r="V969" s="349"/>
      <c r="W969" s="349"/>
      <c r="X969" s="349"/>
      <c r="Y969" s="349"/>
    </row>
    <row r="970" ht="15.75" customHeight="1">
      <c r="A970" s="349"/>
      <c r="B970" s="349"/>
      <c r="C970" s="349"/>
      <c r="D970" s="349"/>
      <c r="E970" s="349"/>
      <c r="F970" s="349"/>
      <c r="G970" s="349"/>
      <c r="H970" s="349"/>
      <c r="I970" s="349"/>
      <c r="J970" s="349"/>
      <c r="K970" s="349"/>
      <c r="L970" s="349"/>
      <c r="M970" s="349"/>
      <c r="N970" s="349"/>
      <c r="O970" s="349"/>
      <c r="P970" s="349"/>
      <c r="Q970" s="349"/>
      <c r="R970" s="349"/>
      <c r="S970" s="349"/>
      <c r="T970" s="349"/>
      <c r="U970" s="349"/>
      <c r="V970" s="349"/>
      <c r="W970" s="349"/>
      <c r="X970" s="349"/>
      <c r="Y970" s="349"/>
    </row>
    <row r="971" ht="15.75" customHeight="1">
      <c r="A971" s="349"/>
      <c r="B971" s="349"/>
      <c r="C971" s="349"/>
      <c r="D971" s="349"/>
      <c r="E971" s="349"/>
      <c r="F971" s="349"/>
      <c r="G971" s="349"/>
      <c r="H971" s="349"/>
      <c r="I971" s="349"/>
      <c r="J971" s="349"/>
      <c r="K971" s="349"/>
      <c r="L971" s="349"/>
      <c r="M971" s="349"/>
      <c r="N971" s="349"/>
      <c r="O971" s="349"/>
      <c r="P971" s="349"/>
      <c r="Q971" s="349"/>
      <c r="R971" s="349"/>
      <c r="S971" s="349"/>
      <c r="T971" s="349"/>
      <c r="U971" s="349"/>
      <c r="V971" s="349"/>
      <c r="W971" s="349"/>
      <c r="X971" s="349"/>
      <c r="Y971" s="349"/>
    </row>
    <row r="972" ht="15.75" customHeight="1">
      <c r="A972" s="349"/>
      <c r="B972" s="349"/>
      <c r="C972" s="349"/>
      <c r="D972" s="349"/>
      <c r="E972" s="349"/>
      <c r="F972" s="349"/>
      <c r="G972" s="349"/>
      <c r="H972" s="349"/>
      <c r="I972" s="349"/>
      <c r="J972" s="349"/>
      <c r="K972" s="349"/>
      <c r="L972" s="349"/>
      <c r="M972" s="349"/>
      <c r="N972" s="349"/>
      <c r="O972" s="349"/>
      <c r="P972" s="349"/>
      <c r="Q972" s="349"/>
      <c r="R972" s="349"/>
      <c r="S972" s="349"/>
      <c r="T972" s="349"/>
      <c r="U972" s="349"/>
      <c r="V972" s="349"/>
      <c r="W972" s="349"/>
      <c r="X972" s="349"/>
      <c r="Y972" s="349"/>
    </row>
    <row r="973" ht="15.75" customHeight="1">
      <c r="A973" s="349"/>
      <c r="B973" s="349"/>
      <c r="C973" s="349"/>
      <c r="D973" s="349"/>
      <c r="E973" s="349"/>
      <c r="F973" s="349"/>
      <c r="G973" s="349"/>
      <c r="H973" s="349"/>
      <c r="I973" s="349"/>
      <c r="J973" s="349"/>
      <c r="K973" s="349"/>
      <c r="L973" s="349"/>
      <c r="M973" s="349"/>
      <c r="N973" s="349"/>
      <c r="O973" s="349"/>
      <c r="P973" s="349"/>
      <c r="Q973" s="349"/>
      <c r="R973" s="349"/>
      <c r="S973" s="349"/>
      <c r="T973" s="349"/>
      <c r="U973" s="349"/>
      <c r="V973" s="349"/>
      <c r="W973" s="349"/>
      <c r="X973" s="349"/>
      <c r="Y973" s="349"/>
    </row>
    <row r="974" ht="15.75" customHeight="1">
      <c r="A974" s="349"/>
      <c r="B974" s="349"/>
      <c r="C974" s="349"/>
      <c r="D974" s="349"/>
      <c r="E974" s="349"/>
      <c r="F974" s="349"/>
      <c r="G974" s="349"/>
      <c r="H974" s="349"/>
      <c r="I974" s="349"/>
      <c r="J974" s="349"/>
      <c r="K974" s="349"/>
      <c r="L974" s="349"/>
      <c r="M974" s="349"/>
      <c r="N974" s="349"/>
      <c r="O974" s="349"/>
      <c r="P974" s="349"/>
      <c r="Q974" s="349"/>
      <c r="R974" s="349"/>
      <c r="S974" s="349"/>
      <c r="T974" s="349"/>
      <c r="U974" s="349"/>
      <c r="V974" s="349"/>
      <c r="W974" s="349"/>
      <c r="X974" s="349"/>
      <c r="Y974" s="349"/>
    </row>
    <row r="975" ht="15.75" customHeight="1">
      <c r="A975" s="349"/>
      <c r="B975" s="349"/>
      <c r="C975" s="349"/>
      <c r="D975" s="349"/>
      <c r="E975" s="349"/>
      <c r="F975" s="349"/>
      <c r="G975" s="349"/>
      <c r="H975" s="349"/>
      <c r="I975" s="349"/>
      <c r="J975" s="349"/>
      <c r="K975" s="349"/>
      <c r="L975" s="349"/>
      <c r="M975" s="349"/>
      <c r="N975" s="349"/>
      <c r="O975" s="349"/>
      <c r="P975" s="349"/>
      <c r="Q975" s="349"/>
      <c r="R975" s="349"/>
      <c r="S975" s="349"/>
      <c r="T975" s="349"/>
      <c r="U975" s="349"/>
      <c r="V975" s="349"/>
      <c r="W975" s="349"/>
      <c r="X975" s="349"/>
      <c r="Y975" s="349"/>
    </row>
    <row r="976" ht="15.75" customHeight="1">
      <c r="A976" s="349"/>
      <c r="B976" s="349"/>
      <c r="C976" s="349"/>
      <c r="D976" s="349"/>
      <c r="E976" s="349"/>
      <c r="F976" s="349"/>
      <c r="G976" s="349"/>
      <c r="H976" s="349"/>
      <c r="I976" s="349"/>
      <c r="J976" s="349"/>
      <c r="K976" s="349"/>
      <c r="L976" s="349"/>
      <c r="M976" s="349"/>
      <c r="N976" s="349"/>
      <c r="O976" s="349"/>
      <c r="P976" s="349"/>
      <c r="Q976" s="349"/>
      <c r="R976" s="349"/>
      <c r="S976" s="349"/>
      <c r="T976" s="349"/>
      <c r="U976" s="349"/>
      <c r="V976" s="349"/>
      <c r="W976" s="349"/>
      <c r="X976" s="349"/>
      <c r="Y976" s="349"/>
    </row>
    <row r="977" ht="15.75" customHeight="1">
      <c r="A977" s="349"/>
      <c r="B977" s="349"/>
      <c r="C977" s="349"/>
      <c r="D977" s="349"/>
      <c r="E977" s="349"/>
      <c r="F977" s="349"/>
      <c r="G977" s="349"/>
      <c r="H977" s="349"/>
      <c r="I977" s="349"/>
      <c r="J977" s="349"/>
      <c r="K977" s="349"/>
      <c r="L977" s="349"/>
      <c r="M977" s="349"/>
      <c r="N977" s="349"/>
      <c r="O977" s="349"/>
      <c r="P977" s="349"/>
      <c r="Q977" s="349"/>
      <c r="R977" s="349"/>
      <c r="S977" s="349"/>
      <c r="T977" s="349"/>
      <c r="U977" s="349"/>
      <c r="V977" s="349"/>
      <c r="W977" s="349"/>
      <c r="X977" s="349"/>
      <c r="Y977" s="349"/>
    </row>
    <row r="978" ht="15.75" customHeight="1">
      <c r="A978" s="349"/>
      <c r="B978" s="349"/>
      <c r="C978" s="349"/>
      <c r="D978" s="349"/>
      <c r="E978" s="349"/>
      <c r="F978" s="349"/>
      <c r="G978" s="349"/>
      <c r="H978" s="349"/>
      <c r="I978" s="349"/>
      <c r="J978" s="349"/>
      <c r="K978" s="349"/>
      <c r="L978" s="349"/>
      <c r="M978" s="349"/>
      <c r="N978" s="349"/>
      <c r="O978" s="349"/>
      <c r="P978" s="349"/>
      <c r="Q978" s="349"/>
      <c r="R978" s="349"/>
      <c r="S978" s="349"/>
      <c r="T978" s="349"/>
      <c r="U978" s="349"/>
      <c r="V978" s="349"/>
      <c r="W978" s="349"/>
      <c r="X978" s="349"/>
      <c r="Y978" s="349"/>
    </row>
    <row r="979" ht="15.75" customHeight="1">
      <c r="A979" s="349"/>
      <c r="B979" s="349"/>
      <c r="C979" s="349"/>
      <c r="D979" s="349"/>
      <c r="E979" s="349"/>
      <c r="F979" s="349"/>
      <c r="G979" s="349"/>
      <c r="H979" s="349"/>
      <c r="I979" s="349"/>
      <c r="J979" s="349"/>
      <c r="K979" s="349"/>
      <c r="L979" s="349"/>
      <c r="M979" s="349"/>
      <c r="N979" s="349"/>
      <c r="O979" s="349"/>
      <c r="P979" s="349"/>
      <c r="Q979" s="349"/>
      <c r="R979" s="349"/>
      <c r="S979" s="349"/>
      <c r="T979" s="349"/>
      <c r="U979" s="349"/>
      <c r="V979" s="349"/>
      <c r="W979" s="349"/>
      <c r="X979" s="349"/>
      <c r="Y979" s="349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58.88"/>
    <col customWidth="1" min="3" max="3" width="43.13"/>
    <col customWidth="1" min="4" max="4" width="34.88"/>
    <col customWidth="1" min="5" max="5" width="17.5"/>
    <col customWidth="1" min="6" max="6" width="22.25"/>
    <col customWidth="1" min="7" max="7" width="15.25"/>
    <col customWidth="1" min="8" max="8" width="15.5"/>
    <col customWidth="1" min="9" max="9" width="16.63"/>
    <col customWidth="1" min="10" max="11" width="20.63"/>
  </cols>
  <sheetData>
    <row r="1" ht="36.0" customHeight="1">
      <c r="A1" s="350" t="s">
        <v>336</v>
      </c>
      <c r="B1" s="351" t="s">
        <v>337</v>
      </c>
      <c r="C1" s="351" t="s">
        <v>338</v>
      </c>
      <c r="D1" s="351" t="s">
        <v>339</v>
      </c>
      <c r="E1" s="351" t="s">
        <v>340</v>
      </c>
      <c r="F1" s="351" t="s">
        <v>341</v>
      </c>
      <c r="G1" s="351" t="s">
        <v>342</v>
      </c>
      <c r="H1" s="351" t="s">
        <v>343</v>
      </c>
      <c r="I1" s="351" t="s">
        <v>344</v>
      </c>
      <c r="J1" s="351" t="s">
        <v>345</v>
      </c>
      <c r="K1" s="351" t="s">
        <v>346</v>
      </c>
    </row>
    <row r="2" ht="15.75" customHeight="1">
      <c r="A2" s="352">
        <v>46133.0</v>
      </c>
      <c r="B2" s="353" t="s">
        <v>347</v>
      </c>
      <c r="C2" s="353" t="s">
        <v>348</v>
      </c>
      <c r="D2" s="354" t="s">
        <v>349</v>
      </c>
      <c r="E2" s="355">
        <v>0.55</v>
      </c>
      <c r="F2" s="353">
        <v>1.0</v>
      </c>
      <c r="G2" s="353">
        <v>21.0</v>
      </c>
      <c r="H2" s="353">
        <v>3.0</v>
      </c>
      <c r="I2" s="353"/>
      <c r="J2" s="355"/>
      <c r="K2" s="319"/>
    </row>
    <row r="3" ht="15.75" customHeight="1">
      <c r="A3" s="352">
        <v>46133.0</v>
      </c>
      <c r="B3" s="353" t="s">
        <v>347</v>
      </c>
      <c r="C3" s="353" t="s">
        <v>350</v>
      </c>
      <c r="D3" s="354" t="s">
        <v>349</v>
      </c>
      <c r="E3" s="355">
        <v>0.3</v>
      </c>
      <c r="F3" s="353"/>
      <c r="G3" s="353">
        <v>24.0</v>
      </c>
      <c r="H3" s="353">
        <v>0.0</v>
      </c>
      <c r="I3" s="353"/>
      <c r="J3" s="355"/>
      <c r="K3" s="319"/>
    </row>
    <row r="4" ht="15.75" customHeight="1">
      <c r="A4" s="352">
        <v>46132.0</v>
      </c>
      <c r="B4" s="353" t="s">
        <v>347</v>
      </c>
      <c r="C4" s="353" t="s">
        <v>348</v>
      </c>
      <c r="D4" s="353" t="s">
        <v>349</v>
      </c>
      <c r="E4" s="355">
        <v>32.78</v>
      </c>
      <c r="F4" s="353">
        <v>13.0</v>
      </c>
      <c r="G4" s="353">
        <v>814.0</v>
      </c>
      <c r="H4" s="353">
        <v>25.0</v>
      </c>
      <c r="I4" s="353"/>
      <c r="J4" s="355"/>
      <c r="K4" s="319"/>
    </row>
    <row r="5" ht="15.75" customHeight="1">
      <c r="A5" s="352">
        <v>46132.0</v>
      </c>
      <c r="B5" s="353" t="s">
        <v>347</v>
      </c>
      <c r="C5" s="353" t="s">
        <v>350</v>
      </c>
      <c r="D5" s="353" t="s">
        <v>349</v>
      </c>
      <c r="E5" s="355">
        <v>34.95</v>
      </c>
      <c r="F5" s="353">
        <v>14.0</v>
      </c>
      <c r="G5" s="353">
        <v>1055.0</v>
      </c>
      <c r="H5" s="353">
        <v>30.0</v>
      </c>
      <c r="I5" s="353"/>
      <c r="J5" s="355"/>
      <c r="K5" s="319"/>
    </row>
    <row r="6" ht="15.75" customHeight="1">
      <c r="A6" s="352">
        <v>46131.0</v>
      </c>
      <c r="B6" s="353" t="s">
        <v>347</v>
      </c>
      <c r="C6" s="353" t="s">
        <v>348</v>
      </c>
      <c r="D6" s="353" t="s">
        <v>349</v>
      </c>
      <c r="E6" s="355">
        <v>23.33</v>
      </c>
      <c r="F6" s="353">
        <v>7.0</v>
      </c>
      <c r="G6" s="353">
        <v>656.0</v>
      </c>
      <c r="H6" s="353">
        <v>20.0</v>
      </c>
      <c r="I6" s="353"/>
      <c r="J6" s="355"/>
      <c r="K6" s="319"/>
    </row>
    <row r="7" ht="15.75" customHeight="1">
      <c r="A7" s="352">
        <v>46131.0</v>
      </c>
      <c r="B7" s="353" t="s">
        <v>347</v>
      </c>
      <c r="C7" s="353" t="s">
        <v>350</v>
      </c>
      <c r="D7" s="353" t="s">
        <v>349</v>
      </c>
      <c r="E7" s="355">
        <v>24.45</v>
      </c>
      <c r="F7" s="353">
        <v>3.0</v>
      </c>
      <c r="G7" s="353">
        <v>709.0</v>
      </c>
      <c r="H7" s="353">
        <v>16.0</v>
      </c>
      <c r="I7" s="353"/>
      <c r="J7" s="355"/>
      <c r="K7" s="319"/>
    </row>
    <row r="8" ht="15.75" customHeight="1">
      <c r="A8" s="352">
        <v>46131.0</v>
      </c>
      <c r="B8" s="353" t="s">
        <v>347</v>
      </c>
      <c r="C8" s="353" t="s">
        <v>350</v>
      </c>
      <c r="D8" s="353" t="s">
        <v>351</v>
      </c>
      <c r="E8" s="355">
        <v>1.72</v>
      </c>
      <c r="F8" s="353">
        <v>1.0</v>
      </c>
      <c r="G8" s="353">
        <v>70.0</v>
      </c>
      <c r="H8" s="353">
        <v>2.0</v>
      </c>
      <c r="I8" s="353"/>
      <c r="J8" s="355"/>
      <c r="K8" s="319"/>
    </row>
    <row r="9" ht="15.75" customHeight="1">
      <c r="A9" s="352">
        <v>46130.0</v>
      </c>
      <c r="B9" s="353" t="s">
        <v>347</v>
      </c>
      <c r="C9" s="353" t="s">
        <v>348</v>
      </c>
      <c r="D9" s="353" t="s">
        <v>349</v>
      </c>
      <c r="E9" s="355">
        <v>29.89</v>
      </c>
      <c r="F9" s="353">
        <v>18.0</v>
      </c>
      <c r="G9" s="353">
        <v>885.0</v>
      </c>
      <c r="H9" s="353">
        <v>34.0</v>
      </c>
      <c r="I9" s="353"/>
      <c r="J9" s="355"/>
      <c r="K9" s="319"/>
    </row>
    <row r="10" ht="15.75" customHeight="1">
      <c r="A10" s="352">
        <v>46130.0</v>
      </c>
      <c r="B10" s="353" t="s">
        <v>347</v>
      </c>
      <c r="C10" s="353" t="s">
        <v>348</v>
      </c>
      <c r="D10" s="353" t="s">
        <v>351</v>
      </c>
      <c r="E10" s="355">
        <v>1.1</v>
      </c>
      <c r="F10" s="353">
        <v>1.0</v>
      </c>
      <c r="G10" s="353">
        <v>10.0</v>
      </c>
      <c r="H10" s="353">
        <v>1.0</v>
      </c>
      <c r="I10" s="353"/>
      <c r="J10" s="355"/>
      <c r="K10" s="319"/>
    </row>
    <row r="11" ht="15.75" customHeight="1">
      <c r="A11" s="352">
        <v>46130.0</v>
      </c>
      <c r="B11" s="353" t="s">
        <v>347</v>
      </c>
      <c r="C11" s="353" t="s">
        <v>350</v>
      </c>
      <c r="D11" s="353" t="s">
        <v>349</v>
      </c>
      <c r="E11" s="355">
        <v>34.68</v>
      </c>
      <c r="F11" s="353">
        <v>13.0</v>
      </c>
      <c r="G11" s="353">
        <v>1017.0</v>
      </c>
      <c r="H11" s="353">
        <v>39.0</v>
      </c>
      <c r="I11" s="353">
        <v>1.0</v>
      </c>
      <c r="J11" s="355">
        <v>107.4</v>
      </c>
      <c r="K11" s="319"/>
    </row>
    <row r="12" ht="15.75" customHeight="1">
      <c r="A12" s="352">
        <v>46129.0</v>
      </c>
      <c r="B12" s="353" t="s">
        <v>347</v>
      </c>
      <c r="C12" s="353" t="s">
        <v>348</v>
      </c>
      <c r="D12" s="353" t="s">
        <v>349</v>
      </c>
      <c r="E12" s="355">
        <v>31.11</v>
      </c>
      <c r="F12" s="353">
        <v>11.0</v>
      </c>
      <c r="G12" s="353">
        <v>811.0</v>
      </c>
      <c r="H12" s="353">
        <v>30.0</v>
      </c>
      <c r="I12" s="353"/>
      <c r="J12" s="355"/>
      <c r="K12" s="319"/>
    </row>
    <row r="13" ht="15.75" customHeight="1">
      <c r="A13" s="352">
        <v>46129.0</v>
      </c>
      <c r="B13" s="353" t="s">
        <v>347</v>
      </c>
      <c r="C13" s="353" t="s">
        <v>350</v>
      </c>
      <c r="D13" s="353" t="s">
        <v>349</v>
      </c>
      <c r="E13" s="355">
        <v>30.96</v>
      </c>
      <c r="F13" s="353">
        <v>13.0</v>
      </c>
      <c r="G13" s="353">
        <v>902.0</v>
      </c>
      <c r="H13" s="353">
        <v>28.0</v>
      </c>
      <c r="I13" s="353">
        <v>1.0</v>
      </c>
      <c r="J13" s="355">
        <v>107.4</v>
      </c>
      <c r="K13" s="319"/>
    </row>
    <row r="14" ht="15.75" customHeight="1">
      <c r="A14" s="352">
        <v>46129.0</v>
      </c>
      <c r="B14" s="353" t="s">
        <v>347</v>
      </c>
      <c r="C14" s="353" t="s">
        <v>350</v>
      </c>
      <c r="D14" s="353" t="s">
        <v>351</v>
      </c>
      <c r="E14" s="355">
        <v>2.56</v>
      </c>
      <c r="F14" s="353">
        <v>5.0</v>
      </c>
      <c r="G14" s="353">
        <v>103.0</v>
      </c>
      <c r="H14" s="353">
        <v>3.0</v>
      </c>
      <c r="I14" s="353"/>
      <c r="J14" s="355"/>
      <c r="K14" s="319"/>
    </row>
    <row r="15" ht="15.75" customHeight="1">
      <c r="A15" s="352">
        <v>46128.0</v>
      </c>
      <c r="B15" s="353" t="s">
        <v>347</v>
      </c>
      <c r="C15" s="353" t="s">
        <v>348</v>
      </c>
      <c r="D15" s="353" t="s">
        <v>349</v>
      </c>
      <c r="E15" s="355">
        <v>34.4</v>
      </c>
      <c r="F15" s="353">
        <v>10.0</v>
      </c>
      <c r="G15" s="353">
        <v>950.0</v>
      </c>
      <c r="H15" s="353">
        <v>33.0</v>
      </c>
      <c r="I15" s="353"/>
      <c r="J15" s="355"/>
      <c r="K15" s="319"/>
    </row>
    <row r="16" ht="15.75" customHeight="1">
      <c r="A16" s="352">
        <v>46128.0</v>
      </c>
      <c r="B16" s="353" t="s">
        <v>347</v>
      </c>
      <c r="C16" s="353" t="s">
        <v>348</v>
      </c>
      <c r="D16" s="353" t="s">
        <v>351</v>
      </c>
      <c r="E16" s="355">
        <v>0.44</v>
      </c>
      <c r="F16" s="353"/>
      <c r="G16" s="353">
        <v>26.0</v>
      </c>
      <c r="H16" s="353">
        <v>0.0</v>
      </c>
      <c r="I16" s="353"/>
      <c r="J16" s="355"/>
      <c r="K16" s="319"/>
    </row>
    <row r="17" ht="15.75" customHeight="1">
      <c r="A17" s="352">
        <v>46128.0</v>
      </c>
      <c r="B17" s="353" t="s">
        <v>347</v>
      </c>
      <c r="C17" s="353" t="s">
        <v>350</v>
      </c>
      <c r="D17" s="353" t="s">
        <v>349</v>
      </c>
      <c r="E17" s="355">
        <v>37.98</v>
      </c>
      <c r="F17" s="353">
        <v>16.0</v>
      </c>
      <c r="G17" s="353">
        <v>1081.0</v>
      </c>
      <c r="H17" s="353">
        <v>39.0</v>
      </c>
      <c r="I17" s="353">
        <v>4.0</v>
      </c>
      <c r="J17" s="355">
        <v>513.0</v>
      </c>
      <c r="K17" s="319"/>
    </row>
    <row r="18" ht="15.75" customHeight="1">
      <c r="A18" s="352">
        <v>46128.0</v>
      </c>
      <c r="B18" s="353" t="s">
        <v>347</v>
      </c>
      <c r="C18" s="353" t="s">
        <v>350</v>
      </c>
      <c r="D18" s="353" t="s">
        <v>351</v>
      </c>
      <c r="E18" s="355">
        <v>0.32</v>
      </c>
      <c r="F18" s="353"/>
      <c r="G18" s="353">
        <v>17.0</v>
      </c>
      <c r="H18" s="353">
        <v>0.0</v>
      </c>
      <c r="I18" s="353"/>
      <c r="J18" s="355"/>
      <c r="K18" s="319"/>
    </row>
    <row r="19" ht="15.75" customHeight="1">
      <c r="A19" s="352">
        <v>46127.0</v>
      </c>
      <c r="B19" s="353" t="s">
        <v>347</v>
      </c>
      <c r="C19" s="353" t="s">
        <v>348</v>
      </c>
      <c r="D19" s="353" t="s">
        <v>349</v>
      </c>
      <c r="E19" s="355">
        <v>38.28</v>
      </c>
      <c r="F19" s="353">
        <v>10.0</v>
      </c>
      <c r="G19" s="353">
        <v>1029.0</v>
      </c>
      <c r="H19" s="353">
        <v>43.0</v>
      </c>
      <c r="I19" s="353">
        <v>2.0</v>
      </c>
      <c r="J19" s="355">
        <v>214.8</v>
      </c>
      <c r="K19" s="319"/>
    </row>
    <row r="20" ht="15.75" customHeight="1">
      <c r="A20" s="352">
        <v>46127.0</v>
      </c>
      <c r="B20" s="353" t="s">
        <v>347</v>
      </c>
      <c r="C20" s="353" t="s">
        <v>348</v>
      </c>
      <c r="D20" s="353" t="s">
        <v>351</v>
      </c>
      <c r="E20" s="355">
        <v>0.02</v>
      </c>
      <c r="F20" s="353"/>
      <c r="G20" s="353">
        <v>4.0</v>
      </c>
      <c r="H20" s="353">
        <v>0.0</v>
      </c>
      <c r="I20" s="353"/>
      <c r="J20" s="355"/>
      <c r="K20" s="319"/>
    </row>
    <row r="21" ht="15.75" customHeight="1">
      <c r="A21" s="352">
        <v>46127.0</v>
      </c>
      <c r="B21" s="353" t="s">
        <v>347</v>
      </c>
      <c r="C21" s="353" t="s">
        <v>350</v>
      </c>
      <c r="D21" s="353" t="s">
        <v>349</v>
      </c>
      <c r="E21" s="355">
        <v>42.6</v>
      </c>
      <c r="F21" s="353">
        <v>13.0</v>
      </c>
      <c r="G21" s="353">
        <v>1255.0</v>
      </c>
      <c r="H21" s="353">
        <v>34.0</v>
      </c>
      <c r="I21" s="353">
        <v>3.0</v>
      </c>
      <c r="J21" s="355">
        <v>405.6</v>
      </c>
      <c r="K21" s="319"/>
    </row>
    <row r="22" ht="15.75" customHeight="1">
      <c r="A22" s="352">
        <v>46127.0</v>
      </c>
      <c r="B22" s="353" t="s">
        <v>347</v>
      </c>
      <c r="C22" s="353" t="s">
        <v>350</v>
      </c>
      <c r="D22" s="353" t="s">
        <v>351</v>
      </c>
      <c r="E22" s="355">
        <v>0.45</v>
      </c>
      <c r="F22" s="353"/>
      <c r="G22" s="353">
        <v>11.0</v>
      </c>
      <c r="H22" s="353">
        <v>0.0</v>
      </c>
      <c r="I22" s="353"/>
      <c r="J22" s="355"/>
      <c r="K22" s="319"/>
    </row>
    <row r="23" ht="15.75" customHeight="1">
      <c r="A23" s="352">
        <v>46126.0</v>
      </c>
      <c r="B23" s="353" t="s">
        <v>347</v>
      </c>
      <c r="C23" s="353" t="s">
        <v>348</v>
      </c>
      <c r="D23" s="353" t="s">
        <v>349</v>
      </c>
      <c r="E23" s="355">
        <v>29.62</v>
      </c>
      <c r="F23" s="353">
        <v>6.0</v>
      </c>
      <c r="G23" s="353">
        <v>881.0</v>
      </c>
      <c r="H23" s="353">
        <v>23.0</v>
      </c>
      <c r="I23" s="353"/>
      <c r="J23" s="355"/>
      <c r="K23" s="319"/>
    </row>
    <row r="24" ht="15.75" customHeight="1">
      <c r="A24" s="352">
        <v>46126.0</v>
      </c>
      <c r="B24" s="353" t="s">
        <v>347</v>
      </c>
      <c r="C24" s="353" t="s">
        <v>348</v>
      </c>
      <c r="D24" s="353" t="s">
        <v>351</v>
      </c>
      <c r="E24" s="355">
        <v>0.02</v>
      </c>
      <c r="F24" s="353"/>
      <c r="G24" s="353">
        <v>1.0</v>
      </c>
      <c r="H24" s="353">
        <v>0.0</v>
      </c>
      <c r="I24" s="353"/>
      <c r="J24" s="355"/>
      <c r="K24" s="319"/>
    </row>
    <row r="25" ht="15.75" customHeight="1">
      <c r="A25" s="352">
        <v>46126.0</v>
      </c>
      <c r="B25" s="353" t="s">
        <v>347</v>
      </c>
      <c r="C25" s="353" t="s">
        <v>350</v>
      </c>
      <c r="D25" s="353" t="s">
        <v>349</v>
      </c>
      <c r="E25" s="355">
        <v>28.3</v>
      </c>
      <c r="F25" s="353">
        <v>7.0</v>
      </c>
      <c r="G25" s="353">
        <v>880.0</v>
      </c>
      <c r="H25" s="353">
        <v>23.0</v>
      </c>
      <c r="I25" s="353"/>
      <c r="J25" s="355"/>
      <c r="K25" s="319"/>
    </row>
    <row r="26" ht="15.75" customHeight="1">
      <c r="A26" s="352">
        <v>46126.0</v>
      </c>
      <c r="B26" s="353" t="s">
        <v>347</v>
      </c>
      <c r="C26" s="353" t="s">
        <v>350</v>
      </c>
      <c r="D26" s="353" t="s">
        <v>351</v>
      </c>
      <c r="E26" s="355">
        <v>3.07</v>
      </c>
      <c r="F26" s="353"/>
      <c r="G26" s="353">
        <v>109.0</v>
      </c>
      <c r="H26" s="353">
        <v>4.0</v>
      </c>
      <c r="I26" s="353"/>
      <c r="J26" s="355"/>
      <c r="K26" s="319"/>
    </row>
    <row r="27" ht="15.75" customHeight="1">
      <c r="A27" s="352">
        <v>46124.0</v>
      </c>
      <c r="B27" s="353" t="s">
        <v>347</v>
      </c>
      <c r="C27" s="353" t="s">
        <v>348</v>
      </c>
      <c r="D27" s="353" t="s">
        <v>349</v>
      </c>
      <c r="E27" s="355">
        <v>4.65</v>
      </c>
      <c r="F27" s="353">
        <v>5.0</v>
      </c>
      <c r="G27" s="353">
        <v>144.0</v>
      </c>
      <c r="H27" s="353">
        <v>8.0</v>
      </c>
      <c r="I27" s="353"/>
      <c r="J27" s="355"/>
      <c r="K27" s="319"/>
    </row>
    <row r="28" ht="15.75" customHeight="1">
      <c r="A28" s="352">
        <v>46124.0</v>
      </c>
      <c r="B28" s="353" t="s">
        <v>347</v>
      </c>
      <c r="C28" s="353" t="s">
        <v>350</v>
      </c>
      <c r="D28" s="353" t="s">
        <v>349</v>
      </c>
      <c r="E28" s="355">
        <v>4.58</v>
      </c>
      <c r="F28" s="353">
        <v>2.0</v>
      </c>
      <c r="G28" s="353">
        <v>133.0</v>
      </c>
      <c r="H28" s="353">
        <v>4.0</v>
      </c>
      <c r="I28" s="353"/>
      <c r="J28" s="355"/>
      <c r="K28" s="319"/>
    </row>
    <row r="29" ht="15.75" customHeight="1">
      <c r="A29" s="352">
        <v>46123.0</v>
      </c>
      <c r="B29" s="353" t="s">
        <v>347</v>
      </c>
      <c r="C29" s="353" t="s">
        <v>348</v>
      </c>
      <c r="D29" s="353" t="s">
        <v>349</v>
      </c>
      <c r="E29" s="355">
        <v>31.57</v>
      </c>
      <c r="F29" s="353">
        <v>16.0</v>
      </c>
      <c r="G29" s="353">
        <v>980.0</v>
      </c>
      <c r="H29" s="353">
        <v>31.0</v>
      </c>
      <c r="I29" s="353">
        <v>3.0</v>
      </c>
      <c r="J29" s="355">
        <v>572.4</v>
      </c>
      <c r="K29" s="319"/>
    </row>
    <row r="30" ht="15.75" customHeight="1">
      <c r="A30" s="352">
        <v>46123.0</v>
      </c>
      <c r="B30" s="353" t="s">
        <v>347</v>
      </c>
      <c r="C30" s="353" t="s">
        <v>348</v>
      </c>
      <c r="D30" s="353" t="s">
        <v>351</v>
      </c>
      <c r="E30" s="355">
        <v>0.25</v>
      </c>
      <c r="F30" s="353"/>
      <c r="G30" s="353">
        <v>13.0</v>
      </c>
      <c r="H30" s="353">
        <v>0.0</v>
      </c>
      <c r="I30" s="353"/>
      <c r="J30" s="355"/>
      <c r="K30" s="319"/>
    </row>
    <row r="31" ht="15.75" customHeight="1">
      <c r="A31" s="352">
        <v>46123.0</v>
      </c>
      <c r="B31" s="353" t="s">
        <v>347</v>
      </c>
      <c r="C31" s="353" t="s">
        <v>350</v>
      </c>
      <c r="D31" s="353" t="s">
        <v>349</v>
      </c>
      <c r="E31" s="355">
        <v>28.62</v>
      </c>
      <c r="F31" s="353">
        <v>14.0</v>
      </c>
      <c r="G31" s="353">
        <v>730.0</v>
      </c>
      <c r="H31" s="353">
        <v>26.0</v>
      </c>
      <c r="I31" s="353"/>
      <c r="J31" s="355"/>
      <c r="K31" s="319"/>
    </row>
    <row r="32" ht="15.75" customHeight="1">
      <c r="A32" s="352">
        <v>46123.0</v>
      </c>
      <c r="B32" s="353" t="s">
        <v>347</v>
      </c>
      <c r="C32" s="353" t="s">
        <v>350</v>
      </c>
      <c r="D32" s="353" t="s">
        <v>351</v>
      </c>
      <c r="E32" s="355">
        <v>0.01</v>
      </c>
      <c r="F32" s="353"/>
      <c r="G32" s="353">
        <v>1.0</v>
      </c>
      <c r="H32" s="353">
        <v>0.0</v>
      </c>
      <c r="I32" s="353"/>
      <c r="J32" s="355"/>
      <c r="K32" s="319"/>
    </row>
    <row r="33" ht="15.75" customHeight="1">
      <c r="A33" s="352">
        <v>46122.0</v>
      </c>
      <c r="B33" s="353" t="s">
        <v>347</v>
      </c>
      <c r="C33" s="353" t="s">
        <v>348</v>
      </c>
      <c r="D33" s="353" t="s">
        <v>349</v>
      </c>
      <c r="E33" s="355">
        <v>34.79</v>
      </c>
      <c r="F33" s="353">
        <v>22.0</v>
      </c>
      <c r="G33" s="353">
        <v>893.0</v>
      </c>
      <c r="H33" s="353">
        <v>46.0</v>
      </c>
      <c r="I33" s="353"/>
      <c r="J33" s="355"/>
      <c r="K33" s="319"/>
    </row>
    <row r="34" ht="15.75" customHeight="1">
      <c r="A34" s="352">
        <v>46122.0</v>
      </c>
      <c r="B34" s="353" t="s">
        <v>347</v>
      </c>
      <c r="C34" s="353" t="s">
        <v>348</v>
      </c>
      <c r="D34" s="353" t="s">
        <v>351</v>
      </c>
      <c r="E34" s="355">
        <v>2.91</v>
      </c>
      <c r="F34" s="353">
        <v>1.0</v>
      </c>
      <c r="G34" s="353">
        <v>71.0</v>
      </c>
      <c r="H34" s="353">
        <v>2.0</v>
      </c>
      <c r="I34" s="353"/>
      <c r="J34" s="355"/>
      <c r="K34" s="319"/>
    </row>
    <row r="35" ht="15.75" customHeight="1">
      <c r="A35" s="352">
        <v>46122.0</v>
      </c>
      <c r="B35" s="353" t="s">
        <v>347</v>
      </c>
      <c r="C35" s="353" t="s">
        <v>350</v>
      </c>
      <c r="D35" s="353" t="s">
        <v>349</v>
      </c>
      <c r="E35" s="355">
        <v>25.62</v>
      </c>
      <c r="F35" s="353">
        <v>7.0</v>
      </c>
      <c r="G35" s="353">
        <v>597.0</v>
      </c>
      <c r="H35" s="353">
        <v>29.0</v>
      </c>
      <c r="I35" s="353">
        <v>3.0</v>
      </c>
      <c r="J35" s="355">
        <v>606.8</v>
      </c>
      <c r="K35" s="319"/>
    </row>
    <row r="36" ht="15.75" customHeight="1">
      <c r="A36" s="352">
        <v>46122.0</v>
      </c>
      <c r="B36" s="353" t="s">
        <v>347</v>
      </c>
      <c r="C36" s="353" t="s">
        <v>350</v>
      </c>
      <c r="D36" s="353" t="s">
        <v>351</v>
      </c>
      <c r="E36" s="355">
        <v>1.75</v>
      </c>
      <c r="F36" s="353">
        <v>1.0</v>
      </c>
      <c r="G36" s="353">
        <v>72.0</v>
      </c>
      <c r="H36" s="353">
        <v>2.0</v>
      </c>
      <c r="I36" s="353"/>
      <c r="J36" s="355"/>
      <c r="K36" s="319"/>
    </row>
    <row r="37" ht="15.75" customHeight="1">
      <c r="A37" s="352">
        <v>46121.0</v>
      </c>
      <c r="B37" s="353" t="s">
        <v>347</v>
      </c>
      <c r="C37" s="353" t="s">
        <v>348</v>
      </c>
      <c r="D37" s="353" t="s">
        <v>349</v>
      </c>
      <c r="E37" s="355">
        <v>31.21</v>
      </c>
      <c r="F37" s="353">
        <v>16.0</v>
      </c>
      <c r="G37" s="353">
        <v>876.0</v>
      </c>
      <c r="H37" s="353">
        <v>44.0</v>
      </c>
      <c r="I37" s="353"/>
      <c r="J37" s="355"/>
      <c r="K37" s="319"/>
    </row>
    <row r="38" ht="15.75" customHeight="1">
      <c r="A38" s="352">
        <v>46121.0</v>
      </c>
      <c r="B38" s="353" t="s">
        <v>347</v>
      </c>
      <c r="C38" s="353" t="s">
        <v>348</v>
      </c>
      <c r="D38" s="353" t="s">
        <v>351</v>
      </c>
      <c r="E38" s="355">
        <v>5.72</v>
      </c>
      <c r="F38" s="353">
        <v>1.0</v>
      </c>
      <c r="G38" s="353">
        <v>178.0</v>
      </c>
      <c r="H38" s="353">
        <v>4.0</v>
      </c>
      <c r="I38" s="353"/>
      <c r="J38" s="355"/>
      <c r="K38" s="319"/>
    </row>
    <row r="39" ht="15.75" customHeight="1">
      <c r="A39" s="352">
        <v>46121.0</v>
      </c>
      <c r="B39" s="353" t="s">
        <v>347</v>
      </c>
      <c r="C39" s="353" t="s">
        <v>350</v>
      </c>
      <c r="D39" s="353" t="s">
        <v>349</v>
      </c>
      <c r="E39" s="355">
        <v>12.03</v>
      </c>
      <c r="F39" s="353">
        <v>6.0</v>
      </c>
      <c r="G39" s="353">
        <v>283.0</v>
      </c>
      <c r="H39" s="353">
        <v>17.0</v>
      </c>
      <c r="I39" s="353">
        <v>1.0</v>
      </c>
      <c r="J39" s="355">
        <v>71.6</v>
      </c>
      <c r="K39" s="319"/>
    </row>
    <row r="40" ht="15.75" customHeight="1">
      <c r="A40" s="352">
        <v>46121.0</v>
      </c>
      <c r="B40" s="353" t="s">
        <v>347</v>
      </c>
      <c r="C40" s="353" t="s">
        <v>350</v>
      </c>
      <c r="D40" s="353" t="s">
        <v>351</v>
      </c>
      <c r="E40" s="355">
        <v>12.29</v>
      </c>
      <c r="F40" s="353">
        <v>3.0</v>
      </c>
      <c r="G40" s="353">
        <v>379.0</v>
      </c>
      <c r="H40" s="353">
        <v>9.0</v>
      </c>
      <c r="I40" s="353">
        <v>1.0</v>
      </c>
      <c r="J40" s="355">
        <v>190.8</v>
      </c>
      <c r="K40" s="319"/>
    </row>
    <row r="41" ht="15.75" customHeight="1">
      <c r="A41" s="352">
        <v>46120.0</v>
      </c>
      <c r="B41" s="353" t="s">
        <v>347</v>
      </c>
      <c r="C41" s="353" t="s">
        <v>348</v>
      </c>
      <c r="D41" s="353" t="s">
        <v>349</v>
      </c>
      <c r="E41" s="355">
        <v>33.86</v>
      </c>
      <c r="F41" s="353">
        <v>9.0</v>
      </c>
      <c r="G41" s="353">
        <v>883.0</v>
      </c>
      <c r="H41" s="353">
        <v>24.0</v>
      </c>
      <c r="I41" s="353">
        <v>1.0</v>
      </c>
      <c r="J41" s="355">
        <v>190.8</v>
      </c>
      <c r="K41" s="319"/>
    </row>
    <row r="42" ht="15.75" customHeight="1">
      <c r="A42" s="352">
        <v>46120.0</v>
      </c>
      <c r="B42" s="353" t="s">
        <v>347</v>
      </c>
      <c r="C42" s="353" t="s">
        <v>348</v>
      </c>
      <c r="D42" s="353" t="s">
        <v>351</v>
      </c>
      <c r="E42" s="355">
        <v>8.54</v>
      </c>
      <c r="F42" s="353"/>
      <c r="G42" s="353">
        <v>236.0</v>
      </c>
      <c r="H42" s="353">
        <v>4.0</v>
      </c>
      <c r="I42" s="353"/>
      <c r="J42" s="355"/>
      <c r="K42" s="319"/>
    </row>
    <row r="43" ht="15.75" customHeight="1">
      <c r="A43" s="352">
        <v>46120.0</v>
      </c>
      <c r="B43" s="353" t="s">
        <v>347</v>
      </c>
      <c r="C43" s="353" t="s">
        <v>350</v>
      </c>
      <c r="D43" s="353" t="s">
        <v>349</v>
      </c>
      <c r="E43" s="355">
        <v>13.13</v>
      </c>
      <c r="F43" s="353">
        <v>2.0</v>
      </c>
      <c r="G43" s="353">
        <v>370.0</v>
      </c>
      <c r="H43" s="353">
        <v>11.0</v>
      </c>
      <c r="I43" s="353"/>
      <c r="J43" s="355"/>
      <c r="K43" s="319"/>
    </row>
    <row r="44" ht="15.75" customHeight="1">
      <c r="A44" s="352">
        <v>46120.0</v>
      </c>
      <c r="B44" s="353" t="s">
        <v>347</v>
      </c>
      <c r="C44" s="353" t="s">
        <v>350</v>
      </c>
      <c r="D44" s="353" t="s">
        <v>351</v>
      </c>
      <c r="E44" s="355">
        <v>15.12</v>
      </c>
      <c r="F44" s="353">
        <v>1.0</v>
      </c>
      <c r="G44" s="353">
        <v>434.0</v>
      </c>
      <c r="H44" s="353">
        <v>6.0</v>
      </c>
      <c r="I44" s="353"/>
      <c r="J44" s="355"/>
      <c r="K44" s="319"/>
    </row>
    <row r="45" ht="15.75" customHeight="1">
      <c r="A45" s="352">
        <v>46119.0</v>
      </c>
      <c r="B45" s="353" t="s">
        <v>347</v>
      </c>
      <c r="C45" s="353" t="s">
        <v>348</v>
      </c>
      <c r="D45" s="353" t="s">
        <v>349</v>
      </c>
      <c r="E45" s="355">
        <v>30.04</v>
      </c>
      <c r="F45" s="353">
        <v>7.0</v>
      </c>
      <c r="G45" s="353">
        <v>894.0</v>
      </c>
      <c r="H45" s="353">
        <v>28.0</v>
      </c>
      <c r="I45" s="353">
        <v>1.0</v>
      </c>
      <c r="J45" s="355">
        <v>107.4</v>
      </c>
      <c r="K45" s="319"/>
    </row>
    <row r="46" ht="15.75" customHeight="1">
      <c r="A46" s="352">
        <v>46119.0</v>
      </c>
      <c r="B46" s="353" t="s">
        <v>347</v>
      </c>
      <c r="C46" s="353" t="s">
        <v>348</v>
      </c>
      <c r="D46" s="353" t="s">
        <v>351</v>
      </c>
      <c r="E46" s="355">
        <v>9.61</v>
      </c>
      <c r="F46" s="353">
        <v>4.0</v>
      </c>
      <c r="G46" s="353">
        <v>257.0</v>
      </c>
      <c r="H46" s="353">
        <v>9.0</v>
      </c>
      <c r="I46" s="353"/>
      <c r="J46" s="355"/>
      <c r="K46" s="319"/>
    </row>
    <row r="47" ht="15.75" customHeight="1">
      <c r="A47" s="352">
        <v>46119.0</v>
      </c>
      <c r="B47" s="353" t="s">
        <v>347</v>
      </c>
      <c r="C47" s="353" t="s">
        <v>350</v>
      </c>
      <c r="D47" s="353" t="s">
        <v>349</v>
      </c>
      <c r="E47" s="355">
        <v>9.01</v>
      </c>
      <c r="F47" s="353">
        <v>1.0</v>
      </c>
      <c r="G47" s="353">
        <v>216.0</v>
      </c>
      <c r="H47" s="353">
        <v>5.0</v>
      </c>
      <c r="I47" s="353"/>
      <c r="J47" s="355"/>
      <c r="K47" s="319"/>
    </row>
    <row r="48" ht="15.75" customHeight="1">
      <c r="A48" s="352">
        <v>46119.0</v>
      </c>
      <c r="B48" s="353" t="s">
        <v>347</v>
      </c>
      <c r="C48" s="353" t="s">
        <v>350</v>
      </c>
      <c r="D48" s="353" t="s">
        <v>351</v>
      </c>
      <c r="E48" s="355">
        <v>14.35</v>
      </c>
      <c r="F48" s="353">
        <v>4.0</v>
      </c>
      <c r="G48" s="353">
        <v>478.0</v>
      </c>
      <c r="H48" s="353">
        <v>6.0</v>
      </c>
      <c r="I48" s="353"/>
      <c r="J48" s="355"/>
      <c r="K48" s="319"/>
    </row>
    <row r="49" ht="15.75" customHeight="1">
      <c r="A49" s="352">
        <v>46118.0</v>
      </c>
      <c r="B49" s="353" t="s">
        <v>347</v>
      </c>
      <c r="C49" s="353" t="s">
        <v>348</v>
      </c>
      <c r="D49" s="353" t="s">
        <v>349</v>
      </c>
      <c r="E49" s="355">
        <v>37.76</v>
      </c>
      <c r="F49" s="353">
        <v>10.0</v>
      </c>
      <c r="G49" s="353">
        <v>864.0</v>
      </c>
      <c r="H49" s="353">
        <v>34.0</v>
      </c>
      <c r="I49" s="353">
        <v>2.0</v>
      </c>
      <c r="J49" s="355">
        <v>179.0</v>
      </c>
      <c r="K49" s="319"/>
    </row>
    <row r="50" ht="15.75" customHeight="1">
      <c r="A50" s="352">
        <v>46118.0</v>
      </c>
      <c r="B50" s="353" t="s">
        <v>347</v>
      </c>
      <c r="C50" s="353" t="s">
        <v>348</v>
      </c>
      <c r="D50" s="353" t="s">
        <v>351</v>
      </c>
      <c r="E50" s="355">
        <v>7.6</v>
      </c>
      <c r="F50" s="353">
        <v>1.0</v>
      </c>
      <c r="G50" s="353">
        <v>157.0</v>
      </c>
      <c r="H50" s="353">
        <v>4.0</v>
      </c>
      <c r="I50" s="353"/>
      <c r="J50" s="355"/>
      <c r="K50" s="319"/>
    </row>
    <row r="51" ht="15.75" customHeight="1">
      <c r="A51" s="352">
        <v>46118.0</v>
      </c>
      <c r="B51" s="353" t="s">
        <v>347</v>
      </c>
      <c r="C51" s="353" t="s">
        <v>350</v>
      </c>
      <c r="D51" s="353" t="s">
        <v>349</v>
      </c>
      <c r="E51" s="355">
        <v>11.73</v>
      </c>
      <c r="F51" s="353">
        <v>3.0</v>
      </c>
      <c r="G51" s="353">
        <v>311.0</v>
      </c>
      <c r="H51" s="353">
        <v>7.0</v>
      </c>
      <c r="I51" s="353">
        <v>1.0</v>
      </c>
      <c r="J51" s="355">
        <v>107.4</v>
      </c>
      <c r="K51" s="319"/>
    </row>
    <row r="52" ht="15.75" customHeight="1">
      <c r="A52" s="352">
        <v>46118.0</v>
      </c>
      <c r="B52" s="353" t="s">
        <v>347</v>
      </c>
      <c r="C52" s="353" t="s">
        <v>350</v>
      </c>
      <c r="D52" s="353" t="s">
        <v>351</v>
      </c>
      <c r="E52" s="355">
        <v>15.2</v>
      </c>
      <c r="F52" s="353">
        <v>3.0</v>
      </c>
      <c r="G52" s="353">
        <v>433.0</v>
      </c>
      <c r="H52" s="353">
        <v>13.0</v>
      </c>
      <c r="I52" s="353">
        <v>1.0</v>
      </c>
      <c r="J52" s="355">
        <v>107.4</v>
      </c>
      <c r="K52" s="319"/>
    </row>
    <row r="53" ht="15.75" customHeight="1">
      <c r="A53" s="352">
        <v>46117.0</v>
      </c>
      <c r="B53" s="353" t="s">
        <v>347</v>
      </c>
      <c r="C53" s="353" t="s">
        <v>348</v>
      </c>
      <c r="D53" s="353" t="s">
        <v>349</v>
      </c>
      <c r="E53" s="355">
        <v>35.02</v>
      </c>
      <c r="F53" s="353">
        <v>9.0</v>
      </c>
      <c r="G53" s="353">
        <v>1062.0</v>
      </c>
      <c r="H53" s="353">
        <v>32.0</v>
      </c>
      <c r="I53" s="353"/>
      <c r="J53" s="355"/>
      <c r="K53" s="319"/>
    </row>
    <row r="54" ht="15.75" customHeight="1">
      <c r="A54" s="352">
        <v>46117.0</v>
      </c>
      <c r="B54" s="353" t="s">
        <v>347</v>
      </c>
      <c r="C54" s="353" t="s">
        <v>348</v>
      </c>
      <c r="D54" s="353" t="s">
        <v>351</v>
      </c>
      <c r="E54" s="355">
        <v>9.3</v>
      </c>
      <c r="F54" s="353"/>
      <c r="G54" s="353">
        <v>193.0</v>
      </c>
      <c r="H54" s="353">
        <v>3.0</v>
      </c>
      <c r="I54" s="353"/>
      <c r="J54" s="355"/>
      <c r="K54" s="319"/>
    </row>
    <row r="55" ht="15.75" customHeight="1">
      <c r="A55" s="352">
        <v>46117.0</v>
      </c>
      <c r="B55" s="353" t="s">
        <v>347</v>
      </c>
      <c r="C55" s="353" t="s">
        <v>350</v>
      </c>
      <c r="D55" s="353" t="s">
        <v>349</v>
      </c>
      <c r="E55" s="355">
        <v>16.97</v>
      </c>
      <c r="F55" s="353">
        <v>12.0</v>
      </c>
      <c r="G55" s="353">
        <v>444.0</v>
      </c>
      <c r="H55" s="353">
        <v>15.0</v>
      </c>
      <c r="I55" s="353">
        <v>1.0</v>
      </c>
      <c r="J55" s="355">
        <v>89.5</v>
      </c>
      <c r="K55" s="319"/>
    </row>
    <row r="56" ht="15.75" customHeight="1">
      <c r="A56" s="352">
        <v>46117.0</v>
      </c>
      <c r="B56" s="353" t="s">
        <v>347</v>
      </c>
      <c r="C56" s="353" t="s">
        <v>350</v>
      </c>
      <c r="D56" s="353" t="s">
        <v>351</v>
      </c>
      <c r="E56" s="355">
        <v>11.25</v>
      </c>
      <c r="F56" s="353">
        <v>6.0</v>
      </c>
      <c r="G56" s="353">
        <v>317.0</v>
      </c>
      <c r="H56" s="353">
        <v>11.0</v>
      </c>
      <c r="I56" s="353"/>
      <c r="J56" s="355"/>
      <c r="K56" s="319"/>
    </row>
    <row r="57" ht="15.75" customHeight="1">
      <c r="A57" s="352">
        <v>46116.0</v>
      </c>
      <c r="B57" s="353" t="s">
        <v>347</v>
      </c>
      <c r="C57" s="353" t="s">
        <v>348</v>
      </c>
      <c r="D57" s="353" t="s">
        <v>349</v>
      </c>
      <c r="E57" s="355">
        <v>61.57</v>
      </c>
      <c r="F57" s="353">
        <v>20.0</v>
      </c>
      <c r="G57" s="353">
        <v>1525.0</v>
      </c>
      <c r="H57" s="353">
        <v>71.0</v>
      </c>
      <c r="I57" s="353">
        <v>3.0</v>
      </c>
      <c r="J57" s="355">
        <v>322.2</v>
      </c>
      <c r="K57" s="319"/>
    </row>
    <row r="58" ht="15.75" customHeight="1">
      <c r="A58" s="352">
        <v>46116.0</v>
      </c>
      <c r="B58" s="353" t="s">
        <v>347</v>
      </c>
      <c r="C58" s="353" t="s">
        <v>348</v>
      </c>
      <c r="D58" s="353" t="s">
        <v>351</v>
      </c>
      <c r="E58" s="355">
        <v>6.2</v>
      </c>
      <c r="F58" s="353">
        <v>1.0</v>
      </c>
      <c r="G58" s="353">
        <v>141.0</v>
      </c>
      <c r="H58" s="353">
        <v>1.0</v>
      </c>
      <c r="I58" s="353"/>
      <c r="J58" s="355"/>
      <c r="K58" s="319"/>
    </row>
    <row r="59" ht="15.75" customHeight="1">
      <c r="A59" s="352">
        <v>46116.0</v>
      </c>
      <c r="B59" s="353" t="s">
        <v>347</v>
      </c>
      <c r="C59" s="353" t="s">
        <v>350</v>
      </c>
      <c r="D59" s="353" t="s">
        <v>349</v>
      </c>
      <c r="E59" s="355">
        <v>9.38</v>
      </c>
      <c r="F59" s="353">
        <v>3.0</v>
      </c>
      <c r="G59" s="353">
        <v>259.0</v>
      </c>
      <c r="H59" s="353">
        <v>14.0</v>
      </c>
      <c r="I59" s="353"/>
      <c r="J59" s="355"/>
      <c r="K59" s="319"/>
    </row>
    <row r="60" ht="15.75" customHeight="1">
      <c r="A60" s="352">
        <v>46116.0</v>
      </c>
      <c r="B60" s="353" t="s">
        <v>347</v>
      </c>
      <c r="C60" s="353" t="s">
        <v>350</v>
      </c>
      <c r="D60" s="353" t="s">
        <v>351</v>
      </c>
      <c r="E60" s="355">
        <v>33.12</v>
      </c>
      <c r="F60" s="353">
        <v>7.0</v>
      </c>
      <c r="G60" s="353">
        <v>877.0</v>
      </c>
      <c r="H60" s="353">
        <v>10.0</v>
      </c>
      <c r="I60" s="353"/>
      <c r="J60" s="355"/>
      <c r="K60" s="319"/>
    </row>
    <row r="61" ht="15.75" customHeight="1">
      <c r="A61" s="352">
        <v>46115.0</v>
      </c>
      <c r="B61" s="353" t="s">
        <v>347</v>
      </c>
      <c r="C61" s="353" t="s">
        <v>348</v>
      </c>
      <c r="D61" s="353" t="s">
        <v>349</v>
      </c>
      <c r="E61" s="355">
        <v>58.67</v>
      </c>
      <c r="F61" s="353">
        <v>25.0</v>
      </c>
      <c r="G61" s="353">
        <v>1637.0</v>
      </c>
      <c r="H61" s="353">
        <v>58.0</v>
      </c>
      <c r="I61" s="353">
        <v>2.0</v>
      </c>
      <c r="J61" s="355">
        <v>298.2</v>
      </c>
      <c r="K61" s="319"/>
    </row>
    <row r="62" ht="15.75" customHeight="1">
      <c r="A62" s="352">
        <v>46115.0</v>
      </c>
      <c r="B62" s="353" t="s">
        <v>347</v>
      </c>
      <c r="C62" s="353" t="s">
        <v>348</v>
      </c>
      <c r="D62" s="353" t="s">
        <v>351</v>
      </c>
      <c r="E62" s="355">
        <v>9.38</v>
      </c>
      <c r="F62" s="353"/>
      <c r="G62" s="353">
        <v>210.0</v>
      </c>
      <c r="H62" s="353">
        <v>0.0</v>
      </c>
      <c r="I62" s="353"/>
      <c r="J62" s="355"/>
      <c r="K62" s="319"/>
    </row>
    <row r="63" ht="15.75" customHeight="1">
      <c r="A63" s="352">
        <v>46115.0</v>
      </c>
      <c r="B63" s="353" t="s">
        <v>347</v>
      </c>
      <c r="C63" s="353" t="s">
        <v>350</v>
      </c>
      <c r="D63" s="353" t="s">
        <v>349</v>
      </c>
      <c r="E63" s="355">
        <v>14.1</v>
      </c>
      <c r="F63" s="353">
        <v>7.0</v>
      </c>
      <c r="G63" s="353">
        <v>291.0</v>
      </c>
      <c r="H63" s="353">
        <v>13.0</v>
      </c>
      <c r="I63" s="353"/>
      <c r="J63" s="355"/>
      <c r="K63" s="319"/>
    </row>
    <row r="64" ht="15.75" customHeight="1">
      <c r="A64" s="352">
        <v>46115.0</v>
      </c>
      <c r="B64" s="353" t="s">
        <v>347</v>
      </c>
      <c r="C64" s="353" t="s">
        <v>350</v>
      </c>
      <c r="D64" s="353" t="s">
        <v>351</v>
      </c>
      <c r="E64" s="355">
        <v>28.56</v>
      </c>
      <c r="F64" s="353">
        <v>10.0</v>
      </c>
      <c r="G64" s="353">
        <v>974.0</v>
      </c>
      <c r="H64" s="353">
        <v>28.0</v>
      </c>
      <c r="I64" s="353"/>
      <c r="J64" s="355"/>
      <c r="K64" s="319"/>
    </row>
    <row r="65" ht="15.75" customHeight="1">
      <c r="A65" s="352">
        <v>46114.0</v>
      </c>
      <c r="B65" s="353" t="s">
        <v>347</v>
      </c>
      <c r="C65" s="353" t="s">
        <v>348</v>
      </c>
      <c r="D65" s="353" t="s">
        <v>349</v>
      </c>
      <c r="E65" s="355">
        <v>40.11</v>
      </c>
      <c r="F65" s="353">
        <v>6.0</v>
      </c>
      <c r="G65" s="353">
        <v>1005.0</v>
      </c>
      <c r="H65" s="353">
        <v>28.0</v>
      </c>
      <c r="I65" s="353"/>
      <c r="J65" s="355"/>
      <c r="K65" s="319"/>
    </row>
    <row r="66" ht="15.75" customHeight="1">
      <c r="A66" s="352">
        <v>46114.0</v>
      </c>
      <c r="B66" s="353" t="s">
        <v>347</v>
      </c>
      <c r="C66" s="353" t="s">
        <v>348</v>
      </c>
      <c r="D66" s="353" t="s">
        <v>351</v>
      </c>
      <c r="E66" s="355">
        <v>29.42</v>
      </c>
      <c r="F66" s="353">
        <v>8.0</v>
      </c>
      <c r="G66" s="353">
        <v>1120.0</v>
      </c>
      <c r="H66" s="353">
        <v>26.0</v>
      </c>
      <c r="I66" s="353"/>
      <c r="J66" s="355"/>
      <c r="K66" s="319"/>
    </row>
    <row r="67" ht="15.75" customHeight="1">
      <c r="A67" s="352">
        <v>46114.0</v>
      </c>
      <c r="B67" s="353" t="s">
        <v>347</v>
      </c>
      <c r="C67" s="353" t="s">
        <v>350</v>
      </c>
      <c r="D67" s="353" t="s">
        <v>349</v>
      </c>
      <c r="E67" s="355">
        <v>13.95</v>
      </c>
      <c r="F67" s="353">
        <v>6.0</v>
      </c>
      <c r="G67" s="353">
        <v>331.0</v>
      </c>
      <c r="H67" s="353">
        <v>14.0</v>
      </c>
      <c r="I67" s="353"/>
      <c r="J67" s="355"/>
      <c r="K67" s="319"/>
    </row>
    <row r="68" ht="15.75" customHeight="1">
      <c r="A68" s="352">
        <v>46114.0</v>
      </c>
      <c r="B68" s="353" t="s">
        <v>347</v>
      </c>
      <c r="C68" s="353" t="s">
        <v>350</v>
      </c>
      <c r="D68" s="353" t="s">
        <v>351</v>
      </c>
      <c r="E68" s="355">
        <v>28.93</v>
      </c>
      <c r="F68" s="353">
        <v>6.0</v>
      </c>
      <c r="G68" s="353">
        <v>850.0</v>
      </c>
      <c r="H68" s="353">
        <v>22.0</v>
      </c>
      <c r="I68" s="353">
        <v>1.0</v>
      </c>
      <c r="J68" s="355">
        <v>89.5</v>
      </c>
      <c r="K68" s="319"/>
    </row>
    <row r="69" ht="15.75" customHeight="1">
      <c r="A69" s="352">
        <v>46113.0</v>
      </c>
      <c r="B69" s="353" t="s">
        <v>347</v>
      </c>
      <c r="C69" s="353" t="s">
        <v>348</v>
      </c>
      <c r="D69" s="353" t="s">
        <v>349</v>
      </c>
      <c r="E69" s="355">
        <v>42.7</v>
      </c>
      <c r="F69" s="353">
        <v>11.0</v>
      </c>
      <c r="G69" s="353">
        <v>1134.0</v>
      </c>
      <c r="H69" s="353">
        <v>37.0</v>
      </c>
      <c r="I69" s="353"/>
      <c r="J69" s="355"/>
      <c r="K69" s="319"/>
    </row>
    <row r="70" ht="15.75" customHeight="1">
      <c r="A70" s="352">
        <v>46113.0</v>
      </c>
      <c r="B70" s="353" t="s">
        <v>347</v>
      </c>
      <c r="C70" s="353" t="s">
        <v>348</v>
      </c>
      <c r="D70" s="353" t="s">
        <v>351</v>
      </c>
      <c r="E70" s="355">
        <v>16.35</v>
      </c>
      <c r="F70" s="353">
        <v>9.0</v>
      </c>
      <c r="G70" s="353">
        <v>718.0</v>
      </c>
      <c r="H70" s="353">
        <v>17.0</v>
      </c>
      <c r="I70" s="353"/>
      <c r="J70" s="355"/>
      <c r="K70" s="319"/>
    </row>
    <row r="71" ht="15.75" customHeight="1">
      <c r="A71" s="352">
        <v>46113.0</v>
      </c>
      <c r="B71" s="353" t="s">
        <v>347</v>
      </c>
      <c r="C71" s="353" t="s">
        <v>350</v>
      </c>
      <c r="D71" s="353" t="s">
        <v>349</v>
      </c>
      <c r="E71" s="355">
        <v>0.0</v>
      </c>
      <c r="F71" s="353"/>
      <c r="G71" s="353">
        <v>0.0</v>
      </c>
      <c r="H71" s="353">
        <v>0.0</v>
      </c>
      <c r="I71" s="353">
        <v>1.0</v>
      </c>
      <c r="J71" s="355">
        <v>107.4</v>
      </c>
      <c r="K71" s="319"/>
    </row>
    <row r="72" ht="15.75" customHeight="1">
      <c r="A72" s="352">
        <v>46113.0</v>
      </c>
      <c r="B72" s="353" t="s">
        <v>347</v>
      </c>
      <c r="C72" s="353" t="s">
        <v>350</v>
      </c>
      <c r="D72" s="353" t="s">
        <v>351</v>
      </c>
      <c r="E72" s="355">
        <v>34.91</v>
      </c>
      <c r="F72" s="353">
        <v>13.0</v>
      </c>
      <c r="G72" s="353">
        <v>1260.0</v>
      </c>
      <c r="H72" s="353">
        <v>25.0</v>
      </c>
      <c r="I72" s="353">
        <v>2.0</v>
      </c>
      <c r="J72" s="355">
        <v>385.3</v>
      </c>
      <c r="K72" s="319"/>
    </row>
    <row r="73" ht="15.75" customHeight="1">
      <c r="A73" s="352">
        <v>46112.0</v>
      </c>
      <c r="B73" s="353" t="s">
        <v>347</v>
      </c>
      <c r="C73" s="353" t="s">
        <v>348</v>
      </c>
      <c r="D73" s="353" t="s">
        <v>349</v>
      </c>
      <c r="E73" s="355">
        <v>0.0</v>
      </c>
      <c r="F73" s="353"/>
      <c r="G73" s="353">
        <v>0.0</v>
      </c>
      <c r="H73" s="353">
        <v>0.0</v>
      </c>
      <c r="I73" s="353"/>
      <c r="J73" s="355"/>
      <c r="K73" s="319"/>
    </row>
    <row r="74" ht="15.75" customHeight="1">
      <c r="A74" s="352">
        <v>46111.0</v>
      </c>
      <c r="B74" s="353" t="s">
        <v>347</v>
      </c>
      <c r="C74" s="353" t="s">
        <v>348</v>
      </c>
      <c r="D74" s="353" t="s">
        <v>349</v>
      </c>
      <c r="E74" s="355">
        <v>0.0</v>
      </c>
      <c r="F74" s="353"/>
      <c r="G74" s="353">
        <v>0.0</v>
      </c>
      <c r="H74" s="353">
        <v>0.0</v>
      </c>
      <c r="I74" s="353"/>
      <c r="J74" s="355"/>
      <c r="K74" s="319"/>
    </row>
    <row r="75" ht="15.75" customHeight="1">
      <c r="A75" s="352">
        <v>46109.0</v>
      </c>
      <c r="B75" s="353" t="s">
        <v>347</v>
      </c>
      <c r="C75" s="353" t="s">
        <v>348</v>
      </c>
      <c r="D75" s="353" t="s">
        <v>349</v>
      </c>
      <c r="E75" s="355">
        <v>9.18</v>
      </c>
      <c r="F75" s="353">
        <v>3.0</v>
      </c>
      <c r="G75" s="353">
        <v>184.0</v>
      </c>
      <c r="H75" s="353">
        <v>7.0</v>
      </c>
      <c r="I75" s="353"/>
      <c r="J75" s="355"/>
      <c r="K75" s="319"/>
    </row>
    <row r="76" ht="15.75" customHeight="1">
      <c r="A76" s="352">
        <v>46109.0</v>
      </c>
      <c r="B76" s="353" t="s">
        <v>347</v>
      </c>
      <c r="C76" s="353" t="s">
        <v>348</v>
      </c>
      <c r="D76" s="353" t="s">
        <v>351</v>
      </c>
      <c r="E76" s="355">
        <v>0.01</v>
      </c>
      <c r="F76" s="353">
        <v>1.0</v>
      </c>
      <c r="G76" s="353">
        <v>3.0</v>
      </c>
      <c r="H76" s="353">
        <v>1.0</v>
      </c>
      <c r="I76" s="353"/>
      <c r="J76" s="355"/>
      <c r="K76" s="319"/>
    </row>
    <row r="77" ht="15.75" customHeight="1">
      <c r="A77" s="352">
        <v>46109.0</v>
      </c>
      <c r="B77" s="353" t="s">
        <v>347</v>
      </c>
      <c r="C77" s="353" t="s">
        <v>350</v>
      </c>
      <c r="D77" s="353" t="s">
        <v>349</v>
      </c>
      <c r="E77" s="355">
        <v>4.94</v>
      </c>
      <c r="F77" s="353">
        <v>3.0</v>
      </c>
      <c r="G77" s="353">
        <v>71.0</v>
      </c>
      <c r="H77" s="353">
        <v>3.0</v>
      </c>
      <c r="I77" s="353"/>
      <c r="J77" s="355"/>
      <c r="K77" s="319"/>
    </row>
    <row r="78" ht="15.75" customHeight="1">
      <c r="A78" s="352">
        <v>46108.0</v>
      </c>
      <c r="B78" s="353" t="s">
        <v>347</v>
      </c>
      <c r="C78" s="353" t="s">
        <v>348</v>
      </c>
      <c r="D78" s="353" t="s">
        <v>349</v>
      </c>
      <c r="E78" s="355">
        <v>38.29</v>
      </c>
      <c r="F78" s="353">
        <v>10.0</v>
      </c>
      <c r="G78" s="353">
        <v>1018.0</v>
      </c>
      <c r="H78" s="353">
        <v>25.0</v>
      </c>
      <c r="I78" s="353">
        <v>2.0</v>
      </c>
      <c r="J78" s="355">
        <v>179.0</v>
      </c>
      <c r="K78" s="319"/>
    </row>
    <row r="79" ht="15.75" customHeight="1">
      <c r="A79" s="352">
        <v>46108.0</v>
      </c>
      <c r="B79" s="353" t="s">
        <v>347</v>
      </c>
      <c r="C79" s="353" t="s">
        <v>348</v>
      </c>
      <c r="D79" s="353" t="s">
        <v>351</v>
      </c>
      <c r="E79" s="355">
        <v>1.16</v>
      </c>
      <c r="F79" s="353"/>
      <c r="G79" s="353">
        <v>20.0</v>
      </c>
      <c r="H79" s="353">
        <v>0.0</v>
      </c>
      <c r="I79" s="353"/>
      <c r="J79" s="355"/>
      <c r="K79" s="319"/>
    </row>
    <row r="80" ht="15.75" customHeight="1">
      <c r="A80" s="352">
        <v>46108.0</v>
      </c>
      <c r="B80" s="353" t="s">
        <v>347</v>
      </c>
      <c r="C80" s="353" t="s">
        <v>350</v>
      </c>
      <c r="D80" s="353" t="s">
        <v>349</v>
      </c>
      <c r="E80" s="355">
        <v>10.72</v>
      </c>
      <c r="F80" s="353">
        <v>2.0</v>
      </c>
      <c r="G80" s="353">
        <v>164.0</v>
      </c>
      <c r="H80" s="353">
        <v>6.0</v>
      </c>
      <c r="I80" s="353"/>
      <c r="J80" s="355"/>
      <c r="K80" s="319"/>
    </row>
    <row r="81" ht="15.75" customHeight="1">
      <c r="A81" s="352">
        <v>46108.0</v>
      </c>
      <c r="B81" s="353" t="s">
        <v>347</v>
      </c>
      <c r="C81" s="353" t="s">
        <v>350</v>
      </c>
      <c r="D81" s="353" t="s">
        <v>351</v>
      </c>
      <c r="E81" s="355">
        <v>12.16</v>
      </c>
      <c r="F81" s="353">
        <v>3.0</v>
      </c>
      <c r="G81" s="353">
        <v>352.0</v>
      </c>
      <c r="H81" s="353">
        <v>6.0</v>
      </c>
      <c r="I81" s="353"/>
      <c r="J81" s="355"/>
      <c r="K81" s="319"/>
    </row>
    <row r="82" ht="15.75" customHeight="1">
      <c r="A82" s="352">
        <v>46107.0</v>
      </c>
      <c r="B82" s="353" t="s">
        <v>347</v>
      </c>
      <c r="C82" s="353" t="s">
        <v>348</v>
      </c>
      <c r="D82" s="353" t="s">
        <v>349</v>
      </c>
      <c r="E82" s="355">
        <v>42.7</v>
      </c>
      <c r="F82" s="353">
        <v>18.0</v>
      </c>
      <c r="G82" s="353">
        <v>1064.0</v>
      </c>
      <c r="H82" s="353">
        <v>47.0</v>
      </c>
      <c r="I82" s="353">
        <v>2.0</v>
      </c>
      <c r="J82" s="355">
        <v>322.2</v>
      </c>
      <c r="K82" s="319"/>
    </row>
    <row r="83" ht="15.75" customHeight="1">
      <c r="A83" s="352">
        <v>46107.0</v>
      </c>
      <c r="B83" s="353" t="s">
        <v>347</v>
      </c>
      <c r="C83" s="353" t="s">
        <v>348</v>
      </c>
      <c r="D83" s="353" t="s">
        <v>351</v>
      </c>
      <c r="E83" s="355">
        <v>1.44</v>
      </c>
      <c r="F83" s="353"/>
      <c r="G83" s="353">
        <v>35.0</v>
      </c>
      <c r="H83" s="353">
        <v>0.0</v>
      </c>
      <c r="I83" s="353"/>
      <c r="J83" s="355"/>
      <c r="K83" s="319"/>
    </row>
    <row r="84" ht="15.75" customHeight="1">
      <c r="A84" s="352">
        <v>46107.0</v>
      </c>
      <c r="B84" s="353" t="s">
        <v>347</v>
      </c>
      <c r="C84" s="353" t="s">
        <v>350</v>
      </c>
      <c r="D84" s="353" t="s">
        <v>349</v>
      </c>
      <c r="E84" s="355">
        <v>6.23</v>
      </c>
      <c r="F84" s="353">
        <v>1.0</v>
      </c>
      <c r="G84" s="353">
        <v>108.0</v>
      </c>
      <c r="H84" s="353">
        <v>2.0</v>
      </c>
      <c r="I84" s="353"/>
      <c r="J84" s="355"/>
      <c r="K84" s="319"/>
    </row>
    <row r="85" ht="15.75" customHeight="1">
      <c r="A85" s="352">
        <v>46107.0</v>
      </c>
      <c r="B85" s="353" t="s">
        <v>347</v>
      </c>
      <c r="C85" s="353" t="s">
        <v>350</v>
      </c>
      <c r="D85" s="353" t="s">
        <v>351</v>
      </c>
      <c r="E85" s="355">
        <v>15.91</v>
      </c>
      <c r="F85" s="353">
        <v>7.0</v>
      </c>
      <c r="G85" s="353">
        <v>468.0</v>
      </c>
      <c r="H85" s="353">
        <v>16.0</v>
      </c>
      <c r="I85" s="353">
        <v>1.0</v>
      </c>
      <c r="J85" s="355">
        <v>190.8</v>
      </c>
      <c r="K85" s="319"/>
    </row>
    <row r="86" ht="15.75" customHeight="1">
      <c r="A86" s="352">
        <v>46106.0</v>
      </c>
      <c r="B86" s="353" t="s">
        <v>347</v>
      </c>
      <c r="C86" s="353" t="s">
        <v>348</v>
      </c>
      <c r="D86" s="353" t="s">
        <v>349</v>
      </c>
      <c r="E86" s="355">
        <v>38.45</v>
      </c>
      <c r="F86" s="353">
        <v>15.0</v>
      </c>
      <c r="G86" s="353">
        <v>1027.0</v>
      </c>
      <c r="H86" s="353">
        <v>33.0</v>
      </c>
      <c r="I86" s="353">
        <v>3.0</v>
      </c>
      <c r="J86" s="355">
        <v>375.9</v>
      </c>
      <c r="K86" s="319"/>
    </row>
    <row r="87" ht="15.75" customHeight="1">
      <c r="A87" s="352">
        <v>46106.0</v>
      </c>
      <c r="B87" s="353" t="s">
        <v>347</v>
      </c>
      <c r="C87" s="353" t="s">
        <v>348</v>
      </c>
      <c r="D87" s="353" t="s">
        <v>351</v>
      </c>
      <c r="E87" s="355">
        <v>0.63</v>
      </c>
      <c r="F87" s="353">
        <v>3.0</v>
      </c>
      <c r="G87" s="353">
        <v>15.0</v>
      </c>
      <c r="H87" s="353">
        <v>2.0</v>
      </c>
      <c r="I87" s="353"/>
      <c r="J87" s="355"/>
      <c r="K87" s="319"/>
    </row>
    <row r="88" ht="15.75" customHeight="1">
      <c r="A88" s="352">
        <v>46106.0</v>
      </c>
      <c r="B88" s="353" t="s">
        <v>347</v>
      </c>
      <c r="C88" s="353" t="s">
        <v>350</v>
      </c>
      <c r="D88" s="353" t="s">
        <v>349</v>
      </c>
      <c r="E88" s="355">
        <v>0.08</v>
      </c>
      <c r="F88" s="353"/>
      <c r="G88" s="353">
        <v>4.0</v>
      </c>
      <c r="H88" s="353">
        <v>0.0</v>
      </c>
      <c r="I88" s="353"/>
      <c r="J88" s="355"/>
      <c r="K88" s="319"/>
    </row>
    <row r="89" ht="15.75" customHeight="1">
      <c r="A89" s="352">
        <v>46106.0</v>
      </c>
      <c r="B89" s="353" t="s">
        <v>347</v>
      </c>
      <c r="C89" s="353" t="s">
        <v>350</v>
      </c>
      <c r="D89" s="353" t="s">
        <v>351</v>
      </c>
      <c r="E89" s="355">
        <v>27.61</v>
      </c>
      <c r="F89" s="353">
        <v>8.0</v>
      </c>
      <c r="G89" s="353">
        <v>741.0</v>
      </c>
      <c r="H89" s="353">
        <v>18.0</v>
      </c>
      <c r="I89" s="353"/>
      <c r="J89" s="355"/>
      <c r="K89" s="319"/>
    </row>
    <row r="90" ht="15.75" customHeight="1">
      <c r="A90" s="352">
        <v>46105.0</v>
      </c>
      <c r="B90" s="353" t="s">
        <v>347</v>
      </c>
      <c r="C90" s="353" t="s">
        <v>348</v>
      </c>
      <c r="D90" s="353" t="s">
        <v>349</v>
      </c>
      <c r="E90" s="355">
        <v>31.61</v>
      </c>
      <c r="F90" s="353">
        <v>6.0</v>
      </c>
      <c r="G90" s="353">
        <v>956.0</v>
      </c>
      <c r="H90" s="353">
        <v>32.0</v>
      </c>
      <c r="I90" s="353"/>
      <c r="J90" s="355"/>
      <c r="K90" s="319"/>
    </row>
    <row r="91" ht="15.75" customHeight="1">
      <c r="A91" s="352">
        <v>46105.0</v>
      </c>
      <c r="B91" s="353" t="s">
        <v>347</v>
      </c>
      <c r="C91" s="353" t="s">
        <v>348</v>
      </c>
      <c r="D91" s="353" t="s">
        <v>351</v>
      </c>
      <c r="E91" s="355">
        <v>1.59</v>
      </c>
      <c r="F91" s="353"/>
      <c r="G91" s="353">
        <v>41.0</v>
      </c>
      <c r="H91" s="353">
        <v>1.0</v>
      </c>
      <c r="I91" s="353">
        <v>1.0</v>
      </c>
      <c r="J91" s="355">
        <v>107.4</v>
      </c>
      <c r="K91" s="319"/>
    </row>
    <row r="92" ht="15.75" customHeight="1">
      <c r="A92" s="352">
        <v>46105.0</v>
      </c>
      <c r="B92" s="353" t="s">
        <v>347</v>
      </c>
      <c r="C92" s="353" t="s">
        <v>350</v>
      </c>
      <c r="D92" s="353" t="s">
        <v>349</v>
      </c>
      <c r="E92" s="355">
        <v>0.07</v>
      </c>
      <c r="F92" s="353"/>
      <c r="G92" s="353">
        <v>1.0</v>
      </c>
      <c r="H92" s="353">
        <v>0.0</v>
      </c>
      <c r="I92" s="353"/>
      <c r="J92" s="355"/>
      <c r="K92" s="319"/>
    </row>
    <row r="93" ht="15.75" customHeight="1">
      <c r="A93" s="352">
        <v>46105.0</v>
      </c>
      <c r="B93" s="353" t="s">
        <v>347</v>
      </c>
      <c r="C93" s="353" t="s">
        <v>350</v>
      </c>
      <c r="D93" s="353" t="s">
        <v>351</v>
      </c>
      <c r="E93" s="355">
        <v>41.43</v>
      </c>
      <c r="F93" s="353">
        <v>13.0</v>
      </c>
      <c r="G93" s="353">
        <v>1071.0</v>
      </c>
      <c r="H93" s="353">
        <v>32.0</v>
      </c>
      <c r="I93" s="353">
        <v>1.0</v>
      </c>
      <c r="J93" s="355">
        <v>277.9</v>
      </c>
      <c r="K93" s="319"/>
    </row>
    <row r="94" ht="15.75" customHeight="1">
      <c r="A94" s="352">
        <v>46104.0</v>
      </c>
      <c r="B94" s="353" t="s">
        <v>347</v>
      </c>
      <c r="C94" s="353" t="s">
        <v>348</v>
      </c>
      <c r="D94" s="353" t="s">
        <v>349</v>
      </c>
      <c r="E94" s="355">
        <v>22.61</v>
      </c>
      <c r="F94" s="353">
        <v>10.0</v>
      </c>
      <c r="G94" s="353">
        <v>658.0</v>
      </c>
      <c r="H94" s="353">
        <v>32.0</v>
      </c>
      <c r="I94" s="353">
        <v>1.0</v>
      </c>
      <c r="J94" s="355">
        <v>107.4</v>
      </c>
      <c r="K94" s="319"/>
    </row>
    <row r="95" ht="15.75" customHeight="1">
      <c r="A95" s="352">
        <v>46104.0</v>
      </c>
      <c r="B95" s="353" t="s">
        <v>347</v>
      </c>
      <c r="C95" s="353" t="s">
        <v>350</v>
      </c>
      <c r="D95" s="353" t="s">
        <v>349</v>
      </c>
      <c r="E95" s="355">
        <v>2.98</v>
      </c>
      <c r="F95" s="353"/>
      <c r="G95" s="353">
        <v>86.0</v>
      </c>
      <c r="H95" s="353">
        <v>5.0</v>
      </c>
      <c r="I95" s="353"/>
      <c r="J95" s="355"/>
      <c r="K95" s="319"/>
    </row>
    <row r="96" ht="15.75" customHeight="1">
      <c r="A96" s="352">
        <v>46104.0</v>
      </c>
      <c r="B96" s="353" t="s">
        <v>347</v>
      </c>
      <c r="C96" s="353" t="s">
        <v>350</v>
      </c>
      <c r="D96" s="353" t="s">
        <v>351</v>
      </c>
      <c r="E96" s="355">
        <v>28.77</v>
      </c>
      <c r="F96" s="353">
        <v>4.0</v>
      </c>
      <c r="G96" s="353">
        <v>994.0</v>
      </c>
      <c r="H96" s="353">
        <v>24.0</v>
      </c>
      <c r="I96" s="353"/>
      <c r="J96" s="355"/>
      <c r="K96" s="319"/>
    </row>
    <row r="97" ht="15.75" customHeight="1">
      <c r="A97" s="352">
        <v>46103.0</v>
      </c>
      <c r="B97" s="353" t="s">
        <v>347</v>
      </c>
      <c r="C97" s="353" t="s">
        <v>348</v>
      </c>
      <c r="D97" s="353" t="s">
        <v>349</v>
      </c>
      <c r="E97" s="355">
        <v>25.0</v>
      </c>
      <c r="F97" s="353">
        <v>7.0</v>
      </c>
      <c r="G97" s="353">
        <v>682.0</v>
      </c>
      <c r="H97" s="353">
        <v>22.0</v>
      </c>
      <c r="I97" s="353"/>
      <c r="J97" s="355"/>
      <c r="K97" s="319"/>
    </row>
    <row r="98" ht="15.75" customHeight="1">
      <c r="A98" s="352">
        <v>46103.0</v>
      </c>
      <c r="B98" s="353" t="s">
        <v>347</v>
      </c>
      <c r="C98" s="353" t="s">
        <v>348</v>
      </c>
      <c r="D98" s="353" t="s">
        <v>351</v>
      </c>
      <c r="E98" s="355">
        <v>1.59</v>
      </c>
      <c r="F98" s="353"/>
      <c r="G98" s="353">
        <v>51.0</v>
      </c>
      <c r="H98" s="353">
        <v>0.0</v>
      </c>
      <c r="I98" s="353">
        <v>1.0</v>
      </c>
      <c r="J98" s="355">
        <v>107.4</v>
      </c>
      <c r="K98" s="319"/>
    </row>
    <row r="99" ht="15.75" customHeight="1">
      <c r="A99" s="352">
        <v>46103.0</v>
      </c>
      <c r="B99" s="353" t="s">
        <v>347</v>
      </c>
      <c r="C99" s="353" t="s">
        <v>350</v>
      </c>
      <c r="D99" s="353" t="s">
        <v>351</v>
      </c>
      <c r="E99" s="355">
        <v>43.64</v>
      </c>
      <c r="F99" s="353">
        <v>12.0</v>
      </c>
      <c r="G99" s="353">
        <v>1175.0</v>
      </c>
      <c r="H99" s="353">
        <v>34.0</v>
      </c>
      <c r="I99" s="353"/>
      <c r="J99" s="355"/>
      <c r="K99" s="319"/>
    </row>
    <row r="100" ht="15.75" customHeight="1">
      <c r="A100" s="352">
        <v>46102.0</v>
      </c>
      <c r="B100" s="353" t="s">
        <v>347</v>
      </c>
      <c r="C100" s="353" t="s">
        <v>348</v>
      </c>
      <c r="D100" s="353" t="s">
        <v>349</v>
      </c>
      <c r="E100" s="355">
        <v>20.8</v>
      </c>
      <c r="F100" s="353">
        <v>8.0</v>
      </c>
      <c r="G100" s="353">
        <v>503.0</v>
      </c>
      <c r="H100" s="353">
        <v>18.0</v>
      </c>
      <c r="I100" s="353"/>
      <c r="J100" s="355"/>
      <c r="K100" s="319"/>
    </row>
    <row r="101" ht="15.75" customHeight="1">
      <c r="A101" s="352">
        <v>46102.0</v>
      </c>
      <c r="B101" s="353" t="s">
        <v>347</v>
      </c>
      <c r="C101" s="353" t="s">
        <v>348</v>
      </c>
      <c r="D101" s="353" t="s">
        <v>351</v>
      </c>
      <c r="E101" s="355">
        <v>0.27</v>
      </c>
      <c r="F101" s="353"/>
      <c r="G101" s="353">
        <v>4.0</v>
      </c>
      <c r="H101" s="353">
        <v>0.0</v>
      </c>
      <c r="I101" s="353"/>
      <c r="J101" s="355"/>
      <c r="K101" s="319"/>
    </row>
    <row r="102" ht="15.75" customHeight="1">
      <c r="A102" s="352">
        <v>46102.0</v>
      </c>
      <c r="B102" s="353" t="s">
        <v>347</v>
      </c>
      <c r="C102" s="353" t="s">
        <v>350</v>
      </c>
      <c r="D102" s="353" t="s">
        <v>349</v>
      </c>
      <c r="E102" s="355">
        <v>4.59</v>
      </c>
      <c r="F102" s="353">
        <v>2.0</v>
      </c>
      <c r="G102" s="353">
        <v>102.0</v>
      </c>
      <c r="H102" s="353">
        <v>4.0</v>
      </c>
      <c r="I102" s="353">
        <v>1.0</v>
      </c>
      <c r="J102" s="355">
        <v>190.8</v>
      </c>
      <c r="K102" s="319"/>
    </row>
    <row r="103" ht="15.75" customHeight="1">
      <c r="A103" s="352">
        <v>46102.0</v>
      </c>
      <c r="B103" s="353" t="s">
        <v>347</v>
      </c>
      <c r="C103" s="353" t="s">
        <v>350</v>
      </c>
      <c r="D103" s="353" t="s">
        <v>351</v>
      </c>
      <c r="E103" s="355">
        <v>32.38</v>
      </c>
      <c r="F103" s="353">
        <v>4.0</v>
      </c>
      <c r="G103" s="353">
        <v>884.0</v>
      </c>
      <c r="H103" s="353">
        <v>14.0</v>
      </c>
      <c r="I103" s="353"/>
      <c r="J103" s="355"/>
      <c r="K103" s="319"/>
    </row>
    <row r="104" ht="15.75" customHeight="1">
      <c r="A104" s="352">
        <v>46101.0</v>
      </c>
      <c r="B104" s="353" t="s">
        <v>347</v>
      </c>
      <c r="C104" s="353" t="s">
        <v>348</v>
      </c>
      <c r="D104" s="353" t="s">
        <v>349</v>
      </c>
      <c r="E104" s="355">
        <v>21.56</v>
      </c>
      <c r="F104" s="353">
        <v>8.0</v>
      </c>
      <c r="G104" s="353">
        <v>600.0</v>
      </c>
      <c r="H104" s="353">
        <v>25.0</v>
      </c>
      <c r="I104" s="353"/>
      <c r="J104" s="355"/>
      <c r="K104" s="319"/>
    </row>
    <row r="105" ht="15.75" customHeight="1">
      <c r="A105" s="352">
        <v>46101.0</v>
      </c>
      <c r="B105" s="353" t="s">
        <v>347</v>
      </c>
      <c r="C105" s="353" t="s">
        <v>348</v>
      </c>
      <c r="D105" s="353" t="s">
        <v>351</v>
      </c>
      <c r="E105" s="355">
        <v>0.08</v>
      </c>
      <c r="F105" s="353"/>
      <c r="G105" s="353">
        <v>2.0</v>
      </c>
      <c r="H105" s="353">
        <v>0.0</v>
      </c>
      <c r="I105" s="353"/>
      <c r="J105" s="355"/>
      <c r="K105" s="319"/>
    </row>
    <row r="106" ht="15.75" customHeight="1">
      <c r="A106" s="352">
        <v>46101.0</v>
      </c>
      <c r="B106" s="353" t="s">
        <v>347</v>
      </c>
      <c r="C106" s="353" t="s">
        <v>350</v>
      </c>
      <c r="D106" s="353" t="s">
        <v>349</v>
      </c>
      <c r="E106" s="355">
        <v>0.59</v>
      </c>
      <c r="F106" s="353"/>
      <c r="G106" s="353">
        <v>9.0</v>
      </c>
      <c r="H106" s="353">
        <v>0.0</v>
      </c>
      <c r="I106" s="353"/>
      <c r="J106" s="355"/>
      <c r="K106" s="319"/>
    </row>
    <row r="107" ht="15.75" customHeight="1">
      <c r="A107" s="352">
        <v>46101.0</v>
      </c>
      <c r="B107" s="353" t="s">
        <v>347</v>
      </c>
      <c r="C107" s="353" t="s">
        <v>350</v>
      </c>
      <c r="D107" s="353" t="s">
        <v>351</v>
      </c>
      <c r="E107" s="355">
        <v>44.78</v>
      </c>
      <c r="F107" s="353">
        <v>7.0</v>
      </c>
      <c r="G107" s="353">
        <v>1105.0</v>
      </c>
      <c r="H107" s="353">
        <v>23.0</v>
      </c>
      <c r="I107" s="353"/>
      <c r="J107" s="355"/>
      <c r="K107" s="319"/>
    </row>
    <row r="108" ht="15.75" customHeight="1">
      <c r="A108" s="352">
        <v>46100.0</v>
      </c>
      <c r="B108" s="353" t="s">
        <v>347</v>
      </c>
      <c r="C108" s="353" t="s">
        <v>348</v>
      </c>
      <c r="D108" s="353" t="s">
        <v>349</v>
      </c>
      <c r="E108" s="355">
        <v>23.1</v>
      </c>
      <c r="F108" s="353">
        <v>6.0</v>
      </c>
      <c r="G108" s="353">
        <v>666.0</v>
      </c>
      <c r="H108" s="353">
        <v>26.0</v>
      </c>
      <c r="I108" s="353"/>
      <c r="J108" s="355"/>
      <c r="K108" s="319"/>
    </row>
    <row r="109" ht="15.75" customHeight="1">
      <c r="A109" s="352">
        <v>46100.0</v>
      </c>
      <c r="B109" s="353" t="s">
        <v>347</v>
      </c>
      <c r="C109" s="353" t="s">
        <v>348</v>
      </c>
      <c r="D109" s="353" t="s">
        <v>351</v>
      </c>
      <c r="E109" s="355">
        <v>0.33</v>
      </c>
      <c r="F109" s="353"/>
      <c r="G109" s="353">
        <v>11.0</v>
      </c>
      <c r="H109" s="353">
        <v>0.0</v>
      </c>
      <c r="I109" s="353"/>
      <c r="J109" s="355"/>
      <c r="K109" s="319"/>
    </row>
    <row r="110" ht="15.75" customHeight="1">
      <c r="A110" s="352">
        <v>46100.0</v>
      </c>
      <c r="B110" s="353" t="s">
        <v>347</v>
      </c>
      <c r="C110" s="353" t="s">
        <v>350</v>
      </c>
      <c r="D110" s="353" t="s">
        <v>349</v>
      </c>
      <c r="E110" s="355">
        <v>0.18</v>
      </c>
      <c r="F110" s="353"/>
      <c r="G110" s="353">
        <v>1.0</v>
      </c>
      <c r="H110" s="353">
        <v>0.0</v>
      </c>
      <c r="I110" s="353"/>
      <c r="J110" s="355"/>
      <c r="K110" s="319"/>
    </row>
    <row r="111" ht="15.75" customHeight="1">
      <c r="A111" s="352">
        <v>46100.0</v>
      </c>
      <c r="B111" s="353" t="s">
        <v>347</v>
      </c>
      <c r="C111" s="353" t="s">
        <v>350</v>
      </c>
      <c r="D111" s="353" t="s">
        <v>351</v>
      </c>
      <c r="E111" s="355">
        <v>49.91</v>
      </c>
      <c r="F111" s="353">
        <v>14.0</v>
      </c>
      <c r="G111" s="353">
        <v>1278.0</v>
      </c>
      <c r="H111" s="353">
        <v>52.0</v>
      </c>
      <c r="I111" s="353">
        <v>1.0</v>
      </c>
      <c r="J111" s="355">
        <v>190.8</v>
      </c>
      <c r="K111" s="319"/>
    </row>
    <row r="112" ht="15.75" customHeight="1">
      <c r="A112" s="352">
        <v>46099.0</v>
      </c>
      <c r="B112" s="353" t="s">
        <v>347</v>
      </c>
      <c r="C112" s="353" t="s">
        <v>348</v>
      </c>
      <c r="D112" s="353" t="s">
        <v>349</v>
      </c>
      <c r="E112" s="355">
        <v>24.78</v>
      </c>
      <c r="F112" s="353">
        <v>10.0</v>
      </c>
      <c r="G112" s="353">
        <v>589.0</v>
      </c>
      <c r="H112" s="353">
        <v>34.0</v>
      </c>
      <c r="I112" s="353">
        <v>3.0</v>
      </c>
      <c r="J112" s="355">
        <v>369.8</v>
      </c>
      <c r="K112" s="319"/>
    </row>
    <row r="113" ht="15.75" customHeight="1">
      <c r="A113" s="352">
        <v>46099.0</v>
      </c>
      <c r="B113" s="353" t="s">
        <v>347</v>
      </c>
      <c r="C113" s="353" t="s">
        <v>350</v>
      </c>
      <c r="D113" s="353" t="s">
        <v>349</v>
      </c>
      <c r="E113" s="355">
        <v>0.8</v>
      </c>
      <c r="F113" s="353"/>
      <c r="G113" s="353">
        <v>12.0</v>
      </c>
      <c r="H113" s="353">
        <v>0.0</v>
      </c>
      <c r="I113" s="353"/>
      <c r="J113" s="355"/>
      <c r="K113" s="319"/>
    </row>
    <row r="114" ht="15.75" customHeight="1">
      <c r="A114" s="352">
        <v>46099.0</v>
      </c>
      <c r="B114" s="353" t="s">
        <v>347</v>
      </c>
      <c r="C114" s="353" t="s">
        <v>350</v>
      </c>
      <c r="D114" s="353" t="s">
        <v>351</v>
      </c>
      <c r="E114" s="355">
        <v>47.76</v>
      </c>
      <c r="F114" s="353">
        <v>9.0</v>
      </c>
      <c r="G114" s="353">
        <v>1219.0</v>
      </c>
      <c r="H114" s="353">
        <v>41.0</v>
      </c>
      <c r="I114" s="353">
        <v>1.0</v>
      </c>
      <c r="J114" s="355">
        <v>107.4</v>
      </c>
      <c r="K114" s="319"/>
    </row>
    <row r="115" ht="15.75" customHeight="1">
      <c r="A115" s="352">
        <v>46098.0</v>
      </c>
      <c r="B115" s="353" t="s">
        <v>347</v>
      </c>
      <c r="C115" s="353" t="s">
        <v>348</v>
      </c>
      <c r="D115" s="353" t="s">
        <v>349</v>
      </c>
      <c r="E115" s="355">
        <v>22.03</v>
      </c>
      <c r="F115" s="353">
        <v>5.0</v>
      </c>
      <c r="G115" s="353">
        <v>480.0</v>
      </c>
      <c r="H115" s="353">
        <v>19.0</v>
      </c>
      <c r="I115" s="353">
        <v>2.0</v>
      </c>
      <c r="J115" s="355">
        <v>477.2</v>
      </c>
      <c r="K115" s="319"/>
    </row>
    <row r="116" ht="15.75" customHeight="1">
      <c r="A116" s="352">
        <v>46098.0</v>
      </c>
      <c r="B116" s="353" t="s">
        <v>347</v>
      </c>
      <c r="C116" s="353" t="s">
        <v>348</v>
      </c>
      <c r="D116" s="353" t="s">
        <v>351</v>
      </c>
      <c r="E116" s="355">
        <v>0.63</v>
      </c>
      <c r="F116" s="353">
        <v>1.0</v>
      </c>
      <c r="G116" s="353">
        <v>24.0</v>
      </c>
      <c r="H116" s="353">
        <v>1.0</v>
      </c>
      <c r="I116" s="353"/>
      <c r="J116" s="355"/>
      <c r="K116" s="319"/>
    </row>
    <row r="117" ht="15.75" customHeight="1">
      <c r="A117" s="352">
        <v>46098.0</v>
      </c>
      <c r="B117" s="353" t="s">
        <v>347</v>
      </c>
      <c r="C117" s="353" t="s">
        <v>350</v>
      </c>
      <c r="D117" s="353" t="s">
        <v>351</v>
      </c>
      <c r="E117" s="355">
        <v>45.3</v>
      </c>
      <c r="F117" s="353">
        <v>11.0</v>
      </c>
      <c r="G117" s="353">
        <v>1083.0</v>
      </c>
      <c r="H117" s="353">
        <v>27.0</v>
      </c>
      <c r="I117" s="353">
        <v>2.0</v>
      </c>
      <c r="J117" s="355">
        <v>298.2</v>
      </c>
      <c r="K117" s="319"/>
    </row>
    <row r="118" ht="15.75" customHeight="1">
      <c r="A118" s="352">
        <v>46097.0</v>
      </c>
      <c r="B118" s="353" t="s">
        <v>347</v>
      </c>
      <c r="C118" s="353" t="s">
        <v>348</v>
      </c>
      <c r="D118" s="353" t="s">
        <v>349</v>
      </c>
      <c r="E118" s="355">
        <v>31.52</v>
      </c>
      <c r="F118" s="353">
        <v>12.0</v>
      </c>
      <c r="G118" s="353">
        <v>717.0</v>
      </c>
      <c r="H118" s="353">
        <v>33.0</v>
      </c>
      <c r="I118" s="353">
        <v>1.0</v>
      </c>
      <c r="J118" s="355">
        <v>107.4</v>
      </c>
      <c r="K118" s="319"/>
    </row>
    <row r="119" ht="15.75" customHeight="1">
      <c r="A119" s="352">
        <v>46097.0</v>
      </c>
      <c r="B119" s="353" t="s">
        <v>347</v>
      </c>
      <c r="C119" s="353" t="s">
        <v>348</v>
      </c>
      <c r="D119" s="353" t="s">
        <v>351</v>
      </c>
      <c r="E119" s="355">
        <v>2.5</v>
      </c>
      <c r="F119" s="353">
        <v>2.0</v>
      </c>
      <c r="G119" s="353">
        <v>55.0</v>
      </c>
      <c r="H119" s="353">
        <v>4.0</v>
      </c>
      <c r="I119" s="353"/>
      <c r="J119" s="355"/>
      <c r="K119" s="319"/>
    </row>
    <row r="120" ht="15.75" customHeight="1">
      <c r="A120" s="352">
        <v>46097.0</v>
      </c>
      <c r="B120" s="353" t="s">
        <v>347</v>
      </c>
      <c r="C120" s="353" t="s">
        <v>350</v>
      </c>
      <c r="D120" s="353" t="s">
        <v>349</v>
      </c>
      <c r="E120" s="355">
        <v>0.54</v>
      </c>
      <c r="F120" s="353"/>
      <c r="G120" s="353">
        <v>16.0</v>
      </c>
      <c r="H120" s="353">
        <v>0.0</v>
      </c>
      <c r="I120" s="353"/>
      <c r="J120" s="355"/>
      <c r="K120" s="319"/>
    </row>
    <row r="121" ht="15.75" customHeight="1">
      <c r="A121" s="352">
        <v>46097.0</v>
      </c>
      <c r="B121" s="353" t="s">
        <v>347</v>
      </c>
      <c r="C121" s="353" t="s">
        <v>350</v>
      </c>
      <c r="D121" s="353" t="s">
        <v>351</v>
      </c>
      <c r="E121" s="355">
        <v>52.38</v>
      </c>
      <c r="F121" s="353">
        <v>18.0</v>
      </c>
      <c r="G121" s="353">
        <v>1291.0</v>
      </c>
      <c r="H121" s="353">
        <v>43.0</v>
      </c>
      <c r="I121" s="353">
        <v>5.0</v>
      </c>
      <c r="J121" s="355">
        <v>1131.9</v>
      </c>
      <c r="K121" s="319"/>
    </row>
    <row r="122" ht="15.75" customHeight="1">
      <c r="A122" s="352">
        <v>46096.0</v>
      </c>
      <c r="B122" s="353" t="s">
        <v>347</v>
      </c>
      <c r="C122" s="353" t="s">
        <v>348</v>
      </c>
      <c r="D122" s="353" t="s">
        <v>349</v>
      </c>
      <c r="E122" s="355">
        <v>46.46</v>
      </c>
      <c r="F122" s="353">
        <v>12.0</v>
      </c>
      <c r="G122" s="353">
        <v>977.0</v>
      </c>
      <c r="H122" s="353">
        <v>27.0</v>
      </c>
      <c r="I122" s="353">
        <v>1.0</v>
      </c>
      <c r="J122" s="355">
        <v>107.4</v>
      </c>
      <c r="K122" s="319"/>
    </row>
    <row r="123" ht="15.75" customHeight="1">
      <c r="A123" s="352">
        <v>46096.0</v>
      </c>
      <c r="B123" s="353" t="s">
        <v>347</v>
      </c>
      <c r="C123" s="353" t="s">
        <v>348</v>
      </c>
      <c r="D123" s="353" t="s">
        <v>351</v>
      </c>
      <c r="E123" s="355">
        <v>1.02</v>
      </c>
      <c r="F123" s="353"/>
      <c r="G123" s="353">
        <v>20.0</v>
      </c>
      <c r="H123" s="353">
        <v>0.0</v>
      </c>
      <c r="I123" s="353"/>
      <c r="J123" s="355"/>
      <c r="K123" s="319"/>
    </row>
    <row r="124" ht="15.75" customHeight="1">
      <c r="A124" s="352">
        <v>46096.0</v>
      </c>
      <c r="B124" s="353" t="s">
        <v>347</v>
      </c>
      <c r="C124" s="353" t="s">
        <v>350</v>
      </c>
      <c r="D124" s="353" t="s">
        <v>349</v>
      </c>
      <c r="E124" s="355">
        <v>1.44</v>
      </c>
      <c r="F124" s="353"/>
      <c r="G124" s="353">
        <v>15.0</v>
      </c>
      <c r="H124" s="353">
        <v>0.0</v>
      </c>
      <c r="I124" s="353"/>
      <c r="J124" s="355"/>
      <c r="K124" s="319"/>
    </row>
    <row r="125" ht="15.75" customHeight="1">
      <c r="A125" s="352">
        <v>46096.0</v>
      </c>
      <c r="B125" s="353" t="s">
        <v>347</v>
      </c>
      <c r="C125" s="353" t="s">
        <v>350</v>
      </c>
      <c r="D125" s="353" t="s">
        <v>351</v>
      </c>
      <c r="E125" s="355">
        <v>59.73</v>
      </c>
      <c r="F125" s="353">
        <v>23.0</v>
      </c>
      <c r="G125" s="353">
        <v>1378.0</v>
      </c>
      <c r="H125" s="353">
        <v>46.0</v>
      </c>
      <c r="I125" s="353">
        <v>5.0</v>
      </c>
      <c r="J125" s="355">
        <v>870.6</v>
      </c>
      <c r="K125" s="319"/>
    </row>
    <row r="126" ht="15.75" customHeight="1">
      <c r="A126" s="352">
        <v>46095.0</v>
      </c>
      <c r="B126" s="353" t="s">
        <v>347</v>
      </c>
      <c r="C126" s="353" t="s">
        <v>348</v>
      </c>
      <c r="D126" s="353" t="s">
        <v>349</v>
      </c>
      <c r="E126" s="355">
        <v>57.75</v>
      </c>
      <c r="F126" s="353">
        <v>11.0</v>
      </c>
      <c r="G126" s="353">
        <v>991.0</v>
      </c>
      <c r="H126" s="353">
        <v>21.0</v>
      </c>
      <c r="I126" s="353">
        <v>1.0</v>
      </c>
      <c r="J126" s="355">
        <v>190.8</v>
      </c>
      <c r="K126" s="319"/>
    </row>
    <row r="127" ht="15.75" customHeight="1">
      <c r="A127" s="352">
        <v>46095.0</v>
      </c>
      <c r="B127" s="353" t="s">
        <v>347</v>
      </c>
      <c r="C127" s="353" t="s">
        <v>348</v>
      </c>
      <c r="D127" s="353" t="s">
        <v>351</v>
      </c>
      <c r="E127" s="355">
        <v>4.83</v>
      </c>
      <c r="F127" s="353">
        <v>3.0</v>
      </c>
      <c r="G127" s="353">
        <v>85.0</v>
      </c>
      <c r="H127" s="353">
        <v>5.0</v>
      </c>
      <c r="I127" s="353"/>
      <c r="J127" s="355"/>
      <c r="K127" s="319"/>
    </row>
    <row r="128" ht="15.75" customHeight="1">
      <c r="A128" s="352">
        <v>46095.0</v>
      </c>
      <c r="B128" s="353" t="s">
        <v>347</v>
      </c>
      <c r="C128" s="353" t="s">
        <v>350</v>
      </c>
      <c r="D128" s="353" t="s">
        <v>349</v>
      </c>
      <c r="E128" s="355">
        <v>0.24</v>
      </c>
      <c r="F128" s="353"/>
      <c r="G128" s="353">
        <v>2.0</v>
      </c>
      <c r="H128" s="353">
        <v>0.0</v>
      </c>
      <c r="I128" s="353"/>
      <c r="J128" s="355"/>
      <c r="K128" s="319"/>
    </row>
    <row r="129" ht="15.75" customHeight="1">
      <c r="A129" s="352">
        <v>46095.0</v>
      </c>
      <c r="B129" s="353" t="s">
        <v>347</v>
      </c>
      <c r="C129" s="353" t="s">
        <v>350</v>
      </c>
      <c r="D129" s="353" t="s">
        <v>351</v>
      </c>
      <c r="E129" s="355">
        <v>67.72</v>
      </c>
      <c r="F129" s="353">
        <v>29.0</v>
      </c>
      <c r="G129" s="353">
        <v>1433.0</v>
      </c>
      <c r="H129" s="353">
        <v>60.0</v>
      </c>
      <c r="I129" s="353"/>
      <c r="J129" s="355"/>
      <c r="K129" s="319"/>
    </row>
    <row r="130" ht="15.75" customHeight="1">
      <c r="A130" s="352">
        <v>46094.0</v>
      </c>
      <c r="B130" s="353" t="s">
        <v>347</v>
      </c>
      <c r="C130" s="353" t="s">
        <v>348</v>
      </c>
      <c r="D130" s="353" t="s">
        <v>349</v>
      </c>
      <c r="E130" s="355">
        <v>17.65</v>
      </c>
      <c r="F130" s="353">
        <v>3.0</v>
      </c>
      <c r="G130" s="353">
        <v>268.0</v>
      </c>
      <c r="H130" s="353">
        <v>10.0</v>
      </c>
      <c r="I130" s="353">
        <v>1.0</v>
      </c>
      <c r="J130" s="355">
        <v>107.4</v>
      </c>
      <c r="K130" s="319"/>
    </row>
    <row r="131" ht="15.75" customHeight="1">
      <c r="A131" s="352">
        <v>46094.0</v>
      </c>
      <c r="B131" s="353" t="s">
        <v>347</v>
      </c>
      <c r="C131" s="353" t="s">
        <v>348</v>
      </c>
      <c r="D131" s="353" t="s">
        <v>351</v>
      </c>
      <c r="E131" s="355">
        <v>7.8</v>
      </c>
      <c r="F131" s="353">
        <v>3.0</v>
      </c>
      <c r="G131" s="353">
        <v>212.0</v>
      </c>
      <c r="H131" s="353">
        <v>6.0</v>
      </c>
      <c r="I131" s="353"/>
      <c r="J131" s="355"/>
      <c r="K131" s="319"/>
    </row>
    <row r="132" ht="15.75" customHeight="1">
      <c r="A132" s="352">
        <v>46094.0</v>
      </c>
      <c r="B132" s="353" t="s">
        <v>347</v>
      </c>
      <c r="C132" s="353" t="s">
        <v>350</v>
      </c>
      <c r="D132" s="353" t="s">
        <v>349</v>
      </c>
      <c r="E132" s="355">
        <v>2.62</v>
      </c>
      <c r="F132" s="353"/>
      <c r="G132" s="353">
        <v>31.0</v>
      </c>
      <c r="H132" s="353">
        <v>0.0</v>
      </c>
      <c r="I132" s="353"/>
      <c r="J132" s="355"/>
      <c r="K132" s="319"/>
    </row>
    <row r="133" ht="15.75" customHeight="1">
      <c r="A133" s="352">
        <v>46094.0</v>
      </c>
      <c r="B133" s="353" t="s">
        <v>347</v>
      </c>
      <c r="C133" s="353" t="s">
        <v>350</v>
      </c>
      <c r="D133" s="353" t="s">
        <v>351</v>
      </c>
      <c r="E133" s="355">
        <v>18.23</v>
      </c>
      <c r="F133" s="353">
        <v>7.0</v>
      </c>
      <c r="G133" s="353">
        <v>454.0</v>
      </c>
      <c r="H133" s="353">
        <v>15.0</v>
      </c>
      <c r="I133" s="353">
        <v>2.0</v>
      </c>
      <c r="J133" s="355">
        <v>214.8</v>
      </c>
      <c r="K133" s="319"/>
    </row>
    <row r="134" ht="15.75" customHeight="1">
      <c r="A134" s="352">
        <v>46093.0</v>
      </c>
      <c r="B134" s="353" t="s">
        <v>347</v>
      </c>
      <c r="C134" s="353" t="s">
        <v>348</v>
      </c>
      <c r="D134" s="353" t="s">
        <v>349</v>
      </c>
      <c r="E134" s="355">
        <v>22.76</v>
      </c>
      <c r="F134" s="353">
        <v>3.0</v>
      </c>
      <c r="G134" s="353">
        <v>415.0</v>
      </c>
      <c r="H134" s="353">
        <v>17.0</v>
      </c>
      <c r="I134" s="353">
        <v>1.0</v>
      </c>
      <c r="J134" s="355">
        <v>71.6</v>
      </c>
      <c r="K134" s="319"/>
    </row>
    <row r="135" ht="15.75" customHeight="1">
      <c r="A135" s="352">
        <v>46093.0</v>
      </c>
      <c r="B135" s="353" t="s">
        <v>347</v>
      </c>
      <c r="C135" s="353" t="s">
        <v>348</v>
      </c>
      <c r="D135" s="353" t="s">
        <v>351</v>
      </c>
      <c r="E135" s="355">
        <v>14.22</v>
      </c>
      <c r="F135" s="353">
        <v>3.0</v>
      </c>
      <c r="G135" s="353">
        <v>308.0</v>
      </c>
      <c r="H135" s="353">
        <v>8.0</v>
      </c>
      <c r="I135" s="353"/>
      <c r="J135" s="355"/>
      <c r="K135" s="319"/>
    </row>
    <row r="136" ht="15.75" customHeight="1">
      <c r="A136" s="352">
        <v>46093.0</v>
      </c>
      <c r="B136" s="353" t="s">
        <v>347</v>
      </c>
      <c r="C136" s="353" t="s">
        <v>350</v>
      </c>
      <c r="D136" s="353" t="s">
        <v>349</v>
      </c>
      <c r="E136" s="355">
        <v>0.94</v>
      </c>
      <c r="F136" s="353">
        <v>1.0</v>
      </c>
      <c r="G136" s="353">
        <v>18.0</v>
      </c>
      <c r="H136" s="353">
        <v>1.0</v>
      </c>
      <c r="I136" s="353"/>
      <c r="J136" s="355"/>
      <c r="K136" s="319"/>
    </row>
    <row r="137" ht="15.75" customHeight="1">
      <c r="A137" s="352">
        <v>46093.0</v>
      </c>
      <c r="B137" s="353" t="s">
        <v>347</v>
      </c>
      <c r="C137" s="353" t="s">
        <v>350</v>
      </c>
      <c r="D137" s="353" t="s">
        <v>351</v>
      </c>
      <c r="E137" s="355">
        <v>48.5</v>
      </c>
      <c r="F137" s="353">
        <v>13.0</v>
      </c>
      <c r="G137" s="353">
        <v>965.0</v>
      </c>
      <c r="H137" s="353">
        <v>34.0</v>
      </c>
      <c r="I137" s="353">
        <v>3.0</v>
      </c>
      <c r="J137" s="355">
        <v>286.4</v>
      </c>
      <c r="K137" s="319"/>
    </row>
    <row r="138" ht="15.75" customHeight="1">
      <c r="A138" s="352">
        <v>46092.0</v>
      </c>
      <c r="B138" s="353" t="s">
        <v>347</v>
      </c>
      <c r="C138" s="353" t="s">
        <v>352</v>
      </c>
      <c r="D138" s="353" t="s">
        <v>351</v>
      </c>
      <c r="E138" s="355">
        <v>3.84</v>
      </c>
      <c r="F138" s="353">
        <v>1.0</v>
      </c>
      <c r="G138" s="353">
        <v>42.0</v>
      </c>
      <c r="H138" s="353">
        <v>2.0</v>
      </c>
      <c r="I138" s="353"/>
      <c r="J138" s="355"/>
      <c r="K138" s="319"/>
    </row>
    <row r="139" ht="15.75" customHeight="1">
      <c r="A139" s="352">
        <v>46092.0</v>
      </c>
      <c r="B139" s="353" t="s">
        <v>347</v>
      </c>
      <c r="C139" s="353" t="s">
        <v>350</v>
      </c>
      <c r="D139" s="353" t="s">
        <v>349</v>
      </c>
      <c r="E139" s="355">
        <v>3.81</v>
      </c>
      <c r="F139" s="353">
        <v>1.0</v>
      </c>
      <c r="G139" s="353">
        <v>109.0</v>
      </c>
      <c r="H139" s="353">
        <v>2.0</v>
      </c>
      <c r="I139" s="353"/>
      <c r="J139" s="355"/>
      <c r="K139" s="319"/>
    </row>
    <row r="140" ht="15.75" customHeight="1">
      <c r="A140" s="352">
        <v>46092.0</v>
      </c>
      <c r="B140" s="353" t="s">
        <v>347</v>
      </c>
      <c r="C140" s="353" t="s">
        <v>350</v>
      </c>
      <c r="D140" s="353" t="s">
        <v>351</v>
      </c>
      <c r="E140" s="355">
        <v>44.15</v>
      </c>
      <c r="F140" s="353">
        <v>8.0</v>
      </c>
      <c r="G140" s="353">
        <v>1014.0</v>
      </c>
      <c r="H140" s="353">
        <v>23.0</v>
      </c>
      <c r="I140" s="353"/>
      <c r="J140" s="355"/>
      <c r="K140" s="319"/>
    </row>
    <row r="141" ht="15.75" customHeight="1">
      <c r="A141" s="352">
        <v>46091.0</v>
      </c>
      <c r="B141" s="353" t="s">
        <v>347</v>
      </c>
      <c r="C141" s="353" t="s">
        <v>352</v>
      </c>
      <c r="D141" s="353" t="s">
        <v>351</v>
      </c>
      <c r="E141" s="355">
        <v>18.67</v>
      </c>
      <c r="F141" s="353">
        <v>2.0</v>
      </c>
      <c r="G141" s="353">
        <v>277.0</v>
      </c>
      <c r="H141" s="353">
        <v>4.0</v>
      </c>
      <c r="I141" s="353"/>
      <c r="J141" s="355"/>
      <c r="K141" s="319"/>
    </row>
    <row r="142" ht="15.75" customHeight="1">
      <c r="A142" s="352">
        <v>46091.0</v>
      </c>
      <c r="B142" s="353" t="s">
        <v>347</v>
      </c>
      <c r="C142" s="353" t="s">
        <v>352</v>
      </c>
      <c r="D142" s="353" t="s">
        <v>349</v>
      </c>
      <c r="E142" s="355">
        <v>0.01</v>
      </c>
      <c r="F142" s="353"/>
      <c r="G142" s="353">
        <v>1.0</v>
      </c>
      <c r="H142" s="353">
        <v>0.0</v>
      </c>
      <c r="I142" s="353"/>
      <c r="J142" s="355"/>
      <c r="K142" s="319"/>
    </row>
    <row r="143" ht="15.75" customHeight="1">
      <c r="A143" s="352">
        <v>46091.0</v>
      </c>
      <c r="B143" s="353" t="s">
        <v>347</v>
      </c>
      <c r="C143" s="353" t="s">
        <v>350</v>
      </c>
      <c r="D143" s="353" t="s">
        <v>349</v>
      </c>
      <c r="E143" s="355">
        <v>1.92</v>
      </c>
      <c r="F143" s="353">
        <v>6.0</v>
      </c>
      <c r="G143" s="353">
        <v>30.0</v>
      </c>
      <c r="H143" s="353">
        <v>3.0</v>
      </c>
      <c r="I143" s="353">
        <v>1.0</v>
      </c>
      <c r="J143" s="355">
        <v>107.4</v>
      </c>
      <c r="K143" s="319"/>
    </row>
    <row r="144" ht="15.75" customHeight="1">
      <c r="A144" s="352">
        <v>46091.0</v>
      </c>
      <c r="B144" s="353" t="s">
        <v>347</v>
      </c>
      <c r="C144" s="353" t="s">
        <v>350</v>
      </c>
      <c r="D144" s="353" t="s">
        <v>351</v>
      </c>
      <c r="E144" s="355">
        <v>50.65</v>
      </c>
      <c r="F144" s="353">
        <v>22.0</v>
      </c>
      <c r="G144" s="353">
        <v>1172.0</v>
      </c>
      <c r="H144" s="353">
        <v>36.0</v>
      </c>
      <c r="I144" s="353">
        <v>2.0</v>
      </c>
      <c r="J144" s="355">
        <v>179.0</v>
      </c>
      <c r="K144" s="319"/>
    </row>
    <row r="145" ht="15.75" customHeight="1">
      <c r="A145" s="352">
        <v>46090.0</v>
      </c>
      <c r="B145" s="353" t="s">
        <v>347</v>
      </c>
      <c r="C145" s="353" t="s">
        <v>352</v>
      </c>
      <c r="D145" s="353" t="s">
        <v>351</v>
      </c>
      <c r="E145" s="355">
        <v>25.32</v>
      </c>
      <c r="F145" s="353">
        <v>6.0</v>
      </c>
      <c r="G145" s="353">
        <v>370.0</v>
      </c>
      <c r="H145" s="353">
        <v>13.0</v>
      </c>
      <c r="I145" s="353"/>
      <c r="J145" s="355"/>
      <c r="K145" s="319"/>
    </row>
    <row r="146" ht="15.75" customHeight="1">
      <c r="A146" s="352">
        <v>46090.0</v>
      </c>
      <c r="B146" s="353" t="s">
        <v>347</v>
      </c>
      <c r="C146" s="353" t="s">
        <v>350</v>
      </c>
      <c r="D146" s="353" t="s">
        <v>349</v>
      </c>
      <c r="E146" s="355">
        <v>1.6</v>
      </c>
      <c r="F146" s="353"/>
      <c r="G146" s="353">
        <v>35.0</v>
      </c>
      <c r="H146" s="353">
        <v>0.0</v>
      </c>
      <c r="I146" s="353"/>
      <c r="J146" s="355"/>
      <c r="K146" s="319"/>
    </row>
    <row r="147" ht="15.75" customHeight="1">
      <c r="A147" s="352">
        <v>46090.0</v>
      </c>
      <c r="B147" s="353" t="s">
        <v>347</v>
      </c>
      <c r="C147" s="353" t="s">
        <v>350</v>
      </c>
      <c r="D147" s="353" t="s">
        <v>351</v>
      </c>
      <c r="E147" s="355">
        <v>54.09</v>
      </c>
      <c r="F147" s="353">
        <v>20.0</v>
      </c>
      <c r="G147" s="353">
        <v>1392.0</v>
      </c>
      <c r="H147" s="353">
        <v>37.0</v>
      </c>
      <c r="I147" s="353"/>
      <c r="J147" s="355"/>
      <c r="K147" s="319"/>
    </row>
    <row r="148" ht="15.75" customHeight="1">
      <c r="A148" s="352">
        <v>46089.0</v>
      </c>
      <c r="B148" s="353" t="s">
        <v>347</v>
      </c>
      <c r="C148" s="353" t="s">
        <v>352</v>
      </c>
      <c r="D148" s="353" t="s">
        <v>351</v>
      </c>
      <c r="E148" s="355">
        <v>25.98</v>
      </c>
      <c r="F148" s="353">
        <v>8.0</v>
      </c>
      <c r="G148" s="353">
        <v>362.0</v>
      </c>
      <c r="H148" s="353">
        <v>15.0</v>
      </c>
      <c r="K148" s="319"/>
    </row>
    <row r="149" ht="15.75" customHeight="1">
      <c r="A149" s="352">
        <v>46089.0</v>
      </c>
      <c r="B149" s="353" t="s">
        <v>347</v>
      </c>
      <c r="C149" s="353" t="s">
        <v>352</v>
      </c>
      <c r="D149" s="353" t="s">
        <v>349</v>
      </c>
      <c r="E149" s="355">
        <v>0.05</v>
      </c>
      <c r="F149" s="353"/>
      <c r="G149" s="353">
        <v>2.0</v>
      </c>
      <c r="H149" s="353">
        <v>0.0</v>
      </c>
      <c r="I149" s="353"/>
      <c r="J149" s="355"/>
      <c r="K149" s="319"/>
    </row>
    <row r="150" ht="15.75" customHeight="1">
      <c r="A150" s="352">
        <v>46089.0</v>
      </c>
      <c r="B150" s="353" t="s">
        <v>347</v>
      </c>
      <c r="C150" s="353" t="s">
        <v>350</v>
      </c>
      <c r="D150" s="353" t="s">
        <v>349</v>
      </c>
      <c r="E150" s="355">
        <v>2.44</v>
      </c>
      <c r="F150" s="353"/>
      <c r="G150" s="353">
        <v>34.0</v>
      </c>
      <c r="H150" s="353">
        <v>1.0</v>
      </c>
      <c r="I150" s="353"/>
      <c r="J150" s="355"/>
      <c r="K150" s="319"/>
    </row>
    <row r="151" ht="15.75" customHeight="1">
      <c r="A151" s="352">
        <v>46089.0</v>
      </c>
      <c r="B151" s="353" t="s">
        <v>347</v>
      </c>
      <c r="C151" s="353" t="s">
        <v>350</v>
      </c>
      <c r="D151" s="353" t="s">
        <v>351</v>
      </c>
      <c r="E151" s="355">
        <v>52.72</v>
      </c>
      <c r="F151" s="353">
        <v>24.0</v>
      </c>
      <c r="G151" s="353">
        <v>1365.0</v>
      </c>
      <c r="H151" s="353">
        <v>51.0</v>
      </c>
      <c r="I151" s="353">
        <v>1.0</v>
      </c>
      <c r="J151" s="355">
        <v>107.4</v>
      </c>
      <c r="K151" s="319"/>
    </row>
    <row r="152" ht="15.75" customHeight="1">
      <c r="A152" s="352">
        <v>46088.0</v>
      </c>
      <c r="B152" s="353" t="s">
        <v>347</v>
      </c>
      <c r="C152" s="353" t="s">
        <v>352</v>
      </c>
      <c r="D152" s="353" t="s">
        <v>351</v>
      </c>
      <c r="E152" s="355">
        <v>22.05</v>
      </c>
      <c r="F152" s="353">
        <v>9.0</v>
      </c>
      <c r="G152" s="353">
        <v>327.0</v>
      </c>
      <c r="H152" s="353">
        <v>10.0</v>
      </c>
      <c r="K152" s="319"/>
    </row>
    <row r="153" ht="15.75" customHeight="1">
      <c r="A153" s="352">
        <v>46088.0</v>
      </c>
      <c r="B153" s="353" t="s">
        <v>347</v>
      </c>
      <c r="C153" s="353" t="s">
        <v>352</v>
      </c>
      <c r="D153" s="353" t="s">
        <v>349</v>
      </c>
      <c r="E153" s="355">
        <v>1.25</v>
      </c>
      <c r="F153" s="353"/>
      <c r="G153" s="353">
        <v>15.0</v>
      </c>
      <c r="H153" s="353">
        <v>0.0</v>
      </c>
      <c r="I153" s="353"/>
      <c r="J153" s="355"/>
      <c r="K153" s="319"/>
    </row>
    <row r="154" ht="15.75" customHeight="1">
      <c r="A154" s="352">
        <v>46088.0</v>
      </c>
      <c r="B154" s="353" t="s">
        <v>347</v>
      </c>
      <c r="C154" s="353" t="s">
        <v>350</v>
      </c>
      <c r="D154" s="353" t="s">
        <v>351</v>
      </c>
      <c r="E154" s="355">
        <v>43.64</v>
      </c>
      <c r="F154" s="353">
        <v>11.0</v>
      </c>
      <c r="G154" s="353">
        <v>1230.0</v>
      </c>
      <c r="H154" s="353">
        <v>27.0</v>
      </c>
      <c r="I154" s="353">
        <v>1.0</v>
      </c>
      <c r="J154" s="355">
        <v>107.4</v>
      </c>
      <c r="K154" s="319"/>
    </row>
    <row r="155" ht="15.75" customHeight="1">
      <c r="A155" s="352">
        <v>46087.0</v>
      </c>
      <c r="B155" s="353" t="s">
        <v>347</v>
      </c>
      <c r="C155" s="353" t="s">
        <v>352</v>
      </c>
      <c r="D155" s="353" t="s">
        <v>351</v>
      </c>
      <c r="E155" s="355">
        <v>25.85</v>
      </c>
      <c r="F155" s="353">
        <v>11.0</v>
      </c>
      <c r="G155" s="353">
        <v>440.0</v>
      </c>
      <c r="H155" s="353">
        <v>19.0</v>
      </c>
      <c r="I155" s="353">
        <v>1.0</v>
      </c>
      <c r="J155" s="355">
        <v>190.8</v>
      </c>
      <c r="K155" s="319"/>
    </row>
    <row r="156" ht="15.75" customHeight="1">
      <c r="A156" s="352">
        <v>46087.0</v>
      </c>
      <c r="B156" s="353" t="s">
        <v>347</v>
      </c>
      <c r="C156" s="353" t="s">
        <v>352</v>
      </c>
      <c r="D156" s="353" t="s">
        <v>349</v>
      </c>
      <c r="E156" s="355">
        <v>3.0</v>
      </c>
      <c r="F156" s="353"/>
      <c r="G156" s="353">
        <v>75.0</v>
      </c>
      <c r="H156" s="353">
        <v>1.0</v>
      </c>
      <c r="I156" s="353"/>
      <c r="J156" s="355"/>
      <c r="K156" s="319"/>
    </row>
    <row r="157" ht="15.75" customHeight="1">
      <c r="A157" s="352">
        <v>46087.0</v>
      </c>
      <c r="B157" s="353" t="s">
        <v>347</v>
      </c>
      <c r="C157" s="353" t="s">
        <v>350</v>
      </c>
      <c r="D157" s="353" t="s">
        <v>349</v>
      </c>
      <c r="E157" s="355">
        <v>2.98</v>
      </c>
      <c r="F157" s="353"/>
      <c r="G157" s="353">
        <v>39.0</v>
      </c>
      <c r="H157" s="353">
        <v>1.0</v>
      </c>
      <c r="I157" s="353"/>
      <c r="J157" s="355"/>
      <c r="K157" s="319"/>
    </row>
    <row r="158" ht="15.75" customHeight="1">
      <c r="A158" s="352">
        <v>46087.0</v>
      </c>
      <c r="B158" s="353" t="s">
        <v>347</v>
      </c>
      <c r="C158" s="353" t="s">
        <v>350</v>
      </c>
      <c r="D158" s="353" t="s">
        <v>351</v>
      </c>
      <c r="E158" s="355">
        <v>38.91</v>
      </c>
      <c r="F158" s="353">
        <v>14.0</v>
      </c>
      <c r="G158" s="353">
        <v>952.0</v>
      </c>
      <c r="H158" s="353">
        <v>33.0</v>
      </c>
      <c r="I158" s="353">
        <v>4.0</v>
      </c>
      <c r="J158" s="355">
        <v>358.0</v>
      </c>
      <c r="K158" s="319"/>
    </row>
    <row r="159" ht="15.75" customHeight="1">
      <c r="A159" s="352">
        <v>46086.0</v>
      </c>
      <c r="B159" s="353" t="s">
        <v>347</v>
      </c>
      <c r="C159" s="353" t="s">
        <v>352</v>
      </c>
      <c r="D159" s="353" t="s">
        <v>351</v>
      </c>
      <c r="E159" s="355">
        <v>18.29</v>
      </c>
      <c r="F159" s="353">
        <v>3.0</v>
      </c>
      <c r="G159" s="353">
        <v>415.0</v>
      </c>
      <c r="H159" s="353">
        <v>9.0</v>
      </c>
      <c r="I159" s="353"/>
      <c r="J159" s="355"/>
      <c r="K159" s="319"/>
    </row>
    <row r="160" ht="15.75" customHeight="1">
      <c r="A160" s="352">
        <v>46086.0</v>
      </c>
      <c r="B160" s="353" t="s">
        <v>347</v>
      </c>
      <c r="C160" s="353" t="s">
        <v>352</v>
      </c>
      <c r="D160" s="353" t="s">
        <v>349</v>
      </c>
      <c r="E160" s="355">
        <v>7.11</v>
      </c>
      <c r="F160" s="353"/>
      <c r="G160" s="353">
        <v>185.0</v>
      </c>
      <c r="H160" s="353">
        <v>3.0</v>
      </c>
      <c r="I160" s="353"/>
      <c r="J160" s="355"/>
      <c r="K160" s="319"/>
    </row>
    <row r="161" ht="15.75" customHeight="1">
      <c r="A161" s="352">
        <v>46086.0</v>
      </c>
      <c r="B161" s="353" t="s">
        <v>347</v>
      </c>
      <c r="C161" s="353" t="s">
        <v>350</v>
      </c>
      <c r="D161" s="353" t="s">
        <v>349</v>
      </c>
      <c r="E161" s="355">
        <v>0.47</v>
      </c>
      <c r="F161" s="353">
        <v>1.0</v>
      </c>
      <c r="G161" s="353">
        <v>13.0</v>
      </c>
      <c r="H161" s="353">
        <v>2.0</v>
      </c>
      <c r="I161" s="353"/>
      <c r="J161" s="355"/>
      <c r="K161" s="319"/>
    </row>
    <row r="162" ht="15.75" customHeight="1">
      <c r="A162" s="352">
        <v>46086.0</v>
      </c>
      <c r="B162" s="353" t="s">
        <v>347</v>
      </c>
      <c r="C162" s="353" t="s">
        <v>350</v>
      </c>
      <c r="D162" s="353" t="s">
        <v>351</v>
      </c>
      <c r="E162" s="355">
        <v>39.44</v>
      </c>
      <c r="F162" s="353">
        <v>9.0</v>
      </c>
      <c r="G162" s="353">
        <v>1193.0</v>
      </c>
      <c r="H162" s="353">
        <v>27.0</v>
      </c>
      <c r="I162" s="353">
        <v>3.0</v>
      </c>
      <c r="J162" s="355">
        <v>322.2</v>
      </c>
      <c r="K162" s="319"/>
    </row>
    <row r="163" ht="15.75" customHeight="1">
      <c r="A163" s="352">
        <v>46086.0</v>
      </c>
      <c r="B163" s="353" t="s">
        <v>347</v>
      </c>
      <c r="C163" s="353" t="s">
        <v>353</v>
      </c>
      <c r="D163" s="353" t="s">
        <v>354</v>
      </c>
      <c r="E163" s="355">
        <v>4.15</v>
      </c>
      <c r="F163" s="353">
        <v>2.0</v>
      </c>
      <c r="G163" s="353">
        <v>76.0</v>
      </c>
      <c r="H163" s="353">
        <v>6.0</v>
      </c>
      <c r="I163" s="353"/>
      <c r="J163" s="355"/>
      <c r="K163" s="319"/>
    </row>
    <row r="164" ht="15.75" customHeight="1">
      <c r="A164" s="352">
        <v>46085.0</v>
      </c>
      <c r="B164" s="353" t="s">
        <v>347</v>
      </c>
      <c r="C164" s="353" t="s">
        <v>350</v>
      </c>
      <c r="D164" s="353" t="s">
        <v>349</v>
      </c>
      <c r="E164" s="355">
        <v>4.64</v>
      </c>
      <c r="F164" s="353"/>
      <c r="G164" s="353">
        <v>53.0</v>
      </c>
      <c r="H164" s="353">
        <v>3.0</v>
      </c>
      <c r="I164" s="353"/>
      <c r="J164" s="355"/>
      <c r="K164" s="319"/>
    </row>
    <row r="165" ht="15.75" customHeight="1">
      <c r="A165" s="352">
        <v>46085.0</v>
      </c>
      <c r="B165" s="353" t="s">
        <v>347</v>
      </c>
      <c r="C165" s="353" t="s">
        <v>350</v>
      </c>
      <c r="D165" s="353" t="s">
        <v>351</v>
      </c>
      <c r="E165" s="355">
        <v>31.34</v>
      </c>
      <c r="F165" s="353">
        <v>6.0</v>
      </c>
      <c r="G165" s="353">
        <v>818.0</v>
      </c>
      <c r="H165" s="353">
        <v>19.0</v>
      </c>
      <c r="I165" s="353"/>
      <c r="J165" s="355"/>
      <c r="K165" s="319"/>
    </row>
    <row r="166" ht="15.75" customHeight="1">
      <c r="A166" s="352">
        <v>46085.0</v>
      </c>
      <c r="B166" s="353" t="s">
        <v>347</v>
      </c>
      <c r="C166" s="353" t="s">
        <v>353</v>
      </c>
      <c r="D166" s="353" t="s">
        <v>355</v>
      </c>
      <c r="E166" s="355">
        <v>0.57</v>
      </c>
      <c r="F166" s="353"/>
      <c r="G166" s="353">
        <v>8.0</v>
      </c>
      <c r="H166" s="353">
        <v>0.0</v>
      </c>
      <c r="K166" s="319"/>
    </row>
    <row r="167" ht="15.75" customHeight="1">
      <c r="A167" s="352">
        <v>46085.0</v>
      </c>
      <c r="B167" s="353" t="s">
        <v>347</v>
      </c>
      <c r="C167" s="353" t="s">
        <v>353</v>
      </c>
      <c r="D167" s="353" t="s">
        <v>354</v>
      </c>
      <c r="E167" s="355">
        <v>18.9</v>
      </c>
      <c r="F167" s="353">
        <v>12.0</v>
      </c>
      <c r="G167" s="353">
        <v>506.0</v>
      </c>
      <c r="H167" s="353">
        <v>22.0</v>
      </c>
      <c r="I167" s="353">
        <v>1.0</v>
      </c>
      <c r="J167" s="355">
        <v>71.6</v>
      </c>
      <c r="K167" s="319"/>
    </row>
    <row r="168" ht="15.75" customHeight="1">
      <c r="A168" s="352">
        <v>46084.0</v>
      </c>
      <c r="B168" s="353" t="s">
        <v>347</v>
      </c>
      <c r="C168" s="353" t="s">
        <v>350</v>
      </c>
      <c r="D168" s="353" t="s">
        <v>349</v>
      </c>
      <c r="E168" s="355">
        <v>5.48</v>
      </c>
      <c r="F168" s="353">
        <v>1.0</v>
      </c>
      <c r="G168" s="353">
        <v>106.0</v>
      </c>
      <c r="H168" s="353">
        <v>3.0</v>
      </c>
      <c r="I168" s="353"/>
      <c r="J168" s="355"/>
      <c r="K168" s="319"/>
    </row>
    <row r="169" ht="15.75" customHeight="1">
      <c r="A169" s="352">
        <v>46084.0</v>
      </c>
      <c r="B169" s="353" t="s">
        <v>347</v>
      </c>
      <c r="C169" s="353" t="s">
        <v>350</v>
      </c>
      <c r="D169" s="353" t="s">
        <v>351</v>
      </c>
      <c r="E169" s="355">
        <v>33.87</v>
      </c>
      <c r="F169" s="353">
        <v>10.0</v>
      </c>
      <c r="G169" s="353">
        <v>1062.0</v>
      </c>
      <c r="H169" s="353">
        <v>28.0</v>
      </c>
      <c r="I169" s="353">
        <v>2.0</v>
      </c>
      <c r="J169" s="355">
        <v>298.2</v>
      </c>
      <c r="K169" s="319"/>
    </row>
    <row r="170" ht="15.75" customHeight="1">
      <c r="A170" s="352">
        <v>46084.0</v>
      </c>
      <c r="B170" s="353" t="s">
        <v>347</v>
      </c>
      <c r="C170" s="353" t="s">
        <v>353</v>
      </c>
      <c r="D170" s="353" t="s">
        <v>354</v>
      </c>
      <c r="E170" s="355">
        <v>22.63</v>
      </c>
      <c r="F170" s="353">
        <v>7.0</v>
      </c>
      <c r="G170" s="353">
        <v>730.0</v>
      </c>
      <c r="H170" s="353">
        <v>19.0</v>
      </c>
      <c r="I170" s="353"/>
      <c r="J170" s="355"/>
      <c r="K170" s="319"/>
    </row>
    <row r="171" ht="15.75" customHeight="1">
      <c r="A171" s="352">
        <v>46083.0</v>
      </c>
      <c r="B171" s="353" t="s">
        <v>347</v>
      </c>
      <c r="C171" s="353" t="s">
        <v>350</v>
      </c>
      <c r="D171" s="353" t="s">
        <v>349</v>
      </c>
      <c r="E171" s="355">
        <v>4.74</v>
      </c>
      <c r="F171" s="353">
        <v>1.0</v>
      </c>
      <c r="G171" s="353">
        <v>87.0</v>
      </c>
      <c r="H171" s="353">
        <v>4.0</v>
      </c>
      <c r="I171" s="353"/>
      <c r="J171" s="355"/>
      <c r="K171" s="319"/>
    </row>
    <row r="172" ht="15.75" customHeight="1">
      <c r="A172" s="352">
        <v>46083.0</v>
      </c>
      <c r="B172" s="353" t="s">
        <v>347</v>
      </c>
      <c r="C172" s="353" t="s">
        <v>350</v>
      </c>
      <c r="D172" s="353" t="s">
        <v>351</v>
      </c>
      <c r="E172" s="355">
        <v>39.73</v>
      </c>
      <c r="F172" s="353">
        <v>16.0</v>
      </c>
      <c r="G172" s="353">
        <v>1311.0</v>
      </c>
      <c r="H172" s="353">
        <v>35.0</v>
      </c>
      <c r="I172" s="353">
        <v>2.0</v>
      </c>
      <c r="J172" s="355">
        <v>298.2</v>
      </c>
      <c r="K172" s="319"/>
    </row>
    <row r="173" ht="15.75" customHeight="1">
      <c r="A173" s="352">
        <v>46083.0</v>
      </c>
      <c r="B173" s="353" t="s">
        <v>347</v>
      </c>
      <c r="C173" s="353" t="s">
        <v>353</v>
      </c>
      <c r="D173" s="353" t="s">
        <v>355</v>
      </c>
      <c r="E173" s="355">
        <v>0.11</v>
      </c>
      <c r="F173" s="353"/>
      <c r="G173" s="353">
        <v>6.0</v>
      </c>
      <c r="H173" s="353">
        <v>0.0</v>
      </c>
      <c r="I173" s="353"/>
      <c r="J173" s="355"/>
      <c r="K173" s="319"/>
    </row>
    <row r="174" ht="15.75" customHeight="1">
      <c r="A174" s="352">
        <v>46083.0</v>
      </c>
      <c r="B174" s="353" t="s">
        <v>347</v>
      </c>
      <c r="C174" s="353" t="s">
        <v>353</v>
      </c>
      <c r="D174" s="353" t="s">
        <v>354</v>
      </c>
      <c r="E174" s="355">
        <v>22.01</v>
      </c>
      <c r="F174" s="353">
        <v>14.0</v>
      </c>
      <c r="G174" s="353">
        <v>786.0</v>
      </c>
      <c r="H174" s="353">
        <v>42.0</v>
      </c>
      <c r="I174" s="353"/>
      <c r="J174" s="355"/>
      <c r="K174" s="319"/>
    </row>
    <row r="175" ht="15.75" customHeight="1">
      <c r="A175" s="352">
        <v>46082.0</v>
      </c>
      <c r="B175" s="353" t="s">
        <v>347</v>
      </c>
      <c r="C175" s="353" t="s">
        <v>350</v>
      </c>
      <c r="D175" s="353" t="s">
        <v>349</v>
      </c>
      <c r="E175" s="355">
        <v>7.29</v>
      </c>
      <c r="F175" s="353">
        <v>1.0</v>
      </c>
      <c r="G175" s="353">
        <v>154.0</v>
      </c>
      <c r="H175" s="353">
        <v>5.0</v>
      </c>
      <c r="I175" s="353">
        <v>1.0</v>
      </c>
      <c r="J175" s="355">
        <v>71.6</v>
      </c>
      <c r="K175" s="319"/>
    </row>
    <row r="176" ht="15.75" customHeight="1">
      <c r="A176" s="352">
        <v>46082.0</v>
      </c>
      <c r="B176" s="353" t="s">
        <v>347</v>
      </c>
      <c r="C176" s="353" t="s">
        <v>350</v>
      </c>
      <c r="D176" s="353" t="s">
        <v>351</v>
      </c>
      <c r="E176" s="355">
        <v>19.74</v>
      </c>
      <c r="F176" s="353">
        <v>12.0</v>
      </c>
      <c r="G176" s="353">
        <v>678.0</v>
      </c>
      <c r="H176" s="353">
        <v>19.0</v>
      </c>
      <c r="I176" s="353">
        <v>2.0</v>
      </c>
      <c r="J176" s="355">
        <v>214.8</v>
      </c>
      <c r="K176" s="319"/>
    </row>
    <row r="177" ht="15.75" customHeight="1">
      <c r="A177" s="352">
        <v>46082.0</v>
      </c>
      <c r="B177" s="353" t="s">
        <v>347</v>
      </c>
      <c r="C177" s="353" t="s">
        <v>353</v>
      </c>
      <c r="D177" s="353" t="s">
        <v>354</v>
      </c>
      <c r="E177" s="355">
        <v>24.12</v>
      </c>
      <c r="F177" s="353">
        <v>20.0</v>
      </c>
      <c r="G177" s="353">
        <v>820.0</v>
      </c>
      <c r="H177" s="353">
        <v>41.0</v>
      </c>
      <c r="I177" s="353"/>
      <c r="J177" s="355"/>
      <c r="K177" s="319"/>
    </row>
    <row r="178" ht="15.75" customHeight="1">
      <c r="A178" s="352">
        <v>46081.0</v>
      </c>
      <c r="B178" s="353" t="s">
        <v>347</v>
      </c>
      <c r="C178" s="353" t="s">
        <v>350</v>
      </c>
      <c r="D178" s="353" t="s">
        <v>349</v>
      </c>
      <c r="E178" s="355">
        <v>0.12</v>
      </c>
      <c r="F178" s="353"/>
      <c r="G178" s="353">
        <v>4.0</v>
      </c>
      <c r="H178" s="353">
        <v>0.0</v>
      </c>
      <c r="I178" s="353"/>
      <c r="J178" s="355"/>
      <c r="K178" s="319"/>
    </row>
    <row r="179" ht="15.75" customHeight="1">
      <c r="A179" s="352">
        <v>46081.0</v>
      </c>
      <c r="B179" s="353" t="s">
        <v>347</v>
      </c>
      <c r="C179" s="353" t="s">
        <v>350</v>
      </c>
      <c r="D179" s="353" t="s">
        <v>351</v>
      </c>
      <c r="E179" s="355">
        <v>16.76</v>
      </c>
      <c r="F179" s="353">
        <v>4.0</v>
      </c>
      <c r="G179" s="353">
        <v>449.0</v>
      </c>
      <c r="H179" s="353">
        <v>15.0</v>
      </c>
      <c r="I179" s="353"/>
      <c r="J179" s="355"/>
      <c r="K179" s="319"/>
    </row>
    <row r="180" ht="15.75" customHeight="1">
      <c r="A180" s="352">
        <v>46081.0</v>
      </c>
      <c r="B180" s="353" t="s">
        <v>347</v>
      </c>
      <c r="C180" s="353" t="s">
        <v>353</v>
      </c>
      <c r="D180" s="353" t="s">
        <v>356</v>
      </c>
      <c r="E180" s="355">
        <v>0.52</v>
      </c>
      <c r="F180" s="353"/>
      <c r="G180" s="353">
        <v>10.0</v>
      </c>
      <c r="H180" s="353">
        <v>0.0</v>
      </c>
      <c r="I180" s="353"/>
      <c r="J180" s="355"/>
      <c r="K180" s="319"/>
    </row>
    <row r="181" ht="15.75" customHeight="1">
      <c r="A181" s="352">
        <v>46081.0</v>
      </c>
      <c r="B181" s="353" t="s">
        <v>347</v>
      </c>
      <c r="C181" s="353" t="s">
        <v>353</v>
      </c>
      <c r="D181" s="353" t="s">
        <v>354</v>
      </c>
      <c r="E181" s="355">
        <v>17.77</v>
      </c>
      <c r="F181" s="353">
        <v>15.0</v>
      </c>
      <c r="G181" s="353">
        <v>555.0</v>
      </c>
      <c r="H181" s="353">
        <v>29.0</v>
      </c>
      <c r="I181" s="353">
        <v>2.0</v>
      </c>
      <c r="J181" s="355">
        <v>298.2</v>
      </c>
      <c r="K181" s="319"/>
    </row>
    <row r="182" ht="15.75" customHeight="1">
      <c r="A182" s="352">
        <v>46080.0</v>
      </c>
      <c r="B182" s="353" t="s">
        <v>347</v>
      </c>
      <c r="C182" s="353" t="s">
        <v>350</v>
      </c>
      <c r="D182" s="353" t="s">
        <v>349</v>
      </c>
      <c r="E182" s="355">
        <v>0.42</v>
      </c>
      <c r="F182" s="353"/>
      <c r="G182" s="353">
        <v>5.0</v>
      </c>
      <c r="H182" s="353">
        <v>0.0</v>
      </c>
      <c r="I182" s="353"/>
      <c r="J182" s="355"/>
      <c r="K182" s="319"/>
    </row>
    <row r="183" ht="15.75" customHeight="1">
      <c r="A183" s="352">
        <v>46080.0</v>
      </c>
      <c r="B183" s="353" t="s">
        <v>347</v>
      </c>
      <c r="C183" s="353" t="s">
        <v>350</v>
      </c>
      <c r="D183" s="353" t="s">
        <v>351</v>
      </c>
      <c r="E183" s="355">
        <v>18.41</v>
      </c>
      <c r="F183" s="353">
        <v>9.0</v>
      </c>
      <c r="G183" s="353">
        <v>521.0</v>
      </c>
      <c r="H183" s="353">
        <v>16.0</v>
      </c>
      <c r="I183" s="353">
        <v>1.0</v>
      </c>
      <c r="J183" s="355">
        <v>107.4</v>
      </c>
      <c r="K183" s="319"/>
    </row>
    <row r="184" ht="15.75" customHeight="1">
      <c r="A184" s="352">
        <v>46080.0</v>
      </c>
      <c r="B184" s="353" t="s">
        <v>347</v>
      </c>
      <c r="C184" s="353" t="s">
        <v>353</v>
      </c>
      <c r="D184" s="353" t="s">
        <v>355</v>
      </c>
      <c r="E184" s="355">
        <v>0.05</v>
      </c>
      <c r="F184" s="353"/>
      <c r="G184" s="353">
        <v>6.0</v>
      </c>
      <c r="H184" s="353">
        <v>0.0</v>
      </c>
      <c r="I184" s="353"/>
      <c r="J184" s="355"/>
      <c r="K184" s="319"/>
    </row>
    <row r="185" ht="15.75" customHeight="1">
      <c r="A185" s="352">
        <v>46080.0</v>
      </c>
      <c r="B185" s="353" t="s">
        <v>347</v>
      </c>
      <c r="C185" s="353" t="s">
        <v>353</v>
      </c>
      <c r="D185" s="353" t="s">
        <v>354</v>
      </c>
      <c r="E185" s="355">
        <v>15.88</v>
      </c>
      <c r="F185" s="353">
        <v>7.0</v>
      </c>
      <c r="G185" s="353">
        <v>494.0</v>
      </c>
      <c r="H185" s="353">
        <v>16.0</v>
      </c>
      <c r="I185" s="353">
        <v>2.0</v>
      </c>
      <c r="J185" s="355">
        <v>179.0</v>
      </c>
      <c r="K185" s="319"/>
    </row>
    <row r="186" ht="15.75" customHeight="1">
      <c r="A186" s="352">
        <v>46079.0</v>
      </c>
      <c r="B186" s="353" t="s">
        <v>347</v>
      </c>
      <c r="C186" s="353" t="s">
        <v>350</v>
      </c>
      <c r="D186" s="353" t="s">
        <v>349</v>
      </c>
      <c r="E186" s="355">
        <v>0.44</v>
      </c>
      <c r="F186" s="353"/>
      <c r="G186" s="353">
        <v>17.0</v>
      </c>
      <c r="H186" s="353">
        <v>0.0</v>
      </c>
      <c r="I186" s="353"/>
      <c r="J186" s="355"/>
      <c r="K186" s="319"/>
    </row>
    <row r="187" ht="15.75" customHeight="1">
      <c r="A187" s="352">
        <v>46079.0</v>
      </c>
      <c r="B187" s="353" t="s">
        <v>347</v>
      </c>
      <c r="C187" s="353" t="s">
        <v>350</v>
      </c>
      <c r="D187" s="353" t="s">
        <v>351</v>
      </c>
      <c r="E187" s="355">
        <v>16.91</v>
      </c>
      <c r="F187" s="353">
        <v>4.0</v>
      </c>
      <c r="G187" s="353">
        <v>653.0</v>
      </c>
      <c r="H187" s="353">
        <v>9.0</v>
      </c>
      <c r="I187" s="353">
        <v>1.0</v>
      </c>
      <c r="J187" s="355">
        <v>190.8</v>
      </c>
      <c r="K187" s="319"/>
    </row>
    <row r="188" ht="15.75" customHeight="1">
      <c r="A188" s="352">
        <v>46079.0</v>
      </c>
      <c r="B188" s="353" t="s">
        <v>347</v>
      </c>
      <c r="C188" s="353" t="s">
        <v>353</v>
      </c>
      <c r="D188" s="353" t="s">
        <v>356</v>
      </c>
      <c r="E188" s="355">
        <v>0.01</v>
      </c>
      <c r="F188" s="353"/>
      <c r="G188" s="353">
        <v>1.0</v>
      </c>
      <c r="H188" s="353">
        <v>0.0</v>
      </c>
      <c r="I188" s="353"/>
      <c r="J188" s="355"/>
      <c r="K188" s="319"/>
    </row>
    <row r="189" ht="15.75" customHeight="1">
      <c r="A189" s="352">
        <v>46079.0</v>
      </c>
      <c r="B189" s="353" t="s">
        <v>347</v>
      </c>
      <c r="C189" s="353" t="s">
        <v>353</v>
      </c>
      <c r="D189" s="353" t="s">
        <v>354</v>
      </c>
      <c r="E189" s="355">
        <v>17.74</v>
      </c>
      <c r="F189" s="353">
        <v>4.0</v>
      </c>
      <c r="G189" s="353">
        <v>681.0</v>
      </c>
      <c r="H189" s="353">
        <v>28.0</v>
      </c>
      <c r="I189" s="353"/>
      <c r="J189" s="355"/>
      <c r="K189" s="319"/>
    </row>
    <row r="190" ht="15.75" customHeight="1">
      <c r="A190" s="352">
        <v>46078.0</v>
      </c>
      <c r="B190" s="353" t="s">
        <v>347</v>
      </c>
      <c r="C190" s="353" t="s">
        <v>350</v>
      </c>
      <c r="D190" s="353" t="s">
        <v>351</v>
      </c>
      <c r="E190" s="355">
        <v>18.12</v>
      </c>
      <c r="F190" s="353">
        <v>6.0</v>
      </c>
      <c r="G190" s="353">
        <v>709.0</v>
      </c>
      <c r="H190" s="353">
        <v>18.0</v>
      </c>
      <c r="I190" s="353">
        <v>3.0</v>
      </c>
      <c r="J190" s="355">
        <v>405.6</v>
      </c>
      <c r="K190" s="319"/>
    </row>
    <row r="191" ht="15.75" customHeight="1">
      <c r="A191" s="352">
        <v>46078.0</v>
      </c>
      <c r="B191" s="353" t="s">
        <v>347</v>
      </c>
      <c r="C191" s="353" t="s">
        <v>353</v>
      </c>
      <c r="D191" s="353" t="s">
        <v>355</v>
      </c>
      <c r="E191" s="355">
        <v>0.05</v>
      </c>
      <c r="F191" s="353"/>
      <c r="G191" s="353">
        <v>3.0</v>
      </c>
      <c r="H191" s="353">
        <v>0.0</v>
      </c>
      <c r="K191" s="319"/>
    </row>
    <row r="192" ht="15.75" customHeight="1">
      <c r="A192" s="352">
        <v>46078.0</v>
      </c>
      <c r="B192" s="353" t="s">
        <v>347</v>
      </c>
      <c r="C192" s="353" t="s">
        <v>353</v>
      </c>
      <c r="D192" s="353" t="s">
        <v>354</v>
      </c>
      <c r="E192" s="355">
        <v>17.9</v>
      </c>
      <c r="F192" s="353">
        <v>7.0</v>
      </c>
      <c r="G192" s="353">
        <v>723.0</v>
      </c>
      <c r="H192" s="353">
        <v>20.0</v>
      </c>
      <c r="I192" s="353"/>
      <c r="J192" s="355"/>
      <c r="K192" s="319"/>
    </row>
    <row r="193" ht="15.75" customHeight="1">
      <c r="A193" s="352">
        <v>46077.0</v>
      </c>
      <c r="B193" s="353" t="s">
        <v>347</v>
      </c>
      <c r="C193" s="353" t="s">
        <v>350</v>
      </c>
      <c r="D193" s="353" t="s">
        <v>349</v>
      </c>
      <c r="E193" s="355">
        <v>2.23</v>
      </c>
      <c r="F193" s="353"/>
      <c r="G193" s="353">
        <v>35.0</v>
      </c>
      <c r="H193" s="353">
        <v>0.0</v>
      </c>
      <c r="I193" s="353"/>
      <c r="J193" s="355"/>
      <c r="K193" s="319"/>
    </row>
    <row r="194" ht="15.75" customHeight="1">
      <c r="A194" s="352">
        <v>46077.0</v>
      </c>
      <c r="B194" s="353" t="s">
        <v>347</v>
      </c>
      <c r="C194" s="353" t="s">
        <v>350</v>
      </c>
      <c r="D194" s="353" t="s">
        <v>351</v>
      </c>
      <c r="E194" s="355">
        <v>19.28</v>
      </c>
      <c r="F194" s="353">
        <v>3.0</v>
      </c>
      <c r="G194" s="353">
        <v>523.0</v>
      </c>
      <c r="H194" s="353">
        <v>11.0</v>
      </c>
      <c r="I194" s="353"/>
      <c r="J194" s="355"/>
      <c r="K194" s="319"/>
    </row>
    <row r="195" ht="15.75" customHeight="1">
      <c r="A195" s="352">
        <v>46077.0</v>
      </c>
      <c r="B195" s="353" t="s">
        <v>347</v>
      </c>
      <c r="C195" s="353" t="s">
        <v>353</v>
      </c>
      <c r="D195" s="353" t="s">
        <v>354</v>
      </c>
      <c r="E195" s="355">
        <v>18.91</v>
      </c>
      <c r="F195" s="353">
        <v>8.0</v>
      </c>
      <c r="G195" s="353">
        <v>567.0</v>
      </c>
      <c r="H195" s="353">
        <v>31.0</v>
      </c>
      <c r="K195" s="319"/>
    </row>
    <row r="196" ht="15.75" customHeight="1">
      <c r="A196" s="352">
        <v>46076.0</v>
      </c>
      <c r="B196" s="353" t="s">
        <v>347</v>
      </c>
      <c r="C196" s="353" t="s">
        <v>350</v>
      </c>
      <c r="D196" s="353" t="s">
        <v>349</v>
      </c>
      <c r="E196" s="355">
        <v>1.72</v>
      </c>
      <c r="F196" s="353"/>
      <c r="G196" s="353">
        <v>24.0</v>
      </c>
      <c r="H196" s="353">
        <v>1.0</v>
      </c>
      <c r="I196" s="353"/>
      <c r="J196" s="355"/>
      <c r="K196" s="319"/>
    </row>
    <row r="197" ht="15.75" customHeight="1">
      <c r="A197" s="352">
        <v>46076.0</v>
      </c>
      <c r="B197" s="353" t="s">
        <v>347</v>
      </c>
      <c r="C197" s="353" t="s">
        <v>350</v>
      </c>
      <c r="D197" s="353" t="s">
        <v>351</v>
      </c>
      <c r="E197" s="355">
        <v>18.86</v>
      </c>
      <c r="F197" s="353">
        <v>4.0</v>
      </c>
      <c r="G197" s="353">
        <v>669.0</v>
      </c>
      <c r="H197" s="353">
        <v>14.0</v>
      </c>
      <c r="I197" s="353">
        <v>1.0</v>
      </c>
      <c r="J197" s="355">
        <v>107.4</v>
      </c>
      <c r="K197" s="319"/>
    </row>
    <row r="198" ht="15.75" customHeight="1">
      <c r="A198" s="352">
        <v>46076.0</v>
      </c>
      <c r="B198" s="353" t="s">
        <v>347</v>
      </c>
      <c r="C198" s="353" t="s">
        <v>353</v>
      </c>
      <c r="D198" s="353" t="s">
        <v>356</v>
      </c>
      <c r="E198" s="355">
        <v>0.06</v>
      </c>
      <c r="F198" s="353"/>
      <c r="G198" s="353">
        <v>4.0</v>
      </c>
      <c r="H198" s="353">
        <v>0.0</v>
      </c>
      <c r="I198" s="353"/>
      <c r="J198" s="355"/>
      <c r="K198" s="319"/>
    </row>
    <row r="199" ht="15.75" customHeight="1">
      <c r="A199" s="352">
        <v>46076.0</v>
      </c>
      <c r="B199" s="353" t="s">
        <v>347</v>
      </c>
      <c r="C199" s="353" t="s">
        <v>353</v>
      </c>
      <c r="D199" s="353" t="s">
        <v>354</v>
      </c>
      <c r="E199" s="355">
        <v>25.42</v>
      </c>
      <c r="F199" s="353">
        <v>10.0</v>
      </c>
      <c r="G199" s="353">
        <v>862.0</v>
      </c>
      <c r="H199" s="353">
        <v>38.0</v>
      </c>
      <c r="I199" s="353"/>
      <c r="J199" s="355"/>
      <c r="K199" s="319"/>
    </row>
    <row r="200" ht="15.75" customHeight="1">
      <c r="A200" s="352">
        <v>46075.0</v>
      </c>
      <c r="B200" s="353" t="s">
        <v>347</v>
      </c>
      <c r="C200" s="353" t="s">
        <v>350</v>
      </c>
      <c r="D200" s="353" t="s">
        <v>349</v>
      </c>
      <c r="E200" s="355">
        <v>0.58</v>
      </c>
      <c r="F200" s="353"/>
      <c r="G200" s="353">
        <v>6.0</v>
      </c>
      <c r="H200" s="353">
        <v>0.0</v>
      </c>
      <c r="I200" s="353"/>
      <c r="J200" s="355"/>
      <c r="K200" s="319"/>
    </row>
    <row r="201" ht="15.75" customHeight="1">
      <c r="A201" s="352">
        <v>46075.0</v>
      </c>
      <c r="B201" s="353" t="s">
        <v>347</v>
      </c>
      <c r="C201" s="353" t="s">
        <v>350</v>
      </c>
      <c r="D201" s="353" t="s">
        <v>351</v>
      </c>
      <c r="E201" s="355">
        <v>25.17</v>
      </c>
      <c r="F201" s="353">
        <v>6.0</v>
      </c>
      <c r="G201" s="353">
        <v>678.0</v>
      </c>
      <c r="H201" s="353">
        <v>17.0</v>
      </c>
      <c r="I201" s="353">
        <v>2.0</v>
      </c>
      <c r="J201" s="355">
        <v>385.3</v>
      </c>
      <c r="K201" s="319"/>
    </row>
    <row r="202" ht="15.75" customHeight="1">
      <c r="A202" s="352">
        <v>46075.0</v>
      </c>
      <c r="B202" s="353" t="s">
        <v>347</v>
      </c>
      <c r="C202" s="353" t="s">
        <v>353</v>
      </c>
      <c r="D202" s="353" t="s">
        <v>355</v>
      </c>
      <c r="E202" s="355">
        <v>0.15</v>
      </c>
      <c r="F202" s="353">
        <v>1.0</v>
      </c>
      <c r="G202" s="353">
        <v>11.0</v>
      </c>
      <c r="H202" s="353">
        <v>1.0</v>
      </c>
      <c r="I202" s="353"/>
      <c r="J202" s="355"/>
      <c r="K202" s="319"/>
    </row>
    <row r="203" ht="15.75" customHeight="1">
      <c r="A203" s="352">
        <v>46075.0</v>
      </c>
      <c r="B203" s="353" t="s">
        <v>347</v>
      </c>
      <c r="C203" s="353" t="s">
        <v>353</v>
      </c>
      <c r="D203" s="353" t="s">
        <v>354</v>
      </c>
      <c r="E203" s="355">
        <v>25.08</v>
      </c>
      <c r="F203" s="353">
        <v>12.0</v>
      </c>
      <c r="G203" s="353">
        <v>770.0</v>
      </c>
      <c r="H203" s="353">
        <v>33.0</v>
      </c>
      <c r="I203" s="353"/>
      <c r="J203" s="355"/>
      <c r="K203" s="319"/>
    </row>
    <row r="204" ht="15.75" customHeight="1">
      <c r="A204" s="352">
        <v>46074.0</v>
      </c>
      <c r="B204" s="353" t="s">
        <v>347</v>
      </c>
      <c r="C204" s="353" t="s">
        <v>350</v>
      </c>
      <c r="D204" s="353" t="s">
        <v>349</v>
      </c>
      <c r="E204" s="355">
        <v>1.41</v>
      </c>
      <c r="F204" s="353"/>
      <c r="G204" s="353">
        <v>22.0</v>
      </c>
      <c r="H204" s="353">
        <v>0.0</v>
      </c>
      <c r="I204" s="353"/>
      <c r="J204" s="355"/>
      <c r="K204" s="319"/>
    </row>
    <row r="205" ht="15.75" customHeight="1">
      <c r="A205" s="352">
        <v>46074.0</v>
      </c>
      <c r="B205" s="353" t="s">
        <v>347</v>
      </c>
      <c r="C205" s="353" t="s">
        <v>350</v>
      </c>
      <c r="D205" s="353" t="s">
        <v>351</v>
      </c>
      <c r="E205" s="355">
        <v>16.99</v>
      </c>
      <c r="F205" s="353">
        <v>7.0</v>
      </c>
      <c r="G205" s="353">
        <v>440.0</v>
      </c>
      <c r="H205" s="353">
        <v>17.0</v>
      </c>
      <c r="I205" s="353">
        <v>1.0</v>
      </c>
      <c r="J205" s="355">
        <v>107.4</v>
      </c>
      <c r="K205" s="319"/>
    </row>
    <row r="206" ht="15.75" customHeight="1">
      <c r="A206" s="352">
        <v>46074.0</v>
      </c>
      <c r="B206" s="353" t="s">
        <v>347</v>
      </c>
      <c r="C206" s="353" t="s">
        <v>353</v>
      </c>
      <c r="D206" s="353" t="s">
        <v>356</v>
      </c>
      <c r="E206" s="355">
        <v>0.02</v>
      </c>
      <c r="F206" s="353"/>
      <c r="G206" s="353">
        <v>2.0</v>
      </c>
      <c r="H206" s="353">
        <v>0.0</v>
      </c>
      <c r="I206" s="353"/>
      <c r="J206" s="355"/>
      <c r="K206" s="319"/>
    </row>
    <row r="207" ht="15.75" customHeight="1">
      <c r="A207" s="352">
        <v>46074.0</v>
      </c>
      <c r="B207" s="353" t="s">
        <v>347</v>
      </c>
      <c r="C207" s="353" t="s">
        <v>353</v>
      </c>
      <c r="D207" s="353" t="s">
        <v>354</v>
      </c>
      <c r="E207" s="355">
        <v>17.41</v>
      </c>
      <c r="F207" s="353">
        <v>11.0</v>
      </c>
      <c r="G207" s="353">
        <v>466.0</v>
      </c>
      <c r="H207" s="353">
        <v>24.0</v>
      </c>
      <c r="I207" s="353">
        <v>3.0</v>
      </c>
      <c r="J207" s="355">
        <v>405.6</v>
      </c>
      <c r="K207" s="319"/>
    </row>
    <row r="208" ht="15.75" customHeight="1">
      <c r="A208" s="352">
        <v>46073.0</v>
      </c>
      <c r="B208" s="353" t="s">
        <v>347</v>
      </c>
      <c r="C208" s="353" t="s">
        <v>350</v>
      </c>
      <c r="D208" s="353" t="s">
        <v>349</v>
      </c>
      <c r="E208" s="355">
        <v>0.0</v>
      </c>
      <c r="F208" s="353"/>
      <c r="G208" s="353">
        <v>0.0</v>
      </c>
      <c r="H208" s="353">
        <v>0.0</v>
      </c>
      <c r="I208" s="353"/>
      <c r="J208" s="355"/>
      <c r="K208" s="319"/>
    </row>
    <row r="209" ht="15.75" customHeight="1">
      <c r="A209" s="352">
        <v>46073.0</v>
      </c>
      <c r="B209" s="353" t="s">
        <v>347</v>
      </c>
      <c r="C209" s="353" t="s">
        <v>350</v>
      </c>
      <c r="D209" s="353" t="s">
        <v>351</v>
      </c>
      <c r="E209" s="355">
        <v>16.22</v>
      </c>
      <c r="F209" s="353">
        <v>6.0</v>
      </c>
      <c r="G209" s="353">
        <v>507.0</v>
      </c>
      <c r="H209" s="353">
        <v>9.0</v>
      </c>
      <c r="I209" s="353"/>
      <c r="J209" s="355"/>
      <c r="K209" s="319"/>
    </row>
    <row r="210" ht="15.75" customHeight="1">
      <c r="A210" s="352">
        <v>46073.0</v>
      </c>
      <c r="B210" s="353" t="s">
        <v>347</v>
      </c>
      <c r="C210" s="353" t="s">
        <v>353</v>
      </c>
      <c r="D210" s="353" t="s">
        <v>355</v>
      </c>
      <c r="E210" s="355">
        <v>0.19</v>
      </c>
      <c r="F210" s="353"/>
      <c r="G210" s="353">
        <v>6.0</v>
      </c>
      <c r="H210" s="353">
        <v>0.0</v>
      </c>
      <c r="I210" s="353"/>
      <c r="J210" s="355"/>
      <c r="K210" s="319"/>
    </row>
    <row r="211" ht="15.75" customHeight="1">
      <c r="A211" s="352">
        <v>46073.0</v>
      </c>
      <c r="B211" s="353" t="s">
        <v>347</v>
      </c>
      <c r="C211" s="353" t="s">
        <v>353</v>
      </c>
      <c r="D211" s="353" t="s">
        <v>354</v>
      </c>
      <c r="E211" s="355">
        <v>16.55</v>
      </c>
      <c r="F211" s="353">
        <v>6.0</v>
      </c>
      <c r="G211" s="353">
        <v>639.0</v>
      </c>
      <c r="H211" s="353">
        <v>18.0</v>
      </c>
      <c r="I211" s="353"/>
      <c r="J211" s="355"/>
      <c r="K211" s="319"/>
    </row>
    <row r="212" ht="15.75" customHeight="1">
      <c r="A212" s="352">
        <v>46072.0</v>
      </c>
      <c r="B212" s="353" t="s">
        <v>347</v>
      </c>
      <c r="C212" s="353" t="s">
        <v>350</v>
      </c>
      <c r="D212" s="353" t="s">
        <v>349</v>
      </c>
      <c r="E212" s="355">
        <v>0.52</v>
      </c>
      <c r="F212" s="353"/>
      <c r="G212" s="353">
        <v>16.0</v>
      </c>
      <c r="H212" s="353">
        <v>0.0</v>
      </c>
      <c r="I212" s="353"/>
      <c r="J212" s="355"/>
      <c r="K212" s="319"/>
    </row>
    <row r="213" ht="15.75" customHeight="1">
      <c r="A213" s="352">
        <v>46072.0</v>
      </c>
      <c r="B213" s="353" t="s">
        <v>347</v>
      </c>
      <c r="C213" s="353" t="s">
        <v>350</v>
      </c>
      <c r="D213" s="353" t="s">
        <v>351</v>
      </c>
      <c r="E213" s="355">
        <v>16.56</v>
      </c>
      <c r="F213" s="353">
        <v>3.0</v>
      </c>
      <c r="G213" s="353">
        <v>608.0</v>
      </c>
      <c r="H213" s="353">
        <v>12.0</v>
      </c>
      <c r="I213" s="353"/>
      <c r="J213" s="355"/>
      <c r="K213" s="319"/>
    </row>
    <row r="214" ht="15.75" customHeight="1">
      <c r="A214" s="352">
        <v>46072.0</v>
      </c>
      <c r="B214" s="353" t="s">
        <v>347</v>
      </c>
      <c r="C214" s="353" t="s">
        <v>353</v>
      </c>
      <c r="D214" s="353" t="s">
        <v>355</v>
      </c>
      <c r="E214" s="355">
        <v>0.02</v>
      </c>
      <c r="F214" s="353"/>
      <c r="G214" s="353">
        <v>1.0</v>
      </c>
      <c r="H214" s="353">
        <v>0.0</v>
      </c>
      <c r="I214" s="353"/>
      <c r="J214" s="355"/>
      <c r="K214" s="319"/>
    </row>
    <row r="215" ht="15.75" customHeight="1">
      <c r="A215" s="352">
        <v>46072.0</v>
      </c>
      <c r="B215" s="353" t="s">
        <v>347</v>
      </c>
      <c r="C215" s="353" t="s">
        <v>353</v>
      </c>
      <c r="D215" s="353" t="s">
        <v>354</v>
      </c>
      <c r="E215" s="355">
        <v>17.81</v>
      </c>
      <c r="F215" s="353">
        <v>10.0</v>
      </c>
      <c r="G215" s="353">
        <v>628.0</v>
      </c>
      <c r="H215" s="353">
        <v>32.0</v>
      </c>
      <c r="I215" s="353"/>
      <c r="J215" s="355"/>
      <c r="K215" s="319"/>
    </row>
    <row r="216" ht="15.75" customHeight="1">
      <c r="A216" s="352">
        <v>46071.0</v>
      </c>
      <c r="B216" s="353" t="s">
        <v>347</v>
      </c>
      <c r="C216" s="353" t="s">
        <v>350</v>
      </c>
      <c r="D216" s="353" t="s">
        <v>349</v>
      </c>
      <c r="E216" s="355">
        <v>0.05</v>
      </c>
      <c r="F216" s="353"/>
      <c r="G216" s="353">
        <v>3.0</v>
      </c>
      <c r="H216" s="353">
        <v>0.0</v>
      </c>
      <c r="I216" s="353"/>
      <c r="J216" s="355"/>
      <c r="K216" s="319"/>
    </row>
    <row r="217" ht="15.75" customHeight="1">
      <c r="A217" s="352">
        <v>46071.0</v>
      </c>
      <c r="B217" s="353" t="s">
        <v>347</v>
      </c>
      <c r="C217" s="353" t="s">
        <v>350</v>
      </c>
      <c r="D217" s="353" t="s">
        <v>351</v>
      </c>
      <c r="E217" s="355">
        <v>20.92</v>
      </c>
      <c r="F217" s="353">
        <v>3.0</v>
      </c>
      <c r="G217" s="353">
        <v>725.0</v>
      </c>
      <c r="H217" s="353">
        <v>16.0</v>
      </c>
      <c r="I217" s="353">
        <v>1.0</v>
      </c>
      <c r="J217" s="355">
        <v>148.95</v>
      </c>
      <c r="K217" s="319"/>
    </row>
    <row r="218" ht="15.75" customHeight="1">
      <c r="A218" s="352">
        <v>46071.0</v>
      </c>
      <c r="B218" s="353" t="s">
        <v>347</v>
      </c>
      <c r="C218" s="353" t="s">
        <v>353</v>
      </c>
      <c r="D218" s="353" t="s">
        <v>356</v>
      </c>
      <c r="E218" s="355">
        <v>0.03</v>
      </c>
      <c r="F218" s="353"/>
      <c r="G218" s="353">
        <v>2.0</v>
      </c>
      <c r="H218" s="353">
        <v>0.0</v>
      </c>
      <c r="K218" s="319"/>
    </row>
    <row r="219" ht="15.75" customHeight="1">
      <c r="A219" s="352">
        <v>46071.0</v>
      </c>
      <c r="B219" s="353" t="s">
        <v>347</v>
      </c>
      <c r="C219" s="353" t="s">
        <v>353</v>
      </c>
      <c r="D219" s="353" t="s">
        <v>354</v>
      </c>
      <c r="E219" s="355">
        <v>18.22</v>
      </c>
      <c r="F219" s="353">
        <v>15.0</v>
      </c>
      <c r="G219" s="353">
        <v>564.0</v>
      </c>
      <c r="H219" s="353">
        <v>34.0</v>
      </c>
      <c r="I219" s="353">
        <v>2.0</v>
      </c>
      <c r="J219" s="355">
        <v>192.0</v>
      </c>
      <c r="K219" s="319"/>
    </row>
    <row r="220" ht="15.75" customHeight="1">
      <c r="A220" s="352">
        <v>46070.0</v>
      </c>
      <c r="B220" s="353" t="s">
        <v>347</v>
      </c>
      <c r="C220" s="353" t="s">
        <v>350</v>
      </c>
      <c r="D220" s="353" t="s">
        <v>349</v>
      </c>
      <c r="E220" s="355">
        <v>0.0</v>
      </c>
      <c r="F220" s="353"/>
      <c r="G220" s="353">
        <v>0.0</v>
      </c>
      <c r="H220" s="353">
        <v>0.0</v>
      </c>
      <c r="I220" s="353">
        <v>2.0</v>
      </c>
      <c r="J220" s="355">
        <v>281.9</v>
      </c>
      <c r="K220" s="319"/>
    </row>
    <row r="221" ht="15.75" customHeight="1">
      <c r="A221" s="352">
        <v>46070.0</v>
      </c>
      <c r="B221" s="353" t="s">
        <v>347</v>
      </c>
      <c r="C221" s="353" t="s">
        <v>350</v>
      </c>
      <c r="D221" s="353" t="s">
        <v>351</v>
      </c>
      <c r="E221" s="355">
        <v>20.22</v>
      </c>
      <c r="F221" s="353">
        <v>9.0</v>
      </c>
      <c r="G221" s="353">
        <v>593.0</v>
      </c>
      <c r="H221" s="353">
        <v>20.0</v>
      </c>
      <c r="I221" s="353">
        <v>1.0</v>
      </c>
      <c r="J221" s="355">
        <v>269.9</v>
      </c>
      <c r="K221" s="319"/>
    </row>
    <row r="222" ht="15.75" customHeight="1">
      <c r="A222" s="352">
        <v>46070.0</v>
      </c>
      <c r="B222" s="353" t="s">
        <v>347</v>
      </c>
      <c r="C222" s="353" t="s">
        <v>353</v>
      </c>
      <c r="D222" s="353" t="s">
        <v>355</v>
      </c>
      <c r="E222" s="355">
        <v>0.17</v>
      </c>
      <c r="F222" s="353"/>
      <c r="G222" s="353">
        <v>9.0</v>
      </c>
      <c r="H222" s="353">
        <v>0.0</v>
      </c>
      <c r="I222" s="353"/>
      <c r="J222" s="355"/>
      <c r="K222" s="319"/>
    </row>
    <row r="223" ht="15.75" customHeight="1">
      <c r="A223" s="352">
        <v>46070.0</v>
      </c>
      <c r="B223" s="353" t="s">
        <v>347</v>
      </c>
      <c r="C223" s="353" t="s">
        <v>353</v>
      </c>
      <c r="D223" s="353" t="s">
        <v>354</v>
      </c>
      <c r="E223" s="355">
        <v>22.31</v>
      </c>
      <c r="F223" s="353">
        <v>7.0</v>
      </c>
      <c r="G223" s="353">
        <v>485.0</v>
      </c>
      <c r="H223" s="353">
        <v>14.0</v>
      </c>
      <c r="I223" s="353"/>
      <c r="J223" s="355"/>
      <c r="K223" s="319"/>
    </row>
    <row r="224" ht="15.75" customHeight="1">
      <c r="A224" s="352">
        <v>46069.0</v>
      </c>
      <c r="B224" s="353" t="s">
        <v>347</v>
      </c>
      <c r="C224" s="353" t="s">
        <v>350</v>
      </c>
      <c r="D224" s="353" t="s">
        <v>349</v>
      </c>
      <c r="E224" s="355">
        <v>1.19</v>
      </c>
      <c r="F224" s="353"/>
      <c r="G224" s="353">
        <v>30.0</v>
      </c>
      <c r="H224" s="353">
        <v>0.0</v>
      </c>
      <c r="I224" s="353"/>
      <c r="J224" s="355"/>
      <c r="K224" s="319"/>
    </row>
    <row r="225" ht="15.75" customHeight="1">
      <c r="A225" s="352">
        <v>46069.0</v>
      </c>
      <c r="B225" s="353" t="s">
        <v>347</v>
      </c>
      <c r="C225" s="353" t="s">
        <v>350</v>
      </c>
      <c r="D225" s="353" t="s">
        <v>351</v>
      </c>
      <c r="E225" s="355">
        <v>24.3</v>
      </c>
      <c r="F225" s="353">
        <v>7.0</v>
      </c>
      <c r="G225" s="353">
        <v>741.0</v>
      </c>
      <c r="H225" s="353">
        <v>21.0</v>
      </c>
      <c r="I225" s="353">
        <v>1.0</v>
      </c>
      <c r="J225" s="355">
        <v>185.9</v>
      </c>
      <c r="K225" s="319"/>
    </row>
    <row r="226" ht="15.75" customHeight="1">
      <c r="A226" s="352">
        <v>46069.0</v>
      </c>
      <c r="B226" s="353" t="s">
        <v>347</v>
      </c>
      <c r="C226" s="353" t="s">
        <v>353</v>
      </c>
      <c r="D226" s="353" t="s">
        <v>356</v>
      </c>
      <c r="E226" s="355">
        <v>0.09</v>
      </c>
      <c r="F226" s="353"/>
      <c r="G226" s="353">
        <v>6.0</v>
      </c>
      <c r="H226" s="353">
        <v>0.0</v>
      </c>
      <c r="I226" s="353"/>
      <c r="J226" s="355"/>
      <c r="K226" s="319"/>
    </row>
    <row r="227" ht="15.75" customHeight="1">
      <c r="A227" s="352">
        <v>46069.0</v>
      </c>
      <c r="B227" s="353" t="s">
        <v>347</v>
      </c>
      <c r="C227" s="353" t="s">
        <v>353</v>
      </c>
      <c r="D227" s="353" t="s">
        <v>354</v>
      </c>
      <c r="E227" s="355">
        <v>27.26</v>
      </c>
      <c r="F227" s="353">
        <v>13.0</v>
      </c>
      <c r="G227" s="353">
        <v>550.0</v>
      </c>
      <c r="H227" s="353">
        <v>26.0</v>
      </c>
      <c r="I227" s="353">
        <v>3.0</v>
      </c>
      <c r="J227" s="355">
        <v>348.1</v>
      </c>
      <c r="K227" s="319"/>
    </row>
    <row r="228" ht="15.75" customHeight="1">
      <c r="A228" s="352">
        <v>46068.0</v>
      </c>
      <c r="B228" s="353" t="s">
        <v>347</v>
      </c>
      <c r="C228" s="353" t="s">
        <v>350</v>
      </c>
      <c r="D228" s="353" t="s">
        <v>349</v>
      </c>
      <c r="E228" s="355">
        <v>1.15</v>
      </c>
      <c r="F228" s="353">
        <v>3.0</v>
      </c>
      <c r="G228" s="353">
        <v>29.0</v>
      </c>
      <c r="H228" s="353">
        <v>7.0</v>
      </c>
      <c r="I228" s="353">
        <v>1.0</v>
      </c>
      <c r="J228" s="355">
        <v>96.0</v>
      </c>
      <c r="K228" s="319"/>
    </row>
    <row r="229" ht="15.75" customHeight="1">
      <c r="A229" s="352">
        <v>46068.0</v>
      </c>
      <c r="B229" s="353" t="s">
        <v>347</v>
      </c>
      <c r="C229" s="353" t="s">
        <v>350</v>
      </c>
      <c r="D229" s="353" t="s">
        <v>351</v>
      </c>
      <c r="E229" s="355">
        <v>36.14</v>
      </c>
      <c r="F229" s="353">
        <v>19.0</v>
      </c>
      <c r="G229" s="353">
        <v>1064.0</v>
      </c>
      <c r="H229" s="353">
        <v>36.0</v>
      </c>
      <c r="I229" s="353"/>
      <c r="J229" s="355"/>
      <c r="K229" s="319"/>
    </row>
    <row r="230" ht="15.75" customHeight="1">
      <c r="A230" s="352">
        <v>46068.0</v>
      </c>
      <c r="B230" s="353" t="s">
        <v>347</v>
      </c>
      <c r="C230" s="353" t="s">
        <v>353</v>
      </c>
      <c r="D230" s="353" t="s">
        <v>355</v>
      </c>
      <c r="E230" s="355">
        <v>0.18</v>
      </c>
      <c r="F230" s="353"/>
      <c r="G230" s="353">
        <v>12.0</v>
      </c>
      <c r="H230" s="353">
        <v>0.0</v>
      </c>
      <c r="K230" s="319"/>
    </row>
    <row r="231" ht="15.75" customHeight="1">
      <c r="A231" s="352">
        <v>46068.0</v>
      </c>
      <c r="B231" s="353" t="s">
        <v>347</v>
      </c>
      <c r="C231" s="353" t="s">
        <v>353</v>
      </c>
      <c r="D231" s="353" t="s">
        <v>356</v>
      </c>
      <c r="E231" s="355">
        <v>0.02</v>
      </c>
      <c r="F231" s="353"/>
      <c r="G231" s="353">
        <v>2.0</v>
      </c>
      <c r="H231" s="353">
        <v>0.0</v>
      </c>
      <c r="I231" s="353"/>
      <c r="J231" s="355"/>
      <c r="K231" s="319"/>
    </row>
    <row r="232" ht="15.75" customHeight="1">
      <c r="A232" s="352">
        <v>46068.0</v>
      </c>
      <c r="B232" s="353" t="s">
        <v>347</v>
      </c>
      <c r="C232" s="353" t="s">
        <v>353</v>
      </c>
      <c r="D232" s="353" t="s">
        <v>354</v>
      </c>
      <c r="E232" s="355">
        <v>35.25</v>
      </c>
      <c r="F232" s="353">
        <v>20.0</v>
      </c>
      <c r="G232" s="353">
        <v>750.0</v>
      </c>
      <c r="H232" s="353">
        <v>47.0</v>
      </c>
      <c r="I232" s="353"/>
      <c r="J232" s="355"/>
      <c r="K232" s="319"/>
    </row>
    <row r="233" ht="15.75" customHeight="1">
      <c r="A233" s="352">
        <v>46067.0</v>
      </c>
      <c r="B233" s="353" t="s">
        <v>347</v>
      </c>
      <c r="C233" s="353" t="s">
        <v>350</v>
      </c>
      <c r="D233" s="353" t="s">
        <v>349</v>
      </c>
      <c r="E233" s="355">
        <v>3.54</v>
      </c>
      <c r="F233" s="353"/>
      <c r="G233" s="353">
        <v>57.0</v>
      </c>
      <c r="H233" s="353">
        <v>1.0</v>
      </c>
      <c r="K233" s="319"/>
    </row>
    <row r="234" ht="15.75" customHeight="1">
      <c r="A234" s="352">
        <v>46067.0</v>
      </c>
      <c r="B234" s="353" t="s">
        <v>347</v>
      </c>
      <c r="C234" s="353" t="s">
        <v>350</v>
      </c>
      <c r="D234" s="353" t="s">
        <v>351</v>
      </c>
      <c r="E234" s="355">
        <v>43.47</v>
      </c>
      <c r="F234" s="353">
        <v>13.0</v>
      </c>
      <c r="G234" s="353">
        <v>1076.0</v>
      </c>
      <c r="H234" s="353">
        <v>33.0</v>
      </c>
      <c r="I234" s="353"/>
      <c r="J234" s="355"/>
      <c r="K234" s="319"/>
    </row>
    <row r="235" ht="15.75" customHeight="1">
      <c r="A235" s="352">
        <v>46067.0</v>
      </c>
      <c r="B235" s="353" t="s">
        <v>347</v>
      </c>
      <c r="C235" s="353" t="s">
        <v>353</v>
      </c>
      <c r="D235" s="353" t="s">
        <v>355</v>
      </c>
      <c r="E235" s="355">
        <v>0.56</v>
      </c>
      <c r="F235" s="353"/>
      <c r="G235" s="353">
        <v>22.0</v>
      </c>
      <c r="H235" s="353">
        <v>0.0</v>
      </c>
      <c r="I235" s="353"/>
      <c r="J235" s="355"/>
      <c r="K235" s="319"/>
    </row>
    <row r="236" ht="15.75" customHeight="1">
      <c r="A236" s="352">
        <v>46067.0</v>
      </c>
      <c r="B236" s="353" t="s">
        <v>347</v>
      </c>
      <c r="C236" s="353" t="s">
        <v>353</v>
      </c>
      <c r="D236" s="353" t="s">
        <v>354</v>
      </c>
      <c r="E236" s="355">
        <v>29.26</v>
      </c>
      <c r="F236" s="353">
        <v>10.0</v>
      </c>
      <c r="G236" s="353">
        <v>660.0</v>
      </c>
      <c r="H236" s="353">
        <v>25.0</v>
      </c>
      <c r="I236" s="353">
        <v>1.0</v>
      </c>
      <c r="J236" s="355">
        <v>66.2</v>
      </c>
      <c r="K236" s="319"/>
    </row>
    <row r="237" ht="15.75" customHeight="1">
      <c r="A237" s="352">
        <v>46067.0</v>
      </c>
      <c r="B237" s="353" t="s">
        <v>357</v>
      </c>
      <c r="C237" s="353" t="s">
        <v>358</v>
      </c>
      <c r="D237" s="353" t="s">
        <v>359</v>
      </c>
      <c r="E237" s="355">
        <v>1.48</v>
      </c>
      <c r="F237" s="353"/>
      <c r="G237" s="353">
        <v>56.0</v>
      </c>
      <c r="H237" s="353">
        <v>5.0</v>
      </c>
      <c r="I237" s="353"/>
      <c r="J237" s="355"/>
      <c r="K237" s="319"/>
    </row>
    <row r="238" ht="15.75" customHeight="1">
      <c r="A238" s="352">
        <v>46066.0</v>
      </c>
      <c r="B238" s="353" t="s">
        <v>347</v>
      </c>
      <c r="C238" s="353" t="s">
        <v>350</v>
      </c>
      <c r="D238" s="353" t="s">
        <v>349</v>
      </c>
      <c r="E238" s="355">
        <v>0.21</v>
      </c>
      <c r="F238" s="353"/>
      <c r="G238" s="353">
        <v>1.0</v>
      </c>
      <c r="H238" s="353">
        <v>0.0</v>
      </c>
      <c r="I238" s="353"/>
      <c r="J238" s="355"/>
      <c r="K238" s="319"/>
    </row>
    <row r="239" ht="15.75" customHeight="1">
      <c r="A239" s="352">
        <v>46066.0</v>
      </c>
      <c r="B239" s="353" t="s">
        <v>347</v>
      </c>
      <c r="C239" s="353" t="s">
        <v>350</v>
      </c>
      <c r="D239" s="353" t="s">
        <v>351</v>
      </c>
      <c r="E239" s="355">
        <v>20.4</v>
      </c>
      <c r="F239" s="353">
        <v>5.0</v>
      </c>
      <c r="G239" s="353">
        <v>479.0</v>
      </c>
      <c r="H239" s="353">
        <v>15.0</v>
      </c>
      <c r="I239" s="353"/>
      <c r="J239" s="355"/>
      <c r="K239" s="319"/>
    </row>
    <row r="240" ht="15.75" customHeight="1">
      <c r="A240" s="352">
        <v>46066.0</v>
      </c>
      <c r="B240" s="353" t="s">
        <v>347</v>
      </c>
      <c r="C240" s="353" t="s">
        <v>353</v>
      </c>
      <c r="D240" s="353" t="s">
        <v>354</v>
      </c>
      <c r="E240" s="355">
        <v>26.54</v>
      </c>
      <c r="F240" s="353">
        <v>14.0</v>
      </c>
      <c r="G240" s="353">
        <v>648.0</v>
      </c>
      <c r="H240" s="353">
        <v>36.0</v>
      </c>
      <c r="I240" s="353">
        <v>1.0</v>
      </c>
      <c r="J240" s="355">
        <v>185.9</v>
      </c>
      <c r="K240" s="319"/>
    </row>
    <row r="241" ht="15.75" customHeight="1">
      <c r="A241" s="352">
        <v>46066.0</v>
      </c>
      <c r="B241" s="353" t="s">
        <v>357</v>
      </c>
      <c r="C241" s="353" t="s">
        <v>358</v>
      </c>
      <c r="D241" s="353" t="s">
        <v>359</v>
      </c>
      <c r="E241" s="355">
        <v>5.83</v>
      </c>
      <c r="F241" s="353">
        <v>1.0</v>
      </c>
      <c r="G241" s="353">
        <v>318.0</v>
      </c>
      <c r="H241" s="353">
        <v>10.0</v>
      </c>
      <c r="K241" s="319"/>
    </row>
    <row r="242" ht="15.75" customHeight="1">
      <c r="A242" s="352">
        <v>46065.0</v>
      </c>
      <c r="B242" s="353" t="s">
        <v>347</v>
      </c>
      <c r="C242" s="353" t="s">
        <v>350</v>
      </c>
      <c r="D242" s="353" t="s">
        <v>349</v>
      </c>
      <c r="E242" s="355">
        <v>6.3</v>
      </c>
      <c r="F242" s="353">
        <v>1.0</v>
      </c>
      <c r="G242" s="353">
        <v>145.0</v>
      </c>
      <c r="H242" s="353">
        <v>4.0</v>
      </c>
      <c r="I242" s="353">
        <v>1.0</v>
      </c>
      <c r="J242" s="355">
        <v>49.65</v>
      </c>
      <c r="K242" s="319"/>
    </row>
    <row r="243" ht="15.75" customHeight="1">
      <c r="A243" s="352">
        <v>46065.0</v>
      </c>
      <c r="B243" s="353" t="s">
        <v>347</v>
      </c>
      <c r="C243" s="353" t="s">
        <v>350</v>
      </c>
      <c r="D243" s="353" t="s">
        <v>351</v>
      </c>
      <c r="E243" s="355">
        <v>7.79</v>
      </c>
      <c r="F243" s="353">
        <v>2.0</v>
      </c>
      <c r="G243" s="353">
        <v>258.0</v>
      </c>
      <c r="H243" s="353">
        <v>6.0</v>
      </c>
      <c r="I243" s="353"/>
      <c r="J243" s="355"/>
      <c r="K243" s="319"/>
    </row>
    <row r="244" ht="15.75" customHeight="1">
      <c r="A244" s="352">
        <v>46065.0</v>
      </c>
      <c r="B244" s="353" t="s">
        <v>347</v>
      </c>
      <c r="C244" s="353" t="s">
        <v>353</v>
      </c>
      <c r="D244" s="353" t="s">
        <v>355</v>
      </c>
      <c r="E244" s="355">
        <v>1.62</v>
      </c>
      <c r="F244" s="353">
        <v>1.0</v>
      </c>
      <c r="G244" s="353">
        <v>45.0</v>
      </c>
      <c r="H244" s="353">
        <v>1.0</v>
      </c>
      <c r="K244" s="319"/>
    </row>
    <row r="245" ht="15.75" customHeight="1">
      <c r="A245" s="352">
        <v>46065.0</v>
      </c>
      <c r="B245" s="353" t="s">
        <v>347</v>
      </c>
      <c r="C245" s="353" t="s">
        <v>353</v>
      </c>
      <c r="D245" s="353" t="s">
        <v>356</v>
      </c>
      <c r="E245" s="355">
        <v>0.08</v>
      </c>
      <c r="F245" s="353"/>
      <c r="G245" s="353">
        <v>2.0</v>
      </c>
      <c r="H245" s="353">
        <v>0.0</v>
      </c>
      <c r="I245" s="353"/>
      <c r="J245" s="355"/>
      <c r="K245" s="319"/>
    </row>
    <row r="246" ht="15.75" customHeight="1">
      <c r="A246" s="352">
        <v>46065.0</v>
      </c>
      <c r="B246" s="353" t="s">
        <v>347</v>
      </c>
      <c r="C246" s="353" t="s">
        <v>353</v>
      </c>
      <c r="D246" s="353" t="s">
        <v>354</v>
      </c>
      <c r="E246" s="355">
        <v>21.71</v>
      </c>
      <c r="F246" s="353">
        <v>4.0</v>
      </c>
      <c r="G246" s="353">
        <v>614.0</v>
      </c>
      <c r="H246" s="353">
        <v>25.0</v>
      </c>
      <c r="I246" s="353"/>
      <c r="J246" s="355"/>
      <c r="K246" s="319"/>
    </row>
    <row r="247" ht="15.75" customHeight="1">
      <c r="A247" s="352">
        <v>46065.0</v>
      </c>
      <c r="B247" s="353" t="s">
        <v>360</v>
      </c>
      <c r="C247" s="353" t="s">
        <v>361</v>
      </c>
      <c r="D247" s="353" t="s">
        <v>351</v>
      </c>
      <c r="E247" s="355">
        <v>13.94</v>
      </c>
      <c r="F247" s="353"/>
      <c r="G247" s="353">
        <v>384.0</v>
      </c>
      <c r="H247" s="353">
        <v>16.0</v>
      </c>
      <c r="I247" s="353"/>
      <c r="J247" s="355"/>
      <c r="K247" s="319"/>
    </row>
    <row r="248" ht="15.75" customHeight="1">
      <c r="A248" s="352">
        <v>46065.0</v>
      </c>
      <c r="B248" s="353" t="s">
        <v>360</v>
      </c>
      <c r="C248" s="353" t="s">
        <v>361</v>
      </c>
      <c r="D248" s="353" t="s">
        <v>349</v>
      </c>
      <c r="E248" s="355">
        <v>0.14</v>
      </c>
      <c r="F248" s="353"/>
      <c r="G248" s="353">
        <v>4.0</v>
      </c>
      <c r="H248" s="353">
        <v>0.0</v>
      </c>
      <c r="I248" s="353"/>
      <c r="J248" s="355"/>
      <c r="K248" s="319"/>
    </row>
    <row r="249" ht="15.75" customHeight="1">
      <c r="A249" s="352">
        <v>46065.0</v>
      </c>
      <c r="B249" s="353" t="s">
        <v>357</v>
      </c>
      <c r="C249" s="353" t="s">
        <v>358</v>
      </c>
      <c r="D249" s="353" t="s">
        <v>359</v>
      </c>
      <c r="E249" s="355">
        <v>4.75</v>
      </c>
      <c r="F249" s="353"/>
      <c r="G249" s="353">
        <v>231.0</v>
      </c>
      <c r="H249" s="353">
        <v>14.0</v>
      </c>
      <c r="I249" s="353"/>
      <c r="J249" s="355"/>
      <c r="K249" s="319"/>
    </row>
    <row r="250" ht="15.75" customHeight="1">
      <c r="A250" s="352">
        <v>46064.0</v>
      </c>
      <c r="B250" s="353" t="s">
        <v>347</v>
      </c>
      <c r="C250" s="353" t="s">
        <v>350</v>
      </c>
      <c r="D250" s="353" t="s">
        <v>349</v>
      </c>
      <c r="E250" s="355">
        <v>8.93</v>
      </c>
      <c r="F250" s="353">
        <v>1.0</v>
      </c>
      <c r="G250" s="353">
        <v>210.0</v>
      </c>
      <c r="H250" s="353">
        <v>9.0</v>
      </c>
      <c r="I250" s="353"/>
      <c r="J250" s="355"/>
      <c r="K250" s="319"/>
    </row>
    <row r="251" ht="15.75" customHeight="1">
      <c r="A251" s="352">
        <v>46064.0</v>
      </c>
      <c r="B251" s="353" t="s">
        <v>347</v>
      </c>
      <c r="C251" s="353" t="s">
        <v>350</v>
      </c>
      <c r="D251" s="353" t="s">
        <v>351</v>
      </c>
      <c r="E251" s="355">
        <v>16.91</v>
      </c>
      <c r="F251" s="353">
        <v>2.0</v>
      </c>
      <c r="G251" s="353">
        <v>479.0</v>
      </c>
      <c r="H251" s="353">
        <v>11.0</v>
      </c>
      <c r="I251" s="353">
        <v>1.0</v>
      </c>
      <c r="J251" s="355">
        <v>96.0</v>
      </c>
      <c r="K251" s="319"/>
    </row>
    <row r="252" ht="15.75" customHeight="1">
      <c r="A252" s="352">
        <v>46064.0</v>
      </c>
      <c r="B252" s="353" t="s">
        <v>347</v>
      </c>
      <c r="C252" s="353" t="s">
        <v>353</v>
      </c>
      <c r="D252" s="353" t="s">
        <v>356</v>
      </c>
      <c r="E252" s="355">
        <v>0.96</v>
      </c>
      <c r="F252" s="353"/>
      <c r="G252" s="353">
        <v>26.0</v>
      </c>
      <c r="H252" s="353">
        <v>0.0</v>
      </c>
      <c r="K252" s="319"/>
    </row>
    <row r="253" ht="15.75" customHeight="1">
      <c r="A253" s="352">
        <v>46064.0</v>
      </c>
      <c r="B253" s="353" t="s">
        <v>347</v>
      </c>
      <c r="C253" s="353" t="s">
        <v>353</v>
      </c>
      <c r="D253" s="353" t="s">
        <v>354</v>
      </c>
      <c r="E253" s="355">
        <v>47.07</v>
      </c>
      <c r="F253" s="353">
        <v>19.0</v>
      </c>
      <c r="G253" s="353">
        <v>1319.0</v>
      </c>
      <c r="H253" s="353">
        <v>49.0</v>
      </c>
      <c r="I253" s="353">
        <v>6.0</v>
      </c>
      <c r="J253" s="355">
        <v>744.8</v>
      </c>
      <c r="K253" s="319"/>
    </row>
    <row r="254" ht="15.75" customHeight="1">
      <c r="A254" s="352">
        <v>46064.0</v>
      </c>
      <c r="B254" s="353" t="s">
        <v>360</v>
      </c>
      <c r="C254" s="353" t="s">
        <v>361</v>
      </c>
      <c r="D254" s="353" t="s">
        <v>351</v>
      </c>
      <c r="E254" s="355">
        <v>20.09</v>
      </c>
      <c r="F254" s="353"/>
      <c r="G254" s="353">
        <v>574.0</v>
      </c>
      <c r="H254" s="353">
        <v>16.0</v>
      </c>
      <c r="I254" s="353"/>
      <c r="J254" s="355"/>
      <c r="K254" s="319"/>
    </row>
    <row r="255" ht="15.75" customHeight="1">
      <c r="A255" s="352">
        <v>46064.0</v>
      </c>
      <c r="B255" s="353" t="s">
        <v>360</v>
      </c>
      <c r="C255" s="353" t="s">
        <v>361</v>
      </c>
      <c r="D255" s="353" t="s">
        <v>349</v>
      </c>
      <c r="E255" s="355">
        <v>1.09</v>
      </c>
      <c r="F255" s="353"/>
      <c r="G255" s="353">
        <v>3.0</v>
      </c>
      <c r="H255" s="353">
        <v>0.0</v>
      </c>
      <c r="K255" s="319"/>
    </row>
    <row r="256" ht="15.75" customHeight="1">
      <c r="A256" s="352">
        <v>46064.0</v>
      </c>
      <c r="B256" s="353" t="s">
        <v>357</v>
      </c>
      <c r="C256" s="353" t="s">
        <v>358</v>
      </c>
      <c r="D256" s="353" t="s">
        <v>359</v>
      </c>
      <c r="E256" s="355">
        <v>10.29</v>
      </c>
      <c r="F256" s="353"/>
      <c r="G256" s="353">
        <v>497.0</v>
      </c>
      <c r="H256" s="353">
        <v>22.0</v>
      </c>
      <c r="I256" s="353"/>
      <c r="J256" s="355"/>
      <c r="K256" s="319"/>
    </row>
    <row r="257" ht="15.75" customHeight="1">
      <c r="A257" s="352">
        <v>46063.0</v>
      </c>
      <c r="B257" s="353" t="s">
        <v>347</v>
      </c>
      <c r="C257" s="353" t="s">
        <v>350</v>
      </c>
      <c r="D257" s="353" t="s">
        <v>349</v>
      </c>
      <c r="E257" s="355">
        <v>8.78</v>
      </c>
      <c r="F257" s="353">
        <v>3.0</v>
      </c>
      <c r="G257" s="353">
        <v>128.0</v>
      </c>
      <c r="H257" s="353">
        <v>8.0</v>
      </c>
      <c r="I257" s="353"/>
      <c r="J257" s="355"/>
      <c r="K257" s="319"/>
    </row>
    <row r="258" ht="15.75" customHeight="1">
      <c r="A258" s="352">
        <v>46063.0</v>
      </c>
      <c r="B258" s="353" t="s">
        <v>347</v>
      </c>
      <c r="C258" s="353" t="s">
        <v>350</v>
      </c>
      <c r="D258" s="353" t="s">
        <v>351</v>
      </c>
      <c r="E258" s="355">
        <v>19.39</v>
      </c>
      <c r="F258" s="353">
        <v>2.0</v>
      </c>
      <c r="G258" s="353">
        <v>457.0</v>
      </c>
      <c r="H258" s="353">
        <v>13.0</v>
      </c>
      <c r="I258" s="353">
        <v>2.0</v>
      </c>
      <c r="J258" s="355">
        <v>281.9</v>
      </c>
      <c r="K258" s="319"/>
    </row>
    <row r="259" ht="15.75" customHeight="1">
      <c r="A259" s="352">
        <v>46063.0</v>
      </c>
      <c r="B259" s="353" t="s">
        <v>347</v>
      </c>
      <c r="C259" s="353" t="s">
        <v>353</v>
      </c>
      <c r="D259" s="353" t="s">
        <v>355</v>
      </c>
      <c r="E259" s="355">
        <v>0.86</v>
      </c>
      <c r="F259" s="353"/>
      <c r="G259" s="353">
        <v>28.0</v>
      </c>
      <c r="H259" s="353">
        <v>2.0</v>
      </c>
      <c r="I259" s="353"/>
      <c r="J259" s="355"/>
      <c r="K259" s="319"/>
    </row>
    <row r="260" ht="15.75" customHeight="1">
      <c r="A260" s="352">
        <v>46063.0</v>
      </c>
      <c r="B260" s="353" t="s">
        <v>347</v>
      </c>
      <c r="C260" s="353" t="s">
        <v>353</v>
      </c>
      <c r="D260" s="353" t="s">
        <v>354</v>
      </c>
      <c r="E260" s="355">
        <v>49.99</v>
      </c>
      <c r="F260" s="353">
        <v>12.0</v>
      </c>
      <c r="G260" s="353">
        <v>1135.0</v>
      </c>
      <c r="H260" s="353">
        <v>38.0</v>
      </c>
      <c r="I260" s="353"/>
      <c r="J260" s="355"/>
      <c r="K260" s="319"/>
    </row>
    <row r="261" ht="15.75" customHeight="1">
      <c r="A261" s="352">
        <v>46063.0</v>
      </c>
      <c r="B261" s="353" t="s">
        <v>360</v>
      </c>
      <c r="C261" s="353" t="s">
        <v>361</v>
      </c>
      <c r="D261" s="353" t="s">
        <v>351</v>
      </c>
      <c r="E261" s="355">
        <v>22.79</v>
      </c>
      <c r="F261" s="353"/>
      <c r="G261" s="353">
        <v>497.0</v>
      </c>
      <c r="H261" s="353">
        <v>25.0</v>
      </c>
      <c r="I261" s="353"/>
      <c r="J261" s="355"/>
      <c r="K261" s="319"/>
    </row>
    <row r="262" ht="15.75" customHeight="1">
      <c r="A262" s="352">
        <v>46063.0</v>
      </c>
      <c r="B262" s="353" t="s">
        <v>357</v>
      </c>
      <c r="C262" s="353" t="s">
        <v>358</v>
      </c>
      <c r="D262" s="353" t="s">
        <v>359</v>
      </c>
      <c r="E262" s="355">
        <v>6.26</v>
      </c>
      <c r="F262" s="353"/>
      <c r="G262" s="353">
        <v>436.0</v>
      </c>
      <c r="H262" s="353">
        <v>13.0</v>
      </c>
      <c r="I262" s="353"/>
      <c r="J262" s="355"/>
      <c r="K262" s="319"/>
    </row>
    <row r="263" ht="15.75" customHeight="1">
      <c r="A263" s="352">
        <v>46062.0</v>
      </c>
      <c r="B263" s="353" t="s">
        <v>347</v>
      </c>
      <c r="C263" s="353" t="s">
        <v>350</v>
      </c>
      <c r="D263" s="353" t="s">
        <v>349</v>
      </c>
      <c r="E263" s="355">
        <v>3.33</v>
      </c>
      <c r="F263" s="353">
        <v>2.0</v>
      </c>
      <c r="G263" s="353">
        <v>79.0</v>
      </c>
      <c r="H263" s="353">
        <v>6.0</v>
      </c>
      <c r="K263" s="319"/>
    </row>
    <row r="264" ht="15.75" customHeight="1">
      <c r="A264" s="352">
        <v>46062.0</v>
      </c>
      <c r="B264" s="353" t="s">
        <v>347</v>
      </c>
      <c r="C264" s="353" t="s">
        <v>350</v>
      </c>
      <c r="D264" s="353" t="s">
        <v>351</v>
      </c>
      <c r="E264" s="355">
        <v>24.81</v>
      </c>
      <c r="F264" s="353">
        <v>7.0</v>
      </c>
      <c r="G264" s="353">
        <v>710.0</v>
      </c>
      <c r="H264" s="353">
        <v>29.0</v>
      </c>
      <c r="I264" s="353">
        <v>1.0</v>
      </c>
      <c r="J264" s="355">
        <v>185.9</v>
      </c>
      <c r="K264" s="319"/>
    </row>
    <row r="265" ht="15.75" customHeight="1">
      <c r="A265" s="352">
        <v>46062.0</v>
      </c>
      <c r="B265" s="353" t="s">
        <v>347</v>
      </c>
      <c r="C265" s="353" t="s">
        <v>353</v>
      </c>
      <c r="D265" s="353" t="s">
        <v>354</v>
      </c>
      <c r="E265" s="355">
        <v>59.31</v>
      </c>
      <c r="F265" s="353">
        <v>43.0</v>
      </c>
      <c r="G265" s="353">
        <v>1607.0</v>
      </c>
      <c r="H265" s="353">
        <v>88.0</v>
      </c>
      <c r="I265" s="353">
        <v>3.0</v>
      </c>
      <c r="J265" s="355">
        <v>461.9</v>
      </c>
      <c r="K265" s="319"/>
    </row>
    <row r="266" ht="15.75" customHeight="1">
      <c r="A266" s="352">
        <v>46062.0</v>
      </c>
      <c r="B266" s="353" t="s">
        <v>360</v>
      </c>
      <c r="C266" s="353" t="s">
        <v>361</v>
      </c>
      <c r="D266" s="353" t="s">
        <v>351</v>
      </c>
      <c r="E266" s="355">
        <v>30.28</v>
      </c>
      <c r="F266" s="353"/>
      <c r="G266" s="353">
        <v>720.0</v>
      </c>
      <c r="H266" s="353">
        <v>26.0</v>
      </c>
      <c r="I266" s="353"/>
      <c r="J266" s="355"/>
      <c r="K266" s="319"/>
    </row>
    <row r="267" ht="15.75" customHeight="1">
      <c r="A267" s="352">
        <v>46062.0</v>
      </c>
      <c r="B267" s="353" t="s">
        <v>357</v>
      </c>
      <c r="C267" s="353" t="s">
        <v>358</v>
      </c>
      <c r="D267" s="353" t="s">
        <v>359</v>
      </c>
      <c r="E267" s="355">
        <v>7.86</v>
      </c>
      <c r="F267" s="353">
        <v>2.0</v>
      </c>
      <c r="G267" s="353">
        <v>606.0</v>
      </c>
      <c r="H267" s="353">
        <v>17.0</v>
      </c>
      <c r="I267" s="353"/>
      <c r="J267" s="355"/>
      <c r="K267" s="319"/>
    </row>
    <row r="268" ht="15.75" customHeight="1">
      <c r="A268" s="352">
        <v>46060.0</v>
      </c>
      <c r="B268" s="353" t="s">
        <v>347</v>
      </c>
      <c r="C268" s="353" t="s">
        <v>353</v>
      </c>
      <c r="D268" s="353" t="s">
        <v>355</v>
      </c>
      <c r="E268" s="355">
        <v>0.32</v>
      </c>
      <c r="F268" s="353"/>
      <c r="G268" s="353">
        <v>14.0</v>
      </c>
      <c r="H268" s="353">
        <v>0.0</v>
      </c>
      <c r="K268" s="319"/>
    </row>
    <row r="269" ht="15.75" customHeight="1">
      <c r="A269" s="352">
        <v>46060.0</v>
      </c>
      <c r="B269" s="353" t="s">
        <v>347</v>
      </c>
      <c r="C269" s="353" t="s">
        <v>353</v>
      </c>
      <c r="D269" s="353" t="s">
        <v>356</v>
      </c>
      <c r="E269" s="355">
        <v>0.07</v>
      </c>
      <c r="F269" s="353"/>
      <c r="G269" s="353">
        <v>3.0</v>
      </c>
      <c r="H269" s="353">
        <v>0.0</v>
      </c>
      <c r="I269" s="353"/>
      <c r="J269" s="355"/>
      <c r="K269" s="319"/>
    </row>
    <row r="270" ht="15.75" customHeight="1">
      <c r="A270" s="352">
        <v>46060.0</v>
      </c>
      <c r="B270" s="353" t="s">
        <v>347</v>
      </c>
      <c r="C270" s="353" t="s">
        <v>353</v>
      </c>
      <c r="D270" s="353" t="s">
        <v>354</v>
      </c>
      <c r="E270" s="355">
        <v>2.9</v>
      </c>
      <c r="F270" s="353">
        <v>3.0</v>
      </c>
      <c r="G270" s="353">
        <v>53.0</v>
      </c>
      <c r="H270" s="353">
        <v>6.0</v>
      </c>
      <c r="K270" s="319"/>
    </row>
    <row r="271" ht="15.75" customHeight="1">
      <c r="A271" s="352">
        <v>46060.0</v>
      </c>
      <c r="B271" s="353" t="s">
        <v>360</v>
      </c>
      <c r="C271" s="353" t="s">
        <v>361</v>
      </c>
      <c r="D271" s="353" t="s">
        <v>351</v>
      </c>
      <c r="E271" s="355">
        <v>2.81</v>
      </c>
      <c r="F271" s="353"/>
      <c r="G271" s="353">
        <v>57.0</v>
      </c>
      <c r="H271" s="353">
        <v>3.0</v>
      </c>
      <c r="K271" s="319"/>
    </row>
    <row r="272" ht="15.75" customHeight="1">
      <c r="A272" s="352">
        <v>46060.0</v>
      </c>
      <c r="B272" s="353" t="s">
        <v>360</v>
      </c>
      <c r="C272" s="353" t="s">
        <v>361</v>
      </c>
      <c r="D272" s="353" t="s">
        <v>349</v>
      </c>
      <c r="E272" s="355">
        <v>0.1</v>
      </c>
      <c r="F272" s="353"/>
      <c r="G272" s="353">
        <v>5.0</v>
      </c>
      <c r="H272" s="353">
        <v>0.0</v>
      </c>
      <c r="I272" s="353"/>
      <c r="J272" s="355"/>
      <c r="K272" s="319"/>
    </row>
    <row r="273" ht="15.75" customHeight="1">
      <c r="A273" s="352">
        <v>46060.0</v>
      </c>
      <c r="B273" s="353" t="s">
        <v>357</v>
      </c>
      <c r="C273" s="353" t="s">
        <v>358</v>
      </c>
      <c r="D273" s="353" t="s">
        <v>359</v>
      </c>
      <c r="E273" s="355">
        <v>0.35</v>
      </c>
      <c r="F273" s="353"/>
      <c r="G273" s="353">
        <v>17.0</v>
      </c>
      <c r="H273" s="353">
        <v>1.0</v>
      </c>
      <c r="I273" s="353"/>
      <c r="J273" s="355"/>
      <c r="K273" s="319"/>
    </row>
    <row r="274" ht="15.75" customHeight="1">
      <c r="A274" s="352">
        <v>46060.0</v>
      </c>
      <c r="B274" s="353" t="s">
        <v>360</v>
      </c>
      <c r="C274" s="353" t="s">
        <v>362</v>
      </c>
      <c r="D274" s="353" t="s">
        <v>363</v>
      </c>
      <c r="E274" s="355">
        <v>5.56</v>
      </c>
      <c r="F274" s="353"/>
      <c r="G274" s="353">
        <v>86.0</v>
      </c>
      <c r="H274" s="353">
        <v>3.0</v>
      </c>
      <c r="I274" s="353"/>
      <c r="J274" s="355"/>
      <c r="K274" s="319"/>
    </row>
    <row r="275" ht="15.75" customHeight="1">
      <c r="A275" s="352">
        <v>46059.0</v>
      </c>
      <c r="B275" s="353" t="s">
        <v>347</v>
      </c>
      <c r="C275" s="353" t="s">
        <v>353</v>
      </c>
      <c r="D275" s="353" t="s">
        <v>355</v>
      </c>
      <c r="E275" s="355">
        <v>4.0</v>
      </c>
      <c r="F275" s="353"/>
      <c r="G275" s="353">
        <v>97.0</v>
      </c>
      <c r="H275" s="353">
        <v>3.0</v>
      </c>
      <c r="K275" s="319"/>
    </row>
    <row r="276" ht="15.75" customHeight="1">
      <c r="A276" s="352">
        <v>46059.0</v>
      </c>
      <c r="B276" s="353" t="s">
        <v>347</v>
      </c>
      <c r="C276" s="353" t="s">
        <v>353</v>
      </c>
      <c r="D276" s="353" t="s">
        <v>356</v>
      </c>
      <c r="E276" s="355">
        <v>1.64</v>
      </c>
      <c r="F276" s="353"/>
      <c r="G276" s="353">
        <v>44.0</v>
      </c>
      <c r="H276" s="353">
        <v>0.0</v>
      </c>
      <c r="I276" s="353"/>
      <c r="J276" s="355"/>
      <c r="K276" s="319"/>
    </row>
    <row r="277" ht="15.75" customHeight="1">
      <c r="A277" s="352">
        <v>46059.0</v>
      </c>
      <c r="B277" s="353" t="s">
        <v>347</v>
      </c>
      <c r="C277" s="353" t="s">
        <v>353</v>
      </c>
      <c r="D277" s="353" t="s">
        <v>354</v>
      </c>
      <c r="E277" s="355">
        <v>41.52</v>
      </c>
      <c r="F277" s="353">
        <v>15.0</v>
      </c>
      <c r="G277" s="353">
        <v>841.0</v>
      </c>
      <c r="H277" s="353">
        <v>33.0</v>
      </c>
      <c r="I277" s="353">
        <v>1.0</v>
      </c>
      <c r="J277" s="355">
        <v>96.0</v>
      </c>
      <c r="K277" s="319"/>
    </row>
    <row r="278" ht="15.75" customHeight="1">
      <c r="A278" s="352">
        <v>46059.0</v>
      </c>
      <c r="B278" s="353" t="s">
        <v>360</v>
      </c>
      <c r="C278" s="353" t="s">
        <v>361</v>
      </c>
      <c r="D278" s="353" t="s">
        <v>351</v>
      </c>
      <c r="E278" s="355">
        <v>26.49</v>
      </c>
      <c r="F278" s="353">
        <v>1.0</v>
      </c>
      <c r="G278" s="353">
        <v>620.0</v>
      </c>
      <c r="H278" s="353">
        <v>21.0</v>
      </c>
      <c r="I278" s="353"/>
      <c r="J278" s="355"/>
      <c r="K278" s="319"/>
    </row>
    <row r="279" ht="15.75" customHeight="1">
      <c r="A279" s="352">
        <v>46059.0</v>
      </c>
      <c r="B279" s="353" t="s">
        <v>360</v>
      </c>
      <c r="C279" s="353" t="s">
        <v>361</v>
      </c>
      <c r="D279" s="353" t="s">
        <v>349</v>
      </c>
      <c r="E279" s="355">
        <v>0.53</v>
      </c>
      <c r="F279" s="353"/>
      <c r="G279" s="353">
        <v>9.0</v>
      </c>
      <c r="H279" s="353">
        <v>0.0</v>
      </c>
      <c r="I279" s="353"/>
      <c r="K279" s="319"/>
    </row>
    <row r="280" ht="15.75" customHeight="1">
      <c r="A280" s="352">
        <v>46059.0</v>
      </c>
      <c r="B280" s="353" t="s">
        <v>357</v>
      </c>
      <c r="C280" s="353" t="s">
        <v>358</v>
      </c>
      <c r="D280" s="353" t="s">
        <v>359</v>
      </c>
      <c r="E280" s="355">
        <v>6.48</v>
      </c>
      <c r="F280" s="353"/>
      <c r="G280" s="353">
        <v>253.0</v>
      </c>
      <c r="H280" s="353">
        <v>17.0</v>
      </c>
      <c r="I280" s="353"/>
      <c r="J280" s="355"/>
      <c r="K280" s="319"/>
    </row>
    <row r="281" ht="15.75" customHeight="1">
      <c r="A281" s="352">
        <v>46059.0</v>
      </c>
      <c r="B281" s="353" t="s">
        <v>360</v>
      </c>
      <c r="C281" s="353" t="s">
        <v>362</v>
      </c>
      <c r="D281" s="353" t="s">
        <v>364</v>
      </c>
      <c r="E281" s="355">
        <v>0.04</v>
      </c>
      <c r="F281" s="353"/>
      <c r="G281" s="353">
        <v>1.0</v>
      </c>
      <c r="H281" s="353">
        <v>0.0</v>
      </c>
      <c r="I281" s="353"/>
      <c r="J281" s="355"/>
      <c r="K281" s="319"/>
    </row>
    <row r="282" ht="15.75" customHeight="1">
      <c r="A282" s="352">
        <v>46059.0</v>
      </c>
      <c r="B282" s="353" t="s">
        <v>360</v>
      </c>
      <c r="C282" s="353" t="s">
        <v>362</v>
      </c>
      <c r="D282" s="353" t="s">
        <v>363</v>
      </c>
      <c r="E282" s="355">
        <v>21.19</v>
      </c>
      <c r="F282" s="353"/>
      <c r="G282" s="353">
        <v>410.0</v>
      </c>
      <c r="H282" s="353">
        <v>14.0</v>
      </c>
      <c r="I282" s="353"/>
      <c r="K282" s="319"/>
    </row>
    <row r="283" ht="15.75" customHeight="1">
      <c r="A283" s="352">
        <v>46058.0</v>
      </c>
      <c r="B283" s="353" t="s">
        <v>347</v>
      </c>
      <c r="C283" s="353" t="s">
        <v>353</v>
      </c>
      <c r="D283" s="353" t="s">
        <v>355</v>
      </c>
      <c r="E283" s="355">
        <v>2.73</v>
      </c>
      <c r="F283" s="353">
        <v>2.0</v>
      </c>
      <c r="G283" s="353">
        <v>70.0</v>
      </c>
      <c r="H283" s="353">
        <v>2.0</v>
      </c>
      <c r="K283" s="319"/>
    </row>
    <row r="284" ht="15.75" customHeight="1">
      <c r="A284" s="352">
        <v>46058.0</v>
      </c>
      <c r="B284" s="353" t="s">
        <v>347</v>
      </c>
      <c r="C284" s="353" t="s">
        <v>353</v>
      </c>
      <c r="D284" s="353" t="s">
        <v>356</v>
      </c>
      <c r="E284" s="355">
        <v>2.5</v>
      </c>
      <c r="F284" s="353"/>
      <c r="G284" s="353">
        <v>90.0</v>
      </c>
      <c r="H284" s="353">
        <v>2.0</v>
      </c>
      <c r="K284" s="319"/>
    </row>
    <row r="285" ht="15.75" customHeight="1">
      <c r="A285" s="352">
        <v>46058.0</v>
      </c>
      <c r="B285" s="353" t="s">
        <v>347</v>
      </c>
      <c r="C285" s="353" t="s">
        <v>353</v>
      </c>
      <c r="D285" s="353" t="s">
        <v>354</v>
      </c>
      <c r="E285" s="355">
        <v>17.01</v>
      </c>
      <c r="F285" s="353">
        <v>5.0</v>
      </c>
      <c r="G285" s="353">
        <v>406.0</v>
      </c>
      <c r="H285" s="353">
        <v>22.0</v>
      </c>
      <c r="I285" s="353">
        <v>1.0</v>
      </c>
      <c r="J285" s="355">
        <v>185.9</v>
      </c>
      <c r="K285" s="319"/>
    </row>
    <row r="286" ht="15.75" customHeight="1">
      <c r="A286" s="352">
        <v>46058.0</v>
      </c>
      <c r="B286" s="353" t="s">
        <v>360</v>
      </c>
      <c r="C286" s="353" t="s">
        <v>361</v>
      </c>
      <c r="D286" s="353" t="s">
        <v>351</v>
      </c>
      <c r="E286" s="355">
        <v>22.68</v>
      </c>
      <c r="F286" s="353">
        <v>1.0</v>
      </c>
      <c r="G286" s="353">
        <v>593.0</v>
      </c>
      <c r="H286" s="353">
        <v>36.0</v>
      </c>
      <c r="I286" s="353"/>
      <c r="K286" s="319"/>
    </row>
    <row r="287" ht="15.75" customHeight="1">
      <c r="A287" s="352">
        <v>46058.0</v>
      </c>
      <c r="B287" s="353" t="s">
        <v>360</v>
      </c>
      <c r="C287" s="353" t="s">
        <v>361</v>
      </c>
      <c r="D287" s="353" t="s">
        <v>349</v>
      </c>
      <c r="E287" s="355">
        <v>4.32</v>
      </c>
      <c r="F287" s="353"/>
      <c r="G287" s="353">
        <v>64.0</v>
      </c>
      <c r="H287" s="353">
        <v>2.0</v>
      </c>
      <c r="K287" s="319"/>
    </row>
    <row r="288" ht="15.75" customHeight="1">
      <c r="A288" s="352">
        <v>46058.0</v>
      </c>
      <c r="B288" s="353" t="s">
        <v>357</v>
      </c>
      <c r="C288" s="353" t="s">
        <v>358</v>
      </c>
      <c r="D288" s="353" t="s">
        <v>359</v>
      </c>
      <c r="E288" s="355">
        <v>7.64</v>
      </c>
      <c r="F288" s="353">
        <v>1.0</v>
      </c>
      <c r="G288" s="353">
        <v>283.0</v>
      </c>
      <c r="H288" s="353">
        <v>13.0</v>
      </c>
      <c r="K288" s="319"/>
    </row>
    <row r="289" ht="15.75" customHeight="1">
      <c r="A289" s="352">
        <v>46058.0</v>
      </c>
      <c r="B289" s="353" t="s">
        <v>360</v>
      </c>
      <c r="C289" s="353" t="s">
        <v>362</v>
      </c>
      <c r="D289" s="353" t="s">
        <v>364</v>
      </c>
      <c r="E289" s="355">
        <v>0.16</v>
      </c>
      <c r="F289" s="353"/>
      <c r="G289" s="353">
        <v>1.0</v>
      </c>
      <c r="H289" s="353">
        <v>0.0</v>
      </c>
      <c r="K289" s="319"/>
    </row>
    <row r="290" ht="15.75" customHeight="1">
      <c r="A290" s="352">
        <v>46058.0</v>
      </c>
      <c r="B290" s="353" t="s">
        <v>360</v>
      </c>
      <c r="C290" s="353" t="s">
        <v>362</v>
      </c>
      <c r="D290" s="353" t="s">
        <v>363</v>
      </c>
      <c r="E290" s="355">
        <v>21.07</v>
      </c>
      <c r="F290" s="353"/>
      <c r="G290" s="353">
        <v>362.0</v>
      </c>
      <c r="H290" s="353">
        <v>14.0</v>
      </c>
      <c r="I290" s="353">
        <v>1.0</v>
      </c>
      <c r="K290" s="319"/>
    </row>
    <row r="291" ht="15.75" customHeight="1">
      <c r="A291" s="352">
        <v>46057.0</v>
      </c>
      <c r="B291" s="353" t="s">
        <v>360</v>
      </c>
      <c r="C291" s="353" t="s">
        <v>361</v>
      </c>
      <c r="D291" s="353" t="s">
        <v>351</v>
      </c>
      <c r="E291" s="355">
        <v>25.42</v>
      </c>
      <c r="F291" s="353"/>
      <c r="G291" s="353">
        <v>449.0</v>
      </c>
      <c r="H291" s="353">
        <v>17.0</v>
      </c>
      <c r="K291" s="319"/>
    </row>
    <row r="292" ht="15.75" customHeight="1">
      <c r="A292" s="352">
        <v>46057.0</v>
      </c>
      <c r="B292" s="353" t="s">
        <v>360</v>
      </c>
      <c r="C292" s="353" t="s">
        <v>361</v>
      </c>
      <c r="D292" s="353" t="s">
        <v>349</v>
      </c>
      <c r="E292" s="355">
        <v>5.92</v>
      </c>
      <c r="F292" s="353"/>
      <c r="G292" s="353">
        <v>82.0</v>
      </c>
      <c r="H292" s="353">
        <v>3.0</v>
      </c>
      <c r="K292" s="319"/>
    </row>
    <row r="293" ht="15.75" customHeight="1">
      <c r="A293" s="352">
        <v>46057.0</v>
      </c>
      <c r="B293" s="353" t="s">
        <v>357</v>
      </c>
      <c r="C293" s="353" t="s">
        <v>358</v>
      </c>
      <c r="D293" s="353" t="s">
        <v>359</v>
      </c>
      <c r="E293" s="355">
        <v>7.71</v>
      </c>
      <c r="G293" s="353">
        <v>368.0</v>
      </c>
      <c r="H293" s="353">
        <v>21.0</v>
      </c>
      <c r="K293" s="319"/>
    </row>
    <row r="294" ht="15.75" customHeight="1">
      <c r="A294" s="352">
        <v>46057.0</v>
      </c>
      <c r="B294" s="353" t="s">
        <v>360</v>
      </c>
      <c r="C294" s="353" t="s">
        <v>362</v>
      </c>
      <c r="D294" s="353" t="s">
        <v>363</v>
      </c>
      <c r="E294" s="355">
        <v>41.75</v>
      </c>
      <c r="G294" s="353">
        <v>765.0</v>
      </c>
      <c r="H294" s="353">
        <v>36.0</v>
      </c>
      <c r="K294" s="319"/>
    </row>
    <row r="295" ht="15.75" customHeight="1">
      <c r="A295" s="352">
        <v>46056.0</v>
      </c>
      <c r="B295" s="353" t="s">
        <v>360</v>
      </c>
      <c r="C295" s="353" t="s">
        <v>361</v>
      </c>
      <c r="D295" s="353" t="s">
        <v>351</v>
      </c>
      <c r="E295" s="355">
        <v>37.13</v>
      </c>
      <c r="F295" s="353"/>
      <c r="G295" s="353">
        <v>596.0</v>
      </c>
      <c r="H295" s="353">
        <v>23.0</v>
      </c>
      <c r="K295" s="319"/>
    </row>
    <row r="296" ht="15.75" customHeight="1">
      <c r="A296" s="352">
        <v>46056.0</v>
      </c>
      <c r="B296" s="353" t="s">
        <v>360</v>
      </c>
      <c r="C296" s="353" t="s">
        <v>361</v>
      </c>
      <c r="D296" s="353" t="s">
        <v>349</v>
      </c>
      <c r="E296" s="355">
        <v>10.83</v>
      </c>
      <c r="F296" s="353"/>
      <c r="G296" s="353">
        <v>157.0</v>
      </c>
      <c r="H296" s="353">
        <v>5.0</v>
      </c>
      <c r="K296" s="319"/>
    </row>
    <row r="297" ht="15.75" customHeight="1">
      <c r="A297" s="352">
        <v>46056.0</v>
      </c>
      <c r="B297" s="353" t="s">
        <v>357</v>
      </c>
      <c r="C297" s="353" t="s">
        <v>358</v>
      </c>
      <c r="D297" s="353" t="s">
        <v>359</v>
      </c>
      <c r="E297" s="355">
        <v>8.25</v>
      </c>
      <c r="F297" s="353"/>
      <c r="G297" s="353">
        <v>348.0</v>
      </c>
      <c r="H297" s="353">
        <v>24.0</v>
      </c>
      <c r="K297" s="319"/>
    </row>
    <row r="298" ht="15.75" customHeight="1">
      <c r="A298" s="352">
        <v>46056.0</v>
      </c>
      <c r="B298" s="353" t="s">
        <v>360</v>
      </c>
      <c r="C298" s="353" t="s">
        <v>362</v>
      </c>
      <c r="D298" s="353" t="s">
        <v>364</v>
      </c>
      <c r="E298" s="355">
        <v>0.12</v>
      </c>
      <c r="F298" s="353"/>
      <c r="G298" s="353">
        <v>6.0</v>
      </c>
      <c r="H298" s="353">
        <v>1.0</v>
      </c>
      <c r="K298" s="319"/>
    </row>
    <row r="299" ht="15.75" customHeight="1">
      <c r="A299" s="352">
        <v>46056.0</v>
      </c>
      <c r="B299" s="353" t="s">
        <v>360</v>
      </c>
      <c r="C299" s="353" t="s">
        <v>362</v>
      </c>
      <c r="D299" s="353" t="s">
        <v>363</v>
      </c>
      <c r="E299" s="355">
        <v>66.09</v>
      </c>
      <c r="G299" s="353">
        <v>962.0</v>
      </c>
      <c r="H299" s="353">
        <v>36.0</v>
      </c>
      <c r="K299" s="319"/>
    </row>
    <row r="300" ht="15.75" customHeight="1">
      <c r="A300" s="352">
        <v>46055.0</v>
      </c>
      <c r="B300" s="353" t="s">
        <v>360</v>
      </c>
      <c r="C300" s="353" t="s">
        <v>361</v>
      </c>
      <c r="D300" s="353" t="s">
        <v>351</v>
      </c>
      <c r="E300" s="355">
        <v>7.79</v>
      </c>
      <c r="G300" s="353">
        <v>114.0</v>
      </c>
      <c r="H300" s="353">
        <v>6.0</v>
      </c>
      <c r="K300" s="319"/>
    </row>
    <row r="301" ht="15.75" customHeight="1">
      <c r="A301" s="352">
        <v>46055.0</v>
      </c>
      <c r="B301" s="353" t="s">
        <v>360</v>
      </c>
      <c r="C301" s="353" t="s">
        <v>361</v>
      </c>
      <c r="D301" s="353" t="s">
        <v>349</v>
      </c>
      <c r="E301" s="355">
        <v>8.99</v>
      </c>
      <c r="G301" s="353">
        <v>63.0</v>
      </c>
      <c r="H301" s="353">
        <v>4.0</v>
      </c>
      <c r="K301" s="319"/>
    </row>
    <row r="302" ht="15.75" customHeight="1">
      <c r="A302" s="352">
        <v>46055.0</v>
      </c>
      <c r="B302" s="353" t="s">
        <v>357</v>
      </c>
      <c r="C302" s="353" t="s">
        <v>358</v>
      </c>
      <c r="D302" s="353" t="s">
        <v>359</v>
      </c>
      <c r="E302" s="355">
        <v>3.24</v>
      </c>
      <c r="G302" s="353">
        <v>145.0</v>
      </c>
      <c r="H302" s="353">
        <v>10.0</v>
      </c>
      <c r="K302" s="319"/>
    </row>
    <row r="303" ht="15.75" customHeight="1">
      <c r="A303" s="352">
        <v>46055.0</v>
      </c>
      <c r="B303" s="353" t="s">
        <v>360</v>
      </c>
      <c r="C303" s="353" t="s">
        <v>362</v>
      </c>
      <c r="D303" s="353" t="s">
        <v>364</v>
      </c>
      <c r="E303" s="355">
        <v>0.05</v>
      </c>
      <c r="G303" s="353">
        <v>2.0</v>
      </c>
      <c r="H303" s="353">
        <v>0.0</v>
      </c>
      <c r="K303" s="319"/>
    </row>
    <row r="304" ht="15.75" customHeight="1">
      <c r="A304" s="352">
        <v>46055.0</v>
      </c>
      <c r="B304" s="353" t="s">
        <v>360</v>
      </c>
      <c r="C304" s="353" t="s">
        <v>362</v>
      </c>
      <c r="D304" s="353" t="s">
        <v>363</v>
      </c>
      <c r="E304" s="355">
        <v>19.05</v>
      </c>
      <c r="G304" s="353">
        <v>326.0</v>
      </c>
      <c r="H304" s="353">
        <v>8.0</v>
      </c>
      <c r="K304" s="319"/>
    </row>
    <row r="305" ht="15.75" customHeight="1">
      <c r="A305" s="352">
        <v>46054.0</v>
      </c>
      <c r="B305" s="353" t="s">
        <v>360</v>
      </c>
      <c r="C305" s="353" t="s">
        <v>361</v>
      </c>
      <c r="D305" s="353" t="s">
        <v>351</v>
      </c>
      <c r="E305" s="355">
        <v>18.13</v>
      </c>
      <c r="G305" s="353">
        <v>256.0</v>
      </c>
      <c r="H305" s="353">
        <v>5.0</v>
      </c>
      <c r="K305" s="319"/>
    </row>
    <row r="306" ht="15.75" customHeight="1">
      <c r="A306" s="352">
        <v>46054.0</v>
      </c>
      <c r="B306" s="353" t="s">
        <v>360</v>
      </c>
      <c r="C306" s="353" t="s">
        <v>361</v>
      </c>
      <c r="D306" s="353" t="s">
        <v>349</v>
      </c>
      <c r="E306" s="355">
        <v>16.27</v>
      </c>
      <c r="G306" s="353">
        <v>247.0</v>
      </c>
      <c r="H306" s="353">
        <v>10.0</v>
      </c>
      <c r="K306" s="319"/>
    </row>
    <row r="307" ht="15.75" customHeight="1">
      <c r="A307" s="352">
        <v>46054.0</v>
      </c>
      <c r="B307" s="353" t="s">
        <v>357</v>
      </c>
      <c r="C307" s="353" t="s">
        <v>358</v>
      </c>
      <c r="D307" s="353" t="s">
        <v>359</v>
      </c>
      <c r="E307" s="355">
        <v>9.35</v>
      </c>
      <c r="G307" s="353">
        <v>475.0</v>
      </c>
      <c r="H307" s="353">
        <v>32.0</v>
      </c>
      <c r="K307" s="319"/>
    </row>
    <row r="308" ht="15.75" customHeight="1">
      <c r="A308" s="352">
        <v>46054.0</v>
      </c>
      <c r="B308" s="353" t="s">
        <v>360</v>
      </c>
      <c r="C308" s="353" t="s">
        <v>362</v>
      </c>
      <c r="D308" s="353" t="s">
        <v>364</v>
      </c>
      <c r="E308" s="355">
        <v>0.77</v>
      </c>
      <c r="G308" s="353">
        <v>18.0</v>
      </c>
      <c r="H308" s="353">
        <v>0.0</v>
      </c>
      <c r="K308" s="319"/>
    </row>
    <row r="309" ht="15.75" customHeight="1">
      <c r="A309" s="352">
        <v>46054.0</v>
      </c>
      <c r="B309" s="353" t="s">
        <v>360</v>
      </c>
      <c r="C309" s="353" t="s">
        <v>362</v>
      </c>
      <c r="D309" s="353" t="s">
        <v>363</v>
      </c>
      <c r="E309" s="355">
        <v>44.85</v>
      </c>
      <c r="G309" s="353">
        <v>609.0</v>
      </c>
      <c r="H309" s="353">
        <v>21.0</v>
      </c>
      <c r="K309" s="319"/>
    </row>
    <row r="310" ht="15.75" customHeight="1">
      <c r="A310" s="352">
        <v>46053.0</v>
      </c>
      <c r="B310" s="353" t="s">
        <v>360</v>
      </c>
      <c r="C310" s="353" t="s">
        <v>361</v>
      </c>
      <c r="D310" s="353" t="s">
        <v>351</v>
      </c>
      <c r="E310" s="355">
        <v>19.37</v>
      </c>
      <c r="G310" s="353">
        <v>248.0</v>
      </c>
      <c r="H310" s="353">
        <v>13.0</v>
      </c>
      <c r="K310" s="319"/>
    </row>
    <row r="311" ht="15.75" customHeight="1">
      <c r="A311" s="352">
        <v>46053.0</v>
      </c>
      <c r="B311" s="353" t="s">
        <v>360</v>
      </c>
      <c r="C311" s="353" t="s">
        <v>361</v>
      </c>
      <c r="D311" s="353" t="s">
        <v>349</v>
      </c>
      <c r="E311" s="355">
        <v>8.11</v>
      </c>
      <c r="G311" s="353">
        <v>147.0</v>
      </c>
      <c r="H311" s="353">
        <v>10.0</v>
      </c>
      <c r="K311" s="319"/>
    </row>
    <row r="312" ht="15.75" customHeight="1">
      <c r="A312" s="352">
        <v>46053.0</v>
      </c>
      <c r="B312" s="353" t="s">
        <v>357</v>
      </c>
      <c r="C312" s="353" t="s">
        <v>358</v>
      </c>
      <c r="D312" s="353" t="s">
        <v>359</v>
      </c>
      <c r="E312" s="355">
        <v>5.79</v>
      </c>
      <c r="G312" s="353">
        <v>277.0</v>
      </c>
      <c r="H312" s="353">
        <v>14.0</v>
      </c>
      <c r="K312" s="319"/>
    </row>
    <row r="313" ht="15.75" customHeight="1">
      <c r="A313" s="352">
        <v>46053.0</v>
      </c>
      <c r="B313" s="353" t="s">
        <v>360</v>
      </c>
      <c r="C313" s="353" t="s">
        <v>362</v>
      </c>
      <c r="D313" s="353" t="s">
        <v>364</v>
      </c>
      <c r="E313" s="355">
        <v>0.01</v>
      </c>
      <c r="G313" s="353">
        <v>1.0</v>
      </c>
      <c r="H313" s="353">
        <v>0.0</v>
      </c>
      <c r="K313" s="319"/>
    </row>
    <row r="314" ht="15.75" customHeight="1">
      <c r="A314" s="352">
        <v>46053.0</v>
      </c>
      <c r="B314" s="353" t="s">
        <v>360</v>
      </c>
      <c r="C314" s="353" t="s">
        <v>362</v>
      </c>
      <c r="D314" s="353" t="s">
        <v>363</v>
      </c>
      <c r="E314" s="355">
        <v>38.01</v>
      </c>
      <c r="G314" s="353">
        <v>491.0</v>
      </c>
      <c r="H314" s="353">
        <v>16.0</v>
      </c>
      <c r="K314" s="319"/>
    </row>
    <row r="315" ht="15.75" customHeight="1">
      <c r="A315" s="352">
        <v>46052.0</v>
      </c>
      <c r="B315" s="353" t="s">
        <v>360</v>
      </c>
      <c r="C315" s="353" t="s">
        <v>361</v>
      </c>
      <c r="D315" s="353" t="s">
        <v>351</v>
      </c>
      <c r="E315" s="355">
        <v>17.04</v>
      </c>
      <c r="G315" s="353">
        <v>385.0</v>
      </c>
      <c r="H315" s="353">
        <v>16.0</v>
      </c>
      <c r="K315" s="319"/>
    </row>
    <row r="316" ht="15.75" customHeight="1">
      <c r="A316" s="352">
        <v>46052.0</v>
      </c>
      <c r="B316" s="353" t="s">
        <v>360</v>
      </c>
      <c r="C316" s="353" t="s">
        <v>361</v>
      </c>
      <c r="D316" s="353" t="s">
        <v>349</v>
      </c>
      <c r="E316" s="355">
        <v>9.18</v>
      </c>
      <c r="G316" s="353">
        <v>191.0</v>
      </c>
      <c r="H316" s="353">
        <v>10.0</v>
      </c>
      <c r="K316" s="319"/>
    </row>
    <row r="317" ht="15.75" customHeight="1">
      <c r="A317" s="352">
        <v>46052.0</v>
      </c>
      <c r="B317" s="353" t="s">
        <v>357</v>
      </c>
      <c r="C317" s="353" t="s">
        <v>358</v>
      </c>
      <c r="D317" s="353" t="s">
        <v>359</v>
      </c>
      <c r="E317" s="355">
        <v>7.2</v>
      </c>
      <c r="G317" s="353">
        <v>324.0</v>
      </c>
      <c r="H317" s="353">
        <v>13.0</v>
      </c>
      <c r="K317" s="319"/>
    </row>
    <row r="318" ht="15.75" customHeight="1">
      <c r="A318" s="352">
        <v>46052.0</v>
      </c>
      <c r="B318" s="353" t="s">
        <v>360</v>
      </c>
      <c r="C318" s="353" t="s">
        <v>362</v>
      </c>
      <c r="D318" s="353" t="s">
        <v>364</v>
      </c>
      <c r="E318" s="355">
        <v>0.26</v>
      </c>
      <c r="G318" s="353">
        <v>2.0</v>
      </c>
      <c r="H318" s="353">
        <v>0.0</v>
      </c>
      <c r="K318" s="319"/>
    </row>
    <row r="319" ht="15.75" customHeight="1">
      <c r="A319" s="352">
        <v>46052.0</v>
      </c>
      <c r="B319" s="353" t="s">
        <v>360</v>
      </c>
      <c r="C319" s="353" t="s">
        <v>362</v>
      </c>
      <c r="D319" s="353" t="s">
        <v>363</v>
      </c>
      <c r="E319" s="355">
        <v>36.18</v>
      </c>
      <c r="G319" s="353">
        <v>690.0</v>
      </c>
      <c r="H319" s="353">
        <v>22.0</v>
      </c>
      <c r="K319" s="319"/>
    </row>
    <row r="320" ht="15.75" customHeight="1">
      <c r="A320" s="352">
        <v>46051.0</v>
      </c>
      <c r="B320" s="353" t="s">
        <v>360</v>
      </c>
      <c r="C320" s="353" t="s">
        <v>361</v>
      </c>
      <c r="D320" s="353" t="s">
        <v>351</v>
      </c>
      <c r="E320" s="355">
        <v>21.93</v>
      </c>
      <c r="G320" s="353">
        <v>389.0</v>
      </c>
      <c r="H320" s="353">
        <v>8.0</v>
      </c>
      <c r="K320" s="319"/>
    </row>
    <row r="321" ht="15.75" customHeight="1">
      <c r="A321" s="352">
        <v>46051.0</v>
      </c>
      <c r="B321" s="353" t="s">
        <v>360</v>
      </c>
      <c r="C321" s="353" t="s">
        <v>361</v>
      </c>
      <c r="D321" s="353" t="s">
        <v>349</v>
      </c>
      <c r="E321" s="355">
        <v>6.88</v>
      </c>
      <c r="G321" s="353">
        <v>124.0</v>
      </c>
      <c r="H321" s="353">
        <v>4.0</v>
      </c>
      <c r="K321" s="319"/>
    </row>
    <row r="322" ht="15.75" customHeight="1">
      <c r="A322" s="352">
        <v>46051.0</v>
      </c>
      <c r="B322" s="353" t="s">
        <v>357</v>
      </c>
      <c r="C322" s="353" t="s">
        <v>358</v>
      </c>
      <c r="D322" s="353" t="s">
        <v>359</v>
      </c>
      <c r="E322" s="355">
        <v>7.2</v>
      </c>
      <c r="G322" s="353">
        <v>334.0</v>
      </c>
      <c r="H322" s="353">
        <v>21.0</v>
      </c>
      <c r="K322" s="319"/>
    </row>
    <row r="323" ht="15.75" customHeight="1">
      <c r="A323" s="352">
        <v>46051.0</v>
      </c>
      <c r="B323" s="353" t="s">
        <v>360</v>
      </c>
      <c r="C323" s="353" t="s">
        <v>362</v>
      </c>
      <c r="D323" s="353" t="s">
        <v>364</v>
      </c>
      <c r="E323" s="355">
        <v>1.77</v>
      </c>
      <c r="G323" s="353">
        <v>23.0</v>
      </c>
      <c r="H323" s="353">
        <v>0.0</v>
      </c>
      <c r="K323" s="319"/>
    </row>
    <row r="324" ht="15.75" customHeight="1">
      <c r="A324" s="352">
        <v>46051.0</v>
      </c>
      <c r="B324" s="353" t="s">
        <v>360</v>
      </c>
      <c r="C324" s="353" t="s">
        <v>362</v>
      </c>
      <c r="D324" s="353" t="s">
        <v>363</v>
      </c>
      <c r="E324" s="355">
        <v>33.4</v>
      </c>
      <c r="G324" s="353">
        <v>553.0</v>
      </c>
      <c r="H324" s="353">
        <v>26.0</v>
      </c>
      <c r="K324" s="319"/>
    </row>
    <row r="325" ht="15.75" customHeight="1">
      <c r="A325" s="352">
        <v>46050.0</v>
      </c>
      <c r="B325" s="353" t="s">
        <v>360</v>
      </c>
      <c r="C325" s="353" t="s">
        <v>361</v>
      </c>
      <c r="D325" s="353" t="s">
        <v>351</v>
      </c>
      <c r="E325" s="355">
        <v>19.3</v>
      </c>
      <c r="G325" s="353">
        <v>383.0</v>
      </c>
      <c r="H325" s="353">
        <v>7.0</v>
      </c>
      <c r="K325" s="319"/>
    </row>
    <row r="326" ht="15.75" customHeight="1">
      <c r="A326" s="352">
        <v>46050.0</v>
      </c>
      <c r="B326" s="353" t="s">
        <v>360</v>
      </c>
      <c r="C326" s="353" t="s">
        <v>361</v>
      </c>
      <c r="D326" s="353" t="s">
        <v>349</v>
      </c>
      <c r="E326" s="355">
        <v>6.12</v>
      </c>
      <c r="G326" s="353">
        <v>112.0</v>
      </c>
      <c r="H326" s="353">
        <v>5.0</v>
      </c>
      <c r="K326" s="319"/>
    </row>
    <row r="327" ht="15.75" customHeight="1">
      <c r="A327" s="352">
        <v>46050.0</v>
      </c>
      <c r="B327" s="353" t="s">
        <v>357</v>
      </c>
      <c r="C327" s="353" t="s">
        <v>358</v>
      </c>
      <c r="D327" s="353" t="s">
        <v>359</v>
      </c>
      <c r="E327" s="355">
        <v>6.57</v>
      </c>
      <c r="G327" s="353">
        <v>296.0</v>
      </c>
      <c r="H327" s="353">
        <v>18.0</v>
      </c>
      <c r="K327" s="319"/>
    </row>
    <row r="328" ht="15.75" customHeight="1">
      <c r="A328" s="352">
        <v>46050.0</v>
      </c>
      <c r="B328" s="353" t="s">
        <v>360</v>
      </c>
      <c r="C328" s="353" t="s">
        <v>362</v>
      </c>
      <c r="D328" s="353" t="s">
        <v>364</v>
      </c>
      <c r="E328" s="355">
        <v>2.29</v>
      </c>
      <c r="G328" s="353">
        <v>55.0</v>
      </c>
      <c r="H328" s="353">
        <v>1.0</v>
      </c>
      <c r="K328" s="319"/>
    </row>
    <row r="329" ht="15.75" customHeight="1">
      <c r="A329" s="352">
        <v>46050.0</v>
      </c>
      <c r="B329" s="353" t="s">
        <v>360</v>
      </c>
      <c r="C329" s="353" t="s">
        <v>362</v>
      </c>
      <c r="D329" s="353" t="s">
        <v>363</v>
      </c>
      <c r="E329" s="355">
        <v>31.11</v>
      </c>
      <c r="G329" s="353">
        <v>439.0</v>
      </c>
      <c r="H329" s="353">
        <v>16.0</v>
      </c>
      <c r="K329" s="319"/>
    </row>
    <row r="330" ht="15.75" customHeight="1">
      <c r="A330" s="352">
        <v>46049.0</v>
      </c>
      <c r="B330" s="353" t="s">
        <v>360</v>
      </c>
      <c r="C330" s="353" t="s">
        <v>361</v>
      </c>
      <c r="D330" s="353" t="s">
        <v>351</v>
      </c>
      <c r="E330" s="355">
        <v>27.84</v>
      </c>
      <c r="G330" s="353">
        <v>541.0</v>
      </c>
      <c r="H330" s="353">
        <v>22.0</v>
      </c>
      <c r="K330" s="319"/>
    </row>
    <row r="331" ht="15.75" customHeight="1">
      <c r="A331" s="352">
        <v>46049.0</v>
      </c>
      <c r="B331" s="353" t="s">
        <v>360</v>
      </c>
      <c r="C331" s="353" t="s">
        <v>361</v>
      </c>
      <c r="D331" s="353" t="s">
        <v>349</v>
      </c>
      <c r="E331" s="355">
        <v>4.01</v>
      </c>
      <c r="G331" s="353">
        <v>70.0</v>
      </c>
      <c r="H331" s="353">
        <v>4.0</v>
      </c>
      <c r="K331" s="319"/>
    </row>
    <row r="332" ht="15.75" customHeight="1">
      <c r="A332" s="352">
        <v>46049.0</v>
      </c>
      <c r="B332" s="353" t="s">
        <v>357</v>
      </c>
      <c r="C332" s="353" t="s">
        <v>358</v>
      </c>
      <c r="D332" s="353" t="s">
        <v>359</v>
      </c>
      <c r="E332" s="355">
        <v>6.11</v>
      </c>
      <c r="G332" s="353">
        <v>286.0</v>
      </c>
      <c r="H332" s="353">
        <v>22.0</v>
      </c>
      <c r="K332" s="319"/>
    </row>
    <row r="333" ht="15.75" customHeight="1">
      <c r="A333" s="352">
        <v>46049.0</v>
      </c>
      <c r="B333" s="353" t="s">
        <v>360</v>
      </c>
      <c r="C333" s="353" t="s">
        <v>362</v>
      </c>
      <c r="D333" s="353" t="s">
        <v>364</v>
      </c>
      <c r="E333" s="355">
        <v>1.89</v>
      </c>
      <c r="G333" s="353">
        <v>39.0</v>
      </c>
      <c r="H333" s="353">
        <v>0.0</v>
      </c>
      <c r="K333" s="319"/>
    </row>
    <row r="334" ht="15.75" customHeight="1">
      <c r="A334" s="352">
        <v>46049.0</v>
      </c>
      <c r="B334" s="353" t="s">
        <v>360</v>
      </c>
      <c r="C334" s="353" t="s">
        <v>362</v>
      </c>
      <c r="D334" s="353" t="s">
        <v>363</v>
      </c>
      <c r="E334" s="355">
        <v>34.94</v>
      </c>
      <c r="G334" s="353">
        <v>485.0</v>
      </c>
      <c r="H334" s="353">
        <v>14.0</v>
      </c>
      <c r="K334" s="319"/>
    </row>
    <row r="335" ht="15.75" customHeight="1">
      <c r="A335" s="352">
        <v>46048.0</v>
      </c>
      <c r="B335" s="353" t="s">
        <v>360</v>
      </c>
      <c r="C335" s="353" t="s">
        <v>361</v>
      </c>
      <c r="D335" s="353" t="s">
        <v>351</v>
      </c>
      <c r="E335" s="355">
        <v>20.03</v>
      </c>
      <c r="G335" s="353">
        <v>473.0</v>
      </c>
      <c r="H335" s="353">
        <v>13.0</v>
      </c>
      <c r="K335" s="319"/>
    </row>
    <row r="336" ht="15.75" customHeight="1">
      <c r="A336" s="352">
        <v>46048.0</v>
      </c>
      <c r="B336" s="353" t="s">
        <v>360</v>
      </c>
      <c r="C336" s="353" t="s">
        <v>361</v>
      </c>
      <c r="D336" s="353" t="s">
        <v>349</v>
      </c>
      <c r="E336" s="355">
        <v>13.75</v>
      </c>
      <c r="G336" s="353">
        <v>216.0</v>
      </c>
      <c r="H336" s="353">
        <v>7.0</v>
      </c>
      <c r="K336" s="319"/>
    </row>
    <row r="337" ht="15.75" customHeight="1">
      <c r="A337" s="352">
        <v>46048.0</v>
      </c>
      <c r="B337" s="353" t="s">
        <v>357</v>
      </c>
      <c r="C337" s="353" t="s">
        <v>358</v>
      </c>
      <c r="D337" s="353" t="s">
        <v>359</v>
      </c>
      <c r="E337" s="355">
        <v>7.17</v>
      </c>
      <c r="G337" s="353">
        <v>274.0</v>
      </c>
      <c r="H337" s="353">
        <v>24.0</v>
      </c>
      <c r="K337" s="319"/>
    </row>
    <row r="338" ht="15.75" customHeight="1">
      <c r="A338" s="352">
        <v>46048.0</v>
      </c>
      <c r="B338" s="353" t="s">
        <v>360</v>
      </c>
      <c r="C338" s="353" t="s">
        <v>362</v>
      </c>
      <c r="D338" s="353" t="s">
        <v>364</v>
      </c>
      <c r="E338" s="355">
        <v>10.72</v>
      </c>
      <c r="G338" s="353">
        <v>235.0</v>
      </c>
      <c r="H338" s="353">
        <v>7.0</v>
      </c>
      <c r="K338" s="319"/>
    </row>
    <row r="339" ht="15.75" customHeight="1">
      <c r="A339" s="352">
        <v>46048.0</v>
      </c>
      <c r="B339" s="353" t="s">
        <v>360</v>
      </c>
      <c r="C339" s="353" t="s">
        <v>362</v>
      </c>
      <c r="D339" s="353" t="s">
        <v>363</v>
      </c>
      <c r="E339" s="355">
        <v>44.17</v>
      </c>
      <c r="G339" s="353">
        <v>612.0</v>
      </c>
      <c r="H339" s="353">
        <v>34.0</v>
      </c>
      <c r="K339" s="319"/>
    </row>
    <row r="340" ht="15.75" customHeight="1">
      <c r="A340" s="352">
        <v>46047.0</v>
      </c>
      <c r="B340" s="353" t="s">
        <v>360</v>
      </c>
      <c r="C340" s="353" t="s">
        <v>361</v>
      </c>
      <c r="D340" s="353" t="s">
        <v>351</v>
      </c>
      <c r="E340" s="355">
        <v>24.12</v>
      </c>
      <c r="G340" s="353">
        <v>591.0</v>
      </c>
      <c r="H340" s="353">
        <v>23.0</v>
      </c>
      <c r="K340" s="319"/>
    </row>
    <row r="341" ht="15.75" customHeight="1">
      <c r="A341" s="352">
        <v>46047.0</v>
      </c>
      <c r="B341" s="353" t="s">
        <v>360</v>
      </c>
      <c r="C341" s="353" t="s">
        <v>361</v>
      </c>
      <c r="D341" s="353" t="s">
        <v>349</v>
      </c>
      <c r="E341" s="355">
        <v>10.2</v>
      </c>
      <c r="G341" s="353">
        <v>181.0</v>
      </c>
      <c r="H341" s="353">
        <v>13.0</v>
      </c>
      <c r="K341" s="319"/>
    </row>
    <row r="342" ht="15.75" customHeight="1">
      <c r="A342" s="352">
        <v>46047.0</v>
      </c>
      <c r="B342" s="353" t="s">
        <v>357</v>
      </c>
      <c r="C342" s="353" t="s">
        <v>358</v>
      </c>
      <c r="D342" s="353" t="s">
        <v>359</v>
      </c>
      <c r="E342" s="355">
        <v>8.86</v>
      </c>
      <c r="G342" s="353">
        <v>357.0</v>
      </c>
      <c r="H342" s="353">
        <v>28.0</v>
      </c>
      <c r="K342" s="319"/>
    </row>
    <row r="343" ht="15.75" customHeight="1">
      <c r="A343" s="352">
        <v>46047.0</v>
      </c>
      <c r="B343" s="353" t="s">
        <v>360</v>
      </c>
      <c r="C343" s="353" t="s">
        <v>362</v>
      </c>
      <c r="D343" s="353" t="s">
        <v>364</v>
      </c>
      <c r="E343" s="355">
        <v>1.77</v>
      </c>
      <c r="G343" s="353">
        <v>18.0</v>
      </c>
      <c r="H343" s="353">
        <v>1.0</v>
      </c>
      <c r="K343" s="319"/>
    </row>
    <row r="344" ht="15.75" customHeight="1">
      <c r="A344" s="352">
        <v>46047.0</v>
      </c>
      <c r="B344" s="353" t="s">
        <v>360</v>
      </c>
      <c r="C344" s="353" t="s">
        <v>362</v>
      </c>
      <c r="D344" s="353" t="s">
        <v>363</v>
      </c>
      <c r="E344" s="355">
        <v>41.71</v>
      </c>
      <c r="G344" s="353">
        <v>770.0</v>
      </c>
      <c r="H344" s="353">
        <v>18.0</v>
      </c>
      <c r="K344" s="319"/>
    </row>
    <row r="345" ht="15.75" customHeight="1">
      <c r="A345" s="352">
        <v>46046.0</v>
      </c>
      <c r="B345" s="353" t="s">
        <v>360</v>
      </c>
      <c r="C345" s="353" t="s">
        <v>361</v>
      </c>
      <c r="D345" s="353" t="s">
        <v>351</v>
      </c>
      <c r="E345" s="355">
        <v>26.17</v>
      </c>
      <c r="G345" s="353">
        <v>564.0</v>
      </c>
      <c r="H345" s="353">
        <v>26.0</v>
      </c>
      <c r="K345" s="319"/>
    </row>
    <row r="346" ht="15.75" customHeight="1">
      <c r="A346" s="352">
        <v>46046.0</v>
      </c>
      <c r="B346" s="353" t="s">
        <v>360</v>
      </c>
      <c r="C346" s="353" t="s">
        <v>361</v>
      </c>
      <c r="D346" s="353" t="s">
        <v>349</v>
      </c>
      <c r="E346" s="355">
        <v>1.44</v>
      </c>
      <c r="G346" s="353">
        <v>28.0</v>
      </c>
      <c r="H346" s="353">
        <v>3.0</v>
      </c>
      <c r="K346" s="319"/>
    </row>
    <row r="347" ht="15.75" customHeight="1">
      <c r="A347" s="352">
        <v>46046.0</v>
      </c>
      <c r="B347" s="353" t="s">
        <v>357</v>
      </c>
      <c r="C347" s="353" t="s">
        <v>358</v>
      </c>
      <c r="D347" s="353" t="s">
        <v>359</v>
      </c>
      <c r="E347" s="355">
        <v>5.19</v>
      </c>
      <c r="G347" s="353">
        <v>211.0</v>
      </c>
      <c r="H347" s="353">
        <v>10.0</v>
      </c>
      <c r="K347" s="319"/>
    </row>
    <row r="348" ht="15.75" customHeight="1">
      <c r="A348" s="352">
        <v>46046.0</v>
      </c>
      <c r="B348" s="353" t="s">
        <v>360</v>
      </c>
      <c r="C348" s="353" t="s">
        <v>362</v>
      </c>
      <c r="D348" s="353" t="s">
        <v>364</v>
      </c>
      <c r="E348" s="355">
        <v>1.45</v>
      </c>
      <c r="G348" s="353">
        <v>34.0</v>
      </c>
      <c r="H348" s="353">
        <v>2.0</v>
      </c>
      <c r="K348" s="319"/>
    </row>
    <row r="349" ht="15.75" customHeight="1">
      <c r="A349" s="352">
        <v>46046.0</v>
      </c>
      <c r="B349" s="353" t="s">
        <v>360</v>
      </c>
      <c r="C349" s="353" t="s">
        <v>362</v>
      </c>
      <c r="D349" s="353" t="s">
        <v>363</v>
      </c>
      <c r="E349" s="355">
        <v>35.07</v>
      </c>
      <c r="G349" s="353">
        <v>590.0</v>
      </c>
      <c r="H349" s="353">
        <v>19.0</v>
      </c>
      <c r="K349" s="319"/>
    </row>
    <row r="350" ht="15.75" customHeight="1">
      <c r="A350" s="352">
        <v>46045.0</v>
      </c>
      <c r="B350" s="353" t="s">
        <v>360</v>
      </c>
      <c r="C350" s="353" t="s">
        <v>361</v>
      </c>
      <c r="D350" s="353" t="s">
        <v>351</v>
      </c>
      <c r="E350" s="355">
        <v>30.25</v>
      </c>
      <c r="G350" s="353">
        <v>585.0</v>
      </c>
      <c r="H350" s="353">
        <v>31.0</v>
      </c>
      <c r="K350" s="319"/>
    </row>
    <row r="351" ht="15.75" customHeight="1">
      <c r="A351" s="352">
        <v>46045.0</v>
      </c>
      <c r="B351" s="353" t="s">
        <v>360</v>
      </c>
      <c r="C351" s="353" t="s">
        <v>361</v>
      </c>
      <c r="D351" s="353" t="s">
        <v>349</v>
      </c>
      <c r="E351" s="355">
        <v>1.2</v>
      </c>
      <c r="G351" s="353">
        <v>19.0</v>
      </c>
      <c r="H351" s="353">
        <v>1.0</v>
      </c>
      <c r="K351" s="319"/>
    </row>
    <row r="352" ht="15.75" customHeight="1">
      <c r="A352" s="352">
        <v>46045.0</v>
      </c>
      <c r="B352" s="353" t="s">
        <v>357</v>
      </c>
      <c r="C352" s="353" t="s">
        <v>358</v>
      </c>
      <c r="D352" s="353" t="s">
        <v>359</v>
      </c>
      <c r="E352" s="355">
        <v>6.31</v>
      </c>
      <c r="G352" s="353">
        <v>193.0</v>
      </c>
      <c r="H352" s="353">
        <v>13.0</v>
      </c>
      <c r="K352" s="319"/>
    </row>
    <row r="353" ht="15.75" customHeight="1">
      <c r="A353" s="352">
        <v>46045.0</v>
      </c>
      <c r="B353" s="353" t="s">
        <v>360</v>
      </c>
      <c r="C353" s="353" t="s">
        <v>362</v>
      </c>
      <c r="D353" s="353" t="s">
        <v>364</v>
      </c>
      <c r="E353" s="355">
        <v>0.01</v>
      </c>
      <c r="G353" s="353">
        <v>1.0</v>
      </c>
      <c r="H353" s="353">
        <v>0.0</v>
      </c>
      <c r="K353" s="319"/>
    </row>
    <row r="354" ht="15.75" customHeight="1">
      <c r="A354" s="352">
        <v>46045.0</v>
      </c>
      <c r="B354" s="353" t="s">
        <v>360</v>
      </c>
      <c r="C354" s="353" t="s">
        <v>362</v>
      </c>
      <c r="D354" s="353" t="s">
        <v>363</v>
      </c>
      <c r="E354" s="355">
        <v>38.27</v>
      </c>
      <c r="G354" s="353">
        <v>616.0</v>
      </c>
      <c r="H354" s="353">
        <v>23.0</v>
      </c>
      <c r="K354" s="319"/>
    </row>
    <row r="355" ht="15.75" customHeight="1">
      <c r="A355" s="352">
        <v>46044.0</v>
      </c>
      <c r="B355" s="353" t="s">
        <v>360</v>
      </c>
      <c r="C355" s="353" t="s">
        <v>361</v>
      </c>
      <c r="D355" s="353" t="s">
        <v>351</v>
      </c>
      <c r="E355" s="355">
        <v>30.63</v>
      </c>
      <c r="G355" s="353">
        <v>500.0</v>
      </c>
      <c r="H355" s="353">
        <v>30.0</v>
      </c>
      <c r="K355" s="319"/>
    </row>
    <row r="356" ht="15.75" customHeight="1">
      <c r="A356" s="352">
        <v>46044.0</v>
      </c>
      <c r="B356" s="353" t="s">
        <v>360</v>
      </c>
      <c r="C356" s="353" t="s">
        <v>361</v>
      </c>
      <c r="D356" s="353" t="s">
        <v>349</v>
      </c>
      <c r="E356" s="355">
        <v>0.45</v>
      </c>
      <c r="G356" s="353">
        <v>4.0</v>
      </c>
      <c r="H356" s="353">
        <v>0.0</v>
      </c>
      <c r="K356" s="319"/>
    </row>
    <row r="357" ht="15.75" customHeight="1">
      <c r="A357" s="352">
        <v>46044.0</v>
      </c>
      <c r="B357" s="353" t="s">
        <v>357</v>
      </c>
      <c r="C357" s="353" t="s">
        <v>358</v>
      </c>
      <c r="D357" s="353" t="s">
        <v>359</v>
      </c>
      <c r="E357" s="355">
        <v>6.87</v>
      </c>
      <c r="G357" s="353">
        <v>227.0</v>
      </c>
      <c r="H357" s="353">
        <v>19.0</v>
      </c>
      <c r="K357" s="319"/>
    </row>
    <row r="358" ht="15.75" customHeight="1">
      <c r="A358" s="352">
        <v>46044.0</v>
      </c>
      <c r="B358" s="353" t="s">
        <v>360</v>
      </c>
      <c r="C358" s="353" t="s">
        <v>362</v>
      </c>
      <c r="D358" s="353" t="s">
        <v>364</v>
      </c>
      <c r="E358" s="355">
        <v>0.36</v>
      </c>
      <c r="G358" s="353">
        <v>13.0</v>
      </c>
      <c r="H358" s="353">
        <v>0.0</v>
      </c>
      <c r="K358" s="319"/>
    </row>
    <row r="359" ht="15.75" customHeight="1">
      <c r="A359" s="352">
        <v>46044.0</v>
      </c>
      <c r="B359" s="353" t="s">
        <v>360</v>
      </c>
      <c r="C359" s="353" t="s">
        <v>362</v>
      </c>
      <c r="D359" s="353" t="s">
        <v>363</v>
      </c>
      <c r="E359" s="355">
        <v>37.18</v>
      </c>
      <c r="G359" s="353">
        <v>733.0</v>
      </c>
      <c r="H359" s="353">
        <v>29.0</v>
      </c>
      <c r="K359" s="319"/>
    </row>
    <row r="360" ht="15.75" customHeight="1">
      <c r="A360" s="352">
        <v>46043.0</v>
      </c>
      <c r="B360" s="353" t="s">
        <v>360</v>
      </c>
      <c r="C360" s="353" t="s">
        <v>361</v>
      </c>
      <c r="D360" s="353" t="s">
        <v>351</v>
      </c>
      <c r="E360" s="355">
        <v>18.69</v>
      </c>
      <c r="G360" s="353">
        <v>372.0</v>
      </c>
      <c r="H360" s="353">
        <v>10.0</v>
      </c>
      <c r="K360" s="319"/>
    </row>
    <row r="361" ht="15.75" customHeight="1">
      <c r="A361" s="352">
        <v>46043.0</v>
      </c>
      <c r="B361" s="353" t="s">
        <v>360</v>
      </c>
      <c r="C361" s="353" t="s">
        <v>361</v>
      </c>
      <c r="D361" s="353" t="s">
        <v>349</v>
      </c>
      <c r="E361" s="355">
        <v>1.96</v>
      </c>
      <c r="G361" s="353">
        <v>42.0</v>
      </c>
      <c r="H361" s="353">
        <v>3.0</v>
      </c>
      <c r="K361" s="319"/>
    </row>
    <row r="362" ht="15.75" customHeight="1">
      <c r="A362" s="352">
        <v>46043.0</v>
      </c>
      <c r="B362" s="353" t="s">
        <v>357</v>
      </c>
      <c r="C362" s="353" t="s">
        <v>358</v>
      </c>
      <c r="D362" s="353" t="s">
        <v>359</v>
      </c>
      <c r="E362" s="355">
        <v>7.01</v>
      </c>
      <c r="G362" s="353">
        <v>207.0</v>
      </c>
      <c r="H362" s="353">
        <v>22.0</v>
      </c>
      <c r="K362" s="319"/>
    </row>
    <row r="363" ht="15.75" customHeight="1">
      <c r="A363" s="352">
        <v>46043.0</v>
      </c>
      <c r="B363" s="353" t="s">
        <v>360</v>
      </c>
      <c r="C363" s="353" t="s">
        <v>362</v>
      </c>
      <c r="D363" s="353" t="s">
        <v>364</v>
      </c>
      <c r="E363" s="355">
        <v>3.84</v>
      </c>
      <c r="G363" s="353">
        <v>57.0</v>
      </c>
      <c r="H363" s="353">
        <v>0.0</v>
      </c>
      <c r="K363" s="319"/>
    </row>
    <row r="364" ht="15.75" customHeight="1">
      <c r="A364" s="352">
        <v>46043.0</v>
      </c>
      <c r="B364" s="353" t="s">
        <v>360</v>
      </c>
      <c r="C364" s="353" t="s">
        <v>362</v>
      </c>
      <c r="D364" s="353" t="s">
        <v>363</v>
      </c>
      <c r="E364" s="355">
        <v>24.56</v>
      </c>
      <c r="G364" s="353">
        <v>429.0</v>
      </c>
      <c r="H364" s="353">
        <v>22.0</v>
      </c>
      <c r="K364" s="319"/>
    </row>
    <row r="365" ht="15.75" customHeight="1">
      <c r="A365" s="352">
        <v>46042.0</v>
      </c>
      <c r="B365" s="353" t="s">
        <v>360</v>
      </c>
      <c r="C365" s="353" t="s">
        <v>361</v>
      </c>
      <c r="D365" s="353" t="s">
        <v>351</v>
      </c>
      <c r="E365" s="355">
        <v>17.68</v>
      </c>
      <c r="G365" s="353">
        <v>399.0</v>
      </c>
      <c r="H365" s="353">
        <v>18.0</v>
      </c>
      <c r="K365" s="319"/>
    </row>
    <row r="366" ht="15.75" customHeight="1">
      <c r="A366" s="352">
        <v>46042.0</v>
      </c>
      <c r="B366" s="353" t="s">
        <v>360</v>
      </c>
      <c r="C366" s="353" t="s">
        <v>361</v>
      </c>
      <c r="D366" s="353" t="s">
        <v>349</v>
      </c>
      <c r="E366" s="355">
        <v>15.03</v>
      </c>
      <c r="G366" s="353">
        <v>285.0</v>
      </c>
      <c r="H366" s="353">
        <v>14.0</v>
      </c>
      <c r="K366" s="319"/>
    </row>
    <row r="367" ht="15.75" customHeight="1">
      <c r="A367" s="352">
        <v>46042.0</v>
      </c>
      <c r="B367" s="353" t="s">
        <v>357</v>
      </c>
      <c r="C367" s="353" t="s">
        <v>358</v>
      </c>
      <c r="D367" s="353" t="s">
        <v>359</v>
      </c>
      <c r="E367" s="355">
        <v>7.92</v>
      </c>
      <c r="G367" s="353">
        <v>209.0</v>
      </c>
      <c r="H367" s="353">
        <v>23.0</v>
      </c>
      <c r="K367" s="319"/>
    </row>
    <row r="368" ht="15.75" customHeight="1">
      <c r="A368" s="352">
        <v>46042.0</v>
      </c>
      <c r="B368" s="353" t="s">
        <v>360</v>
      </c>
      <c r="C368" s="353" t="s">
        <v>362</v>
      </c>
      <c r="D368" s="353" t="s">
        <v>364</v>
      </c>
      <c r="E368" s="355">
        <v>3.6</v>
      </c>
      <c r="G368" s="353">
        <v>71.0</v>
      </c>
      <c r="H368" s="353">
        <v>1.0</v>
      </c>
      <c r="K368" s="319"/>
    </row>
    <row r="369" ht="15.75" customHeight="1">
      <c r="A369" s="352">
        <v>46042.0</v>
      </c>
      <c r="B369" s="353" t="s">
        <v>360</v>
      </c>
      <c r="C369" s="353" t="s">
        <v>362</v>
      </c>
      <c r="D369" s="353" t="s">
        <v>363</v>
      </c>
      <c r="E369" s="355">
        <v>34.04</v>
      </c>
      <c r="G369" s="353">
        <v>799.0</v>
      </c>
      <c r="H369" s="353">
        <v>30.0</v>
      </c>
      <c r="K369" s="319"/>
    </row>
    <row r="370" ht="15.75" customHeight="1">
      <c r="A370" s="352">
        <v>46041.0</v>
      </c>
      <c r="B370" s="353" t="s">
        <v>360</v>
      </c>
      <c r="C370" s="353" t="s">
        <v>361</v>
      </c>
      <c r="D370" s="353" t="s">
        <v>351</v>
      </c>
      <c r="E370" s="355">
        <v>16.76</v>
      </c>
      <c r="G370" s="353">
        <v>407.0</v>
      </c>
      <c r="H370" s="353">
        <v>23.0</v>
      </c>
      <c r="K370" s="319"/>
    </row>
    <row r="371" ht="15.75" customHeight="1">
      <c r="A371" s="352">
        <v>46041.0</v>
      </c>
      <c r="B371" s="353" t="s">
        <v>360</v>
      </c>
      <c r="C371" s="353" t="s">
        <v>361</v>
      </c>
      <c r="D371" s="353" t="s">
        <v>349</v>
      </c>
      <c r="E371" s="355">
        <v>29.98</v>
      </c>
      <c r="G371" s="353">
        <v>523.0</v>
      </c>
      <c r="H371" s="353">
        <v>33.0</v>
      </c>
      <c r="K371" s="319"/>
    </row>
    <row r="372" ht="15.75" customHeight="1">
      <c r="A372" s="352">
        <v>46041.0</v>
      </c>
      <c r="B372" s="353" t="s">
        <v>357</v>
      </c>
      <c r="C372" s="353" t="s">
        <v>358</v>
      </c>
      <c r="D372" s="353" t="s">
        <v>359</v>
      </c>
      <c r="E372" s="355">
        <v>6.64</v>
      </c>
      <c r="G372" s="353">
        <v>200.0</v>
      </c>
      <c r="H372" s="353">
        <v>13.0</v>
      </c>
      <c r="K372" s="319"/>
    </row>
    <row r="373" ht="15.75" customHeight="1">
      <c r="A373" s="352">
        <v>46041.0</v>
      </c>
      <c r="B373" s="353" t="s">
        <v>360</v>
      </c>
      <c r="C373" s="353" t="s">
        <v>362</v>
      </c>
      <c r="D373" s="353" t="s">
        <v>364</v>
      </c>
      <c r="E373" s="355">
        <v>9.45</v>
      </c>
      <c r="G373" s="353">
        <v>191.0</v>
      </c>
      <c r="H373" s="353">
        <v>7.0</v>
      </c>
      <c r="K373" s="319"/>
    </row>
    <row r="374" ht="15.75" customHeight="1">
      <c r="A374" s="352">
        <v>46041.0</v>
      </c>
      <c r="B374" s="353" t="s">
        <v>360</v>
      </c>
      <c r="C374" s="353" t="s">
        <v>362</v>
      </c>
      <c r="D374" s="353" t="s">
        <v>363</v>
      </c>
      <c r="E374" s="355">
        <v>54.1</v>
      </c>
      <c r="G374" s="353">
        <v>1236.0</v>
      </c>
      <c r="H374" s="353">
        <v>42.0</v>
      </c>
      <c r="K374" s="319"/>
    </row>
    <row r="375" ht="15.75" customHeight="1">
      <c r="A375" s="352">
        <v>46040.0</v>
      </c>
      <c r="B375" s="353" t="s">
        <v>360</v>
      </c>
      <c r="C375" s="353" t="s">
        <v>361</v>
      </c>
      <c r="D375" s="353" t="s">
        <v>351</v>
      </c>
      <c r="E375" s="355">
        <v>17.43</v>
      </c>
      <c r="G375" s="353">
        <v>369.0</v>
      </c>
      <c r="H375" s="353">
        <v>8.0</v>
      </c>
      <c r="K375" s="319"/>
    </row>
    <row r="376" ht="15.75" customHeight="1">
      <c r="A376" s="352">
        <v>46040.0</v>
      </c>
      <c r="B376" s="353" t="s">
        <v>360</v>
      </c>
      <c r="C376" s="353" t="s">
        <v>361</v>
      </c>
      <c r="D376" s="353" t="s">
        <v>349</v>
      </c>
      <c r="E376" s="355">
        <v>1.65</v>
      </c>
      <c r="G376" s="353">
        <v>33.0</v>
      </c>
      <c r="H376" s="353">
        <v>0.0</v>
      </c>
      <c r="K376" s="319"/>
    </row>
    <row r="377" ht="15.75" customHeight="1">
      <c r="A377" s="352">
        <v>46040.0</v>
      </c>
      <c r="B377" s="353" t="s">
        <v>357</v>
      </c>
      <c r="C377" s="353" t="s">
        <v>358</v>
      </c>
      <c r="D377" s="353" t="s">
        <v>359</v>
      </c>
      <c r="E377" s="355">
        <v>8.8</v>
      </c>
      <c r="G377" s="353">
        <v>338.0</v>
      </c>
      <c r="H377" s="353">
        <v>27.0</v>
      </c>
      <c r="K377" s="319"/>
    </row>
    <row r="378" ht="15.75" customHeight="1">
      <c r="A378" s="352">
        <v>46040.0</v>
      </c>
      <c r="B378" s="353" t="s">
        <v>360</v>
      </c>
      <c r="C378" s="353" t="s">
        <v>362</v>
      </c>
      <c r="D378" s="353" t="s">
        <v>364</v>
      </c>
      <c r="E378" s="355">
        <v>2.46</v>
      </c>
      <c r="G378" s="353">
        <v>34.0</v>
      </c>
      <c r="H378" s="353">
        <v>2.0</v>
      </c>
      <c r="K378" s="319"/>
    </row>
    <row r="379" ht="15.75" customHeight="1">
      <c r="A379" s="352">
        <v>46040.0</v>
      </c>
      <c r="B379" s="353" t="s">
        <v>360</v>
      </c>
      <c r="C379" s="353" t="s">
        <v>362</v>
      </c>
      <c r="D379" s="353" t="s">
        <v>363</v>
      </c>
      <c r="E379" s="355">
        <v>34.36</v>
      </c>
      <c r="G379" s="353">
        <v>872.0</v>
      </c>
      <c r="H379" s="353">
        <v>26.0</v>
      </c>
      <c r="K379" s="319"/>
    </row>
    <row r="380" ht="15.75" customHeight="1">
      <c r="A380" s="352">
        <v>46039.0</v>
      </c>
      <c r="B380" s="353" t="s">
        <v>360</v>
      </c>
      <c r="C380" s="353" t="s">
        <v>361</v>
      </c>
      <c r="D380" s="353" t="s">
        <v>351</v>
      </c>
      <c r="E380" s="355">
        <v>23.93</v>
      </c>
      <c r="G380" s="353">
        <v>613.0</v>
      </c>
      <c r="H380" s="353">
        <v>38.0</v>
      </c>
      <c r="K380" s="319"/>
    </row>
    <row r="381" ht="15.75" customHeight="1">
      <c r="A381" s="352">
        <v>46039.0</v>
      </c>
      <c r="B381" s="353" t="s">
        <v>360</v>
      </c>
      <c r="C381" s="353" t="s">
        <v>361</v>
      </c>
      <c r="D381" s="353" t="s">
        <v>349</v>
      </c>
      <c r="E381" s="355">
        <v>1.47</v>
      </c>
      <c r="G381" s="353">
        <v>35.0</v>
      </c>
      <c r="H381" s="353">
        <v>2.0</v>
      </c>
      <c r="K381" s="319"/>
    </row>
    <row r="382" ht="15.75" customHeight="1">
      <c r="A382" s="352">
        <v>46039.0</v>
      </c>
      <c r="B382" s="353" t="s">
        <v>357</v>
      </c>
      <c r="C382" s="353" t="s">
        <v>358</v>
      </c>
      <c r="D382" s="353" t="s">
        <v>359</v>
      </c>
      <c r="E382" s="355">
        <v>5.87</v>
      </c>
      <c r="G382" s="353">
        <v>225.0</v>
      </c>
      <c r="H382" s="353">
        <v>17.0</v>
      </c>
      <c r="K382" s="319"/>
    </row>
    <row r="383" ht="15.75" customHeight="1">
      <c r="A383" s="352">
        <v>46039.0</v>
      </c>
      <c r="B383" s="353" t="s">
        <v>360</v>
      </c>
      <c r="C383" s="353" t="s">
        <v>362</v>
      </c>
      <c r="D383" s="353" t="s">
        <v>364</v>
      </c>
      <c r="E383" s="355">
        <v>0.21</v>
      </c>
      <c r="G383" s="353">
        <v>7.0</v>
      </c>
      <c r="H383" s="353">
        <v>0.0</v>
      </c>
      <c r="K383" s="319"/>
    </row>
    <row r="384" ht="15.75" customHeight="1">
      <c r="A384" s="352">
        <v>46039.0</v>
      </c>
      <c r="B384" s="353" t="s">
        <v>360</v>
      </c>
      <c r="C384" s="353" t="s">
        <v>362</v>
      </c>
      <c r="D384" s="353" t="s">
        <v>363</v>
      </c>
      <c r="E384" s="355">
        <v>26.41</v>
      </c>
      <c r="G384" s="353">
        <v>756.0</v>
      </c>
      <c r="H384" s="353">
        <v>31.0</v>
      </c>
      <c r="K384" s="319"/>
    </row>
    <row r="385" ht="15.75" customHeight="1">
      <c r="A385" s="352">
        <v>46038.0</v>
      </c>
      <c r="B385" s="353" t="s">
        <v>360</v>
      </c>
      <c r="C385" s="353" t="s">
        <v>361</v>
      </c>
      <c r="D385" s="353" t="s">
        <v>351</v>
      </c>
      <c r="E385" s="355">
        <v>7.82</v>
      </c>
      <c r="G385" s="353">
        <v>204.0</v>
      </c>
      <c r="H385" s="353">
        <v>7.0</v>
      </c>
      <c r="K385" s="319"/>
    </row>
    <row r="386" ht="15.75" customHeight="1">
      <c r="A386" s="352">
        <v>46038.0</v>
      </c>
      <c r="B386" s="353" t="s">
        <v>360</v>
      </c>
      <c r="C386" s="353" t="s">
        <v>361</v>
      </c>
      <c r="D386" s="353" t="s">
        <v>349</v>
      </c>
      <c r="E386" s="355">
        <v>5.28</v>
      </c>
      <c r="G386" s="353">
        <v>63.0</v>
      </c>
      <c r="H386" s="353">
        <v>4.0</v>
      </c>
      <c r="K386" s="319"/>
    </row>
    <row r="387" ht="15.75" customHeight="1">
      <c r="A387" s="352">
        <v>46038.0</v>
      </c>
      <c r="B387" s="353" t="s">
        <v>360</v>
      </c>
      <c r="C387" s="353" t="s">
        <v>362</v>
      </c>
      <c r="D387" s="353" t="s">
        <v>365</v>
      </c>
      <c r="E387" s="355">
        <v>1.16</v>
      </c>
      <c r="G387" s="353">
        <v>24.0</v>
      </c>
      <c r="H387" s="353">
        <v>0.0</v>
      </c>
      <c r="K387" s="319"/>
    </row>
    <row r="388" ht="15.75" customHeight="1">
      <c r="A388" s="352">
        <v>46038.0</v>
      </c>
      <c r="B388" s="353" t="s">
        <v>357</v>
      </c>
      <c r="C388" s="353" t="s">
        <v>358</v>
      </c>
      <c r="D388" s="353" t="s">
        <v>359</v>
      </c>
      <c r="E388" s="355">
        <v>6.82</v>
      </c>
      <c r="G388" s="353">
        <v>249.0</v>
      </c>
      <c r="H388" s="353">
        <v>20.0</v>
      </c>
      <c r="K388" s="319"/>
    </row>
    <row r="389" ht="15.75" customHeight="1">
      <c r="A389" s="352">
        <v>46038.0</v>
      </c>
      <c r="B389" s="353" t="s">
        <v>360</v>
      </c>
      <c r="C389" s="353" t="s">
        <v>362</v>
      </c>
      <c r="D389" s="353" t="s">
        <v>364</v>
      </c>
      <c r="E389" s="355">
        <v>0.56</v>
      </c>
      <c r="G389" s="353">
        <v>16.0</v>
      </c>
      <c r="H389" s="353">
        <v>0.0</v>
      </c>
      <c r="K389" s="319"/>
    </row>
    <row r="390" ht="15.75" customHeight="1">
      <c r="A390" s="352">
        <v>46038.0</v>
      </c>
      <c r="B390" s="353" t="s">
        <v>360</v>
      </c>
      <c r="C390" s="353" t="s">
        <v>362</v>
      </c>
      <c r="D390" s="353" t="s">
        <v>363</v>
      </c>
      <c r="E390" s="355">
        <v>30.38</v>
      </c>
      <c r="G390" s="353">
        <v>777.0</v>
      </c>
      <c r="H390" s="353">
        <v>17.0</v>
      </c>
      <c r="K390" s="319"/>
    </row>
    <row r="391" ht="15.75" customHeight="1">
      <c r="A391" s="352">
        <v>46037.0</v>
      </c>
      <c r="B391" s="353" t="s">
        <v>360</v>
      </c>
      <c r="C391" s="353" t="s">
        <v>362</v>
      </c>
      <c r="D391" s="353" t="s">
        <v>365</v>
      </c>
      <c r="E391" s="355">
        <v>1.96</v>
      </c>
      <c r="G391" s="353">
        <v>24.0</v>
      </c>
      <c r="H391" s="353">
        <v>1.0</v>
      </c>
      <c r="K391" s="319"/>
    </row>
    <row r="392" ht="15.75" customHeight="1">
      <c r="A392" s="352">
        <v>46037.0</v>
      </c>
      <c r="B392" s="353" t="s">
        <v>357</v>
      </c>
      <c r="C392" s="353" t="s">
        <v>358</v>
      </c>
      <c r="D392" s="353" t="s">
        <v>359</v>
      </c>
      <c r="E392" s="355">
        <v>7.02</v>
      </c>
      <c r="G392" s="353">
        <v>226.0</v>
      </c>
      <c r="H392" s="353">
        <v>10.0</v>
      </c>
      <c r="K392" s="319"/>
    </row>
    <row r="393" ht="15.75" customHeight="1">
      <c r="A393" s="352">
        <v>46037.0</v>
      </c>
      <c r="B393" s="353" t="s">
        <v>360</v>
      </c>
      <c r="C393" s="353" t="s">
        <v>362</v>
      </c>
      <c r="D393" s="353" t="s">
        <v>364</v>
      </c>
      <c r="E393" s="355">
        <v>0.97</v>
      </c>
      <c r="G393" s="353">
        <v>20.0</v>
      </c>
      <c r="H393" s="353">
        <v>1.0</v>
      </c>
      <c r="K393" s="319"/>
    </row>
    <row r="394" ht="15.75" customHeight="1">
      <c r="A394" s="352">
        <v>46037.0</v>
      </c>
      <c r="B394" s="353" t="s">
        <v>360</v>
      </c>
      <c r="C394" s="353" t="s">
        <v>362</v>
      </c>
      <c r="D394" s="353" t="s">
        <v>363</v>
      </c>
      <c r="E394" s="355">
        <v>47.9</v>
      </c>
      <c r="G394" s="353">
        <v>854.0</v>
      </c>
      <c r="H394" s="353">
        <v>39.0</v>
      </c>
      <c r="K394" s="319"/>
    </row>
    <row r="395" ht="15.75" customHeight="1">
      <c r="A395" s="352">
        <v>46036.0</v>
      </c>
      <c r="B395" s="353" t="s">
        <v>360</v>
      </c>
      <c r="C395" s="353" t="s">
        <v>362</v>
      </c>
      <c r="D395" s="353" t="s">
        <v>365</v>
      </c>
      <c r="E395" s="355">
        <v>3.25</v>
      </c>
      <c r="G395" s="353">
        <v>67.0</v>
      </c>
      <c r="H395" s="353">
        <v>1.0</v>
      </c>
      <c r="K395" s="319"/>
    </row>
    <row r="396" ht="15.75" customHeight="1">
      <c r="A396" s="352">
        <v>46036.0</v>
      </c>
      <c r="B396" s="353" t="s">
        <v>357</v>
      </c>
      <c r="C396" s="353" t="s">
        <v>358</v>
      </c>
      <c r="D396" s="353" t="s">
        <v>359</v>
      </c>
      <c r="E396" s="355">
        <v>8.45</v>
      </c>
      <c r="G396" s="353">
        <v>267.0</v>
      </c>
      <c r="H396" s="353">
        <v>19.0</v>
      </c>
      <c r="K396" s="319"/>
    </row>
    <row r="397" ht="15.75" customHeight="1">
      <c r="A397" s="352">
        <v>46036.0</v>
      </c>
      <c r="B397" s="353" t="s">
        <v>360</v>
      </c>
      <c r="C397" s="353" t="s">
        <v>362</v>
      </c>
      <c r="D397" s="353" t="s">
        <v>364</v>
      </c>
      <c r="E397" s="355">
        <v>2.08</v>
      </c>
      <c r="G397" s="353">
        <v>32.0</v>
      </c>
      <c r="H397" s="353">
        <v>0.0</v>
      </c>
      <c r="K397" s="319"/>
    </row>
    <row r="398" ht="15.75" customHeight="1">
      <c r="A398" s="352">
        <v>46036.0</v>
      </c>
      <c r="B398" s="353" t="s">
        <v>360</v>
      </c>
      <c r="C398" s="353" t="s">
        <v>362</v>
      </c>
      <c r="D398" s="353" t="s">
        <v>363</v>
      </c>
      <c r="E398" s="355">
        <v>36.16</v>
      </c>
      <c r="G398" s="353">
        <v>628.0</v>
      </c>
      <c r="H398" s="353">
        <v>50.0</v>
      </c>
      <c r="K398" s="319"/>
    </row>
    <row r="399" ht="15.75" customHeight="1">
      <c r="A399" s="352">
        <v>46035.0</v>
      </c>
      <c r="B399" s="353" t="s">
        <v>360</v>
      </c>
      <c r="C399" s="353" t="s">
        <v>362</v>
      </c>
      <c r="D399" s="353" t="s">
        <v>365</v>
      </c>
      <c r="E399" s="355">
        <v>3.77</v>
      </c>
      <c r="G399" s="353">
        <v>95.0</v>
      </c>
      <c r="H399" s="353">
        <v>1.0</v>
      </c>
      <c r="K399" s="319"/>
    </row>
    <row r="400" ht="15.75" customHeight="1">
      <c r="A400" s="352">
        <v>46035.0</v>
      </c>
      <c r="B400" s="353" t="s">
        <v>357</v>
      </c>
      <c r="C400" s="353" t="s">
        <v>358</v>
      </c>
      <c r="D400" s="353" t="s">
        <v>359</v>
      </c>
      <c r="E400" s="355">
        <v>7.71</v>
      </c>
      <c r="G400" s="353">
        <v>340.0</v>
      </c>
      <c r="H400" s="353">
        <v>20.0</v>
      </c>
      <c r="K400" s="319"/>
    </row>
    <row r="401" ht="15.75" customHeight="1">
      <c r="A401" s="352">
        <v>46035.0</v>
      </c>
      <c r="B401" s="353" t="s">
        <v>360</v>
      </c>
      <c r="C401" s="353" t="s">
        <v>362</v>
      </c>
      <c r="D401" s="353" t="s">
        <v>364</v>
      </c>
      <c r="E401" s="355">
        <v>1.51</v>
      </c>
      <c r="G401" s="353">
        <v>52.0</v>
      </c>
      <c r="H401" s="353">
        <v>2.0</v>
      </c>
      <c r="K401" s="319"/>
    </row>
    <row r="402" ht="15.75" customHeight="1">
      <c r="A402" s="352">
        <v>46035.0</v>
      </c>
      <c r="B402" s="353" t="s">
        <v>360</v>
      </c>
      <c r="C402" s="353" t="s">
        <v>362</v>
      </c>
      <c r="D402" s="353" t="s">
        <v>363</v>
      </c>
      <c r="E402" s="355">
        <v>44.73</v>
      </c>
      <c r="G402" s="353">
        <v>1048.0</v>
      </c>
      <c r="H402" s="353">
        <v>40.0</v>
      </c>
      <c r="K402" s="319"/>
    </row>
    <row r="403" ht="15.75" customHeight="1">
      <c r="A403" s="352">
        <v>46034.0</v>
      </c>
      <c r="B403" s="353" t="s">
        <v>360</v>
      </c>
      <c r="C403" s="353" t="s">
        <v>362</v>
      </c>
      <c r="D403" s="353" t="s">
        <v>365</v>
      </c>
      <c r="E403" s="355">
        <v>18.4</v>
      </c>
      <c r="G403" s="353">
        <v>335.0</v>
      </c>
      <c r="H403" s="353">
        <v>5.0</v>
      </c>
      <c r="K403" s="319"/>
    </row>
    <row r="404" ht="15.75" customHeight="1">
      <c r="A404" s="352">
        <v>46034.0</v>
      </c>
      <c r="B404" s="353" t="s">
        <v>357</v>
      </c>
      <c r="C404" s="353" t="s">
        <v>358</v>
      </c>
      <c r="D404" s="353" t="s">
        <v>359</v>
      </c>
      <c r="E404" s="355">
        <v>6.0</v>
      </c>
      <c r="G404" s="353">
        <v>249.0</v>
      </c>
      <c r="H404" s="353">
        <v>15.0</v>
      </c>
      <c r="K404" s="319"/>
    </row>
    <row r="405" ht="15.75" customHeight="1">
      <c r="A405" s="352">
        <v>46034.0</v>
      </c>
      <c r="B405" s="353" t="s">
        <v>360</v>
      </c>
      <c r="C405" s="353" t="s">
        <v>362</v>
      </c>
      <c r="D405" s="353" t="s">
        <v>364</v>
      </c>
      <c r="E405" s="355">
        <v>1.28</v>
      </c>
      <c r="G405" s="353">
        <v>26.0</v>
      </c>
      <c r="H405" s="353">
        <v>2.0</v>
      </c>
      <c r="K405" s="319"/>
    </row>
    <row r="406" ht="15.75" customHeight="1">
      <c r="A406" s="352">
        <v>46034.0</v>
      </c>
      <c r="B406" s="353" t="s">
        <v>360</v>
      </c>
      <c r="C406" s="353" t="s">
        <v>362</v>
      </c>
      <c r="D406" s="353" t="s">
        <v>363</v>
      </c>
      <c r="E406" s="355">
        <v>27.96</v>
      </c>
      <c r="G406" s="353">
        <v>514.0</v>
      </c>
      <c r="H406" s="353">
        <v>17.0</v>
      </c>
      <c r="K406" s="319"/>
    </row>
    <row r="407" ht="15.75" customHeight="1">
      <c r="A407" s="352">
        <v>46033.0</v>
      </c>
      <c r="B407" s="353" t="s">
        <v>360</v>
      </c>
      <c r="C407" s="353" t="s">
        <v>362</v>
      </c>
      <c r="D407" s="353" t="s">
        <v>365</v>
      </c>
      <c r="E407" s="355">
        <v>10.5</v>
      </c>
      <c r="G407" s="353">
        <v>201.0</v>
      </c>
      <c r="H407" s="353">
        <v>4.0</v>
      </c>
      <c r="K407" s="319"/>
    </row>
    <row r="408" ht="15.75" customHeight="1">
      <c r="A408" s="352">
        <v>46033.0</v>
      </c>
      <c r="B408" s="353" t="s">
        <v>357</v>
      </c>
      <c r="C408" s="353" t="s">
        <v>358</v>
      </c>
      <c r="D408" s="353" t="s">
        <v>359</v>
      </c>
      <c r="E408" s="355">
        <v>6.98</v>
      </c>
      <c r="G408" s="353">
        <v>365.0</v>
      </c>
      <c r="H408" s="353">
        <v>14.0</v>
      </c>
      <c r="K408" s="319"/>
    </row>
    <row r="409" ht="15.75" customHeight="1">
      <c r="A409" s="352">
        <v>46033.0</v>
      </c>
      <c r="B409" s="353" t="s">
        <v>360</v>
      </c>
      <c r="C409" s="353" t="s">
        <v>362</v>
      </c>
      <c r="D409" s="353" t="s">
        <v>363</v>
      </c>
      <c r="E409" s="355">
        <v>22.25</v>
      </c>
      <c r="G409" s="353">
        <v>464.0</v>
      </c>
      <c r="H409" s="353">
        <v>19.0</v>
      </c>
      <c r="K409" s="319"/>
    </row>
    <row r="410" ht="15.75" customHeight="1">
      <c r="A410" s="352">
        <v>46032.0</v>
      </c>
      <c r="B410" s="353" t="s">
        <v>360</v>
      </c>
      <c r="C410" s="353" t="s">
        <v>362</v>
      </c>
      <c r="D410" s="353" t="s">
        <v>365</v>
      </c>
      <c r="E410" s="355">
        <v>0.07</v>
      </c>
      <c r="G410" s="353">
        <v>6.0</v>
      </c>
      <c r="H410" s="353">
        <v>0.0</v>
      </c>
      <c r="I410" s="353"/>
      <c r="K410" s="319"/>
    </row>
    <row r="411" ht="15.75" customHeight="1">
      <c r="A411" s="352">
        <v>46032.0</v>
      </c>
      <c r="B411" s="353" t="s">
        <v>357</v>
      </c>
      <c r="C411" s="353" t="s">
        <v>358</v>
      </c>
      <c r="D411" s="353" t="s">
        <v>359</v>
      </c>
      <c r="E411" s="355">
        <v>1.87</v>
      </c>
      <c r="G411" s="353">
        <v>218.0</v>
      </c>
      <c r="H411" s="353">
        <v>6.0</v>
      </c>
      <c r="K411" s="319"/>
    </row>
    <row r="412" ht="15.75" customHeight="1">
      <c r="A412" s="352">
        <v>46032.0</v>
      </c>
      <c r="B412" s="353" t="s">
        <v>360</v>
      </c>
      <c r="C412" s="353" t="s">
        <v>362</v>
      </c>
      <c r="D412" s="353" t="s">
        <v>364</v>
      </c>
      <c r="E412" s="355">
        <v>0.21</v>
      </c>
      <c r="G412" s="353">
        <v>4.0</v>
      </c>
      <c r="H412" s="353">
        <v>0.0</v>
      </c>
      <c r="K412" s="319"/>
    </row>
    <row r="413" ht="15.75" customHeight="1">
      <c r="A413" s="352">
        <v>46032.0</v>
      </c>
      <c r="B413" s="353" t="s">
        <v>360</v>
      </c>
      <c r="C413" s="353" t="s">
        <v>362</v>
      </c>
      <c r="D413" s="353" t="s">
        <v>363</v>
      </c>
      <c r="E413" s="355">
        <v>27.55</v>
      </c>
      <c r="G413" s="353">
        <v>706.0</v>
      </c>
      <c r="H413" s="353">
        <v>16.0</v>
      </c>
      <c r="I413" s="353"/>
      <c r="K413" s="319"/>
    </row>
    <row r="414" ht="15.75" customHeight="1">
      <c r="A414" s="352">
        <v>46031.0</v>
      </c>
      <c r="B414" s="353" t="s">
        <v>360</v>
      </c>
      <c r="C414" s="353" t="s">
        <v>362</v>
      </c>
      <c r="D414" s="353" t="s">
        <v>364</v>
      </c>
      <c r="E414" s="355">
        <v>0.07</v>
      </c>
      <c r="G414" s="353">
        <v>3.0</v>
      </c>
      <c r="H414" s="353">
        <v>0.0</v>
      </c>
      <c r="K414" s="319"/>
    </row>
    <row r="415" ht="15.75" customHeight="1">
      <c r="A415" s="352">
        <v>46031.0</v>
      </c>
      <c r="B415" s="353" t="s">
        <v>360</v>
      </c>
      <c r="C415" s="353" t="s">
        <v>362</v>
      </c>
      <c r="D415" s="353" t="s">
        <v>363</v>
      </c>
      <c r="E415" s="355">
        <v>19.98</v>
      </c>
      <c r="G415" s="353">
        <v>543.0</v>
      </c>
      <c r="H415" s="353">
        <v>24.0</v>
      </c>
      <c r="K415" s="319"/>
    </row>
    <row r="416" ht="15.75" customHeight="1">
      <c r="A416" s="352">
        <v>46030.0</v>
      </c>
      <c r="B416" s="353" t="s">
        <v>360</v>
      </c>
      <c r="C416" s="353" t="s">
        <v>362</v>
      </c>
      <c r="D416" s="353" t="s">
        <v>363</v>
      </c>
      <c r="E416" s="355">
        <v>24.63</v>
      </c>
      <c r="G416" s="353">
        <v>664.0</v>
      </c>
      <c r="H416" s="353">
        <v>22.0</v>
      </c>
      <c r="I416" s="353"/>
      <c r="K416" s="319"/>
    </row>
    <row r="417" ht="15.75" customHeight="1">
      <c r="A417" s="352">
        <v>46029.0</v>
      </c>
      <c r="B417" s="353" t="s">
        <v>360</v>
      </c>
      <c r="C417" s="353" t="s">
        <v>362</v>
      </c>
      <c r="D417" s="353" t="s">
        <v>364</v>
      </c>
      <c r="E417" s="355">
        <v>0.39</v>
      </c>
      <c r="G417" s="353">
        <v>2.0</v>
      </c>
      <c r="H417" s="353">
        <v>0.0</v>
      </c>
      <c r="I417" s="353"/>
      <c r="K417" s="319"/>
    </row>
    <row r="418" ht="15.75" customHeight="1">
      <c r="A418" s="352">
        <v>46029.0</v>
      </c>
      <c r="B418" s="353" t="s">
        <v>360</v>
      </c>
      <c r="C418" s="353" t="s">
        <v>362</v>
      </c>
      <c r="D418" s="353" t="s">
        <v>363</v>
      </c>
      <c r="E418" s="355">
        <v>16.52</v>
      </c>
      <c r="G418" s="353">
        <v>546.0</v>
      </c>
      <c r="H418" s="353">
        <v>30.0</v>
      </c>
      <c r="K418" s="319"/>
    </row>
    <row r="419" ht="15.75" customHeight="1">
      <c r="A419" s="352">
        <v>46028.0</v>
      </c>
      <c r="B419" s="353" t="s">
        <v>360</v>
      </c>
      <c r="C419" s="353" t="s">
        <v>362</v>
      </c>
      <c r="D419" s="353" t="s">
        <v>363</v>
      </c>
      <c r="E419" s="355">
        <v>18.77</v>
      </c>
      <c r="G419" s="353">
        <v>618.0</v>
      </c>
      <c r="H419" s="353">
        <v>28.0</v>
      </c>
      <c r="K419" s="319"/>
    </row>
    <row r="420" ht="15.75" customHeight="1">
      <c r="A420" s="352">
        <v>46027.0</v>
      </c>
      <c r="B420" s="353" t="s">
        <v>360</v>
      </c>
      <c r="C420" s="353" t="s">
        <v>362</v>
      </c>
      <c r="D420" s="353" t="s">
        <v>364</v>
      </c>
      <c r="E420" s="355">
        <v>0.78</v>
      </c>
      <c r="G420" s="353">
        <v>32.0</v>
      </c>
      <c r="H420" s="353">
        <v>4.0</v>
      </c>
      <c r="K420" s="319"/>
    </row>
    <row r="421" ht="15.75" customHeight="1">
      <c r="A421" s="352">
        <v>46027.0</v>
      </c>
      <c r="B421" s="353" t="s">
        <v>360</v>
      </c>
      <c r="C421" s="353" t="s">
        <v>362</v>
      </c>
      <c r="D421" s="353" t="s">
        <v>363</v>
      </c>
      <c r="E421" s="355">
        <v>25.31</v>
      </c>
      <c r="G421" s="353">
        <v>587.0</v>
      </c>
      <c r="H421" s="353">
        <v>28.0</v>
      </c>
      <c r="I421" s="353">
        <v>2.0</v>
      </c>
      <c r="K421" s="319"/>
    </row>
    <row r="422" ht="15.75" customHeight="1">
      <c r="A422" s="352">
        <v>46027.0</v>
      </c>
      <c r="B422" s="353" t="s">
        <v>360</v>
      </c>
      <c r="C422" s="353" t="s">
        <v>362</v>
      </c>
      <c r="D422" s="353" t="s">
        <v>366</v>
      </c>
      <c r="E422" s="355">
        <v>1.08</v>
      </c>
      <c r="G422" s="353">
        <v>29.0</v>
      </c>
      <c r="H422" s="353">
        <v>1.0</v>
      </c>
      <c r="K422" s="319"/>
    </row>
    <row r="423" ht="15.75" customHeight="1">
      <c r="A423" s="352">
        <v>46026.0</v>
      </c>
      <c r="B423" s="353" t="s">
        <v>360</v>
      </c>
      <c r="C423" s="353" t="s">
        <v>362</v>
      </c>
      <c r="D423" s="353" t="s">
        <v>364</v>
      </c>
      <c r="E423" s="355">
        <v>4.25</v>
      </c>
      <c r="G423" s="353">
        <v>80.0</v>
      </c>
      <c r="H423" s="353">
        <v>7.0</v>
      </c>
      <c r="K423" s="319"/>
    </row>
    <row r="424" ht="15.75" customHeight="1">
      <c r="A424" s="352">
        <v>46026.0</v>
      </c>
      <c r="B424" s="353" t="s">
        <v>360</v>
      </c>
      <c r="C424" s="353" t="s">
        <v>362</v>
      </c>
      <c r="D424" s="353" t="s">
        <v>363</v>
      </c>
      <c r="E424" s="355">
        <v>37.4</v>
      </c>
      <c r="G424" s="353">
        <v>710.0</v>
      </c>
      <c r="H424" s="353">
        <v>28.0</v>
      </c>
      <c r="K424" s="319"/>
    </row>
    <row r="425" ht="15.75" customHeight="1">
      <c r="A425" s="352">
        <v>46026.0</v>
      </c>
      <c r="B425" s="353" t="s">
        <v>360</v>
      </c>
      <c r="C425" s="353" t="s">
        <v>362</v>
      </c>
      <c r="D425" s="353" t="s">
        <v>366</v>
      </c>
      <c r="E425" s="355">
        <v>1.74</v>
      </c>
      <c r="G425" s="353">
        <v>31.0</v>
      </c>
      <c r="H425" s="353">
        <v>2.0</v>
      </c>
      <c r="K425" s="319"/>
    </row>
    <row r="426" ht="15.75" customHeight="1">
      <c r="A426" s="352">
        <v>46025.0</v>
      </c>
      <c r="B426" s="353" t="s">
        <v>360</v>
      </c>
      <c r="C426" s="353" t="s">
        <v>362</v>
      </c>
      <c r="D426" s="353" t="s">
        <v>364</v>
      </c>
      <c r="E426" s="355">
        <v>6.82</v>
      </c>
      <c r="G426" s="353">
        <v>148.0</v>
      </c>
      <c r="H426" s="353">
        <v>14.0</v>
      </c>
      <c r="K426" s="319"/>
    </row>
    <row r="427" ht="15.75" customHeight="1">
      <c r="A427" s="352">
        <v>46025.0</v>
      </c>
      <c r="B427" s="353" t="s">
        <v>360</v>
      </c>
      <c r="C427" s="353" t="s">
        <v>362</v>
      </c>
      <c r="D427" s="353" t="s">
        <v>363</v>
      </c>
      <c r="E427" s="355">
        <v>15.67</v>
      </c>
      <c r="G427" s="353">
        <v>302.0</v>
      </c>
      <c r="H427" s="353">
        <v>11.0</v>
      </c>
      <c r="K427" s="319"/>
    </row>
    <row r="428" ht="15.75" customHeight="1">
      <c r="A428" s="352">
        <v>46025.0</v>
      </c>
      <c r="B428" s="353" t="s">
        <v>360</v>
      </c>
      <c r="C428" s="353" t="s">
        <v>362</v>
      </c>
      <c r="D428" s="353" t="s">
        <v>366</v>
      </c>
      <c r="E428" s="355">
        <v>3.61</v>
      </c>
      <c r="G428" s="353">
        <v>65.0</v>
      </c>
      <c r="H428" s="353">
        <v>3.0</v>
      </c>
      <c r="K428" s="319"/>
    </row>
    <row r="429" ht="15.75" customHeight="1">
      <c r="A429" s="352">
        <v>46024.0</v>
      </c>
      <c r="B429" s="353" t="s">
        <v>360</v>
      </c>
      <c r="C429" s="353" t="s">
        <v>362</v>
      </c>
      <c r="D429" s="353" t="s">
        <v>364</v>
      </c>
      <c r="E429" s="355">
        <v>13.53</v>
      </c>
      <c r="G429" s="353">
        <v>171.0</v>
      </c>
      <c r="H429" s="353">
        <v>13.0</v>
      </c>
      <c r="K429" s="319"/>
    </row>
    <row r="430" ht="15.75" customHeight="1">
      <c r="A430" s="352">
        <v>46024.0</v>
      </c>
      <c r="B430" s="353" t="s">
        <v>360</v>
      </c>
      <c r="C430" s="353" t="s">
        <v>362</v>
      </c>
      <c r="D430" s="353" t="s">
        <v>363</v>
      </c>
      <c r="E430" s="355">
        <v>16.84</v>
      </c>
      <c r="G430" s="353">
        <v>393.0</v>
      </c>
      <c r="H430" s="353">
        <v>15.0</v>
      </c>
      <c r="K430" s="319"/>
    </row>
    <row r="431" ht="15.75" customHeight="1">
      <c r="A431" s="352">
        <v>46024.0</v>
      </c>
      <c r="B431" s="353" t="s">
        <v>360</v>
      </c>
      <c r="C431" s="353" t="s">
        <v>362</v>
      </c>
      <c r="D431" s="353" t="s">
        <v>366</v>
      </c>
      <c r="E431" s="355">
        <v>4.71</v>
      </c>
      <c r="G431" s="353">
        <v>103.0</v>
      </c>
      <c r="H431" s="353">
        <v>1.0</v>
      </c>
      <c r="K431" s="319"/>
    </row>
    <row r="432" ht="15.75" customHeight="1">
      <c r="A432" s="352">
        <v>46023.0</v>
      </c>
      <c r="B432" s="353" t="s">
        <v>360</v>
      </c>
      <c r="C432" s="353" t="s">
        <v>362</v>
      </c>
      <c r="D432" s="353" t="s">
        <v>364</v>
      </c>
      <c r="E432" s="355">
        <v>3.06</v>
      </c>
      <c r="G432" s="353">
        <v>71.0</v>
      </c>
      <c r="H432" s="353">
        <v>4.0</v>
      </c>
      <c r="K432" s="319"/>
    </row>
    <row r="433" ht="15.75" customHeight="1">
      <c r="A433" s="352">
        <v>46023.0</v>
      </c>
      <c r="B433" s="353" t="s">
        <v>360</v>
      </c>
      <c r="C433" s="353" t="s">
        <v>362</v>
      </c>
      <c r="D433" s="353" t="s">
        <v>363</v>
      </c>
      <c r="E433" s="355">
        <v>9.98</v>
      </c>
      <c r="G433" s="353">
        <v>281.0</v>
      </c>
      <c r="H433" s="353">
        <v>9.0</v>
      </c>
      <c r="K433" s="319"/>
    </row>
    <row r="434" ht="15.75" customHeight="1">
      <c r="A434" s="352">
        <v>46023.0</v>
      </c>
      <c r="B434" s="353" t="s">
        <v>360</v>
      </c>
      <c r="C434" s="353" t="s">
        <v>362</v>
      </c>
      <c r="D434" s="353" t="s">
        <v>366</v>
      </c>
      <c r="E434" s="355">
        <v>0.22</v>
      </c>
      <c r="G434" s="353">
        <v>18.0</v>
      </c>
      <c r="H434" s="353">
        <v>1.0</v>
      </c>
      <c r="K434" s="319"/>
    </row>
    <row r="435" ht="15.75" customHeight="1">
      <c r="A435" s="356"/>
      <c r="K435" s="319"/>
    </row>
    <row r="436" ht="15.75" customHeight="1">
      <c r="A436" s="356"/>
      <c r="K436" s="319"/>
    </row>
    <row r="437" ht="15.75" customHeight="1">
      <c r="A437" s="356"/>
      <c r="K437" s="319"/>
    </row>
    <row r="438" ht="15.75" customHeight="1">
      <c r="A438" s="356"/>
      <c r="K438" s="319"/>
    </row>
    <row r="439" ht="15.75" customHeight="1">
      <c r="A439" s="356"/>
      <c r="K439" s="319"/>
    </row>
    <row r="440" ht="15.75" customHeight="1">
      <c r="A440" s="356"/>
      <c r="K440" s="319"/>
    </row>
    <row r="441" ht="15.75" customHeight="1">
      <c r="A441" s="356"/>
      <c r="K441" s="319"/>
    </row>
    <row r="442" ht="15.75" customHeight="1">
      <c r="A442" s="356"/>
      <c r="K442" s="319"/>
    </row>
    <row r="443" ht="15.75" customHeight="1">
      <c r="A443" s="356"/>
      <c r="K443" s="319"/>
    </row>
    <row r="444" ht="15.75" customHeight="1">
      <c r="A444" s="356"/>
      <c r="K444" s="319"/>
    </row>
    <row r="445" ht="15.75" customHeight="1">
      <c r="A445" s="356"/>
      <c r="K445" s="319"/>
    </row>
    <row r="446" ht="15.75" customHeight="1">
      <c r="A446" s="356"/>
      <c r="K446" s="319"/>
    </row>
    <row r="447" ht="15.75" customHeight="1">
      <c r="A447" s="356"/>
      <c r="K447" s="319"/>
    </row>
    <row r="448" ht="15.75" customHeight="1">
      <c r="A448" s="356"/>
      <c r="K448" s="319"/>
    </row>
    <row r="449" ht="15.75" customHeight="1">
      <c r="A449" s="356"/>
      <c r="K449" s="319"/>
    </row>
    <row r="450" ht="15.75" customHeight="1">
      <c r="A450" s="356"/>
      <c r="K450" s="319"/>
    </row>
    <row r="451" ht="15.75" customHeight="1">
      <c r="A451" s="356"/>
      <c r="K451" s="319"/>
    </row>
    <row r="452" ht="15.75" customHeight="1">
      <c r="A452" s="356"/>
      <c r="K452" s="319"/>
    </row>
    <row r="453" ht="15.75" customHeight="1">
      <c r="A453" s="356"/>
      <c r="K453" s="319"/>
    </row>
    <row r="454" ht="15.75" customHeight="1">
      <c r="A454" s="356"/>
      <c r="K454" s="319"/>
    </row>
    <row r="455" ht="15.75" customHeight="1">
      <c r="A455" s="356"/>
      <c r="K455" s="319"/>
    </row>
    <row r="456" ht="15.75" customHeight="1">
      <c r="A456" s="356"/>
      <c r="K456" s="319"/>
    </row>
    <row r="457" ht="15.75" customHeight="1">
      <c r="A457" s="356"/>
      <c r="K457" s="319"/>
    </row>
    <row r="458" ht="15.75" customHeight="1">
      <c r="A458" s="356"/>
      <c r="K458" s="319"/>
    </row>
    <row r="459" ht="15.75" customHeight="1">
      <c r="A459" s="356"/>
      <c r="K459" s="319"/>
    </row>
    <row r="460" ht="15.75" customHeight="1">
      <c r="A460" s="356"/>
      <c r="K460" s="319"/>
    </row>
    <row r="461" ht="15.75" customHeight="1">
      <c r="A461" s="356"/>
      <c r="K461" s="319"/>
    </row>
    <row r="462" ht="15.75" customHeight="1">
      <c r="A462" s="356"/>
      <c r="K462" s="319"/>
    </row>
    <row r="463" ht="15.75" customHeight="1">
      <c r="A463" s="356"/>
      <c r="K463" s="319"/>
    </row>
    <row r="464" ht="15.75" customHeight="1">
      <c r="A464" s="356"/>
      <c r="K464" s="319"/>
    </row>
    <row r="465" ht="15.75" customHeight="1">
      <c r="A465" s="356"/>
      <c r="K465" s="319"/>
    </row>
    <row r="466" ht="15.75" customHeight="1">
      <c r="A466" s="356"/>
      <c r="K466" s="319"/>
    </row>
    <row r="467" ht="15.75" customHeight="1">
      <c r="A467" s="356"/>
      <c r="K467" s="319"/>
    </row>
    <row r="468" ht="15.75" customHeight="1">
      <c r="A468" s="356"/>
      <c r="K468" s="319"/>
    </row>
    <row r="469" ht="15.75" customHeight="1">
      <c r="A469" s="356"/>
      <c r="K469" s="319"/>
    </row>
    <row r="470" ht="15.75" customHeight="1">
      <c r="A470" s="356"/>
      <c r="K470" s="319"/>
    </row>
    <row r="471" ht="15.75" customHeight="1">
      <c r="A471" s="356"/>
      <c r="K471" s="319"/>
    </row>
    <row r="472" ht="15.75" customHeight="1">
      <c r="A472" s="356"/>
      <c r="K472" s="319"/>
    </row>
    <row r="473" ht="15.75" customHeight="1">
      <c r="A473" s="356"/>
      <c r="K473" s="319"/>
    </row>
    <row r="474" ht="15.75" customHeight="1">
      <c r="A474" s="356"/>
      <c r="K474" s="319"/>
    </row>
    <row r="475" ht="15.75" customHeight="1">
      <c r="A475" s="356"/>
      <c r="K475" s="319"/>
    </row>
    <row r="476" ht="15.75" customHeight="1">
      <c r="A476" s="356"/>
      <c r="K476" s="319"/>
    </row>
    <row r="477" ht="15.75" customHeight="1">
      <c r="A477" s="356"/>
      <c r="K477" s="319"/>
    </row>
    <row r="478" ht="15.75" customHeight="1">
      <c r="A478" s="356"/>
      <c r="K478" s="319"/>
    </row>
    <row r="479" ht="15.75" customHeight="1">
      <c r="A479" s="356"/>
      <c r="K479" s="319"/>
    </row>
    <row r="480" ht="15.75" customHeight="1">
      <c r="A480" s="356"/>
      <c r="K480" s="319"/>
    </row>
    <row r="481" ht="15.75" customHeight="1">
      <c r="A481" s="356"/>
      <c r="K481" s="319"/>
    </row>
    <row r="482" ht="15.75" customHeight="1">
      <c r="A482" s="356"/>
      <c r="K482" s="319"/>
    </row>
    <row r="483" ht="15.75" customHeight="1">
      <c r="A483" s="356"/>
      <c r="K483" s="319"/>
    </row>
    <row r="484" ht="15.75" customHeight="1">
      <c r="A484" s="356"/>
      <c r="K484" s="319"/>
    </row>
    <row r="485" ht="15.75" customHeight="1">
      <c r="A485" s="356"/>
      <c r="K485" s="319"/>
    </row>
    <row r="486" ht="15.75" customHeight="1">
      <c r="A486" s="356"/>
      <c r="K486" s="319"/>
    </row>
    <row r="487" ht="15.75" customHeight="1">
      <c r="A487" s="356"/>
      <c r="K487" s="319"/>
    </row>
    <row r="488" ht="15.75" customHeight="1">
      <c r="A488" s="356"/>
      <c r="K488" s="319"/>
    </row>
    <row r="489" ht="15.75" customHeight="1">
      <c r="A489" s="356"/>
      <c r="K489" s="319"/>
    </row>
    <row r="490" ht="15.75" customHeight="1">
      <c r="A490" s="356"/>
      <c r="K490" s="319"/>
    </row>
    <row r="491" ht="15.75" customHeight="1">
      <c r="A491" s="356"/>
      <c r="K491" s="319"/>
    </row>
    <row r="492" ht="15.75" customHeight="1">
      <c r="A492" s="356"/>
      <c r="K492" s="319"/>
    </row>
    <row r="493" ht="15.75" customHeight="1">
      <c r="A493" s="356"/>
      <c r="K493" s="319"/>
    </row>
    <row r="494" ht="15.75" customHeight="1">
      <c r="A494" s="356"/>
      <c r="K494" s="319"/>
    </row>
    <row r="495" ht="15.75" customHeight="1">
      <c r="A495" s="356"/>
      <c r="K495" s="319"/>
    </row>
    <row r="496" ht="15.75" customHeight="1">
      <c r="A496" s="356"/>
      <c r="K496" s="319"/>
    </row>
    <row r="497" ht="15.75" customHeight="1">
      <c r="A497" s="356"/>
      <c r="K497" s="319"/>
    </row>
    <row r="498" ht="15.75" customHeight="1">
      <c r="A498" s="356"/>
      <c r="K498" s="319"/>
    </row>
    <row r="499" ht="15.75" customHeight="1">
      <c r="A499" s="356"/>
      <c r="K499" s="319"/>
    </row>
    <row r="500" ht="15.75" customHeight="1">
      <c r="A500" s="356"/>
      <c r="K500" s="319"/>
    </row>
    <row r="501" ht="15.75" customHeight="1">
      <c r="A501" s="356"/>
      <c r="K501" s="319"/>
    </row>
    <row r="502" ht="15.75" customHeight="1">
      <c r="A502" s="356"/>
      <c r="K502" s="319"/>
    </row>
    <row r="503" ht="15.75" customHeight="1">
      <c r="A503" s="356"/>
      <c r="K503" s="319"/>
    </row>
    <row r="504" ht="15.75" customHeight="1">
      <c r="A504" s="356"/>
      <c r="K504" s="319"/>
    </row>
    <row r="505" ht="15.75" customHeight="1">
      <c r="A505" s="356"/>
      <c r="K505" s="319"/>
    </row>
    <row r="506" ht="15.75" customHeight="1">
      <c r="A506" s="356"/>
      <c r="K506" s="319"/>
    </row>
    <row r="507" ht="15.75" customHeight="1">
      <c r="A507" s="356"/>
      <c r="K507" s="319"/>
    </row>
    <row r="508" ht="15.75" customHeight="1">
      <c r="A508" s="356"/>
      <c r="K508" s="319"/>
    </row>
    <row r="509" ht="15.75" customHeight="1">
      <c r="A509" s="356"/>
      <c r="K509" s="319"/>
    </row>
    <row r="510" ht="15.75" customHeight="1">
      <c r="A510" s="356"/>
      <c r="K510" s="319"/>
    </row>
    <row r="511" ht="15.75" customHeight="1">
      <c r="A511" s="356"/>
      <c r="K511" s="319"/>
    </row>
    <row r="512" ht="15.75" customHeight="1">
      <c r="A512" s="356"/>
      <c r="K512" s="319"/>
    </row>
    <row r="513" ht="15.75" customHeight="1">
      <c r="A513" s="356"/>
      <c r="K513" s="319"/>
    </row>
    <row r="514" ht="15.75" customHeight="1">
      <c r="A514" s="356"/>
      <c r="K514" s="319"/>
    </row>
    <row r="515" ht="15.75" customHeight="1">
      <c r="A515" s="356"/>
      <c r="K515" s="319"/>
    </row>
    <row r="516" ht="15.75" customHeight="1">
      <c r="A516" s="356"/>
      <c r="K516" s="319"/>
    </row>
    <row r="517" ht="15.75" customHeight="1">
      <c r="A517" s="356"/>
      <c r="K517" s="319"/>
    </row>
    <row r="518" ht="15.75" customHeight="1">
      <c r="A518" s="356"/>
      <c r="K518" s="319"/>
    </row>
    <row r="519" ht="15.75" customHeight="1">
      <c r="A519" s="356"/>
      <c r="K519" s="319"/>
    </row>
    <row r="520" ht="15.75" customHeight="1">
      <c r="A520" s="356"/>
      <c r="K520" s="319"/>
    </row>
    <row r="521" ht="15.75" customHeight="1">
      <c r="A521" s="356"/>
      <c r="K521" s="319"/>
    </row>
    <row r="522" ht="15.75" customHeight="1">
      <c r="A522" s="356"/>
      <c r="K522" s="319"/>
    </row>
    <row r="523" ht="15.75" customHeight="1">
      <c r="A523" s="356"/>
      <c r="K523" s="319"/>
    </row>
    <row r="524" ht="15.75" customHeight="1">
      <c r="A524" s="356"/>
      <c r="K524" s="319"/>
    </row>
    <row r="525" ht="15.75" customHeight="1">
      <c r="A525" s="356"/>
      <c r="K525" s="319"/>
    </row>
    <row r="526" ht="15.75" customHeight="1">
      <c r="A526" s="356"/>
      <c r="K526" s="319"/>
    </row>
    <row r="527" ht="15.75" customHeight="1">
      <c r="A527" s="356"/>
      <c r="K527" s="319"/>
    </row>
    <row r="528" ht="15.75" customHeight="1">
      <c r="A528" s="356"/>
      <c r="K528" s="319"/>
    </row>
    <row r="529" ht="15.75" customHeight="1">
      <c r="A529" s="356"/>
      <c r="K529" s="319"/>
    </row>
    <row r="530" ht="15.75" customHeight="1">
      <c r="A530" s="356"/>
      <c r="K530" s="319"/>
    </row>
    <row r="531" ht="15.75" customHeight="1">
      <c r="A531" s="356"/>
      <c r="K531" s="319"/>
    </row>
    <row r="532" ht="15.75" customHeight="1">
      <c r="A532" s="356"/>
      <c r="K532" s="319"/>
    </row>
    <row r="533" ht="15.75" customHeight="1">
      <c r="A533" s="356"/>
      <c r="K533" s="319"/>
    </row>
    <row r="534" ht="15.75" customHeight="1">
      <c r="A534" s="356"/>
      <c r="K534" s="319"/>
    </row>
    <row r="535" ht="15.75" customHeight="1">
      <c r="A535" s="356"/>
      <c r="K535" s="319"/>
    </row>
    <row r="536" ht="15.75" customHeight="1">
      <c r="A536" s="356"/>
      <c r="K536" s="319"/>
    </row>
    <row r="537" ht="15.75" customHeight="1">
      <c r="A537" s="356"/>
      <c r="K537" s="319"/>
    </row>
    <row r="538" ht="15.75" customHeight="1">
      <c r="A538" s="356"/>
      <c r="K538" s="319"/>
    </row>
    <row r="539" ht="15.75" customHeight="1">
      <c r="A539" s="356"/>
      <c r="K539" s="319"/>
    </row>
    <row r="540" ht="15.75" customHeight="1">
      <c r="A540" s="356"/>
      <c r="K540" s="319"/>
    </row>
    <row r="541" ht="15.75" customHeight="1">
      <c r="A541" s="356"/>
      <c r="K541" s="319"/>
    </row>
    <row r="542" ht="15.75" customHeight="1">
      <c r="A542" s="356"/>
      <c r="K542" s="319"/>
    </row>
    <row r="543" ht="15.75" customHeight="1">
      <c r="A543" s="356"/>
      <c r="K543" s="319"/>
    </row>
    <row r="544" ht="15.75" customHeight="1">
      <c r="A544" s="356"/>
      <c r="K544" s="319"/>
    </row>
    <row r="545" ht="15.75" customHeight="1">
      <c r="A545" s="356"/>
      <c r="K545" s="319"/>
    </row>
    <row r="546" ht="15.75" customHeight="1">
      <c r="A546" s="356"/>
      <c r="K546" s="319"/>
    </row>
    <row r="547" ht="15.75" customHeight="1">
      <c r="A547" s="356"/>
      <c r="K547" s="319"/>
    </row>
    <row r="548" ht="15.75" customHeight="1">
      <c r="A548" s="356"/>
      <c r="K548" s="319"/>
    </row>
    <row r="549" ht="15.75" customHeight="1">
      <c r="A549" s="356"/>
      <c r="K549" s="319"/>
    </row>
    <row r="550" ht="15.75" customHeight="1">
      <c r="A550" s="356"/>
      <c r="K550" s="319"/>
    </row>
    <row r="551" ht="15.75" customHeight="1">
      <c r="A551" s="356"/>
      <c r="K551" s="319"/>
    </row>
    <row r="552" ht="15.75" customHeight="1">
      <c r="A552" s="356"/>
      <c r="K552" s="319"/>
    </row>
    <row r="553" ht="15.75" customHeight="1">
      <c r="A553" s="356"/>
      <c r="K553" s="319"/>
    </row>
    <row r="554" ht="15.75" customHeight="1">
      <c r="A554" s="356"/>
      <c r="K554" s="319"/>
    </row>
    <row r="555" ht="15.75" customHeight="1">
      <c r="A555" s="356"/>
      <c r="K555" s="319"/>
    </row>
    <row r="556" ht="15.75" customHeight="1">
      <c r="A556" s="356"/>
      <c r="K556" s="319"/>
    </row>
    <row r="557" ht="15.75" customHeight="1">
      <c r="A557" s="356"/>
      <c r="K557" s="319"/>
    </row>
    <row r="558" ht="15.75" customHeight="1">
      <c r="A558" s="356"/>
      <c r="K558" s="319"/>
    </row>
    <row r="559" ht="15.75" customHeight="1">
      <c r="A559" s="356"/>
      <c r="K559" s="319"/>
    </row>
    <row r="560" ht="15.75" customHeight="1">
      <c r="A560" s="356"/>
      <c r="K560" s="319"/>
    </row>
    <row r="561" ht="15.75" customHeight="1">
      <c r="A561" s="356"/>
      <c r="K561" s="319"/>
    </row>
    <row r="562" ht="15.75" customHeight="1">
      <c r="A562" s="356"/>
      <c r="K562" s="319"/>
    </row>
    <row r="563" ht="15.75" customHeight="1">
      <c r="A563" s="356"/>
      <c r="K563" s="319"/>
    </row>
    <row r="564" ht="15.75" customHeight="1">
      <c r="A564" s="356"/>
      <c r="K564" s="319"/>
    </row>
    <row r="565" ht="15.75" customHeight="1">
      <c r="A565" s="356"/>
      <c r="K565" s="319"/>
    </row>
    <row r="566" ht="15.75" customHeight="1">
      <c r="A566" s="356"/>
      <c r="K566" s="319"/>
    </row>
    <row r="567" ht="15.75" customHeight="1">
      <c r="A567" s="356"/>
      <c r="K567" s="319"/>
    </row>
    <row r="568" ht="15.75" customHeight="1">
      <c r="A568" s="356"/>
      <c r="K568" s="319"/>
    </row>
    <row r="569" ht="15.75" customHeight="1">
      <c r="A569" s="356"/>
      <c r="K569" s="319"/>
    </row>
    <row r="570" ht="15.75" customHeight="1">
      <c r="A570" s="356"/>
      <c r="K570" s="319"/>
    </row>
    <row r="571" ht="15.75" customHeight="1">
      <c r="A571" s="356"/>
      <c r="K571" s="319"/>
    </row>
    <row r="572" ht="15.75" customHeight="1">
      <c r="A572" s="356"/>
      <c r="K572" s="319"/>
    </row>
    <row r="573" ht="15.75" customHeight="1">
      <c r="A573" s="356"/>
      <c r="K573" s="319"/>
    </row>
    <row r="574" ht="15.75" customHeight="1">
      <c r="A574" s="356"/>
      <c r="K574" s="319"/>
    </row>
    <row r="575" ht="15.75" customHeight="1">
      <c r="A575" s="356"/>
      <c r="K575" s="319"/>
    </row>
    <row r="576" ht="15.75" customHeight="1">
      <c r="A576" s="356"/>
      <c r="K576" s="319"/>
    </row>
    <row r="577" ht="15.75" customHeight="1">
      <c r="A577" s="356"/>
      <c r="K577" s="319"/>
    </row>
    <row r="578" ht="15.75" customHeight="1">
      <c r="A578" s="356"/>
      <c r="K578" s="319"/>
    </row>
    <row r="579" ht="15.75" customHeight="1">
      <c r="A579" s="356"/>
      <c r="K579" s="319"/>
    </row>
    <row r="580" ht="15.75" customHeight="1">
      <c r="A580" s="356"/>
      <c r="K580" s="319"/>
    </row>
    <row r="581" ht="15.75" customHeight="1">
      <c r="A581" s="356"/>
      <c r="K581" s="319"/>
    </row>
    <row r="582" ht="15.75" customHeight="1">
      <c r="A582" s="356"/>
      <c r="K582" s="319"/>
    </row>
    <row r="583" ht="15.75" customHeight="1">
      <c r="A583" s="356"/>
      <c r="K583" s="319"/>
    </row>
    <row r="584" ht="15.75" customHeight="1">
      <c r="A584" s="356"/>
      <c r="K584" s="319"/>
    </row>
    <row r="585" ht="15.75" customHeight="1">
      <c r="A585" s="356"/>
      <c r="K585" s="319"/>
    </row>
    <row r="586" ht="15.75" customHeight="1">
      <c r="A586" s="356"/>
      <c r="K586" s="319"/>
    </row>
    <row r="587" ht="15.75" customHeight="1">
      <c r="A587" s="356"/>
      <c r="K587" s="319"/>
    </row>
    <row r="588" ht="15.75" customHeight="1">
      <c r="A588" s="356"/>
      <c r="K588" s="319"/>
    </row>
    <row r="589" ht="15.75" customHeight="1">
      <c r="A589" s="356"/>
      <c r="K589" s="319"/>
    </row>
    <row r="590" ht="15.75" customHeight="1">
      <c r="A590" s="356"/>
      <c r="K590" s="319"/>
    </row>
    <row r="591" ht="15.75" customHeight="1">
      <c r="A591" s="356"/>
      <c r="K591" s="319"/>
    </row>
    <row r="592" ht="15.75" customHeight="1">
      <c r="A592" s="356"/>
      <c r="K592" s="319"/>
    </row>
    <row r="593" ht="15.75" customHeight="1">
      <c r="A593" s="356"/>
      <c r="K593" s="319"/>
    </row>
    <row r="594" ht="15.75" customHeight="1">
      <c r="A594" s="356"/>
      <c r="K594" s="319"/>
    </row>
    <row r="595" ht="15.75" customHeight="1">
      <c r="A595" s="356"/>
      <c r="K595" s="319"/>
    </row>
    <row r="596" ht="15.75" customHeight="1">
      <c r="A596" s="356"/>
      <c r="K596" s="319"/>
    </row>
    <row r="597" ht="15.75" customHeight="1">
      <c r="A597" s="356"/>
      <c r="K597" s="319"/>
    </row>
    <row r="598" ht="15.75" customHeight="1">
      <c r="A598" s="356"/>
      <c r="K598" s="319"/>
    </row>
    <row r="599" ht="15.75" customHeight="1">
      <c r="A599" s="356"/>
      <c r="K599" s="319"/>
    </row>
    <row r="600" ht="15.75" customHeight="1">
      <c r="A600" s="356"/>
      <c r="K600" s="319"/>
    </row>
    <row r="601" ht="15.75" customHeight="1">
      <c r="A601" s="356"/>
      <c r="K601" s="319"/>
    </row>
    <row r="602" ht="15.75" customHeight="1">
      <c r="A602" s="356"/>
      <c r="K602" s="319"/>
    </row>
    <row r="603" ht="15.75" customHeight="1">
      <c r="A603" s="356"/>
      <c r="K603" s="319"/>
    </row>
    <row r="604" ht="15.75" customHeight="1">
      <c r="A604" s="356"/>
      <c r="K604" s="319"/>
    </row>
    <row r="605" ht="15.75" customHeight="1">
      <c r="A605" s="356"/>
      <c r="K605" s="319"/>
    </row>
    <row r="606" ht="15.75" customHeight="1">
      <c r="A606" s="356"/>
      <c r="K606" s="319"/>
    </row>
    <row r="607" ht="15.75" customHeight="1">
      <c r="A607" s="356"/>
      <c r="K607" s="319"/>
    </row>
    <row r="608" ht="15.75" customHeight="1">
      <c r="A608" s="356"/>
      <c r="K608" s="319"/>
    </row>
    <row r="609" ht="15.75" customHeight="1">
      <c r="A609" s="356"/>
      <c r="K609" s="319"/>
    </row>
    <row r="610" ht="15.75" customHeight="1">
      <c r="A610" s="356"/>
      <c r="K610" s="319"/>
    </row>
    <row r="611" ht="15.75" customHeight="1">
      <c r="A611" s="356"/>
      <c r="K611" s="319"/>
    </row>
    <row r="612" ht="15.75" customHeight="1">
      <c r="A612" s="356"/>
      <c r="K612" s="319"/>
    </row>
    <row r="613" ht="15.75" customHeight="1">
      <c r="A613" s="356"/>
      <c r="K613" s="319"/>
    </row>
    <row r="614" ht="15.75" customHeight="1">
      <c r="A614" s="356"/>
      <c r="K614" s="319"/>
    </row>
    <row r="615" ht="15.75" customHeight="1">
      <c r="A615" s="356"/>
      <c r="K615" s="319"/>
    </row>
    <row r="616" ht="15.75" customHeight="1">
      <c r="A616" s="356"/>
      <c r="K616" s="319"/>
    </row>
    <row r="617" ht="15.75" customHeight="1">
      <c r="A617" s="356"/>
      <c r="K617" s="319"/>
    </row>
    <row r="618" ht="15.75" customHeight="1">
      <c r="A618" s="356"/>
      <c r="K618" s="319"/>
    </row>
    <row r="619" ht="15.75" customHeight="1">
      <c r="A619" s="356"/>
      <c r="K619" s="319"/>
    </row>
    <row r="620" ht="15.75" customHeight="1">
      <c r="A620" s="356"/>
      <c r="K620" s="319"/>
    </row>
    <row r="621" ht="15.75" customHeight="1">
      <c r="A621" s="356"/>
      <c r="K621" s="319"/>
    </row>
    <row r="622" ht="15.75" customHeight="1">
      <c r="A622" s="356"/>
      <c r="K622" s="319"/>
    </row>
    <row r="623" ht="15.75" customHeight="1">
      <c r="A623" s="356"/>
      <c r="K623" s="319"/>
    </row>
    <row r="624" ht="15.75" customHeight="1">
      <c r="A624" s="356"/>
      <c r="K624" s="319"/>
    </row>
    <row r="625" ht="15.75" customHeight="1">
      <c r="A625" s="356"/>
      <c r="K625" s="319"/>
    </row>
    <row r="626" ht="15.75" customHeight="1">
      <c r="A626" s="356"/>
      <c r="K626" s="319"/>
    </row>
    <row r="627" ht="15.75" customHeight="1">
      <c r="A627" s="356"/>
      <c r="K627" s="319"/>
    </row>
    <row r="628" ht="15.75" customHeight="1">
      <c r="A628" s="356"/>
      <c r="K628" s="319"/>
    </row>
    <row r="629" ht="15.75" customHeight="1">
      <c r="A629" s="356"/>
      <c r="K629" s="319"/>
    </row>
    <row r="630" ht="15.75" customHeight="1">
      <c r="A630" s="356"/>
      <c r="K630" s="319"/>
    </row>
    <row r="631" ht="15.75" customHeight="1">
      <c r="A631" s="356"/>
      <c r="K631" s="319"/>
    </row>
    <row r="632" ht="15.75" customHeight="1">
      <c r="A632" s="356"/>
      <c r="K632" s="319"/>
    </row>
    <row r="633" ht="15.75" customHeight="1">
      <c r="A633" s="356"/>
      <c r="K633" s="319"/>
    </row>
    <row r="634" ht="15.75" customHeight="1">
      <c r="A634" s="356"/>
      <c r="K634" s="319"/>
    </row>
    <row r="635" ht="15.75" customHeight="1">
      <c r="A635" s="356"/>
      <c r="K635" s="319"/>
    </row>
    <row r="636" ht="15.75" customHeight="1">
      <c r="A636" s="356"/>
      <c r="K636" s="319"/>
    </row>
    <row r="637" ht="15.75" customHeight="1">
      <c r="A637" s="356"/>
      <c r="K637" s="319"/>
    </row>
    <row r="638" ht="15.75" customHeight="1">
      <c r="A638" s="356"/>
      <c r="K638" s="319"/>
    </row>
    <row r="639" ht="15.75" customHeight="1">
      <c r="A639" s="356"/>
      <c r="K639" s="319"/>
    </row>
    <row r="640" ht="15.75" customHeight="1">
      <c r="A640" s="356"/>
      <c r="K640" s="319"/>
    </row>
    <row r="641" ht="15.75" customHeight="1">
      <c r="A641" s="356"/>
      <c r="K641" s="319"/>
    </row>
    <row r="642" ht="15.75" customHeight="1">
      <c r="A642" s="356"/>
      <c r="K642" s="319"/>
    </row>
    <row r="643" ht="15.75" customHeight="1">
      <c r="A643" s="356"/>
      <c r="K643" s="319"/>
    </row>
    <row r="644" ht="15.75" customHeight="1">
      <c r="A644" s="356"/>
      <c r="K644" s="319"/>
    </row>
    <row r="645" ht="15.75" customHeight="1">
      <c r="A645" s="356"/>
      <c r="K645" s="319"/>
    </row>
    <row r="646" ht="15.75" customHeight="1">
      <c r="A646" s="356"/>
      <c r="K646" s="319"/>
    </row>
    <row r="647" ht="15.75" customHeight="1">
      <c r="A647" s="356"/>
      <c r="K647" s="319"/>
    </row>
    <row r="648" ht="15.75" customHeight="1">
      <c r="A648" s="356"/>
      <c r="K648" s="319"/>
    </row>
    <row r="649" ht="15.75" customHeight="1">
      <c r="A649" s="356"/>
      <c r="K649" s="319"/>
    </row>
    <row r="650" ht="15.75" customHeight="1">
      <c r="A650" s="356"/>
      <c r="K650" s="319"/>
    </row>
    <row r="651" ht="15.75" customHeight="1">
      <c r="A651" s="356"/>
      <c r="K651" s="319"/>
    </row>
    <row r="652" ht="15.75" customHeight="1">
      <c r="A652" s="356"/>
      <c r="K652" s="319"/>
    </row>
    <row r="653" ht="15.75" customHeight="1">
      <c r="A653" s="356"/>
      <c r="K653" s="319"/>
    </row>
    <row r="654" ht="15.75" customHeight="1">
      <c r="A654" s="356"/>
      <c r="K654" s="319"/>
    </row>
    <row r="655" ht="15.75" customHeight="1">
      <c r="A655" s="356"/>
      <c r="K655" s="319"/>
    </row>
    <row r="656" ht="15.75" customHeight="1">
      <c r="A656" s="356"/>
      <c r="K656" s="319"/>
    </row>
    <row r="657" ht="15.75" customHeight="1">
      <c r="A657" s="356"/>
      <c r="K657" s="319"/>
    </row>
    <row r="658" ht="15.75" customHeight="1">
      <c r="A658" s="356"/>
      <c r="K658" s="319"/>
    </row>
    <row r="659" ht="15.75" customHeight="1">
      <c r="A659" s="356"/>
      <c r="K659" s="319"/>
    </row>
    <row r="660" ht="15.75" customHeight="1">
      <c r="A660" s="356"/>
      <c r="K660" s="319"/>
    </row>
    <row r="661" ht="15.75" customHeight="1">
      <c r="A661" s="356"/>
      <c r="K661" s="319"/>
    </row>
    <row r="662" ht="15.75" customHeight="1">
      <c r="A662" s="356"/>
      <c r="K662" s="319"/>
    </row>
    <row r="663" ht="15.75" customHeight="1">
      <c r="A663" s="356"/>
      <c r="K663" s="319"/>
    </row>
    <row r="664" ht="15.75" customHeight="1">
      <c r="A664" s="356"/>
      <c r="K664" s="319"/>
    </row>
    <row r="665" ht="15.75" customHeight="1">
      <c r="A665" s="356"/>
      <c r="K665" s="319"/>
    </row>
    <row r="666" ht="15.75" customHeight="1">
      <c r="A666" s="356"/>
      <c r="K666" s="319"/>
    </row>
    <row r="667" ht="15.75" customHeight="1">
      <c r="A667" s="356"/>
      <c r="K667" s="319"/>
    </row>
    <row r="668" ht="15.75" customHeight="1">
      <c r="A668" s="356"/>
      <c r="K668" s="319"/>
    </row>
    <row r="669" ht="15.75" customHeight="1">
      <c r="A669" s="356"/>
      <c r="K669" s="319"/>
    </row>
    <row r="670" ht="15.75" customHeight="1">
      <c r="A670" s="356"/>
      <c r="K670" s="319"/>
    </row>
    <row r="671" ht="15.75" customHeight="1">
      <c r="A671" s="356"/>
      <c r="K671" s="319"/>
    </row>
    <row r="672" ht="15.75" customHeight="1">
      <c r="A672" s="356"/>
      <c r="K672" s="319"/>
    </row>
    <row r="673" ht="15.75" customHeight="1">
      <c r="A673" s="356"/>
      <c r="K673" s="319"/>
    </row>
    <row r="674" ht="15.75" customHeight="1">
      <c r="A674" s="356"/>
      <c r="K674" s="319"/>
    </row>
    <row r="675" ht="15.75" customHeight="1">
      <c r="A675" s="356"/>
      <c r="K675" s="319"/>
    </row>
    <row r="676" ht="15.75" customHeight="1">
      <c r="A676" s="356"/>
      <c r="K676" s="319"/>
    </row>
    <row r="677" ht="15.75" customHeight="1">
      <c r="A677" s="356"/>
      <c r="K677" s="319"/>
    </row>
    <row r="678" ht="15.75" customHeight="1">
      <c r="A678" s="356"/>
      <c r="K678" s="319"/>
    </row>
    <row r="679" ht="15.75" customHeight="1">
      <c r="A679" s="356"/>
      <c r="K679" s="319"/>
    </row>
    <row r="680" ht="15.75" customHeight="1">
      <c r="A680" s="356"/>
      <c r="K680" s="319"/>
    </row>
    <row r="681" ht="15.75" customHeight="1">
      <c r="A681" s="356"/>
      <c r="K681" s="319"/>
    </row>
    <row r="682" ht="15.75" customHeight="1">
      <c r="A682" s="356"/>
      <c r="K682" s="319"/>
    </row>
    <row r="683" ht="15.75" customHeight="1">
      <c r="A683" s="356"/>
      <c r="K683" s="319"/>
    </row>
    <row r="684" ht="15.75" customHeight="1">
      <c r="A684" s="356"/>
      <c r="K684" s="319"/>
    </row>
    <row r="685" ht="15.75" customHeight="1">
      <c r="A685" s="356"/>
      <c r="K685" s="319"/>
    </row>
    <row r="686" ht="15.75" customHeight="1">
      <c r="A686" s="356"/>
      <c r="K686" s="319"/>
    </row>
    <row r="687" ht="15.75" customHeight="1">
      <c r="A687" s="356"/>
      <c r="K687" s="319"/>
    </row>
    <row r="688" ht="15.75" customHeight="1">
      <c r="A688" s="356"/>
      <c r="K688" s="319"/>
    </row>
    <row r="689" ht="15.75" customHeight="1">
      <c r="A689" s="356"/>
      <c r="K689" s="319"/>
    </row>
    <row r="690" ht="15.75" customHeight="1">
      <c r="A690" s="356"/>
      <c r="K690" s="319"/>
    </row>
    <row r="691" ht="15.75" customHeight="1">
      <c r="A691" s="356"/>
      <c r="K691" s="319"/>
    </row>
    <row r="692" ht="15.75" customHeight="1">
      <c r="A692" s="356"/>
      <c r="K692" s="319"/>
    </row>
    <row r="693" ht="15.75" customHeight="1">
      <c r="A693" s="356"/>
      <c r="K693" s="319"/>
    </row>
    <row r="694" ht="15.75" customHeight="1">
      <c r="A694" s="356"/>
      <c r="K694" s="319"/>
    </row>
    <row r="695" ht="15.75" customHeight="1">
      <c r="A695" s="356"/>
      <c r="K695" s="319"/>
    </row>
    <row r="696" ht="15.75" customHeight="1">
      <c r="A696" s="356"/>
      <c r="K696" s="319"/>
    </row>
    <row r="697" ht="15.75" customHeight="1">
      <c r="A697" s="356"/>
      <c r="K697" s="319"/>
    </row>
    <row r="698" ht="15.75" customHeight="1">
      <c r="A698" s="356"/>
      <c r="K698" s="319"/>
    </row>
    <row r="699" ht="15.75" customHeight="1">
      <c r="A699" s="356"/>
      <c r="K699" s="319"/>
    </row>
    <row r="700" ht="15.75" customHeight="1">
      <c r="A700" s="356"/>
      <c r="K700" s="319"/>
    </row>
    <row r="701" ht="15.75" customHeight="1">
      <c r="A701" s="356"/>
      <c r="K701" s="319"/>
    </row>
    <row r="702" ht="15.75" customHeight="1">
      <c r="A702" s="356"/>
      <c r="K702" s="319"/>
    </row>
    <row r="703" ht="15.75" customHeight="1">
      <c r="A703" s="356"/>
      <c r="K703" s="319"/>
    </row>
    <row r="704" ht="15.75" customHeight="1">
      <c r="A704" s="356"/>
      <c r="K704" s="319"/>
    </row>
    <row r="705" ht="15.75" customHeight="1">
      <c r="A705" s="356"/>
      <c r="K705" s="319"/>
    </row>
    <row r="706" ht="15.75" customHeight="1">
      <c r="A706" s="356"/>
      <c r="K706" s="319"/>
    </row>
    <row r="707" ht="15.75" customHeight="1">
      <c r="A707" s="356"/>
      <c r="K707" s="319"/>
    </row>
    <row r="708" ht="15.75" customHeight="1">
      <c r="A708" s="356"/>
      <c r="K708" s="319"/>
    </row>
    <row r="709" ht="15.75" customHeight="1">
      <c r="A709" s="356"/>
      <c r="K709" s="319"/>
    </row>
    <row r="710" ht="15.75" customHeight="1">
      <c r="A710" s="356"/>
      <c r="K710" s="319"/>
    </row>
    <row r="711" ht="15.75" customHeight="1">
      <c r="A711" s="356"/>
      <c r="K711" s="319"/>
    </row>
    <row r="712" ht="15.75" customHeight="1">
      <c r="A712" s="356"/>
      <c r="K712" s="319"/>
    </row>
    <row r="713" ht="15.75" customHeight="1">
      <c r="A713" s="356"/>
      <c r="K713" s="319"/>
    </row>
    <row r="714" ht="15.75" customHeight="1">
      <c r="A714" s="356"/>
      <c r="K714" s="319"/>
    </row>
    <row r="715" ht="15.75" customHeight="1">
      <c r="A715" s="356"/>
      <c r="K715" s="319"/>
    </row>
    <row r="716" ht="15.75" customHeight="1">
      <c r="A716" s="356"/>
      <c r="K716" s="319"/>
    </row>
    <row r="717" ht="15.75" customHeight="1">
      <c r="A717" s="356"/>
      <c r="K717" s="319"/>
    </row>
    <row r="718" ht="15.75" customHeight="1">
      <c r="A718" s="356"/>
      <c r="K718" s="319"/>
    </row>
    <row r="719" ht="15.75" customHeight="1">
      <c r="A719" s="356"/>
      <c r="K719" s="319"/>
    </row>
    <row r="720" ht="15.75" customHeight="1">
      <c r="A720" s="356"/>
      <c r="K720" s="319"/>
    </row>
    <row r="721" ht="15.75" customHeight="1">
      <c r="A721" s="356"/>
      <c r="K721" s="319"/>
    </row>
    <row r="722" ht="15.75" customHeight="1">
      <c r="A722" s="356"/>
      <c r="K722" s="319"/>
    </row>
    <row r="723" ht="15.75" customHeight="1">
      <c r="A723" s="356"/>
      <c r="K723" s="319"/>
    </row>
    <row r="724" ht="15.75" customHeight="1">
      <c r="A724" s="356"/>
      <c r="K724" s="319"/>
    </row>
    <row r="725" ht="15.75" customHeight="1">
      <c r="A725" s="356"/>
      <c r="K725" s="319"/>
    </row>
    <row r="726" ht="15.75" customHeight="1">
      <c r="A726" s="356"/>
      <c r="K726" s="319"/>
    </row>
    <row r="727" ht="15.75" customHeight="1">
      <c r="A727" s="356"/>
      <c r="K727" s="319"/>
    </row>
    <row r="728" ht="15.75" customHeight="1">
      <c r="A728" s="356"/>
      <c r="K728" s="319"/>
    </row>
    <row r="729" ht="15.75" customHeight="1">
      <c r="A729" s="356"/>
      <c r="K729" s="319"/>
    </row>
    <row r="730" ht="15.75" customHeight="1">
      <c r="A730" s="356"/>
      <c r="K730" s="319"/>
    </row>
    <row r="731" ht="15.75" customHeight="1">
      <c r="A731" s="356"/>
      <c r="K731" s="319"/>
    </row>
    <row r="732" ht="15.75" customHeight="1">
      <c r="A732" s="356"/>
      <c r="K732" s="319"/>
    </row>
    <row r="733" ht="15.75" customHeight="1">
      <c r="A733" s="356"/>
      <c r="K733" s="319"/>
    </row>
    <row r="734" ht="15.75" customHeight="1">
      <c r="A734" s="356"/>
      <c r="K734" s="319"/>
    </row>
    <row r="735" ht="15.75" customHeight="1">
      <c r="A735" s="356"/>
      <c r="K735" s="319"/>
    </row>
    <row r="736" ht="15.75" customHeight="1">
      <c r="A736" s="356"/>
      <c r="K736" s="319"/>
    </row>
    <row r="737" ht="15.75" customHeight="1">
      <c r="A737" s="356"/>
      <c r="K737" s="319"/>
    </row>
    <row r="738" ht="15.75" customHeight="1">
      <c r="A738" s="356"/>
      <c r="K738" s="319"/>
    </row>
    <row r="739" ht="15.75" customHeight="1">
      <c r="A739" s="356"/>
      <c r="K739" s="319"/>
    </row>
    <row r="740" ht="15.75" customHeight="1">
      <c r="A740" s="356"/>
      <c r="K740" s="319"/>
    </row>
    <row r="741" ht="15.75" customHeight="1">
      <c r="A741" s="356"/>
      <c r="K741" s="319"/>
    </row>
    <row r="742" ht="15.75" customHeight="1">
      <c r="A742" s="356"/>
      <c r="K742" s="319"/>
    </row>
    <row r="743" ht="15.75" customHeight="1">
      <c r="A743" s="356"/>
      <c r="K743" s="319"/>
    </row>
    <row r="744" ht="15.75" customHeight="1">
      <c r="A744" s="356"/>
      <c r="K744" s="319" t="str">
        <f t="shared" ref="K744:K3925" si="1">IFERROR((midb(D744,1,(SEARCH(" ",D744,1)-1))),"")</f>
        <v/>
      </c>
    </row>
    <row r="745" ht="15.75" customHeight="1">
      <c r="A745" s="356"/>
      <c r="K745" s="319" t="str">
        <f t="shared" si="1"/>
        <v/>
      </c>
    </row>
    <row r="746" ht="15.75" customHeight="1">
      <c r="A746" s="356"/>
      <c r="K746" s="319" t="str">
        <f t="shared" si="1"/>
        <v/>
      </c>
    </row>
    <row r="747" ht="15.75" customHeight="1">
      <c r="A747" s="356"/>
      <c r="K747" s="319" t="str">
        <f t="shared" si="1"/>
        <v/>
      </c>
    </row>
    <row r="748" ht="15.75" customHeight="1">
      <c r="A748" s="356"/>
      <c r="K748" s="319" t="str">
        <f t="shared" si="1"/>
        <v/>
      </c>
    </row>
    <row r="749" ht="15.75" customHeight="1">
      <c r="A749" s="356"/>
      <c r="K749" s="319" t="str">
        <f t="shared" si="1"/>
        <v/>
      </c>
    </row>
    <row r="750" ht="15.75" customHeight="1">
      <c r="A750" s="356"/>
      <c r="K750" s="319" t="str">
        <f t="shared" si="1"/>
        <v/>
      </c>
    </row>
    <row r="751" ht="15.75" customHeight="1">
      <c r="A751" s="356"/>
      <c r="K751" s="319" t="str">
        <f t="shared" si="1"/>
        <v/>
      </c>
    </row>
    <row r="752" ht="15.75" customHeight="1">
      <c r="A752" s="356"/>
      <c r="K752" s="319" t="str">
        <f t="shared" si="1"/>
        <v/>
      </c>
    </row>
    <row r="753" ht="15.75" customHeight="1">
      <c r="A753" s="356"/>
      <c r="K753" s="319" t="str">
        <f t="shared" si="1"/>
        <v/>
      </c>
    </row>
    <row r="754" ht="15.75" customHeight="1">
      <c r="A754" s="356"/>
      <c r="K754" s="319" t="str">
        <f t="shared" si="1"/>
        <v/>
      </c>
    </row>
    <row r="755" ht="15.75" customHeight="1">
      <c r="A755" s="356"/>
      <c r="K755" s="319" t="str">
        <f t="shared" si="1"/>
        <v/>
      </c>
    </row>
    <row r="756" ht="15.75" customHeight="1">
      <c r="A756" s="356"/>
      <c r="K756" s="319" t="str">
        <f t="shared" si="1"/>
        <v/>
      </c>
    </row>
    <row r="757" ht="15.75" customHeight="1">
      <c r="A757" s="356"/>
      <c r="K757" s="319" t="str">
        <f t="shared" si="1"/>
        <v/>
      </c>
    </row>
    <row r="758" ht="15.75" customHeight="1">
      <c r="A758" s="356"/>
      <c r="K758" s="319" t="str">
        <f t="shared" si="1"/>
        <v/>
      </c>
    </row>
    <row r="759" ht="15.75" customHeight="1">
      <c r="A759" s="356"/>
      <c r="K759" s="319" t="str">
        <f t="shared" si="1"/>
        <v/>
      </c>
    </row>
    <row r="760" ht="15.75" customHeight="1">
      <c r="A760" s="356"/>
      <c r="K760" s="319" t="str">
        <f t="shared" si="1"/>
        <v/>
      </c>
    </row>
    <row r="761" ht="15.75" customHeight="1">
      <c r="A761" s="356"/>
      <c r="K761" s="319" t="str">
        <f t="shared" si="1"/>
        <v/>
      </c>
    </row>
    <row r="762" ht="15.75" customHeight="1">
      <c r="A762" s="356"/>
      <c r="K762" s="319" t="str">
        <f t="shared" si="1"/>
        <v/>
      </c>
    </row>
    <row r="763" ht="15.75" customHeight="1">
      <c r="A763" s="356"/>
      <c r="K763" s="319" t="str">
        <f t="shared" si="1"/>
        <v/>
      </c>
    </row>
    <row r="764" ht="15.75" customHeight="1">
      <c r="A764" s="356"/>
      <c r="K764" s="319" t="str">
        <f t="shared" si="1"/>
        <v/>
      </c>
    </row>
    <row r="765" ht="15.75" customHeight="1">
      <c r="A765" s="356"/>
      <c r="K765" s="319" t="str">
        <f t="shared" si="1"/>
        <v/>
      </c>
    </row>
    <row r="766" ht="15.75" customHeight="1">
      <c r="A766" s="356"/>
      <c r="K766" s="319" t="str">
        <f t="shared" si="1"/>
        <v/>
      </c>
    </row>
    <row r="767" ht="15.75" customHeight="1">
      <c r="A767" s="356"/>
      <c r="K767" s="319" t="str">
        <f t="shared" si="1"/>
        <v/>
      </c>
    </row>
    <row r="768" ht="15.75" customHeight="1">
      <c r="A768" s="356"/>
      <c r="K768" s="319" t="str">
        <f t="shared" si="1"/>
        <v/>
      </c>
    </row>
    <row r="769" ht="15.75" customHeight="1">
      <c r="A769" s="356"/>
      <c r="K769" s="319" t="str">
        <f t="shared" si="1"/>
        <v/>
      </c>
    </row>
    <row r="770" ht="15.75" customHeight="1">
      <c r="A770" s="356"/>
      <c r="K770" s="319" t="str">
        <f t="shared" si="1"/>
        <v/>
      </c>
    </row>
    <row r="771" ht="15.75" customHeight="1">
      <c r="A771" s="356"/>
      <c r="K771" s="319" t="str">
        <f t="shared" si="1"/>
        <v/>
      </c>
    </row>
    <row r="772" ht="15.75" customHeight="1">
      <c r="A772" s="356"/>
      <c r="K772" s="319" t="str">
        <f t="shared" si="1"/>
        <v/>
      </c>
    </row>
    <row r="773" ht="15.75" customHeight="1">
      <c r="A773" s="356"/>
      <c r="K773" s="319" t="str">
        <f t="shared" si="1"/>
        <v/>
      </c>
    </row>
    <row r="774" ht="15.75" customHeight="1">
      <c r="A774" s="356"/>
      <c r="K774" s="319" t="str">
        <f t="shared" si="1"/>
        <v/>
      </c>
    </row>
    <row r="775" ht="15.75" customHeight="1">
      <c r="A775" s="356"/>
      <c r="K775" s="319" t="str">
        <f t="shared" si="1"/>
        <v/>
      </c>
    </row>
    <row r="776" ht="15.75" customHeight="1">
      <c r="A776" s="356"/>
      <c r="K776" s="319" t="str">
        <f t="shared" si="1"/>
        <v/>
      </c>
    </row>
    <row r="777" ht="15.75" customHeight="1">
      <c r="A777" s="356"/>
      <c r="K777" s="319" t="str">
        <f t="shared" si="1"/>
        <v/>
      </c>
    </row>
    <row r="778" ht="15.75" customHeight="1">
      <c r="A778" s="356"/>
      <c r="K778" s="319" t="str">
        <f t="shared" si="1"/>
        <v/>
      </c>
    </row>
    <row r="779" ht="15.75" customHeight="1">
      <c r="A779" s="356"/>
      <c r="K779" s="319" t="str">
        <f t="shared" si="1"/>
        <v/>
      </c>
    </row>
    <row r="780" ht="15.75" customHeight="1">
      <c r="A780" s="356"/>
      <c r="K780" s="319" t="str">
        <f t="shared" si="1"/>
        <v/>
      </c>
    </row>
    <row r="781" ht="15.75" customHeight="1">
      <c r="A781" s="356"/>
      <c r="K781" s="319" t="str">
        <f t="shared" si="1"/>
        <v/>
      </c>
    </row>
    <row r="782" ht="15.75" customHeight="1">
      <c r="A782" s="356"/>
      <c r="K782" s="319" t="str">
        <f t="shared" si="1"/>
        <v/>
      </c>
    </row>
    <row r="783" ht="15.75" customHeight="1">
      <c r="A783" s="356"/>
      <c r="K783" s="319" t="str">
        <f t="shared" si="1"/>
        <v/>
      </c>
    </row>
    <row r="784" ht="15.75" customHeight="1">
      <c r="A784" s="356"/>
      <c r="K784" s="319" t="str">
        <f t="shared" si="1"/>
        <v/>
      </c>
    </row>
    <row r="785" ht="15.75" customHeight="1">
      <c r="A785" s="356"/>
      <c r="K785" s="319" t="str">
        <f t="shared" si="1"/>
        <v/>
      </c>
    </row>
    <row r="786" ht="15.75" customHeight="1">
      <c r="A786" s="356"/>
      <c r="K786" s="319" t="str">
        <f t="shared" si="1"/>
        <v/>
      </c>
    </row>
    <row r="787" ht="15.75" customHeight="1">
      <c r="A787" s="356"/>
      <c r="K787" s="319" t="str">
        <f t="shared" si="1"/>
        <v/>
      </c>
    </row>
    <row r="788" ht="15.75" customHeight="1">
      <c r="A788" s="356"/>
      <c r="K788" s="319" t="str">
        <f t="shared" si="1"/>
        <v/>
      </c>
    </row>
    <row r="789" ht="15.75" customHeight="1">
      <c r="A789" s="356"/>
      <c r="K789" s="319" t="str">
        <f t="shared" si="1"/>
        <v/>
      </c>
    </row>
    <row r="790" ht="15.75" customHeight="1">
      <c r="A790" s="356"/>
      <c r="K790" s="319" t="str">
        <f t="shared" si="1"/>
        <v/>
      </c>
    </row>
    <row r="791" ht="15.75" customHeight="1">
      <c r="A791" s="356"/>
      <c r="K791" s="319" t="str">
        <f t="shared" si="1"/>
        <v/>
      </c>
    </row>
    <row r="792" ht="15.75" customHeight="1">
      <c r="A792" s="356"/>
      <c r="K792" s="319" t="str">
        <f t="shared" si="1"/>
        <v/>
      </c>
    </row>
    <row r="793" ht="15.75" customHeight="1">
      <c r="A793" s="356"/>
      <c r="K793" s="319" t="str">
        <f t="shared" si="1"/>
        <v/>
      </c>
    </row>
    <row r="794" ht="15.75" customHeight="1">
      <c r="A794" s="356"/>
      <c r="K794" s="319" t="str">
        <f t="shared" si="1"/>
        <v/>
      </c>
    </row>
    <row r="795" ht="15.75" customHeight="1">
      <c r="A795" s="356"/>
      <c r="K795" s="319" t="str">
        <f t="shared" si="1"/>
        <v/>
      </c>
    </row>
    <row r="796" ht="15.75" customHeight="1">
      <c r="A796" s="356"/>
      <c r="K796" s="319" t="str">
        <f t="shared" si="1"/>
        <v/>
      </c>
    </row>
    <row r="797" ht="15.75" customHeight="1">
      <c r="A797" s="356"/>
      <c r="K797" s="319" t="str">
        <f t="shared" si="1"/>
        <v/>
      </c>
    </row>
    <row r="798" ht="15.75" customHeight="1">
      <c r="A798" s="356"/>
      <c r="K798" s="319" t="str">
        <f t="shared" si="1"/>
        <v/>
      </c>
    </row>
    <row r="799" ht="15.75" customHeight="1">
      <c r="A799" s="356"/>
      <c r="K799" s="319" t="str">
        <f t="shared" si="1"/>
        <v/>
      </c>
    </row>
    <row r="800" ht="15.75" customHeight="1">
      <c r="A800" s="356"/>
      <c r="K800" s="319" t="str">
        <f t="shared" si="1"/>
        <v/>
      </c>
    </row>
    <row r="801" ht="15.75" customHeight="1">
      <c r="A801" s="356"/>
      <c r="K801" s="319" t="str">
        <f t="shared" si="1"/>
        <v/>
      </c>
    </row>
    <row r="802" ht="15.75" customHeight="1">
      <c r="A802" s="356"/>
      <c r="K802" s="319" t="str">
        <f t="shared" si="1"/>
        <v/>
      </c>
    </row>
    <row r="803" ht="15.75" customHeight="1">
      <c r="A803" s="356"/>
      <c r="K803" s="319" t="str">
        <f t="shared" si="1"/>
        <v/>
      </c>
    </row>
    <row r="804" ht="15.75" customHeight="1">
      <c r="A804" s="356"/>
      <c r="K804" s="319" t="str">
        <f t="shared" si="1"/>
        <v/>
      </c>
    </row>
    <row r="805" ht="15.75" customHeight="1">
      <c r="A805" s="356"/>
      <c r="K805" s="319" t="str">
        <f t="shared" si="1"/>
        <v/>
      </c>
    </row>
    <row r="806" ht="15.75" customHeight="1">
      <c r="A806" s="356"/>
      <c r="K806" s="319" t="str">
        <f t="shared" si="1"/>
        <v/>
      </c>
    </row>
    <row r="807" ht="15.75" customHeight="1">
      <c r="A807" s="356"/>
      <c r="K807" s="319" t="str">
        <f t="shared" si="1"/>
        <v/>
      </c>
    </row>
    <row r="808" ht="15.75" customHeight="1">
      <c r="A808" s="356"/>
      <c r="K808" s="319" t="str">
        <f t="shared" si="1"/>
        <v/>
      </c>
    </row>
    <row r="809" ht="15.75" customHeight="1">
      <c r="A809" s="356"/>
      <c r="K809" s="319" t="str">
        <f t="shared" si="1"/>
        <v/>
      </c>
    </row>
    <row r="810" ht="15.75" customHeight="1">
      <c r="A810" s="356"/>
      <c r="K810" s="319" t="str">
        <f t="shared" si="1"/>
        <v/>
      </c>
    </row>
    <row r="811" ht="15.75" customHeight="1">
      <c r="A811" s="356"/>
      <c r="K811" s="319" t="str">
        <f t="shared" si="1"/>
        <v/>
      </c>
    </row>
    <row r="812" ht="15.75" customHeight="1">
      <c r="A812" s="356"/>
      <c r="K812" s="319" t="str">
        <f t="shared" si="1"/>
        <v/>
      </c>
    </row>
    <row r="813" ht="15.75" customHeight="1">
      <c r="A813" s="356"/>
      <c r="K813" s="319" t="str">
        <f t="shared" si="1"/>
        <v/>
      </c>
    </row>
    <row r="814" ht="15.75" customHeight="1">
      <c r="A814" s="356"/>
      <c r="K814" s="319" t="str">
        <f t="shared" si="1"/>
        <v/>
      </c>
    </row>
    <row r="815" ht="15.75" customHeight="1">
      <c r="A815" s="356"/>
      <c r="K815" s="319" t="str">
        <f t="shared" si="1"/>
        <v/>
      </c>
    </row>
    <row r="816" ht="15.75" customHeight="1">
      <c r="A816" s="356"/>
      <c r="K816" s="319" t="str">
        <f t="shared" si="1"/>
        <v/>
      </c>
    </row>
    <row r="817" ht="15.75" customHeight="1">
      <c r="A817" s="356"/>
      <c r="K817" s="319" t="str">
        <f t="shared" si="1"/>
        <v/>
      </c>
    </row>
    <row r="818" ht="15.75" customHeight="1">
      <c r="A818" s="356"/>
      <c r="K818" s="319" t="str">
        <f t="shared" si="1"/>
        <v/>
      </c>
    </row>
    <row r="819" ht="15.75" customHeight="1">
      <c r="A819" s="356"/>
      <c r="K819" s="319" t="str">
        <f t="shared" si="1"/>
        <v/>
      </c>
    </row>
    <row r="820" ht="15.75" customHeight="1">
      <c r="A820" s="356"/>
      <c r="K820" s="319" t="str">
        <f t="shared" si="1"/>
        <v/>
      </c>
    </row>
    <row r="821" ht="15.75" customHeight="1">
      <c r="A821" s="356"/>
      <c r="K821" s="319" t="str">
        <f t="shared" si="1"/>
        <v/>
      </c>
    </row>
    <row r="822" ht="15.75" customHeight="1">
      <c r="A822" s="356"/>
      <c r="K822" s="319" t="str">
        <f t="shared" si="1"/>
        <v/>
      </c>
    </row>
    <row r="823" ht="15.75" customHeight="1">
      <c r="A823" s="356"/>
      <c r="K823" s="319" t="str">
        <f t="shared" si="1"/>
        <v/>
      </c>
    </row>
    <row r="824" ht="15.75" customHeight="1">
      <c r="A824" s="356"/>
      <c r="K824" s="319" t="str">
        <f t="shared" si="1"/>
        <v/>
      </c>
    </row>
    <row r="825" ht="15.75" customHeight="1">
      <c r="A825" s="356"/>
      <c r="K825" s="319" t="str">
        <f t="shared" si="1"/>
        <v/>
      </c>
    </row>
    <row r="826" ht="15.75" customHeight="1">
      <c r="A826" s="356"/>
      <c r="K826" s="319" t="str">
        <f t="shared" si="1"/>
        <v/>
      </c>
    </row>
    <row r="827" ht="15.75" customHeight="1">
      <c r="A827" s="356"/>
      <c r="K827" s="319" t="str">
        <f t="shared" si="1"/>
        <v/>
      </c>
    </row>
    <row r="828" ht="15.75" customHeight="1">
      <c r="A828" s="356"/>
      <c r="K828" s="319" t="str">
        <f t="shared" si="1"/>
        <v/>
      </c>
    </row>
    <row r="829" ht="15.75" customHeight="1">
      <c r="A829" s="356"/>
      <c r="K829" s="319" t="str">
        <f t="shared" si="1"/>
        <v/>
      </c>
    </row>
    <row r="830" ht="15.75" customHeight="1">
      <c r="A830" s="356"/>
      <c r="K830" s="319" t="str">
        <f t="shared" si="1"/>
        <v/>
      </c>
    </row>
    <row r="831" ht="15.75" customHeight="1">
      <c r="A831" s="356"/>
      <c r="K831" s="319" t="str">
        <f t="shared" si="1"/>
        <v/>
      </c>
    </row>
    <row r="832" ht="15.75" customHeight="1">
      <c r="A832" s="356"/>
      <c r="K832" s="319" t="str">
        <f t="shared" si="1"/>
        <v/>
      </c>
    </row>
    <row r="833" ht="15.75" customHeight="1">
      <c r="A833" s="356"/>
      <c r="K833" s="319" t="str">
        <f t="shared" si="1"/>
        <v/>
      </c>
    </row>
    <row r="834" ht="15.75" customHeight="1">
      <c r="A834" s="356"/>
      <c r="K834" s="319" t="str">
        <f t="shared" si="1"/>
        <v/>
      </c>
    </row>
    <row r="835" ht="15.75" customHeight="1">
      <c r="A835" s="356"/>
      <c r="K835" s="319" t="str">
        <f t="shared" si="1"/>
        <v/>
      </c>
    </row>
    <row r="836" ht="15.75" customHeight="1">
      <c r="A836" s="356"/>
      <c r="K836" s="319" t="str">
        <f t="shared" si="1"/>
        <v/>
      </c>
    </row>
    <row r="837" ht="15.75" customHeight="1">
      <c r="A837" s="356"/>
      <c r="K837" s="319" t="str">
        <f t="shared" si="1"/>
        <v/>
      </c>
    </row>
    <row r="838" ht="15.75" customHeight="1">
      <c r="A838" s="356"/>
      <c r="K838" s="319" t="str">
        <f t="shared" si="1"/>
        <v/>
      </c>
    </row>
    <row r="839" ht="15.75" customHeight="1">
      <c r="A839" s="356"/>
      <c r="K839" s="319" t="str">
        <f t="shared" si="1"/>
        <v/>
      </c>
    </row>
    <row r="840" ht="15.75" customHeight="1">
      <c r="A840" s="356"/>
      <c r="K840" s="319" t="str">
        <f t="shared" si="1"/>
        <v/>
      </c>
    </row>
    <row r="841" ht="15.75" customHeight="1">
      <c r="A841" s="356"/>
      <c r="K841" s="319" t="str">
        <f t="shared" si="1"/>
        <v/>
      </c>
    </row>
    <row r="842" ht="15.75" customHeight="1">
      <c r="A842" s="356"/>
      <c r="K842" s="319" t="str">
        <f t="shared" si="1"/>
        <v/>
      </c>
    </row>
    <row r="843" ht="15.75" customHeight="1">
      <c r="A843" s="356"/>
      <c r="K843" s="319" t="str">
        <f t="shared" si="1"/>
        <v/>
      </c>
    </row>
    <row r="844" ht="15.75" customHeight="1">
      <c r="A844" s="356"/>
      <c r="K844" s="319" t="str">
        <f t="shared" si="1"/>
        <v/>
      </c>
    </row>
    <row r="845" ht="15.75" customHeight="1">
      <c r="A845" s="356"/>
      <c r="K845" s="319" t="str">
        <f t="shared" si="1"/>
        <v/>
      </c>
    </row>
    <row r="846" ht="15.75" customHeight="1">
      <c r="A846" s="356"/>
      <c r="K846" s="319" t="str">
        <f t="shared" si="1"/>
        <v/>
      </c>
    </row>
    <row r="847" ht="15.75" customHeight="1">
      <c r="A847" s="356"/>
      <c r="K847" s="319" t="str">
        <f t="shared" si="1"/>
        <v/>
      </c>
    </row>
    <row r="848" ht="15.75" customHeight="1">
      <c r="A848" s="356"/>
      <c r="K848" s="319" t="str">
        <f t="shared" si="1"/>
        <v/>
      </c>
    </row>
    <row r="849" ht="15.75" customHeight="1">
      <c r="A849" s="356"/>
      <c r="K849" s="319" t="str">
        <f t="shared" si="1"/>
        <v/>
      </c>
    </row>
    <row r="850" ht="15.75" customHeight="1">
      <c r="A850" s="356"/>
      <c r="K850" s="319" t="str">
        <f t="shared" si="1"/>
        <v/>
      </c>
    </row>
    <row r="851" ht="15.75" customHeight="1">
      <c r="A851" s="356"/>
      <c r="K851" s="319" t="str">
        <f t="shared" si="1"/>
        <v/>
      </c>
    </row>
    <row r="852" ht="15.75" customHeight="1">
      <c r="A852" s="356"/>
      <c r="K852" s="319" t="str">
        <f t="shared" si="1"/>
        <v/>
      </c>
    </row>
    <row r="853" ht="15.75" customHeight="1">
      <c r="A853" s="356"/>
      <c r="K853" s="319" t="str">
        <f t="shared" si="1"/>
        <v/>
      </c>
    </row>
    <row r="854" ht="15.75" customHeight="1">
      <c r="A854" s="356"/>
      <c r="K854" s="319" t="str">
        <f t="shared" si="1"/>
        <v/>
      </c>
    </row>
    <row r="855" ht="15.75" customHeight="1">
      <c r="A855" s="356"/>
      <c r="K855" s="319" t="str">
        <f t="shared" si="1"/>
        <v/>
      </c>
    </row>
    <row r="856" ht="15.75" customHeight="1">
      <c r="A856" s="356"/>
      <c r="K856" s="319" t="str">
        <f t="shared" si="1"/>
        <v/>
      </c>
    </row>
    <row r="857" ht="15.75" customHeight="1">
      <c r="A857" s="356"/>
      <c r="K857" s="319" t="str">
        <f t="shared" si="1"/>
        <v/>
      </c>
    </row>
    <row r="858" ht="15.75" customHeight="1">
      <c r="A858" s="356"/>
      <c r="K858" s="319" t="str">
        <f t="shared" si="1"/>
        <v/>
      </c>
    </row>
    <row r="859" ht="15.75" customHeight="1">
      <c r="A859" s="356"/>
      <c r="K859" s="319" t="str">
        <f t="shared" si="1"/>
        <v/>
      </c>
    </row>
    <row r="860" ht="15.75" customHeight="1">
      <c r="A860" s="356"/>
      <c r="K860" s="319" t="str">
        <f t="shared" si="1"/>
        <v/>
      </c>
    </row>
    <row r="861" ht="15.75" customHeight="1">
      <c r="A861" s="356"/>
      <c r="K861" s="319" t="str">
        <f t="shared" si="1"/>
        <v/>
      </c>
    </row>
    <row r="862" ht="15.75" customHeight="1">
      <c r="A862" s="356"/>
      <c r="K862" s="319" t="str">
        <f t="shared" si="1"/>
        <v/>
      </c>
    </row>
    <row r="863" ht="15.75" customHeight="1">
      <c r="A863" s="356"/>
      <c r="K863" s="319" t="str">
        <f t="shared" si="1"/>
        <v/>
      </c>
    </row>
    <row r="864" ht="15.75" customHeight="1">
      <c r="A864" s="356"/>
      <c r="K864" s="319" t="str">
        <f t="shared" si="1"/>
        <v/>
      </c>
    </row>
    <row r="865" ht="15.75" customHeight="1">
      <c r="A865" s="356"/>
      <c r="K865" s="319" t="str">
        <f t="shared" si="1"/>
        <v/>
      </c>
    </row>
    <row r="866" ht="15.75" customHeight="1">
      <c r="A866" s="356"/>
      <c r="K866" s="319" t="str">
        <f t="shared" si="1"/>
        <v/>
      </c>
    </row>
    <row r="867" ht="15.75" customHeight="1">
      <c r="A867" s="356"/>
      <c r="K867" s="319" t="str">
        <f t="shared" si="1"/>
        <v/>
      </c>
    </row>
    <row r="868" ht="15.75" customHeight="1">
      <c r="A868" s="356"/>
      <c r="K868" s="319" t="str">
        <f t="shared" si="1"/>
        <v/>
      </c>
    </row>
    <row r="869" ht="15.75" customHeight="1">
      <c r="A869" s="356"/>
      <c r="K869" s="319" t="str">
        <f t="shared" si="1"/>
        <v/>
      </c>
    </row>
    <row r="870" ht="15.75" customHeight="1">
      <c r="A870" s="356"/>
      <c r="K870" s="319" t="str">
        <f t="shared" si="1"/>
        <v/>
      </c>
    </row>
    <row r="871" ht="15.75" customHeight="1">
      <c r="A871" s="356"/>
      <c r="K871" s="319" t="str">
        <f t="shared" si="1"/>
        <v/>
      </c>
    </row>
    <row r="872" ht="15.75" customHeight="1">
      <c r="A872" s="356"/>
      <c r="K872" s="319" t="str">
        <f t="shared" si="1"/>
        <v/>
      </c>
    </row>
    <row r="873" ht="15.75" customHeight="1">
      <c r="A873" s="356"/>
      <c r="K873" s="319" t="str">
        <f t="shared" si="1"/>
        <v/>
      </c>
    </row>
    <row r="874" ht="15.75" customHeight="1">
      <c r="A874" s="356"/>
      <c r="K874" s="319" t="str">
        <f t="shared" si="1"/>
        <v/>
      </c>
    </row>
    <row r="875" ht="15.75" customHeight="1">
      <c r="A875" s="356"/>
      <c r="K875" s="319" t="str">
        <f t="shared" si="1"/>
        <v/>
      </c>
    </row>
    <row r="876" ht="15.75" customHeight="1">
      <c r="A876" s="356"/>
      <c r="K876" s="319" t="str">
        <f t="shared" si="1"/>
        <v/>
      </c>
    </row>
    <row r="877" ht="15.75" customHeight="1">
      <c r="A877" s="356"/>
      <c r="K877" s="319" t="str">
        <f t="shared" si="1"/>
        <v/>
      </c>
    </row>
    <row r="878" ht="15.75" customHeight="1">
      <c r="A878" s="356"/>
      <c r="K878" s="319" t="str">
        <f t="shared" si="1"/>
        <v/>
      </c>
    </row>
    <row r="879" ht="15.75" customHeight="1">
      <c r="A879" s="356"/>
      <c r="K879" s="319" t="str">
        <f t="shared" si="1"/>
        <v/>
      </c>
    </row>
    <row r="880" ht="15.75" customHeight="1">
      <c r="A880" s="356"/>
      <c r="K880" s="319" t="str">
        <f t="shared" si="1"/>
        <v/>
      </c>
    </row>
    <row r="881" ht="15.75" customHeight="1">
      <c r="A881" s="356"/>
      <c r="K881" s="319" t="str">
        <f t="shared" si="1"/>
        <v/>
      </c>
    </row>
    <row r="882" ht="15.75" customHeight="1">
      <c r="A882" s="356"/>
      <c r="K882" s="319" t="str">
        <f t="shared" si="1"/>
        <v/>
      </c>
    </row>
    <row r="883" ht="15.75" customHeight="1">
      <c r="A883" s="356"/>
      <c r="K883" s="319" t="str">
        <f t="shared" si="1"/>
        <v/>
      </c>
    </row>
    <row r="884" ht="15.75" customHeight="1">
      <c r="A884" s="356"/>
      <c r="K884" s="319" t="str">
        <f t="shared" si="1"/>
        <v/>
      </c>
    </row>
    <row r="885" ht="15.75" customHeight="1">
      <c r="A885" s="356"/>
      <c r="K885" s="319" t="str">
        <f t="shared" si="1"/>
        <v/>
      </c>
    </row>
    <row r="886" ht="15.75" customHeight="1">
      <c r="A886" s="356"/>
      <c r="K886" s="319" t="str">
        <f t="shared" si="1"/>
        <v/>
      </c>
    </row>
    <row r="887" ht="15.75" customHeight="1">
      <c r="A887" s="356"/>
      <c r="K887" s="319" t="str">
        <f t="shared" si="1"/>
        <v/>
      </c>
    </row>
    <row r="888" ht="15.75" customHeight="1">
      <c r="A888" s="356"/>
      <c r="K888" s="319" t="str">
        <f t="shared" si="1"/>
        <v/>
      </c>
    </row>
    <row r="889" ht="15.75" customHeight="1">
      <c r="A889" s="356"/>
      <c r="K889" s="319" t="str">
        <f t="shared" si="1"/>
        <v/>
      </c>
    </row>
    <row r="890" ht="15.75" customHeight="1">
      <c r="A890" s="356"/>
      <c r="K890" s="319" t="str">
        <f t="shared" si="1"/>
        <v/>
      </c>
    </row>
    <row r="891" ht="15.75" customHeight="1">
      <c r="A891" s="356"/>
      <c r="K891" s="319" t="str">
        <f t="shared" si="1"/>
        <v/>
      </c>
    </row>
    <row r="892" ht="15.75" customHeight="1">
      <c r="A892" s="356"/>
      <c r="K892" s="319" t="str">
        <f t="shared" si="1"/>
        <v/>
      </c>
    </row>
    <row r="893" ht="15.75" customHeight="1">
      <c r="A893" s="356"/>
      <c r="K893" s="319" t="str">
        <f t="shared" si="1"/>
        <v/>
      </c>
    </row>
    <row r="894" ht="15.75" customHeight="1">
      <c r="A894" s="356"/>
      <c r="K894" s="319" t="str">
        <f t="shared" si="1"/>
        <v/>
      </c>
    </row>
    <row r="895" ht="15.75" customHeight="1">
      <c r="A895" s="356"/>
      <c r="K895" s="319" t="str">
        <f t="shared" si="1"/>
        <v/>
      </c>
    </row>
    <row r="896" ht="15.75" customHeight="1">
      <c r="A896" s="356"/>
      <c r="K896" s="319" t="str">
        <f t="shared" si="1"/>
        <v/>
      </c>
    </row>
    <row r="897" ht="15.75" customHeight="1">
      <c r="A897" s="356"/>
      <c r="K897" s="319" t="str">
        <f t="shared" si="1"/>
        <v/>
      </c>
    </row>
    <row r="898" ht="15.75" customHeight="1">
      <c r="A898" s="356"/>
      <c r="K898" s="319" t="str">
        <f t="shared" si="1"/>
        <v/>
      </c>
    </row>
    <row r="899" ht="15.75" customHeight="1">
      <c r="A899" s="356"/>
      <c r="K899" s="319" t="str">
        <f t="shared" si="1"/>
        <v/>
      </c>
    </row>
    <row r="900" ht="15.75" customHeight="1">
      <c r="A900" s="356"/>
      <c r="K900" s="319" t="str">
        <f t="shared" si="1"/>
        <v/>
      </c>
    </row>
    <row r="901" ht="15.75" customHeight="1">
      <c r="A901" s="356"/>
      <c r="K901" s="319" t="str">
        <f t="shared" si="1"/>
        <v/>
      </c>
    </row>
    <row r="902" ht="15.75" customHeight="1">
      <c r="A902" s="356"/>
      <c r="K902" s="319" t="str">
        <f t="shared" si="1"/>
        <v/>
      </c>
    </row>
    <row r="903" ht="15.75" customHeight="1">
      <c r="A903" s="356"/>
      <c r="K903" s="319" t="str">
        <f t="shared" si="1"/>
        <v/>
      </c>
    </row>
    <row r="904" ht="15.75" customHeight="1">
      <c r="A904" s="356"/>
      <c r="K904" s="319" t="str">
        <f t="shared" si="1"/>
        <v/>
      </c>
    </row>
    <row r="905" ht="15.75" customHeight="1">
      <c r="A905" s="356"/>
      <c r="K905" s="319" t="str">
        <f t="shared" si="1"/>
        <v/>
      </c>
    </row>
    <row r="906" ht="15.75" customHeight="1">
      <c r="A906" s="356"/>
      <c r="K906" s="319" t="str">
        <f t="shared" si="1"/>
        <v/>
      </c>
    </row>
    <row r="907" ht="15.75" customHeight="1">
      <c r="A907" s="356"/>
      <c r="K907" s="319" t="str">
        <f t="shared" si="1"/>
        <v/>
      </c>
    </row>
    <row r="908" ht="15.75" customHeight="1">
      <c r="A908" s="356"/>
      <c r="K908" s="319" t="str">
        <f t="shared" si="1"/>
        <v/>
      </c>
    </row>
    <row r="909" ht="15.75" customHeight="1">
      <c r="A909" s="356"/>
      <c r="K909" s="319" t="str">
        <f t="shared" si="1"/>
        <v/>
      </c>
    </row>
    <row r="910" ht="15.75" customHeight="1">
      <c r="A910" s="356"/>
      <c r="K910" s="319" t="str">
        <f t="shared" si="1"/>
        <v/>
      </c>
    </row>
    <row r="911" ht="15.75" customHeight="1">
      <c r="A911" s="356"/>
      <c r="K911" s="319" t="str">
        <f t="shared" si="1"/>
        <v/>
      </c>
    </row>
    <row r="912" ht="15.75" customHeight="1">
      <c r="A912" s="356"/>
      <c r="K912" s="319" t="str">
        <f t="shared" si="1"/>
        <v/>
      </c>
    </row>
    <row r="913" ht="15.75" customHeight="1">
      <c r="A913" s="356"/>
      <c r="K913" s="319" t="str">
        <f t="shared" si="1"/>
        <v/>
      </c>
    </row>
    <row r="914" ht="15.75" customHeight="1">
      <c r="A914" s="356"/>
      <c r="K914" s="319" t="str">
        <f t="shared" si="1"/>
        <v/>
      </c>
    </row>
    <row r="915" ht="15.75" customHeight="1">
      <c r="A915" s="356"/>
      <c r="K915" s="319" t="str">
        <f t="shared" si="1"/>
        <v/>
      </c>
    </row>
    <row r="916" ht="15.75" customHeight="1">
      <c r="A916" s="356"/>
      <c r="K916" s="319" t="str">
        <f t="shared" si="1"/>
        <v/>
      </c>
    </row>
    <row r="917" ht="15.75" customHeight="1">
      <c r="A917" s="356"/>
      <c r="K917" s="319" t="str">
        <f t="shared" si="1"/>
        <v/>
      </c>
    </row>
    <row r="918" ht="15.75" customHeight="1">
      <c r="A918" s="356"/>
      <c r="K918" s="319" t="str">
        <f t="shared" si="1"/>
        <v/>
      </c>
    </row>
    <row r="919" ht="15.75" customHeight="1">
      <c r="A919" s="356"/>
      <c r="K919" s="319" t="str">
        <f t="shared" si="1"/>
        <v/>
      </c>
    </row>
    <row r="920" ht="15.75" customHeight="1">
      <c r="A920" s="356"/>
      <c r="K920" s="319" t="str">
        <f t="shared" si="1"/>
        <v/>
      </c>
    </row>
    <row r="921" ht="15.75" customHeight="1">
      <c r="A921" s="356"/>
      <c r="K921" s="319" t="str">
        <f t="shared" si="1"/>
        <v/>
      </c>
    </row>
    <row r="922" ht="15.75" customHeight="1">
      <c r="A922" s="356"/>
      <c r="K922" s="319" t="str">
        <f t="shared" si="1"/>
        <v/>
      </c>
    </row>
    <row r="923" ht="15.75" customHeight="1">
      <c r="A923" s="356"/>
      <c r="K923" s="319" t="str">
        <f t="shared" si="1"/>
        <v/>
      </c>
    </row>
    <row r="924" ht="15.75" customHeight="1">
      <c r="A924" s="356"/>
      <c r="K924" s="319" t="str">
        <f t="shared" si="1"/>
        <v/>
      </c>
    </row>
    <row r="925" ht="15.75" customHeight="1">
      <c r="A925" s="356"/>
      <c r="K925" s="319" t="str">
        <f t="shared" si="1"/>
        <v/>
      </c>
    </row>
    <row r="926" ht="15.75" customHeight="1">
      <c r="A926" s="356"/>
      <c r="K926" s="319" t="str">
        <f t="shared" si="1"/>
        <v/>
      </c>
    </row>
    <row r="927" ht="15.75" customHeight="1">
      <c r="A927" s="356"/>
      <c r="K927" s="319" t="str">
        <f t="shared" si="1"/>
        <v/>
      </c>
    </row>
    <row r="928" ht="15.75" customHeight="1">
      <c r="A928" s="356"/>
      <c r="K928" s="319" t="str">
        <f t="shared" si="1"/>
        <v/>
      </c>
    </row>
    <row r="929" ht="15.75" customHeight="1">
      <c r="A929" s="356"/>
      <c r="K929" s="319" t="str">
        <f t="shared" si="1"/>
        <v/>
      </c>
    </row>
    <row r="930" ht="15.75" customHeight="1">
      <c r="A930" s="356"/>
      <c r="K930" s="319" t="str">
        <f t="shared" si="1"/>
        <v/>
      </c>
    </row>
    <row r="931" ht="15.75" customHeight="1">
      <c r="A931" s="356"/>
      <c r="K931" s="319" t="str">
        <f t="shared" si="1"/>
        <v/>
      </c>
    </row>
    <row r="932" ht="15.75" customHeight="1">
      <c r="A932" s="356"/>
      <c r="K932" s="319" t="str">
        <f t="shared" si="1"/>
        <v/>
      </c>
    </row>
    <row r="933" ht="15.75" customHeight="1">
      <c r="A933" s="356"/>
      <c r="K933" s="319" t="str">
        <f t="shared" si="1"/>
        <v/>
      </c>
    </row>
    <row r="934" ht="15.75" customHeight="1">
      <c r="A934" s="356"/>
      <c r="K934" s="319" t="str">
        <f t="shared" si="1"/>
        <v/>
      </c>
    </row>
    <row r="935" ht="15.75" customHeight="1">
      <c r="A935" s="356"/>
      <c r="K935" s="319" t="str">
        <f t="shared" si="1"/>
        <v/>
      </c>
    </row>
    <row r="936" ht="15.75" customHeight="1">
      <c r="A936" s="356"/>
      <c r="K936" s="319" t="str">
        <f t="shared" si="1"/>
        <v/>
      </c>
    </row>
    <row r="937" ht="15.75" customHeight="1">
      <c r="A937" s="356"/>
      <c r="K937" s="319" t="str">
        <f t="shared" si="1"/>
        <v/>
      </c>
    </row>
    <row r="938" ht="15.75" customHeight="1">
      <c r="A938" s="356"/>
      <c r="K938" s="319" t="str">
        <f t="shared" si="1"/>
        <v/>
      </c>
    </row>
    <row r="939" ht="15.75" customHeight="1">
      <c r="A939" s="356"/>
      <c r="K939" s="319" t="str">
        <f t="shared" si="1"/>
        <v/>
      </c>
    </row>
    <row r="940" ht="15.75" customHeight="1">
      <c r="A940" s="356"/>
      <c r="K940" s="319" t="str">
        <f t="shared" si="1"/>
        <v/>
      </c>
    </row>
    <row r="941" ht="15.75" customHeight="1">
      <c r="A941" s="356"/>
      <c r="K941" s="319" t="str">
        <f t="shared" si="1"/>
        <v/>
      </c>
    </row>
    <row r="942" ht="15.75" customHeight="1">
      <c r="A942" s="356"/>
      <c r="K942" s="319" t="str">
        <f t="shared" si="1"/>
        <v/>
      </c>
    </row>
    <row r="943" ht="15.75" customHeight="1">
      <c r="A943" s="356"/>
      <c r="K943" s="319" t="str">
        <f t="shared" si="1"/>
        <v/>
      </c>
    </row>
    <row r="944" ht="15.75" customHeight="1">
      <c r="A944" s="356"/>
      <c r="K944" s="319" t="str">
        <f t="shared" si="1"/>
        <v/>
      </c>
    </row>
    <row r="945" ht="15.75" customHeight="1">
      <c r="A945" s="356"/>
      <c r="K945" s="319" t="str">
        <f t="shared" si="1"/>
        <v/>
      </c>
    </row>
    <row r="946" ht="15.75" customHeight="1">
      <c r="A946" s="356"/>
      <c r="K946" s="319" t="str">
        <f t="shared" si="1"/>
        <v/>
      </c>
    </row>
    <row r="947" ht="15.75" customHeight="1">
      <c r="A947" s="356"/>
      <c r="K947" s="319" t="str">
        <f t="shared" si="1"/>
        <v/>
      </c>
    </row>
    <row r="948" ht="15.75" customHeight="1">
      <c r="A948" s="356"/>
      <c r="K948" s="319" t="str">
        <f t="shared" si="1"/>
        <v/>
      </c>
    </row>
    <row r="949" ht="15.75" customHeight="1">
      <c r="A949" s="356"/>
      <c r="K949" s="319" t="str">
        <f t="shared" si="1"/>
        <v/>
      </c>
    </row>
    <row r="950" ht="15.75" customHeight="1">
      <c r="A950" s="356"/>
      <c r="K950" s="319" t="str">
        <f t="shared" si="1"/>
        <v/>
      </c>
    </row>
    <row r="951" ht="15.75" customHeight="1">
      <c r="A951" s="356"/>
      <c r="K951" s="319" t="str">
        <f t="shared" si="1"/>
        <v/>
      </c>
    </row>
    <row r="952" ht="15.75" customHeight="1">
      <c r="A952" s="356"/>
      <c r="K952" s="319" t="str">
        <f t="shared" si="1"/>
        <v/>
      </c>
    </row>
    <row r="953" ht="15.75" customHeight="1">
      <c r="A953" s="356"/>
      <c r="K953" s="319" t="str">
        <f t="shared" si="1"/>
        <v/>
      </c>
    </row>
    <row r="954" ht="15.75" customHeight="1">
      <c r="A954" s="356"/>
      <c r="K954" s="319" t="str">
        <f t="shared" si="1"/>
        <v/>
      </c>
    </row>
    <row r="955" ht="15.75" customHeight="1">
      <c r="A955" s="356"/>
      <c r="K955" s="319" t="str">
        <f t="shared" si="1"/>
        <v/>
      </c>
    </row>
    <row r="956" ht="15.75" customHeight="1">
      <c r="A956" s="356"/>
      <c r="K956" s="319" t="str">
        <f t="shared" si="1"/>
        <v/>
      </c>
    </row>
    <row r="957" ht="15.75" customHeight="1">
      <c r="A957" s="356"/>
      <c r="K957" s="319" t="str">
        <f t="shared" si="1"/>
        <v/>
      </c>
    </row>
    <row r="958" ht="15.75" customHeight="1">
      <c r="A958" s="356"/>
      <c r="K958" s="319" t="str">
        <f t="shared" si="1"/>
        <v/>
      </c>
    </row>
    <row r="959" ht="15.75" customHeight="1">
      <c r="A959" s="356"/>
      <c r="K959" s="319" t="str">
        <f t="shared" si="1"/>
        <v/>
      </c>
    </row>
    <row r="960" ht="15.75" customHeight="1">
      <c r="A960" s="356"/>
      <c r="K960" s="319" t="str">
        <f t="shared" si="1"/>
        <v/>
      </c>
    </row>
    <row r="961" ht="15.75" customHeight="1">
      <c r="A961" s="356"/>
      <c r="K961" s="319" t="str">
        <f t="shared" si="1"/>
        <v/>
      </c>
    </row>
    <row r="962" ht="15.75" customHeight="1">
      <c r="A962" s="356"/>
      <c r="K962" s="319" t="str">
        <f t="shared" si="1"/>
        <v/>
      </c>
    </row>
    <row r="963" ht="15.75" customHeight="1">
      <c r="A963" s="356"/>
      <c r="K963" s="319" t="str">
        <f t="shared" si="1"/>
        <v/>
      </c>
    </row>
    <row r="964" ht="15.75" customHeight="1">
      <c r="A964" s="356"/>
      <c r="K964" s="319" t="str">
        <f t="shared" si="1"/>
        <v/>
      </c>
    </row>
    <row r="965" ht="15.75" customHeight="1">
      <c r="A965" s="356"/>
      <c r="K965" s="319" t="str">
        <f t="shared" si="1"/>
        <v/>
      </c>
    </row>
    <row r="966" ht="15.75" customHeight="1">
      <c r="A966" s="356"/>
      <c r="K966" s="319" t="str">
        <f t="shared" si="1"/>
        <v/>
      </c>
    </row>
    <row r="967" ht="15.75" customHeight="1">
      <c r="A967" s="356"/>
      <c r="K967" s="319" t="str">
        <f t="shared" si="1"/>
        <v/>
      </c>
    </row>
    <row r="968" ht="15.75" customHeight="1">
      <c r="A968" s="356"/>
      <c r="K968" s="319" t="str">
        <f t="shared" si="1"/>
        <v/>
      </c>
    </row>
    <row r="969" ht="15.75" customHeight="1">
      <c r="A969" s="356"/>
      <c r="K969" s="319" t="str">
        <f t="shared" si="1"/>
        <v/>
      </c>
    </row>
    <row r="970" ht="15.75" customHeight="1">
      <c r="A970" s="356"/>
      <c r="K970" s="319" t="str">
        <f t="shared" si="1"/>
        <v/>
      </c>
    </row>
    <row r="971" ht="15.75" customHeight="1">
      <c r="A971" s="356"/>
      <c r="K971" s="319" t="str">
        <f t="shared" si="1"/>
        <v/>
      </c>
    </row>
    <row r="972" ht="15.75" customHeight="1">
      <c r="A972" s="356"/>
      <c r="K972" s="319" t="str">
        <f t="shared" si="1"/>
        <v/>
      </c>
    </row>
    <row r="973" ht="15.75" customHeight="1">
      <c r="A973" s="356"/>
      <c r="K973" s="319" t="str">
        <f t="shared" si="1"/>
        <v/>
      </c>
    </row>
    <row r="974" ht="15.75" customHeight="1">
      <c r="A974" s="356"/>
      <c r="K974" s="319" t="str">
        <f t="shared" si="1"/>
        <v/>
      </c>
    </row>
    <row r="975" ht="15.75" customHeight="1">
      <c r="A975" s="356"/>
      <c r="K975" s="319" t="str">
        <f t="shared" si="1"/>
        <v/>
      </c>
    </row>
    <row r="976" ht="15.75" customHeight="1">
      <c r="A976" s="356"/>
      <c r="K976" s="319" t="str">
        <f t="shared" si="1"/>
        <v/>
      </c>
    </row>
    <row r="977" ht="15.75" customHeight="1">
      <c r="A977" s="356"/>
      <c r="K977" s="319" t="str">
        <f t="shared" si="1"/>
        <v/>
      </c>
    </row>
    <row r="978" ht="15.75" customHeight="1">
      <c r="A978" s="356"/>
      <c r="K978" s="319" t="str">
        <f t="shared" si="1"/>
        <v/>
      </c>
    </row>
    <row r="979" ht="15.75" customHeight="1">
      <c r="A979" s="356"/>
      <c r="K979" s="319" t="str">
        <f t="shared" si="1"/>
        <v/>
      </c>
    </row>
    <row r="980" ht="15.75" customHeight="1">
      <c r="A980" s="356"/>
      <c r="K980" s="319" t="str">
        <f t="shared" si="1"/>
        <v/>
      </c>
    </row>
    <row r="981" ht="15.75" customHeight="1">
      <c r="A981" s="356"/>
      <c r="K981" s="319" t="str">
        <f t="shared" si="1"/>
        <v/>
      </c>
    </row>
    <row r="982" ht="15.75" customHeight="1">
      <c r="A982" s="356"/>
      <c r="K982" s="319" t="str">
        <f t="shared" si="1"/>
        <v/>
      </c>
    </row>
    <row r="983" ht="15.75" customHeight="1">
      <c r="A983" s="356"/>
      <c r="K983" s="319" t="str">
        <f t="shared" si="1"/>
        <v/>
      </c>
    </row>
    <row r="984" ht="15.75" customHeight="1">
      <c r="A984" s="356"/>
      <c r="K984" s="319" t="str">
        <f t="shared" si="1"/>
        <v/>
      </c>
    </row>
    <row r="985" ht="15.75" customHeight="1">
      <c r="A985" s="356"/>
      <c r="K985" s="319" t="str">
        <f t="shared" si="1"/>
        <v/>
      </c>
    </row>
    <row r="986" ht="15.75" customHeight="1">
      <c r="A986" s="356"/>
      <c r="K986" s="319" t="str">
        <f t="shared" si="1"/>
        <v/>
      </c>
    </row>
    <row r="987" ht="15.75" customHeight="1">
      <c r="A987" s="356"/>
      <c r="K987" s="319" t="str">
        <f t="shared" si="1"/>
        <v/>
      </c>
    </row>
    <row r="988" ht="15.75" customHeight="1">
      <c r="A988" s="356"/>
      <c r="K988" s="319" t="str">
        <f t="shared" si="1"/>
        <v/>
      </c>
    </row>
    <row r="989" ht="15.75" customHeight="1">
      <c r="A989" s="356"/>
      <c r="K989" s="319" t="str">
        <f t="shared" si="1"/>
        <v/>
      </c>
    </row>
    <row r="990" ht="15.75" customHeight="1">
      <c r="A990" s="356"/>
      <c r="K990" s="319" t="str">
        <f t="shared" si="1"/>
        <v/>
      </c>
    </row>
    <row r="991" ht="15.75" customHeight="1">
      <c r="A991" s="356"/>
      <c r="K991" s="319" t="str">
        <f t="shared" si="1"/>
        <v/>
      </c>
    </row>
    <row r="992" ht="15.75" customHeight="1">
      <c r="A992" s="356"/>
      <c r="K992" s="319" t="str">
        <f t="shared" si="1"/>
        <v/>
      </c>
    </row>
    <row r="993" ht="15.75" customHeight="1">
      <c r="A993" s="356"/>
      <c r="K993" s="319" t="str">
        <f t="shared" si="1"/>
        <v/>
      </c>
    </row>
    <row r="994" ht="15.75" customHeight="1">
      <c r="A994" s="356"/>
      <c r="K994" s="319" t="str">
        <f t="shared" si="1"/>
        <v/>
      </c>
    </row>
    <row r="995" ht="15.75" customHeight="1">
      <c r="A995" s="356"/>
      <c r="K995" s="319" t="str">
        <f t="shared" si="1"/>
        <v/>
      </c>
    </row>
    <row r="996" ht="15.75" customHeight="1">
      <c r="A996" s="356"/>
      <c r="K996" s="319" t="str">
        <f t="shared" si="1"/>
        <v/>
      </c>
    </row>
    <row r="997" ht="15.75" customHeight="1">
      <c r="A997" s="356"/>
      <c r="K997" s="319" t="str">
        <f t="shared" si="1"/>
        <v/>
      </c>
    </row>
    <row r="998" ht="15.75" customHeight="1">
      <c r="A998" s="356"/>
      <c r="K998" s="319" t="str">
        <f t="shared" si="1"/>
        <v/>
      </c>
    </row>
    <row r="999" ht="15.75" customHeight="1">
      <c r="A999" s="356"/>
      <c r="K999" s="319" t="str">
        <f t="shared" si="1"/>
        <v/>
      </c>
    </row>
    <row r="1000" ht="15.75" customHeight="1">
      <c r="A1000" s="356"/>
      <c r="K1000" s="319" t="str">
        <f t="shared" si="1"/>
        <v/>
      </c>
    </row>
    <row r="1001" ht="15.75" customHeight="1">
      <c r="A1001" s="356"/>
      <c r="K1001" s="319" t="str">
        <f t="shared" si="1"/>
        <v/>
      </c>
    </row>
    <row r="1002" ht="15.75" customHeight="1">
      <c r="A1002" s="356"/>
      <c r="K1002" s="319" t="str">
        <f t="shared" si="1"/>
        <v/>
      </c>
    </row>
    <row r="1003" ht="15.75" customHeight="1">
      <c r="A1003" s="356"/>
      <c r="K1003" s="319" t="str">
        <f t="shared" si="1"/>
        <v/>
      </c>
    </row>
    <row r="1004" ht="15.75" customHeight="1">
      <c r="A1004" s="356"/>
      <c r="K1004" s="319" t="str">
        <f t="shared" si="1"/>
        <v/>
      </c>
    </row>
    <row r="1005" ht="15.75" customHeight="1">
      <c r="A1005" s="356"/>
      <c r="K1005" s="319" t="str">
        <f t="shared" si="1"/>
        <v/>
      </c>
    </row>
    <row r="1006" ht="15.75" customHeight="1">
      <c r="A1006" s="356"/>
      <c r="K1006" s="319" t="str">
        <f t="shared" si="1"/>
        <v/>
      </c>
    </row>
    <row r="1007" ht="15.75" customHeight="1">
      <c r="A1007" s="356"/>
      <c r="K1007" s="319" t="str">
        <f t="shared" si="1"/>
        <v/>
      </c>
    </row>
    <row r="1008" ht="15.75" customHeight="1">
      <c r="A1008" s="356"/>
      <c r="K1008" s="319" t="str">
        <f t="shared" si="1"/>
        <v/>
      </c>
    </row>
    <row r="1009" ht="15.75" customHeight="1">
      <c r="A1009" s="356"/>
      <c r="K1009" s="319" t="str">
        <f t="shared" si="1"/>
        <v/>
      </c>
    </row>
    <row r="1010" ht="15.75" customHeight="1">
      <c r="A1010" s="356"/>
      <c r="K1010" s="319" t="str">
        <f t="shared" si="1"/>
        <v/>
      </c>
    </row>
    <row r="1011" ht="15.75" customHeight="1">
      <c r="A1011" s="356"/>
      <c r="K1011" s="319" t="str">
        <f t="shared" si="1"/>
        <v/>
      </c>
    </row>
    <row r="1012" ht="15.75" customHeight="1">
      <c r="A1012" s="356"/>
      <c r="K1012" s="319" t="str">
        <f t="shared" si="1"/>
        <v/>
      </c>
    </row>
    <row r="1013" ht="15.75" customHeight="1">
      <c r="A1013" s="356"/>
      <c r="K1013" s="319" t="str">
        <f t="shared" si="1"/>
        <v/>
      </c>
    </row>
    <row r="1014" ht="15.75" customHeight="1">
      <c r="A1014" s="356"/>
      <c r="K1014" s="319" t="str">
        <f t="shared" si="1"/>
        <v/>
      </c>
    </row>
    <row r="1015" ht="15.75" customHeight="1">
      <c r="A1015" s="356"/>
      <c r="K1015" s="319" t="str">
        <f t="shared" si="1"/>
        <v/>
      </c>
    </row>
    <row r="1016" ht="15.75" customHeight="1">
      <c r="A1016" s="356"/>
      <c r="K1016" s="319" t="str">
        <f t="shared" si="1"/>
        <v/>
      </c>
    </row>
    <row r="1017" ht="15.75" customHeight="1">
      <c r="A1017" s="356"/>
      <c r="K1017" s="319" t="str">
        <f t="shared" si="1"/>
        <v/>
      </c>
    </row>
    <row r="1018" ht="15.75" customHeight="1">
      <c r="A1018" s="356"/>
      <c r="K1018" s="319" t="str">
        <f t="shared" si="1"/>
        <v/>
      </c>
    </row>
    <row r="1019" ht="15.75" customHeight="1">
      <c r="A1019" s="356"/>
      <c r="K1019" s="319" t="str">
        <f t="shared" si="1"/>
        <v/>
      </c>
    </row>
    <row r="1020" ht="15.75" customHeight="1">
      <c r="A1020" s="356"/>
      <c r="K1020" s="319" t="str">
        <f t="shared" si="1"/>
        <v/>
      </c>
    </row>
    <row r="1021" ht="15.75" customHeight="1">
      <c r="A1021" s="356"/>
      <c r="K1021" s="319" t="str">
        <f t="shared" si="1"/>
        <v/>
      </c>
    </row>
    <row r="1022" ht="15.75" customHeight="1">
      <c r="A1022" s="356"/>
      <c r="K1022" s="319" t="str">
        <f t="shared" si="1"/>
        <v/>
      </c>
    </row>
    <row r="1023" ht="15.75" customHeight="1">
      <c r="A1023" s="356"/>
      <c r="K1023" s="319" t="str">
        <f t="shared" si="1"/>
        <v/>
      </c>
    </row>
    <row r="1024" ht="15.75" customHeight="1">
      <c r="A1024" s="356"/>
      <c r="K1024" s="319" t="str">
        <f t="shared" si="1"/>
        <v/>
      </c>
    </row>
    <row r="1025" ht="15.75" customHeight="1">
      <c r="A1025" s="356"/>
      <c r="K1025" s="319" t="str">
        <f t="shared" si="1"/>
        <v/>
      </c>
    </row>
    <row r="1026" ht="15.75" customHeight="1">
      <c r="A1026" s="356"/>
      <c r="K1026" s="319" t="str">
        <f t="shared" si="1"/>
        <v/>
      </c>
    </row>
    <row r="1027" ht="15.75" customHeight="1">
      <c r="A1027" s="356"/>
      <c r="K1027" s="319" t="str">
        <f t="shared" si="1"/>
        <v/>
      </c>
    </row>
    <row r="1028" ht="15.75" customHeight="1">
      <c r="A1028" s="356"/>
      <c r="K1028" s="319" t="str">
        <f t="shared" si="1"/>
        <v/>
      </c>
    </row>
    <row r="1029" ht="15.75" customHeight="1">
      <c r="A1029" s="356"/>
      <c r="K1029" s="319" t="str">
        <f t="shared" si="1"/>
        <v/>
      </c>
    </row>
    <row r="1030" ht="15.75" customHeight="1">
      <c r="A1030" s="356"/>
      <c r="K1030" s="319" t="str">
        <f t="shared" si="1"/>
        <v/>
      </c>
    </row>
    <row r="1031" ht="15.75" customHeight="1">
      <c r="A1031" s="356"/>
      <c r="K1031" s="319" t="str">
        <f t="shared" si="1"/>
        <v/>
      </c>
    </row>
    <row r="1032" ht="15.75" customHeight="1">
      <c r="A1032" s="356"/>
      <c r="K1032" s="319" t="str">
        <f t="shared" si="1"/>
        <v/>
      </c>
    </row>
    <row r="1033" ht="15.75" customHeight="1">
      <c r="A1033" s="356"/>
      <c r="K1033" s="319" t="str">
        <f t="shared" si="1"/>
        <v/>
      </c>
    </row>
    <row r="1034" ht="15.75" customHeight="1">
      <c r="A1034" s="356"/>
      <c r="K1034" s="319" t="str">
        <f t="shared" si="1"/>
        <v/>
      </c>
    </row>
    <row r="1035" ht="15.75" customHeight="1">
      <c r="A1035" s="356"/>
      <c r="K1035" s="319" t="str">
        <f t="shared" si="1"/>
        <v/>
      </c>
    </row>
    <row r="1036" ht="15.75" customHeight="1">
      <c r="A1036" s="356"/>
      <c r="K1036" s="319" t="str">
        <f t="shared" si="1"/>
        <v/>
      </c>
    </row>
    <row r="1037" ht="15.75" customHeight="1">
      <c r="A1037" s="356"/>
      <c r="K1037" s="319" t="str">
        <f t="shared" si="1"/>
        <v/>
      </c>
    </row>
    <row r="1038" ht="15.75" customHeight="1">
      <c r="A1038" s="356"/>
      <c r="K1038" s="319" t="str">
        <f t="shared" si="1"/>
        <v/>
      </c>
    </row>
    <row r="1039" ht="15.75" customHeight="1">
      <c r="A1039" s="356"/>
      <c r="K1039" s="319" t="str">
        <f t="shared" si="1"/>
        <v/>
      </c>
    </row>
    <row r="1040" ht="15.75" customHeight="1">
      <c r="A1040" s="356"/>
      <c r="K1040" s="319" t="str">
        <f t="shared" si="1"/>
        <v/>
      </c>
    </row>
    <row r="1041" ht="15.75" customHeight="1">
      <c r="A1041" s="356"/>
      <c r="K1041" s="319" t="str">
        <f t="shared" si="1"/>
        <v/>
      </c>
    </row>
    <row r="1042" ht="15.75" customHeight="1">
      <c r="A1042" s="356"/>
      <c r="K1042" s="319" t="str">
        <f t="shared" si="1"/>
        <v/>
      </c>
    </row>
    <row r="1043" ht="15.75" customHeight="1">
      <c r="A1043" s="356"/>
      <c r="K1043" s="319" t="str">
        <f t="shared" si="1"/>
        <v/>
      </c>
    </row>
    <row r="1044" ht="15.75" customHeight="1">
      <c r="A1044" s="356"/>
      <c r="K1044" s="319" t="str">
        <f t="shared" si="1"/>
        <v/>
      </c>
    </row>
    <row r="1045" ht="15.75" customHeight="1">
      <c r="A1045" s="356"/>
      <c r="K1045" s="319" t="str">
        <f t="shared" si="1"/>
        <v/>
      </c>
    </row>
    <row r="1046" ht="15.75" customHeight="1">
      <c r="A1046" s="356"/>
      <c r="K1046" s="319" t="str">
        <f t="shared" si="1"/>
        <v/>
      </c>
    </row>
    <row r="1047" ht="15.75" customHeight="1">
      <c r="A1047" s="356"/>
      <c r="K1047" s="319" t="str">
        <f t="shared" si="1"/>
        <v/>
      </c>
    </row>
    <row r="1048" ht="15.75" customHeight="1">
      <c r="A1048" s="356"/>
      <c r="K1048" s="319" t="str">
        <f t="shared" si="1"/>
        <v/>
      </c>
    </row>
    <row r="1049" ht="15.75" customHeight="1">
      <c r="A1049" s="356"/>
      <c r="K1049" s="319" t="str">
        <f t="shared" si="1"/>
        <v/>
      </c>
    </row>
    <row r="1050" ht="15.75" customHeight="1">
      <c r="A1050" s="356"/>
      <c r="K1050" s="319" t="str">
        <f t="shared" si="1"/>
        <v/>
      </c>
    </row>
    <row r="1051" ht="15.75" customHeight="1">
      <c r="A1051" s="356"/>
      <c r="K1051" s="319" t="str">
        <f t="shared" si="1"/>
        <v/>
      </c>
    </row>
    <row r="1052" ht="15.75" customHeight="1">
      <c r="A1052" s="356"/>
      <c r="K1052" s="319" t="str">
        <f t="shared" si="1"/>
        <v/>
      </c>
    </row>
    <row r="1053" ht="15.75" customHeight="1">
      <c r="A1053" s="356"/>
      <c r="K1053" s="319" t="str">
        <f t="shared" si="1"/>
        <v/>
      </c>
    </row>
    <row r="1054" ht="15.75" customHeight="1">
      <c r="A1054" s="356"/>
      <c r="K1054" s="319" t="str">
        <f t="shared" si="1"/>
        <v/>
      </c>
    </row>
    <row r="1055" ht="15.75" customHeight="1">
      <c r="A1055" s="356"/>
      <c r="K1055" s="319" t="str">
        <f t="shared" si="1"/>
        <v/>
      </c>
    </row>
    <row r="1056" ht="15.75" customHeight="1">
      <c r="A1056" s="356"/>
      <c r="K1056" s="319" t="str">
        <f t="shared" si="1"/>
        <v/>
      </c>
    </row>
    <row r="1057" ht="15.75" customHeight="1">
      <c r="A1057" s="356"/>
      <c r="K1057" s="319" t="str">
        <f t="shared" si="1"/>
        <v/>
      </c>
    </row>
    <row r="1058" ht="15.75" customHeight="1">
      <c r="A1058" s="356"/>
      <c r="K1058" s="319" t="str">
        <f t="shared" si="1"/>
        <v/>
      </c>
    </row>
    <row r="1059" ht="15.75" customHeight="1">
      <c r="A1059" s="356"/>
      <c r="K1059" s="319" t="str">
        <f t="shared" si="1"/>
        <v/>
      </c>
    </row>
    <row r="1060" ht="15.75" customHeight="1">
      <c r="A1060" s="356"/>
      <c r="K1060" s="319" t="str">
        <f t="shared" si="1"/>
        <v/>
      </c>
    </row>
    <row r="1061" ht="15.75" customHeight="1">
      <c r="A1061" s="356"/>
      <c r="K1061" s="319" t="str">
        <f t="shared" si="1"/>
        <v/>
      </c>
    </row>
    <row r="1062" ht="15.75" customHeight="1">
      <c r="A1062" s="356"/>
      <c r="K1062" s="319" t="str">
        <f t="shared" si="1"/>
        <v/>
      </c>
    </row>
    <row r="1063" ht="15.75" customHeight="1">
      <c r="A1063" s="356"/>
      <c r="K1063" s="319" t="str">
        <f t="shared" si="1"/>
        <v/>
      </c>
    </row>
    <row r="1064" ht="15.75" customHeight="1">
      <c r="A1064" s="356"/>
      <c r="K1064" s="319" t="str">
        <f t="shared" si="1"/>
        <v/>
      </c>
    </row>
    <row r="1065" ht="15.75" customHeight="1">
      <c r="A1065" s="356"/>
      <c r="K1065" s="319" t="str">
        <f t="shared" si="1"/>
        <v/>
      </c>
    </row>
    <row r="1066" ht="15.75" customHeight="1">
      <c r="A1066" s="356"/>
      <c r="K1066" s="319" t="str">
        <f t="shared" si="1"/>
        <v/>
      </c>
    </row>
    <row r="1067" ht="15.75" customHeight="1">
      <c r="A1067" s="356"/>
      <c r="K1067" s="319" t="str">
        <f t="shared" si="1"/>
        <v/>
      </c>
    </row>
    <row r="1068" ht="15.75" customHeight="1">
      <c r="A1068" s="356"/>
      <c r="K1068" s="319" t="str">
        <f t="shared" si="1"/>
        <v/>
      </c>
    </row>
    <row r="1069" ht="15.75" customHeight="1">
      <c r="A1069" s="356"/>
      <c r="K1069" s="319" t="str">
        <f t="shared" si="1"/>
        <v/>
      </c>
    </row>
    <row r="1070" ht="15.75" customHeight="1">
      <c r="A1070" s="356"/>
      <c r="K1070" s="319" t="str">
        <f t="shared" si="1"/>
        <v/>
      </c>
    </row>
    <row r="1071" ht="15.75" customHeight="1">
      <c r="A1071" s="356"/>
      <c r="K1071" s="319" t="str">
        <f t="shared" si="1"/>
        <v/>
      </c>
    </row>
    <row r="1072" ht="15.75" customHeight="1">
      <c r="A1072" s="356"/>
      <c r="K1072" s="319" t="str">
        <f t="shared" si="1"/>
        <v/>
      </c>
    </row>
    <row r="1073" ht="15.75" customHeight="1">
      <c r="A1073" s="356"/>
      <c r="K1073" s="319" t="str">
        <f t="shared" si="1"/>
        <v/>
      </c>
    </row>
    <row r="1074" ht="15.75" customHeight="1">
      <c r="A1074" s="356"/>
      <c r="K1074" s="319" t="str">
        <f t="shared" si="1"/>
        <v/>
      </c>
    </row>
    <row r="1075" ht="15.75" customHeight="1">
      <c r="A1075" s="356"/>
      <c r="K1075" s="319" t="str">
        <f t="shared" si="1"/>
        <v/>
      </c>
    </row>
    <row r="1076" ht="15.75" customHeight="1">
      <c r="A1076" s="356"/>
      <c r="K1076" s="319" t="str">
        <f t="shared" si="1"/>
        <v/>
      </c>
    </row>
    <row r="1077" ht="15.75" customHeight="1">
      <c r="A1077" s="356"/>
      <c r="K1077" s="319" t="str">
        <f t="shared" si="1"/>
        <v/>
      </c>
    </row>
    <row r="1078" ht="15.75" customHeight="1">
      <c r="A1078" s="356"/>
      <c r="K1078" s="319" t="str">
        <f t="shared" si="1"/>
        <v/>
      </c>
    </row>
    <row r="1079" ht="15.75" customHeight="1">
      <c r="A1079" s="356"/>
      <c r="K1079" s="319" t="str">
        <f t="shared" si="1"/>
        <v/>
      </c>
    </row>
    <row r="1080" ht="15.75" customHeight="1">
      <c r="A1080" s="356"/>
      <c r="K1080" s="319" t="str">
        <f t="shared" si="1"/>
        <v/>
      </c>
    </row>
    <row r="1081" ht="15.75" customHeight="1">
      <c r="A1081" s="356"/>
      <c r="K1081" s="319" t="str">
        <f t="shared" si="1"/>
        <v/>
      </c>
    </row>
    <row r="1082" ht="15.75" customHeight="1">
      <c r="A1082" s="356"/>
      <c r="K1082" s="319" t="str">
        <f t="shared" si="1"/>
        <v/>
      </c>
    </row>
    <row r="1083" ht="15.75" customHeight="1">
      <c r="A1083" s="356"/>
      <c r="K1083" s="319" t="str">
        <f t="shared" si="1"/>
        <v/>
      </c>
    </row>
    <row r="1084" ht="15.75" customHeight="1">
      <c r="A1084" s="356"/>
      <c r="K1084" s="319" t="str">
        <f t="shared" si="1"/>
        <v/>
      </c>
    </row>
    <row r="1085" ht="15.75" customHeight="1">
      <c r="A1085" s="356"/>
      <c r="K1085" s="319" t="str">
        <f t="shared" si="1"/>
        <v/>
      </c>
    </row>
    <row r="1086" ht="15.75" customHeight="1">
      <c r="A1086" s="356"/>
      <c r="K1086" s="319" t="str">
        <f t="shared" si="1"/>
        <v/>
      </c>
    </row>
    <row r="1087" ht="15.75" customHeight="1">
      <c r="A1087" s="356"/>
      <c r="K1087" s="319" t="str">
        <f t="shared" si="1"/>
        <v/>
      </c>
    </row>
    <row r="1088" ht="15.75" customHeight="1">
      <c r="A1088" s="356"/>
      <c r="K1088" s="319" t="str">
        <f t="shared" si="1"/>
        <v/>
      </c>
    </row>
    <row r="1089" ht="15.75" customHeight="1">
      <c r="A1089" s="356"/>
      <c r="K1089" s="319" t="str">
        <f t="shared" si="1"/>
        <v/>
      </c>
    </row>
    <row r="1090" ht="15.75" customHeight="1">
      <c r="A1090" s="356"/>
      <c r="K1090" s="319" t="str">
        <f t="shared" si="1"/>
        <v/>
      </c>
    </row>
    <row r="1091" ht="15.75" customHeight="1">
      <c r="A1091" s="356"/>
      <c r="K1091" s="319" t="str">
        <f t="shared" si="1"/>
        <v/>
      </c>
    </row>
    <row r="1092" ht="15.75" customHeight="1">
      <c r="A1092" s="356"/>
      <c r="K1092" s="319" t="str">
        <f t="shared" si="1"/>
        <v/>
      </c>
    </row>
    <row r="1093" ht="15.75" customHeight="1">
      <c r="A1093" s="356"/>
      <c r="K1093" s="319" t="str">
        <f t="shared" si="1"/>
        <v/>
      </c>
    </row>
    <row r="1094" ht="15.75" customHeight="1">
      <c r="A1094" s="356"/>
      <c r="K1094" s="319" t="str">
        <f t="shared" si="1"/>
        <v/>
      </c>
    </row>
    <row r="1095" ht="15.75" customHeight="1">
      <c r="A1095" s="356"/>
      <c r="K1095" s="319" t="str">
        <f t="shared" si="1"/>
        <v/>
      </c>
    </row>
    <row r="1096" ht="15.75" customHeight="1">
      <c r="A1096" s="356"/>
      <c r="K1096" s="319" t="str">
        <f t="shared" si="1"/>
        <v/>
      </c>
    </row>
    <row r="1097" ht="15.75" customHeight="1">
      <c r="A1097" s="356"/>
      <c r="K1097" s="319" t="str">
        <f t="shared" si="1"/>
        <v/>
      </c>
    </row>
    <row r="1098" ht="15.75" customHeight="1">
      <c r="A1098" s="356"/>
      <c r="K1098" s="319" t="str">
        <f t="shared" si="1"/>
        <v/>
      </c>
    </row>
    <row r="1099" ht="15.75" customHeight="1">
      <c r="A1099" s="356"/>
      <c r="K1099" s="319" t="str">
        <f t="shared" si="1"/>
        <v/>
      </c>
    </row>
    <row r="1100" ht="15.75" customHeight="1">
      <c r="A1100" s="356"/>
      <c r="K1100" s="319" t="str">
        <f t="shared" si="1"/>
        <v/>
      </c>
    </row>
    <row r="1101" ht="15.75" customHeight="1">
      <c r="A1101" s="356"/>
      <c r="K1101" s="319" t="str">
        <f t="shared" si="1"/>
        <v/>
      </c>
    </row>
    <row r="1102" ht="15.75" customHeight="1">
      <c r="A1102" s="356"/>
      <c r="K1102" s="319" t="str">
        <f t="shared" si="1"/>
        <v/>
      </c>
    </row>
    <row r="1103" ht="15.75" customHeight="1">
      <c r="A1103" s="356"/>
      <c r="K1103" s="319" t="str">
        <f t="shared" si="1"/>
        <v/>
      </c>
    </row>
    <row r="1104" ht="15.75" customHeight="1">
      <c r="A1104" s="356"/>
      <c r="K1104" s="319" t="str">
        <f t="shared" si="1"/>
        <v/>
      </c>
    </row>
    <row r="1105" ht="15.75" customHeight="1">
      <c r="A1105" s="356"/>
      <c r="K1105" s="319" t="str">
        <f t="shared" si="1"/>
        <v/>
      </c>
    </row>
    <row r="1106" ht="15.75" customHeight="1">
      <c r="A1106" s="356"/>
      <c r="K1106" s="319" t="str">
        <f t="shared" si="1"/>
        <v/>
      </c>
    </row>
    <row r="1107" ht="15.75" customHeight="1">
      <c r="A1107" s="356"/>
      <c r="K1107" s="319" t="str">
        <f t="shared" si="1"/>
        <v/>
      </c>
    </row>
    <row r="1108" ht="15.75" customHeight="1">
      <c r="A1108" s="356"/>
      <c r="K1108" s="319" t="str">
        <f t="shared" si="1"/>
        <v/>
      </c>
    </row>
    <row r="1109" ht="15.75" customHeight="1">
      <c r="A1109" s="356"/>
      <c r="K1109" s="319" t="str">
        <f t="shared" si="1"/>
        <v/>
      </c>
    </row>
    <row r="1110" ht="15.75" customHeight="1">
      <c r="A1110" s="356"/>
      <c r="K1110" s="319" t="str">
        <f t="shared" si="1"/>
        <v/>
      </c>
    </row>
    <row r="1111" ht="15.75" customHeight="1">
      <c r="A1111" s="356"/>
      <c r="K1111" s="319" t="str">
        <f t="shared" si="1"/>
        <v/>
      </c>
    </row>
    <row r="1112" ht="15.75" customHeight="1">
      <c r="A1112" s="356"/>
      <c r="K1112" s="319" t="str">
        <f t="shared" si="1"/>
        <v/>
      </c>
    </row>
    <row r="1113" ht="15.75" customHeight="1">
      <c r="A1113" s="356"/>
      <c r="K1113" s="319" t="str">
        <f t="shared" si="1"/>
        <v/>
      </c>
    </row>
    <row r="1114" ht="15.75" customHeight="1">
      <c r="A1114" s="356"/>
      <c r="K1114" s="319" t="str">
        <f t="shared" si="1"/>
        <v/>
      </c>
    </row>
    <row r="1115" ht="15.75" customHeight="1">
      <c r="A1115" s="356"/>
      <c r="K1115" s="319" t="str">
        <f t="shared" si="1"/>
        <v/>
      </c>
    </row>
    <row r="1116" ht="15.75" customHeight="1">
      <c r="A1116" s="356"/>
      <c r="K1116" s="319" t="str">
        <f t="shared" si="1"/>
        <v/>
      </c>
    </row>
    <row r="1117" ht="15.75" customHeight="1">
      <c r="A1117" s="356"/>
      <c r="K1117" s="319" t="str">
        <f t="shared" si="1"/>
        <v/>
      </c>
    </row>
    <row r="1118" ht="15.75" customHeight="1">
      <c r="A1118" s="356"/>
      <c r="K1118" s="319" t="str">
        <f t="shared" si="1"/>
        <v/>
      </c>
    </row>
    <row r="1119" ht="15.75" customHeight="1">
      <c r="A1119" s="356"/>
      <c r="K1119" s="319" t="str">
        <f t="shared" si="1"/>
        <v/>
      </c>
    </row>
    <row r="1120" ht="15.75" customHeight="1">
      <c r="A1120" s="356"/>
      <c r="K1120" s="319" t="str">
        <f t="shared" si="1"/>
        <v/>
      </c>
    </row>
    <row r="1121" ht="15.75" customHeight="1">
      <c r="A1121" s="356"/>
      <c r="K1121" s="319" t="str">
        <f t="shared" si="1"/>
        <v/>
      </c>
    </row>
    <row r="1122" ht="15.75" customHeight="1">
      <c r="A1122" s="356"/>
      <c r="K1122" s="319" t="str">
        <f t="shared" si="1"/>
        <v/>
      </c>
    </row>
    <row r="1123" ht="15.75" customHeight="1">
      <c r="A1123" s="356"/>
      <c r="K1123" s="319" t="str">
        <f t="shared" si="1"/>
        <v/>
      </c>
    </row>
    <row r="1124" ht="15.75" customHeight="1">
      <c r="A1124" s="356"/>
      <c r="K1124" s="319" t="str">
        <f t="shared" si="1"/>
        <v/>
      </c>
    </row>
    <row r="1125" ht="15.75" customHeight="1">
      <c r="A1125" s="356"/>
      <c r="K1125" s="319" t="str">
        <f t="shared" si="1"/>
        <v/>
      </c>
    </row>
    <row r="1126" ht="15.75" customHeight="1">
      <c r="A1126" s="356"/>
      <c r="K1126" s="319" t="str">
        <f t="shared" si="1"/>
        <v/>
      </c>
    </row>
    <row r="1127" ht="15.75" customHeight="1">
      <c r="A1127" s="356"/>
      <c r="K1127" s="319" t="str">
        <f t="shared" si="1"/>
        <v/>
      </c>
    </row>
    <row r="1128" ht="15.75" customHeight="1">
      <c r="A1128" s="356"/>
      <c r="K1128" s="319" t="str">
        <f t="shared" si="1"/>
        <v/>
      </c>
    </row>
    <row r="1129" ht="15.75" customHeight="1">
      <c r="A1129" s="356"/>
      <c r="K1129" s="319" t="str">
        <f t="shared" si="1"/>
        <v/>
      </c>
    </row>
    <row r="1130" ht="15.75" customHeight="1">
      <c r="A1130" s="356"/>
      <c r="K1130" s="319" t="str">
        <f t="shared" si="1"/>
        <v/>
      </c>
    </row>
    <row r="1131" ht="15.75" customHeight="1">
      <c r="A1131" s="356"/>
      <c r="K1131" s="319" t="str">
        <f t="shared" si="1"/>
        <v/>
      </c>
    </row>
    <row r="1132" ht="15.75" customHeight="1">
      <c r="A1132" s="356"/>
      <c r="K1132" s="319" t="str">
        <f t="shared" si="1"/>
        <v/>
      </c>
    </row>
    <row r="1133" ht="15.75" customHeight="1">
      <c r="A1133" s="356"/>
      <c r="K1133" s="319" t="str">
        <f t="shared" si="1"/>
        <v/>
      </c>
    </row>
    <row r="1134" ht="15.75" customHeight="1">
      <c r="A1134" s="356"/>
      <c r="K1134" s="319" t="str">
        <f t="shared" si="1"/>
        <v/>
      </c>
    </row>
    <row r="1135" ht="15.75" customHeight="1">
      <c r="A1135" s="356"/>
      <c r="K1135" s="319" t="str">
        <f t="shared" si="1"/>
        <v/>
      </c>
    </row>
    <row r="1136" ht="15.75" customHeight="1">
      <c r="A1136" s="356"/>
      <c r="K1136" s="319" t="str">
        <f t="shared" si="1"/>
        <v/>
      </c>
    </row>
    <row r="1137" ht="15.75" customHeight="1">
      <c r="A1137" s="356"/>
      <c r="K1137" s="319" t="str">
        <f t="shared" si="1"/>
        <v/>
      </c>
    </row>
    <row r="1138" ht="15.75" customHeight="1">
      <c r="A1138" s="356"/>
      <c r="K1138" s="319" t="str">
        <f t="shared" si="1"/>
        <v/>
      </c>
    </row>
    <row r="1139" ht="15.75" customHeight="1">
      <c r="A1139" s="356"/>
      <c r="K1139" s="319" t="str">
        <f t="shared" si="1"/>
        <v/>
      </c>
    </row>
    <row r="1140" ht="15.75" customHeight="1">
      <c r="A1140" s="356"/>
      <c r="K1140" s="319" t="str">
        <f t="shared" si="1"/>
        <v/>
      </c>
    </row>
    <row r="1141" ht="15.75" customHeight="1">
      <c r="A1141" s="356"/>
      <c r="K1141" s="319" t="str">
        <f t="shared" si="1"/>
        <v/>
      </c>
    </row>
    <row r="1142" ht="15.75" customHeight="1">
      <c r="A1142" s="356"/>
      <c r="K1142" s="319" t="str">
        <f t="shared" si="1"/>
        <v/>
      </c>
    </row>
    <row r="1143" ht="15.75" customHeight="1">
      <c r="A1143" s="356"/>
      <c r="K1143" s="319" t="str">
        <f t="shared" si="1"/>
        <v/>
      </c>
    </row>
    <row r="1144" ht="15.75" customHeight="1">
      <c r="A1144" s="356"/>
      <c r="K1144" s="319" t="str">
        <f t="shared" si="1"/>
        <v/>
      </c>
    </row>
    <row r="1145" ht="15.75" customHeight="1">
      <c r="A1145" s="356"/>
      <c r="K1145" s="319" t="str">
        <f t="shared" si="1"/>
        <v/>
      </c>
    </row>
    <row r="1146" ht="15.75" customHeight="1">
      <c r="A1146" s="356"/>
      <c r="K1146" s="319" t="str">
        <f t="shared" si="1"/>
        <v/>
      </c>
    </row>
    <row r="1147" ht="15.75" customHeight="1">
      <c r="A1147" s="356"/>
      <c r="K1147" s="319" t="str">
        <f t="shared" si="1"/>
        <v/>
      </c>
    </row>
    <row r="1148" ht="15.75" customHeight="1">
      <c r="A1148" s="356"/>
      <c r="K1148" s="319" t="str">
        <f t="shared" si="1"/>
        <v/>
      </c>
    </row>
    <row r="1149" ht="15.75" customHeight="1">
      <c r="A1149" s="356"/>
      <c r="K1149" s="319" t="str">
        <f t="shared" si="1"/>
        <v/>
      </c>
    </row>
    <row r="1150" ht="15.75" customHeight="1">
      <c r="A1150" s="356"/>
      <c r="K1150" s="319" t="str">
        <f t="shared" si="1"/>
        <v/>
      </c>
    </row>
    <row r="1151" ht="15.75" customHeight="1">
      <c r="A1151" s="356"/>
      <c r="K1151" s="319" t="str">
        <f t="shared" si="1"/>
        <v/>
      </c>
    </row>
    <row r="1152" ht="15.75" customHeight="1">
      <c r="A1152" s="356"/>
      <c r="K1152" s="319" t="str">
        <f t="shared" si="1"/>
        <v/>
      </c>
    </row>
    <row r="1153" ht="15.75" customHeight="1">
      <c r="A1153" s="356"/>
      <c r="K1153" s="319" t="str">
        <f t="shared" si="1"/>
        <v/>
      </c>
    </row>
    <row r="1154" ht="15.75" customHeight="1">
      <c r="A1154" s="356"/>
      <c r="K1154" s="319" t="str">
        <f t="shared" si="1"/>
        <v/>
      </c>
    </row>
    <row r="1155" ht="15.75" customHeight="1">
      <c r="A1155" s="356"/>
      <c r="K1155" s="319" t="str">
        <f t="shared" si="1"/>
        <v/>
      </c>
    </row>
    <row r="1156" ht="15.75" customHeight="1">
      <c r="A1156" s="356"/>
      <c r="K1156" s="319" t="str">
        <f t="shared" si="1"/>
        <v/>
      </c>
    </row>
    <row r="1157" ht="15.75" customHeight="1">
      <c r="A1157" s="356"/>
      <c r="K1157" s="319" t="str">
        <f t="shared" si="1"/>
        <v/>
      </c>
    </row>
    <row r="1158" ht="15.75" customHeight="1">
      <c r="A1158" s="356"/>
      <c r="K1158" s="319" t="str">
        <f t="shared" si="1"/>
        <v/>
      </c>
    </row>
    <row r="1159" ht="15.75" customHeight="1">
      <c r="A1159" s="356"/>
      <c r="K1159" s="319" t="str">
        <f t="shared" si="1"/>
        <v/>
      </c>
    </row>
    <row r="1160" ht="15.75" customHeight="1">
      <c r="A1160" s="356"/>
      <c r="K1160" s="319" t="str">
        <f t="shared" si="1"/>
        <v/>
      </c>
    </row>
    <row r="1161" ht="15.75" customHeight="1">
      <c r="A1161" s="356"/>
      <c r="K1161" s="319" t="str">
        <f t="shared" si="1"/>
        <v/>
      </c>
    </row>
    <row r="1162" ht="15.75" customHeight="1">
      <c r="A1162" s="356"/>
      <c r="K1162" s="319" t="str">
        <f t="shared" si="1"/>
        <v/>
      </c>
    </row>
    <row r="1163" ht="15.75" customHeight="1">
      <c r="A1163" s="356"/>
      <c r="K1163" s="319" t="str">
        <f t="shared" si="1"/>
        <v/>
      </c>
    </row>
    <row r="1164" ht="15.75" customHeight="1">
      <c r="A1164" s="356"/>
      <c r="K1164" s="319" t="str">
        <f t="shared" si="1"/>
        <v/>
      </c>
    </row>
    <row r="1165" ht="15.75" customHeight="1">
      <c r="A1165" s="356"/>
      <c r="K1165" s="319" t="str">
        <f t="shared" si="1"/>
        <v/>
      </c>
    </row>
    <row r="1166" ht="15.75" customHeight="1">
      <c r="A1166" s="356"/>
      <c r="K1166" s="319" t="str">
        <f t="shared" si="1"/>
        <v/>
      </c>
    </row>
    <row r="1167" ht="15.75" customHeight="1">
      <c r="A1167" s="356"/>
      <c r="K1167" s="319" t="str">
        <f t="shared" si="1"/>
        <v/>
      </c>
    </row>
    <row r="1168" ht="15.75" customHeight="1">
      <c r="A1168" s="356"/>
      <c r="K1168" s="319" t="str">
        <f t="shared" si="1"/>
        <v/>
      </c>
    </row>
    <row r="1169" ht="15.75" customHeight="1">
      <c r="A1169" s="356"/>
      <c r="K1169" s="319" t="str">
        <f t="shared" si="1"/>
        <v/>
      </c>
    </row>
    <row r="1170" ht="15.75" customHeight="1">
      <c r="A1170" s="356"/>
      <c r="K1170" s="319" t="str">
        <f t="shared" si="1"/>
        <v/>
      </c>
    </row>
    <row r="1171" ht="15.75" customHeight="1">
      <c r="A1171" s="356"/>
      <c r="K1171" s="319" t="str">
        <f t="shared" si="1"/>
        <v/>
      </c>
    </row>
    <row r="1172" ht="15.75" customHeight="1">
      <c r="A1172" s="356"/>
      <c r="K1172" s="319" t="str">
        <f t="shared" si="1"/>
        <v/>
      </c>
    </row>
    <row r="1173" ht="15.75" customHeight="1">
      <c r="A1173" s="356"/>
      <c r="K1173" s="319" t="str">
        <f t="shared" si="1"/>
        <v/>
      </c>
    </row>
    <row r="1174" ht="15.75" customHeight="1">
      <c r="A1174" s="356"/>
      <c r="K1174" s="319" t="str">
        <f t="shared" si="1"/>
        <v/>
      </c>
    </row>
    <row r="1175" ht="15.75" customHeight="1">
      <c r="A1175" s="356"/>
      <c r="K1175" s="319" t="str">
        <f t="shared" si="1"/>
        <v/>
      </c>
    </row>
    <row r="1176" ht="15.75" customHeight="1">
      <c r="A1176" s="356"/>
      <c r="K1176" s="319" t="str">
        <f t="shared" si="1"/>
        <v/>
      </c>
    </row>
    <row r="1177" ht="15.75" customHeight="1">
      <c r="A1177" s="356"/>
      <c r="K1177" s="319" t="str">
        <f t="shared" si="1"/>
        <v/>
      </c>
    </row>
    <row r="1178" ht="15.75" customHeight="1">
      <c r="A1178" s="356"/>
      <c r="K1178" s="319" t="str">
        <f t="shared" si="1"/>
        <v/>
      </c>
    </row>
    <row r="1179" ht="15.75" customHeight="1">
      <c r="A1179" s="356"/>
      <c r="K1179" s="319" t="str">
        <f t="shared" si="1"/>
        <v/>
      </c>
    </row>
    <row r="1180" ht="15.75" customHeight="1">
      <c r="A1180" s="356"/>
      <c r="K1180" s="319" t="str">
        <f t="shared" si="1"/>
        <v/>
      </c>
    </row>
    <row r="1181" ht="15.75" customHeight="1">
      <c r="A1181" s="356"/>
      <c r="K1181" s="319" t="str">
        <f t="shared" si="1"/>
        <v/>
      </c>
    </row>
    <row r="1182" ht="15.75" customHeight="1">
      <c r="A1182" s="356"/>
      <c r="K1182" s="319" t="str">
        <f t="shared" si="1"/>
        <v/>
      </c>
    </row>
    <row r="1183" ht="15.75" customHeight="1">
      <c r="A1183" s="356"/>
      <c r="K1183" s="319" t="str">
        <f t="shared" si="1"/>
        <v/>
      </c>
    </row>
    <row r="1184" ht="15.75" customHeight="1">
      <c r="A1184" s="356"/>
      <c r="K1184" s="319" t="str">
        <f t="shared" si="1"/>
        <v/>
      </c>
    </row>
    <row r="1185" ht="15.75" customHeight="1">
      <c r="A1185" s="356"/>
      <c r="K1185" s="319" t="str">
        <f t="shared" si="1"/>
        <v/>
      </c>
    </row>
    <row r="1186" ht="15.75" customHeight="1">
      <c r="A1186" s="356"/>
      <c r="K1186" s="319" t="str">
        <f t="shared" si="1"/>
        <v/>
      </c>
    </row>
    <row r="1187" ht="15.75" customHeight="1">
      <c r="A1187" s="356"/>
      <c r="K1187" s="319" t="str">
        <f t="shared" si="1"/>
        <v/>
      </c>
    </row>
    <row r="1188" ht="15.75" customHeight="1">
      <c r="A1188" s="356"/>
      <c r="K1188" s="319" t="str">
        <f t="shared" si="1"/>
        <v/>
      </c>
    </row>
    <row r="1189" ht="15.75" customHeight="1">
      <c r="A1189" s="356"/>
      <c r="K1189" s="319" t="str">
        <f t="shared" si="1"/>
        <v/>
      </c>
    </row>
    <row r="1190" ht="15.75" customHeight="1">
      <c r="A1190" s="356"/>
      <c r="K1190" s="319" t="str">
        <f t="shared" si="1"/>
        <v/>
      </c>
    </row>
    <row r="1191" ht="15.75" customHeight="1">
      <c r="A1191" s="356"/>
      <c r="K1191" s="319" t="str">
        <f t="shared" si="1"/>
        <v/>
      </c>
    </row>
    <row r="1192" ht="15.75" customHeight="1">
      <c r="A1192" s="356"/>
      <c r="K1192" s="319" t="str">
        <f t="shared" si="1"/>
        <v/>
      </c>
    </row>
    <row r="1193" ht="15.75" customHeight="1">
      <c r="A1193" s="356"/>
      <c r="K1193" s="319" t="str">
        <f t="shared" si="1"/>
        <v/>
      </c>
    </row>
    <row r="1194" ht="15.75" customHeight="1">
      <c r="A1194" s="356"/>
      <c r="K1194" s="319" t="str">
        <f t="shared" si="1"/>
        <v/>
      </c>
    </row>
    <row r="1195" ht="15.75" customHeight="1">
      <c r="A1195" s="356"/>
      <c r="K1195" s="319" t="str">
        <f t="shared" si="1"/>
        <v/>
      </c>
    </row>
    <row r="1196" ht="15.75" customHeight="1">
      <c r="A1196" s="356"/>
      <c r="K1196" s="319" t="str">
        <f t="shared" si="1"/>
        <v/>
      </c>
    </row>
    <row r="1197" ht="15.75" customHeight="1">
      <c r="A1197" s="356"/>
      <c r="K1197" s="319" t="str">
        <f t="shared" si="1"/>
        <v/>
      </c>
    </row>
    <row r="1198" ht="15.75" customHeight="1">
      <c r="A1198" s="356"/>
      <c r="K1198" s="319" t="str">
        <f t="shared" si="1"/>
        <v/>
      </c>
    </row>
    <row r="1199" ht="15.75" customHeight="1">
      <c r="A1199" s="356"/>
      <c r="K1199" s="319" t="str">
        <f t="shared" si="1"/>
        <v/>
      </c>
    </row>
    <row r="1200" ht="15.75" customHeight="1">
      <c r="A1200" s="356"/>
      <c r="K1200" s="319" t="str">
        <f t="shared" si="1"/>
        <v/>
      </c>
    </row>
    <row r="1201" ht="15.75" customHeight="1">
      <c r="A1201" s="356"/>
      <c r="K1201" s="319" t="str">
        <f t="shared" si="1"/>
        <v/>
      </c>
    </row>
    <row r="1202" ht="15.75" customHeight="1">
      <c r="A1202" s="356"/>
      <c r="K1202" s="319" t="str">
        <f t="shared" si="1"/>
        <v/>
      </c>
    </row>
    <row r="1203" ht="15.75" customHeight="1">
      <c r="A1203" s="356"/>
      <c r="K1203" s="319" t="str">
        <f t="shared" si="1"/>
        <v/>
      </c>
    </row>
    <row r="1204" ht="15.75" customHeight="1">
      <c r="A1204" s="356"/>
      <c r="K1204" s="319" t="str">
        <f t="shared" si="1"/>
        <v/>
      </c>
    </row>
    <row r="1205" ht="15.75" customHeight="1">
      <c r="A1205" s="356"/>
      <c r="K1205" s="319" t="str">
        <f t="shared" si="1"/>
        <v/>
      </c>
    </row>
    <row r="1206" ht="15.75" customHeight="1">
      <c r="A1206" s="356"/>
      <c r="K1206" s="319" t="str">
        <f t="shared" si="1"/>
        <v/>
      </c>
    </row>
    <row r="1207" ht="15.75" customHeight="1">
      <c r="A1207" s="356"/>
      <c r="K1207" s="319" t="str">
        <f t="shared" si="1"/>
        <v/>
      </c>
    </row>
    <row r="1208" ht="15.75" customHeight="1">
      <c r="A1208" s="356"/>
      <c r="K1208" s="319" t="str">
        <f t="shared" si="1"/>
        <v/>
      </c>
    </row>
    <row r="1209" ht="15.75" customHeight="1">
      <c r="A1209" s="356"/>
      <c r="K1209" s="319" t="str">
        <f t="shared" si="1"/>
        <v/>
      </c>
    </row>
    <row r="1210" ht="15.75" customHeight="1">
      <c r="A1210" s="356"/>
      <c r="K1210" s="319" t="str">
        <f t="shared" si="1"/>
        <v/>
      </c>
    </row>
    <row r="1211" ht="15.75" customHeight="1">
      <c r="A1211" s="356"/>
      <c r="K1211" s="319" t="str">
        <f t="shared" si="1"/>
        <v/>
      </c>
    </row>
    <row r="1212" ht="15.75" customHeight="1">
      <c r="A1212" s="356"/>
      <c r="K1212" s="319" t="str">
        <f t="shared" si="1"/>
        <v/>
      </c>
    </row>
    <row r="1213" ht="15.75" customHeight="1">
      <c r="A1213" s="356"/>
      <c r="K1213" s="319" t="str">
        <f t="shared" si="1"/>
        <v/>
      </c>
    </row>
    <row r="1214" ht="15.75" customHeight="1">
      <c r="A1214" s="356"/>
      <c r="K1214" s="319" t="str">
        <f t="shared" si="1"/>
        <v/>
      </c>
    </row>
    <row r="1215" ht="15.75" customHeight="1">
      <c r="A1215" s="356"/>
      <c r="K1215" s="319" t="str">
        <f t="shared" si="1"/>
        <v/>
      </c>
    </row>
    <row r="1216" ht="15.75" customHeight="1">
      <c r="A1216" s="356"/>
      <c r="K1216" s="319" t="str">
        <f t="shared" si="1"/>
        <v/>
      </c>
    </row>
    <row r="1217" ht="15.75" customHeight="1">
      <c r="A1217" s="356"/>
      <c r="K1217" s="319" t="str">
        <f t="shared" si="1"/>
        <v/>
      </c>
    </row>
    <row r="1218" ht="15.75" customHeight="1">
      <c r="A1218" s="356"/>
      <c r="K1218" s="319" t="str">
        <f t="shared" si="1"/>
        <v/>
      </c>
    </row>
    <row r="1219" ht="15.75" customHeight="1">
      <c r="A1219" s="356"/>
      <c r="K1219" s="319" t="str">
        <f t="shared" si="1"/>
        <v/>
      </c>
    </row>
    <row r="1220" ht="15.75" customHeight="1">
      <c r="A1220" s="356"/>
      <c r="K1220" s="319" t="str">
        <f t="shared" si="1"/>
        <v/>
      </c>
    </row>
    <row r="1221" ht="15.75" customHeight="1">
      <c r="A1221" s="356"/>
      <c r="K1221" s="319" t="str">
        <f t="shared" si="1"/>
        <v/>
      </c>
    </row>
    <row r="1222" ht="15.75" customHeight="1">
      <c r="A1222" s="356"/>
      <c r="K1222" s="319" t="str">
        <f t="shared" si="1"/>
        <v/>
      </c>
    </row>
    <row r="1223" ht="15.75" customHeight="1">
      <c r="A1223" s="356"/>
      <c r="K1223" s="319" t="str">
        <f t="shared" si="1"/>
        <v/>
      </c>
    </row>
    <row r="1224" ht="15.75" customHeight="1">
      <c r="A1224" s="356"/>
      <c r="K1224" s="319" t="str">
        <f t="shared" si="1"/>
        <v/>
      </c>
    </row>
    <row r="1225" ht="15.75" customHeight="1">
      <c r="A1225" s="356"/>
      <c r="K1225" s="319" t="str">
        <f t="shared" si="1"/>
        <v/>
      </c>
    </row>
    <row r="1226" ht="15.75" customHeight="1">
      <c r="A1226" s="356"/>
      <c r="K1226" s="319" t="str">
        <f t="shared" si="1"/>
        <v/>
      </c>
    </row>
    <row r="1227" ht="15.75" customHeight="1">
      <c r="A1227" s="356"/>
      <c r="K1227" s="319" t="str">
        <f t="shared" si="1"/>
        <v/>
      </c>
    </row>
    <row r="1228" ht="15.75" customHeight="1">
      <c r="A1228" s="356"/>
      <c r="K1228" s="319" t="str">
        <f t="shared" si="1"/>
        <v/>
      </c>
    </row>
    <row r="1229" ht="15.75" customHeight="1">
      <c r="A1229" s="356"/>
      <c r="K1229" s="319" t="str">
        <f t="shared" si="1"/>
        <v/>
      </c>
    </row>
    <row r="1230" ht="15.75" customHeight="1">
      <c r="A1230" s="356"/>
      <c r="K1230" s="319" t="str">
        <f t="shared" si="1"/>
        <v/>
      </c>
    </row>
    <row r="1231" ht="15.75" customHeight="1">
      <c r="A1231" s="356"/>
      <c r="K1231" s="319" t="str">
        <f t="shared" si="1"/>
        <v/>
      </c>
    </row>
    <row r="1232" ht="15.75" customHeight="1">
      <c r="A1232" s="356"/>
      <c r="K1232" s="319" t="str">
        <f t="shared" si="1"/>
        <v/>
      </c>
    </row>
    <row r="1233" ht="15.75" customHeight="1">
      <c r="A1233" s="356"/>
      <c r="K1233" s="319" t="str">
        <f t="shared" si="1"/>
        <v/>
      </c>
    </row>
    <row r="1234" ht="15.75" customHeight="1">
      <c r="A1234" s="356"/>
      <c r="K1234" s="319" t="str">
        <f t="shared" si="1"/>
        <v/>
      </c>
    </row>
    <row r="1235" ht="15.75" customHeight="1">
      <c r="A1235" s="356"/>
      <c r="K1235" s="319" t="str">
        <f t="shared" si="1"/>
        <v/>
      </c>
    </row>
    <row r="1236" ht="15.75" customHeight="1">
      <c r="A1236" s="356"/>
      <c r="K1236" s="319" t="str">
        <f t="shared" si="1"/>
        <v/>
      </c>
    </row>
    <row r="1237" ht="15.75" customHeight="1">
      <c r="A1237" s="356"/>
      <c r="K1237" s="319" t="str">
        <f t="shared" si="1"/>
        <v/>
      </c>
    </row>
    <row r="1238" ht="15.75" customHeight="1">
      <c r="A1238" s="356"/>
      <c r="K1238" s="319" t="str">
        <f t="shared" si="1"/>
        <v/>
      </c>
    </row>
    <row r="1239" ht="15.75" customHeight="1">
      <c r="A1239" s="356"/>
      <c r="K1239" s="319" t="str">
        <f t="shared" si="1"/>
        <v/>
      </c>
    </row>
    <row r="1240" ht="15.75" customHeight="1">
      <c r="A1240" s="356"/>
      <c r="K1240" s="319" t="str">
        <f t="shared" si="1"/>
        <v/>
      </c>
    </row>
    <row r="1241" ht="15.75" customHeight="1">
      <c r="A1241" s="356"/>
      <c r="K1241" s="319" t="str">
        <f t="shared" si="1"/>
        <v/>
      </c>
    </row>
    <row r="1242" ht="15.75" customHeight="1">
      <c r="A1242" s="356"/>
      <c r="K1242" s="319" t="str">
        <f t="shared" si="1"/>
        <v/>
      </c>
    </row>
    <row r="1243" ht="15.75" customHeight="1">
      <c r="A1243" s="356"/>
      <c r="K1243" s="319" t="str">
        <f t="shared" si="1"/>
        <v/>
      </c>
    </row>
    <row r="1244" ht="15.75" customHeight="1">
      <c r="A1244" s="356"/>
      <c r="K1244" s="319" t="str">
        <f t="shared" si="1"/>
        <v/>
      </c>
    </row>
    <row r="1245" ht="15.75" customHeight="1">
      <c r="A1245" s="356"/>
      <c r="K1245" s="319" t="str">
        <f t="shared" si="1"/>
        <v/>
      </c>
    </row>
    <row r="1246" ht="15.75" customHeight="1">
      <c r="A1246" s="356"/>
      <c r="K1246" s="319" t="str">
        <f t="shared" si="1"/>
        <v/>
      </c>
    </row>
    <row r="1247" ht="15.75" customHeight="1">
      <c r="A1247" s="356"/>
      <c r="K1247" s="319" t="str">
        <f t="shared" si="1"/>
        <v/>
      </c>
    </row>
    <row r="1248" ht="15.75" customHeight="1">
      <c r="A1248" s="356"/>
      <c r="K1248" s="319" t="str">
        <f t="shared" si="1"/>
        <v/>
      </c>
    </row>
    <row r="1249" ht="15.75" customHeight="1">
      <c r="A1249" s="356"/>
      <c r="K1249" s="319" t="str">
        <f t="shared" si="1"/>
        <v/>
      </c>
    </row>
    <row r="1250" ht="15.75" customHeight="1">
      <c r="A1250" s="356"/>
      <c r="K1250" s="319" t="str">
        <f t="shared" si="1"/>
        <v/>
      </c>
    </row>
    <row r="1251" ht="15.75" customHeight="1">
      <c r="A1251" s="356"/>
      <c r="K1251" s="319" t="str">
        <f t="shared" si="1"/>
        <v/>
      </c>
    </row>
    <row r="1252" ht="15.75" customHeight="1">
      <c r="A1252" s="356"/>
      <c r="K1252" s="319" t="str">
        <f t="shared" si="1"/>
        <v/>
      </c>
    </row>
    <row r="1253" ht="15.75" customHeight="1">
      <c r="A1253" s="356"/>
      <c r="K1253" s="319" t="str">
        <f t="shared" si="1"/>
        <v/>
      </c>
    </row>
    <row r="1254" ht="15.75" customHeight="1">
      <c r="A1254" s="356"/>
      <c r="K1254" s="319" t="str">
        <f t="shared" si="1"/>
        <v/>
      </c>
    </row>
    <row r="1255" ht="15.75" customHeight="1">
      <c r="A1255" s="356"/>
      <c r="K1255" s="319" t="str">
        <f t="shared" si="1"/>
        <v/>
      </c>
    </row>
    <row r="1256" ht="15.75" customHeight="1">
      <c r="A1256" s="356"/>
      <c r="K1256" s="319" t="str">
        <f t="shared" si="1"/>
        <v/>
      </c>
    </row>
    <row r="1257" ht="15.75" customHeight="1">
      <c r="A1257" s="356"/>
      <c r="K1257" s="319" t="str">
        <f t="shared" si="1"/>
        <v/>
      </c>
    </row>
    <row r="1258" ht="15.75" customHeight="1">
      <c r="A1258" s="356"/>
      <c r="K1258" s="319" t="str">
        <f t="shared" si="1"/>
        <v/>
      </c>
    </row>
    <row r="1259" ht="15.75" customHeight="1">
      <c r="A1259" s="356"/>
      <c r="K1259" s="319" t="str">
        <f t="shared" si="1"/>
        <v/>
      </c>
    </row>
    <row r="1260" ht="15.75" customHeight="1">
      <c r="A1260" s="356"/>
      <c r="K1260" s="319" t="str">
        <f t="shared" si="1"/>
        <v/>
      </c>
    </row>
    <row r="1261" ht="15.75" customHeight="1">
      <c r="A1261" s="356"/>
      <c r="K1261" s="319" t="str">
        <f t="shared" si="1"/>
        <v/>
      </c>
    </row>
    <row r="1262" ht="15.75" customHeight="1">
      <c r="A1262" s="356"/>
      <c r="K1262" s="319" t="str">
        <f t="shared" si="1"/>
        <v/>
      </c>
    </row>
    <row r="1263" ht="15.75" customHeight="1">
      <c r="A1263" s="356"/>
      <c r="K1263" s="319" t="str">
        <f t="shared" si="1"/>
        <v/>
      </c>
    </row>
    <row r="1264" ht="15.75" customHeight="1">
      <c r="A1264" s="356"/>
      <c r="K1264" s="319" t="str">
        <f t="shared" si="1"/>
        <v/>
      </c>
    </row>
    <row r="1265" ht="15.75" customHeight="1">
      <c r="A1265" s="356"/>
      <c r="K1265" s="319" t="str">
        <f t="shared" si="1"/>
        <v/>
      </c>
    </row>
    <row r="1266" ht="15.75" customHeight="1">
      <c r="A1266" s="356"/>
      <c r="K1266" s="319" t="str">
        <f t="shared" si="1"/>
        <v/>
      </c>
    </row>
    <row r="1267" ht="15.75" customHeight="1">
      <c r="A1267" s="356"/>
      <c r="K1267" s="319" t="str">
        <f t="shared" si="1"/>
        <v/>
      </c>
    </row>
    <row r="1268" ht="15.75" customHeight="1">
      <c r="A1268" s="356"/>
      <c r="K1268" s="319" t="str">
        <f t="shared" si="1"/>
        <v/>
      </c>
    </row>
    <row r="1269" ht="15.75" customHeight="1">
      <c r="A1269" s="356"/>
      <c r="K1269" s="319" t="str">
        <f t="shared" si="1"/>
        <v/>
      </c>
    </row>
    <row r="1270" ht="15.75" customHeight="1">
      <c r="A1270" s="356"/>
      <c r="K1270" s="319" t="str">
        <f t="shared" si="1"/>
        <v/>
      </c>
    </row>
    <row r="1271" ht="15.75" customHeight="1">
      <c r="A1271" s="356"/>
      <c r="K1271" s="319" t="str">
        <f t="shared" si="1"/>
        <v/>
      </c>
    </row>
    <row r="1272" ht="15.75" customHeight="1">
      <c r="A1272" s="356"/>
      <c r="K1272" s="319" t="str">
        <f t="shared" si="1"/>
        <v/>
      </c>
    </row>
    <row r="1273" ht="15.75" customHeight="1">
      <c r="A1273" s="356"/>
      <c r="K1273" s="319" t="str">
        <f t="shared" si="1"/>
        <v/>
      </c>
    </row>
    <row r="1274" ht="15.75" customHeight="1">
      <c r="A1274" s="356"/>
      <c r="K1274" s="319" t="str">
        <f t="shared" si="1"/>
        <v/>
      </c>
    </row>
    <row r="1275" ht="15.75" customHeight="1">
      <c r="A1275" s="356"/>
      <c r="K1275" s="319" t="str">
        <f t="shared" si="1"/>
        <v/>
      </c>
    </row>
    <row r="1276" ht="15.75" customHeight="1">
      <c r="A1276" s="356"/>
      <c r="K1276" s="319" t="str">
        <f t="shared" si="1"/>
        <v/>
      </c>
    </row>
    <row r="1277" ht="15.75" customHeight="1">
      <c r="A1277" s="356"/>
      <c r="K1277" s="319" t="str">
        <f t="shared" si="1"/>
        <v/>
      </c>
    </row>
    <row r="1278" ht="15.75" customHeight="1">
      <c r="A1278" s="356"/>
      <c r="K1278" s="319" t="str">
        <f t="shared" si="1"/>
        <v/>
      </c>
    </row>
    <row r="1279" ht="15.75" customHeight="1">
      <c r="A1279" s="356"/>
      <c r="K1279" s="319" t="str">
        <f t="shared" si="1"/>
        <v/>
      </c>
    </row>
    <row r="1280" ht="15.75" customHeight="1">
      <c r="A1280" s="356"/>
      <c r="K1280" s="319" t="str">
        <f t="shared" si="1"/>
        <v/>
      </c>
    </row>
    <row r="1281" ht="15.75" customHeight="1">
      <c r="A1281" s="356"/>
      <c r="K1281" s="319" t="str">
        <f t="shared" si="1"/>
        <v/>
      </c>
    </row>
    <row r="1282" ht="15.75" customHeight="1">
      <c r="A1282" s="356"/>
      <c r="K1282" s="319" t="str">
        <f t="shared" si="1"/>
        <v/>
      </c>
    </row>
    <row r="1283" ht="15.75" customHeight="1">
      <c r="A1283" s="356"/>
      <c r="K1283" s="319" t="str">
        <f t="shared" si="1"/>
        <v/>
      </c>
    </row>
    <row r="1284" ht="15.75" customHeight="1">
      <c r="A1284" s="356"/>
      <c r="K1284" s="319" t="str">
        <f t="shared" si="1"/>
        <v/>
      </c>
    </row>
    <row r="1285" ht="15.75" customHeight="1">
      <c r="A1285" s="356"/>
      <c r="K1285" s="319" t="str">
        <f t="shared" si="1"/>
        <v/>
      </c>
    </row>
    <row r="1286" ht="15.75" customHeight="1">
      <c r="A1286" s="356"/>
      <c r="K1286" s="319" t="str">
        <f t="shared" si="1"/>
        <v/>
      </c>
    </row>
    <row r="1287" ht="15.75" customHeight="1">
      <c r="A1287" s="356"/>
      <c r="K1287" s="319" t="str">
        <f t="shared" si="1"/>
        <v/>
      </c>
    </row>
    <row r="1288" ht="15.75" customHeight="1">
      <c r="A1288" s="356"/>
      <c r="K1288" s="319" t="str">
        <f t="shared" si="1"/>
        <v/>
      </c>
    </row>
    <row r="1289" ht="15.75" customHeight="1">
      <c r="A1289" s="356"/>
      <c r="K1289" s="319" t="str">
        <f t="shared" si="1"/>
        <v/>
      </c>
    </row>
    <row r="1290" ht="15.75" customHeight="1">
      <c r="A1290" s="356"/>
      <c r="K1290" s="319" t="str">
        <f t="shared" si="1"/>
        <v/>
      </c>
    </row>
    <row r="1291" ht="15.75" customHeight="1">
      <c r="A1291" s="356"/>
      <c r="K1291" s="319" t="str">
        <f t="shared" si="1"/>
        <v/>
      </c>
    </row>
    <row r="1292" ht="15.75" customHeight="1">
      <c r="A1292" s="356"/>
      <c r="K1292" s="319" t="str">
        <f t="shared" si="1"/>
        <v/>
      </c>
    </row>
    <row r="1293" ht="15.75" customHeight="1">
      <c r="A1293" s="356"/>
      <c r="K1293" s="319" t="str">
        <f t="shared" si="1"/>
        <v/>
      </c>
    </row>
    <row r="1294" ht="15.75" customHeight="1">
      <c r="A1294" s="356"/>
      <c r="K1294" s="319" t="str">
        <f t="shared" si="1"/>
        <v/>
      </c>
    </row>
    <row r="1295" ht="15.75" customHeight="1">
      <c r="A1295" s="356"/>
      <c r="K1295" s="319" t="str">
        <f t="shared" si="1"/>
        <v/>
      </c>
    </row>
    <row r="1296" ht="15.75" customHeight="1">
      <c r="A1296" s="356"/>
      <c r="K1296" s="319" t="str">
        <f t="shared" si="1"/>
        <v/>
      </c>
    </row>
    <row r="1297" ht="15.75" customHeight="1">
      <c r="A1297" s="356"/>
      <c r="K1297" s="319" t="str">
        <f t="shared" si="1"/>
        <v/>
      </c>
    </row>
    <row r="1298" ht="15.75" customHeight="1">
      <c r="A1298" s="356"/>
      <c r="K1298" s="319" t="str">
        <f t="shared" si="1"/>
        <v/>
      </c>
    </row>
    <row r="1299" ht="15.75" customHeight="1">
      <c r="A1299" s="356"/>
      <c r="K1299" s="319" t="str">
        <f t="shared" si="1"/>
        <v/>
      </c>
    </row>
    <row r="1300" ht="15.75" customHeight="1">
      <c r="A1300" s="356"/>
      <c r="K1300" s="319" t="str">
        <f t="shared" si="1"/>
        <v/>
      </c>
    </row>
    <row r="1301" ht="15.75" customHeight="1">
      <c r="A1301" s="356"/>
      <c r="K1301" s="319" t="str">
        <f t="shared" si="1"/>
        <v/>
      </c>
    </row>
    <row r="1302" ht="15.75" customHeight="1">
      <c r="A1302" s="356"/>
      <c r="K1302" s="319" t="str">
        <f t="shared" si="1"/>
        <v/>
      </c>
    </row>
    <row r="1303" ht="15.75" customHeight="1">
      <c r="A1303" s="356"/>
      <c r="K1303" s="319" t="str">
        <f t="shared" si="1"/>
        <v/>
      </c>
    </row>
    <row r="1304" ht="15.75" customHeight="1">
      <c r="A1304" s="356"/>
      <c r="K1304" s="319" t="str">
        <f t="shared" si="1"/>
        <v/>
      </c>
    </row>
    <row r="1305" ht="15.75" customHeight="1">
      <c r="A1305" s="356"/>
      <c r="K1305" s="319" t="str">
        <f t="shared" si="1"/>
        <v/>
      </c>
    </row>
    <row r="1306" ht="15.75" customHeight="1">
      <c r="A1306" s="356"/>
      <c r="K1306" s="319" t="str">
        <f t="shared" si="1"/>
        <v/>
      </c>
    </row>
    <row r="1307" ht="15.75" customHeight="1">
      <c r="A1307" s="356"/>
      <c r="K1307" s="319" t="str">
        <f t="shared" si="1"/>
        <v/>
      </c>
    </row>
    <row r="1308" ht="15.75" customHeight="1">
      <c r="A1308" s="356"/>
      <c r="K1308" s="319" t="str">
        <f t="shared" si="1"/>
        <v/>
      </c>
    </row>
    <row r="1309" ht="15.75" customHeight="1">
      <c r="A1309" s="356"/>
      <c r="K1309" s="319" t="str">
        <f t="shared" si="1"/>
        <v/>
      </c>
    </row>
    <row r="1310" ht="15.75" customHeight="1">
      <c r="A1310" s="356"/>
      <c r="K1310" s="319" t="str">
        <f t="shared" si="1"/>
        <v/>
      </c>
    </row>
    <row r="1311" ht="15.75" customHeight="1">
      <c r="A1311" s="356"/>
      <c r="K1311" s="319" t="str">
        <f t="shared" si="1"/>
        <v/>
      </c>
    </row>
    <row r="1312" ht="15.75" customHeight="1">
      <c r="A1312" s="356"/>
      <c r="K1312" s="319" t="str">
        <f t="shared" si="1"/>
        <v/>
      </c>
    </row>
    <row r="1313" ht="15.75" customHeight="1">
      <c r="A1313" s="356"/>
      <c r="K1313" s="319" t="str">
        <f t="shared" si="1"/>
        <v/>
      </c>
    </row>
    <row r="1314" ht="15.75" customHeight="1">
      <c r="A1314" s="356"/>
      <c r="K1314" s="319" t="str">
        <f t="shared" si="1"/>
        <v/>
      </c>
    </row>
    <row r="1315" ht="15.75" customHeight="1">
      <c r="A1315" s="356"/>
      <c r="K1315" s="319" t="str">
        <f t="shared" si="1"/>
        <v/>
      </c>
    </row>
    <row r="1316" ht="15.75" customHeight="1">
      <c r="A1316" s="356"/>
      <c r="K1316" s="319" t="str">
        <f t="shared" si="1"/>
        <v/>
      </c>
    </row>
    <row r="1317" ht="15.75" customHeight="1">
      <c r="A1317" s="356"/>
      <c r="K1317" s="319" t="str">
        <f t="shared" si="1"/>
        <v/>
      </c>
    </row>
    <row r="1318" ht="15.75" customHeight="1">
      <c r="A1318" s="356"/>
      <c r="K1318" s="319" t="str">
        <f t="shared" si="1"/>
        <v/>
      </c>
    </row>
    <row r="1319" ht="15.75" customHeight="1">
      <c r="A1319" s="356"/>
      <c r="K1319" s="319" t="str">
        <f t="shared" si="1"/>
        <v/>
      </c>
    </row>
    <row r="1320" ht="15.75" customHeight="1">
      <c r="A1320" s="356"/>
      <c r="K1320" s="319" t="str">
        <f t="shared" si="1"/>
        <v/>
      </c>
    </row>
    <row r="1321" ht="15.75" customHeight="1">
      <c r="A1321" s="356"/>
      <c r="K1321" s="319" t="str">
        <f t="shared" si="1"/>
        <v/>
      </c>
    </row>
    <row r="1322" ht="15.75" customHeight="1">
      <c r="A1322" s="356"/>
      <c r="K1322" s="319" t="str">
        <f t="shared" si="1"/>
        <v/>
      </c>
    </row>
    <row r="1323" ht="15.75" customHeight="1">
      <c r="A1323" s="356"/>
      <c r="K1323" s="319" t="str">
        <f t="shared" si="1"/>
        <v/>
      </c>
    </row>
    <row r="1324" ht="15.75" customHeight="1">
      <c r="A1324" s="356"/>
      <c r="K1324" s="319" t="str">
        <f t="shared" si="1"/>
        <v/>
      </c>
    </row>
    <row r="1325" ht="15.75" customHeight="1">
      <c r="A1325" s="356"/>
      <c r="K1325" s="319" t="str">
        <f t="shared" si="1"/>
        <v/>
      </c>
    </row>
    <row r="1326" ht="15.75" customHeight="1">
      <c r="A1326" s="356"/>
      <c r="K1326" s="319" t="str">
        <f t="shared" si="1"/>
        <v/>
      </c>
    </row>
    <row r="1327" ht="15.75" customHeight="1">
      <c r="A1327" s="356"/>
      <c r="K1327" s="319" t="str">
        <f t="shared" si="1"/>
        <v/>
      </c>
    </row>
    <row r="1328" ht="15.75" customHeight="1">
      <c r="A1328" s="356"/>
      <c r="K1328" s="319" t="str">
        <f t="shared" si="1"/>
        <v/>
      </c>
    </row>
    <row r="1329" ht="15.75" customHeight="1">
      <c r="A1329" s="356"/>
      <c r="K1329" s="319" t="str">
        <f t="shared" si="1"/>
        <v/>
      </c>
    </row>
    <row r="1330" ht="15.75" customHeight="1">
      <c r="A1330" s="356"/>
      <c r="K1330" s="319" t="str">
        <f t="shared" si="1"/>
        <v/>
      </c>
    </row>
    <row r="1331" ht="15.75" customHeight="1">
      <c r="A1331" s="356"/>
      <c r="K1331" s="319" t="str">
        <f t="shared" si="1"/>
        <v/>
      </c>
    </row>
    <row r="1332" ht="15.75" customHeight="1">
      <c r="A1332" s="356"/>
      <c r="K1332" s="319" t="str">
        <f t="shared" si="1"/>
        <v/>
      </c>
    </row>
    <row r="1333" ht="15.75" customHeight="1">
      <c r="A1333" s="356"/>
      <c r="K1333" s="319" t="str">
        <f t="shared" si="1"/>
        <v/>
      </c>
    </row>
    <row r="1334" ht="15.75" customHeight="1">
      <c r="A1334" s="356"/>
      <c r="K1334" s="319" t="str">
        <f t="shared" si="1"/>
        <v/>
      </c>
    </row>
    <row r="1335" ht="15.75" customHeight="1">
      <c r="A1335" s="356"/>
      <c r="K1335" s="319" t="str">
        <f t="shared" si="1"/>
        <v/>
      </c>
    </row>
    <row r="1336" ht="15.75" customHeight="1">
      <c r="A1336" s="356"/>
      <c r="K1336" s="319" t="str">
        <f t="shared" si="1"/>
        <v/>
      </c>
    </row>
    <row r="1337" ht="15.75" customHeight="1">
      <c r="A1337" s="356"/>
      <c r="K1337" s="319" t="str">
        <f t="shared" si="1"/>
        <v/>
      </c>
    </row>
    <row r="1338" ht="15.75" customHeight="1">
      <c r="A1338" s="356"/>
      <c r="K1338" s="319" t="str">
        <f t="shared" si="1"/>
        <v/>
      </c>
    </row>
    <row r="1339" ht="15.75" customHeight="1">
      <c r="A1339" s="356"/>
      <c r="K1339" s="319" t="str">
        <f t="shared" si="1"/>
        <v/>
      </c>
    </row>
    <row r="1340" ht="15.75" customHeight="1">
      <c r="A1340" s="356"/>
      <c r="K1340" s="319" t="str">
        <f t="shared" si="1"/>
        <v/>
      </c>
    </row>
    <row r="1341" ht="15.75" customHeight="1">
      <c r="A1341" s="356"/>
      <c r="K1341" s="319" t="str">
        <f t="shared" si="1"/>
        <v/>
      </c>
    </row>
    <row r="1342" ht="15.75" customHeight="1">
      <c r="A1342" s="356"/>
      <c r="K1342" s="319" t="str">
        <f t="shared" si="1"/>
        <v/>
      </c>
    </row>
    <row r="1343" ht="15.75" customHeight="1">
      <c r="A1343" s="356"/>
      <c r="K1343" s="319" t="str">
        <f t="shared" si="1"/>
        <v/>
      </c>
    </row>
    <row r="1344" ht="15.75" customHeight="1">
      <c r="A1344" s="356"/>
      <c r="K1344" s="319" t="str">
        <f t="shared" si="1"/>
        <v/>
      </c>
    </row>
    <row r="1345" ht="15.75" customHeight="1">
      <c r="A1345" s="356"/>
      <c r="K1345" s="319" t="str">
        <f t="shared" si="1"/>
        <v/>
      </c>
    </row>
    <row r="1346" ht="15.75" customHeight="1">
      <c r="A1346" s="356"/>
      <c r="K1346" s="319" t="str">
        <f t="shared" si="1"/>
        <v/>
      </c>
    </row>
    <row r="1347" ht="15.75" customHeight="1">
      <c r="A1347" s="356"/>
      <c r="K1347" s="319" t="str">
        <f t="shared" si="1"/>
        <v/>
      </c>
    </row>
    <row r="1348" ht="15.75" customHeight="1">
      <c r="A1348" s="356"/>
      <c r="K1348" s="319" t="str">
        <f t="shared" si="1"/>
        <v/>
      </c>
    </row>
    <row r="1349" ht="15.75" customHeight="1">
      <c r="A1349" s="356"/>
      <c r="K1349" s="319" t="str">
        <f t="shared" si="1"/>
        <v/>
      </c>
    </row>
    <row r="1350" ht="15.75" customHeight="1">
      <c r="A1350" s="356"/>
      <c r="K1350" s="319" t="str">
        <f t="shared" si="1"/>
        <v/>
      </c>
    </row>
    <row r="1351" ht="15.75" customHeight="1">
      <c r="A1351" s="356"/>
      <c r="K1351" s="319" t="str">
        <f t="shared" si="1"/>
        <v/>
      </c>
    </row>
    <row r="1352" ht="15.75" customHeight="1">
      <c r="A1352" s="356"/>
      <c r="K1352" s="319" t="str">
        <f t="shared" si="1"/>
        <v/>
      </c>
    </row>
    <row r="1353" ht="15.75" customHeight="1">
      <c r="A1353" s="356"/>
      <c r="K1353" s="319" t="str">
        <f t="shared" si="1"/>
        <v/>
      </c>
    </row>
    <row r="1354" ht="15.75" customHeight="1">
      <c r="A1354" s="356"/>
      <c r="K1354" s="319" t="str">
        <f t="shared" si="1"/>
        <v/>
      </c>
    </row>
    <row r="1355" ht="15.75" customHeight="1">
      <c r="A1355" s="356"/>
      <c r="K1355" s="319" t="str">
        <f t="shared" si="1"/>
        <v/>
      </c>
    </row>
    <row r="1356" ht="15.75" customHeight="1">
      <c r="A1356" s="356"/>
      <c r="K1356" s="319" t="str">
        <f t="shared" si="1"/>
        <v/>
      </c>
    </row>
    <row r="1357" ht="15.75" customHeight="1">
      <c r="A1357" s="356"/>
      <c r="K1357" s="319" t="str">
        <f t="shared" si="1"/>
        <v/>
      </c>
    </row>
    <row r="1358" ht="15.75" customHeight="1">
      <c r="A1358" s="356"/>
      <c r="K1358" s="319" t="str">
        <f t="shared" si="1"/>
        <v/>
      </c>
    </row>
    <row r="1359" ht="15.75" customHeight="1">
      <c r="A1359" s="356"/>
      <c r="K1359" s="319" t="str">
        <f t="shared" si="1"/>
        <v/>
      </c>
    </row>
    <row r="1360" ht="15.75" customHeight="1">
      <c r="A1360" s="356"/>
      <c r="K1360" s="319" t="str">
        <f t="shared" si="1"/>
        <v/>
      </c>
    </row>
    <row r="1361" ht="15.75" customHeight="1">
      <c r="A1361" s="356"/>
      <c r="K1361" s="319" t="str">
        <f t="shared" si="1"/>
        <v/>
      </c>
    </row>
    <row r="1362" ht="15.75" customHeight="1">
      <c r="A1362" s="356"/>
      <c r="K1362" s="319" t="str">
        <f t="shared" si="1"/>
        <v/>
      </c>
    </row>
    <row r="1363" ht="15.75" customHeight="1">
      <c r="A1363" s="356"/>
      <c r="K1363" s="319" t="str">
        <f t="shared" si="1"/>
        <v/>
      </c>
    </row>
    <row r="1364" ht="15.75" customHeight="1">
      <c r="A1364" s="356"/>
      <c r="K1364" s="319" t="str">
        <f t="shared" si="1"/>
        <v/>
      </c>
    </row>
    <row r="1365" ht="15.75" customHeight="1">
      <c r="A1365" s="356"/>
      <c r="K1365" s="319" t="str">
        <f t="shared" si="1"/>
        <v/>
      </c>
    </row>
    <row r="1366" ht="15.75" customHeight="1">
      <c r="A1366" s="356"/>
      <c r="K1366" s="319" t="str">
        <f t="shared" si="1"/>
        <v/>
      </c>
    </row>
    <row r="1367" ht="15.75" customHeight="1">
      <c r="A1367" s="356"/>
      <c r="K1367" s="319" t="str">
        <f t="shared" si="1"/>
        <v/>
      </c>
    </row>
    <row r="1368" ht="15.75" customHeight="1">
      <c r="A1368" s="356"/>
      <c r="K1368" s="319" t="str">
        <f t="shared" si="1"/>
        <v/>
      </c>
    </row>
    <row r="1369" ht="15.75" customHeight="1">
      <c r="A1369" s="356"/>
      <c r="K1369" s="319" t="str">
        <f t="shared" si="1"/>
        <v/>
      </c>
    </row>
    <row r="1370" ht="15.75" customHeight="1">
      <c r="A1370" s="356"/>
      <c r="K1370" s="319" t="str">
        <f t="shared" si="1"/>
        <v/>
      </c>
    </row>
    <row r="1371" ht="15.75" customHeight="1">
      <c r="A1371" s="356"/>
      <c r="K1371" s="319" t="str">
        <f t="shared" si="1"/>
        <v/>
      </c>
    </row>
    <row r="1372" ht="15.75" customHeight="1">
      <c r="A1372" s="356"/>
      <c r="K1372" s="319" t="str">
        <f t="shared" si="1"/>
        <v/>
      </c>
    </row>
    <row r="1373" ht="15.75" customHeight="1">
      <c r="A1373" s="356"/>
      <c r="K1373" s="319" t="str">
        <f t="shared" si="1"/>
        <v/>
      </c>
    </row>
    <row r="1374" ht="15.75" customHeight="1">
      <c r="A1374" s="356"/>
      <c r="K1374" s="319" t="str">
        <f t="shared" si="1"/>
        <v/>
      </c>
    </row>
    <row r="1375" ht="15.75" customHeight="1">
      <c r="A1375" s="356"/>
      <c r="K1375" s="319" t="str">
        <f t="shared" si="1"/>
        <v/>
      </c>
    </row>
    <row r="1376" ht="15.75" customHeight="1">
      <c r="A1376" s="356"/>
      <c r="K1376" s="319" t="str">
        <f t="shared" si="1"/>
        <v/>
      </c>
    </row>
    <row r="1377" ht="15.75" customHeight="1">
      <c r="A1377" s="356"/>
      <c r="K1377" s="319" t="str">
        <f t="shared" si="1"/>
        <v/>
      </c>
    </row>
    <row r="1378" ht="15.75" customHeight="1">
      <c r="A1378" s="356"/>
      <c r="K1378" s="319" t="str">
        <f t="shared" si="1"/>
        <v/>
      </c>
    </row>
    <row r="1379" ht="15.75" customHeight="1">
      <c r="A1379" s="356"/>
      <c r="K1379" s="319" t="str">
        <f t="shared" si="1"/>
        <v/>
      </c>
    </row>
    <row r="1380" ht="15.75" customHeight="1">
      <c r="A1380" s="356"/>
      <c r="K1380" s="319" t="str">
        <f t="shared" si="1"/>
        <v/>
      </c>
    </row>
    <row r="1381" ht="15.75" customHeight="1">
      <c r="A1381" s="356"/>
      <c r="K1381" s="319" t="str">
        <f t="shared" si="1"/>
        <v/>
      </c>
    </row>
    <row r="1382" ht="15.75" customHeight="1">
      <c r="A1382" s="356"/>
      <c r="K1382" s="319" t="str">
        <f t="shared" si="1"/>
        <v/>
      </c>
    </row>
    <row r="1383" ht="15.75" customHeight="1">
      <c r="A1383" s="356"/>
      <c r="K1383" s="319" t="str">
        <f t="shared" si="1"/>
        <v/>
      </c>
    </row>
    <row r="1384" ht="15.75" customHeight="1">
      <c r="A1384" s="356"/>
      <c r="K1384" s="319" t="str">
        <f t="shared" si="1"/>
        <v/>
      </c>
    </row>
    <row r="1385" ht="15.75" customHeight="1">
      <c r="A1385" s="356"/>
      <c r="K1385" s="319" t="str">
        <f t="shared" si="1"/>
        <v/>
      </c>
    </row>
    <row r="1386" ht="15.75" customHeight="1">
      <c r="A1386" s="356"/>
      <c r="K1386" s="319" t="str">
        <f t="shared" si="1"/>
        <v/>
      </c>
    </row>
    <row r="1387" ht="15.75" customHeight="1">
      <c r="A1387" s="356"/>
      <c r="K1387" s="319" t="str">
        <f t="shared" si="1"/>
        <v/>
      </c>
    </row>
    <row r="1388" ht="15.75" customHeight="1">
      <c r="A1388" s="356"/>
      <c r="K1388" s="319" t="str">
        <f t="shared" si="1"/>
        <v/>
      </c>
    </row>
    <row r="1389" ht="15.75" customHeight="1">
      <c r="A1389" s="356"/>
      <c r="K1389" s="319" t="str">
        <f t="shared" si="1"/>
        <v/>
      </c>
    </row>
    <row r="1390" ht="15.75" customHeight="1">
      <c r="A1390" s="356"/>
      <c r="K1390" s="319" t="str">
        <f t="shared" si="1"/>
        <v/>
      </c>
    </row>
    <row r="1391" ht="15.75" customHeight="1">
      <c r="A1391" s="356"/>
      <c r="K1391" s="319" t="str">
        <f t="shared" si="1"/>
        <v/>
      </c>
    </row>
    <row r="1392" ht="15.75" customHeight="1">
      <c r="A1392" s="356"/>
      <c r="K1392" s="319" t="str">
        <f t="shared" si="1"/>
        <v/>
      </c>
    </row>
    <row r="1393" ht="15.75" customHeight="1">
      <c r="A1393" s="356"/>
      <c r="K1393" s="319" t="str">
        <f t="shared" si="1"/>
        <v/>
      </c>
    </row>
    <row r="1394" ht="15.75" customHeight="1">
      <c r="A1394" s="356"/>
      <c r="K1394" s="319" t="str">
        <f t="shared" si="1"/>
        <v/>
      </c>
    </row>
    <row r="1395" ht="15.75" customHeight="1">
      <c r="A1395" s="356"/>
      <c r="K1395" s="319" t="str">
        <f t="shared" si="1"/>
        <v/>
      </c>
    </row>
    <row r="1396" ht="15.75" customHeight="1">
      <c r="A1396" s="356"/>
      <c r="K1396" s="319" t="str">
        <f t="shared" si="1"/>
        <v/>
      </c>
    </row>
    <row r="1397" ht="15.75" customHeight="1">
      <c r="A1397" s="356"/>
      <c r="K1397" s="319" t="str">
        <f t="shared" si="1"/>
        <v/>
      </c>
    </row>
    <row r="1398" ht="15.75" customHeight="1">
      <c r="A1398" s="356"/>
      <c r="K1398" s="319" t="str">
        <f t="shared" si="1"/>
        <v/>
      </c>
    </row>
    <row r="1399" ht="15.75" customHeight="1">
      <c r="A1399" s="356"/>
      <c r="K1399" s="319" t="str">
        <f t="shared" si="1"/>
        <v/>
      </c>
    </row>
    <row r="1400" ht="15.75" customHeight="1">
      <c r="A1400" s="356"/>
      <c r="K1400" s="319" t="str">
        <f t="shared" si="1"/>
        <v/>
      </c>
    </row>
    <row r="1401" ht="15.75" customHeight="1">
      <c r="A1401" s="356"/>
      <c r="K1401" s="319" t="str">
        <f t="shared" si="1"/>
        <v/>
      </c>
    </row>
    <row r="1402" ht="15.75" customHeight="1">
      <c r="A1402" s="356"/>
      <c r="K1402" s="319" t="str">
        <f t="shared" si="1"/>
        <v/>
      </c>
    </row>
    <row r="1403" ht="15.75" customHeight="1">
      <c r="A1403" s="356"/>
      <c r="K1403" s="319" t="str">
        <f t="shared" si="1"/>
        <v/>
      </c>
    </row>
    <row r="1404" ht="15.75" customHeight="1">
      <c r="A1404" s="356"/>
      <c r="K1404" s="319" t="str">
        <f t="shared" si="1"/>
        <v/>
      </c>
    </row>
    <row r="1405" ht="15.75" customHeight="1">
      <c r="A1405" s="356"/>
      <c r="K1405" s="319" t="str">
        <f t="shared" si="1"/>
        <v/>
      </c>
    </row>
    <row r="1406" ht="15.75" customHeight="1">
      <c r="A1406" s="356"/>
      <c r="K1406" s="319" t="str">
        <f t="shared" si="1"/>
        <v/>
      </c>
    </row>
    <row r="1407" ht="15.75" customHeight="1">
      <c r="A1407" s="356"/>
      <c r="K1407" s="319" t="str">
        <f t="shared" si="1"/>
        <v/>
      </c>
    </row>
    <row r="1408" ht="15.75" customHeight="1">
      <c r="A1408" s="356"/>
      <c r="K1408" s="319" t="str">
        <f t="shared" si="1"/>
        <v/>
      </c>
    </row>
    <row r="1409" ht="15.75" customHeight="1">
      <c r="A1409" s="356"/>
      <c r="K1409" s="319" t="str">
        <f t="shared" si="1"/>
        <v/>
      </c>
    </row>
    <row r="1410" ht="15.75" customHeight="1">
      <c r="A1410" s="356"/>
      <c r="K1410" s="319" t="str">
        <f t="shared" si="1"/>
        <v/>
      </c>
    </row>
    <row r="1411" ht="15.75" customHeight="1">
      <c r="A1411" s="356"/>
      <c r="K1411" s="319" t="str">
        <f t="shared" si="1"/>
        <v/>
      </c>
    </row>
    <row r="1412" ht="15.75" customHeight="1">
      <c r="A1412" s="356"/>
      <c r="K1412" s="319" t="str">
        <f t="shared" si="1"/>
        <v/>
      </c>
    </row>
    <row r="1413" ht="15.75" customHeight="1">
      <c r="A1413" s="356"/>
      <c r="K1413" s="319" t="str">
        <f t="shared" si="1"/>
        <v/>
      </c>
    </row>
    <row r="1414" ht="15.75" customHeight="1">
      <c r="A1414" s="356"/>
      <c r="K1414" s="319" t="str">
        <f t="shared" si="1"/>
        <v/>
      </c>
    </row>
    <row r="1415" ht="15.75" customHeight="1">
      <c r="A1415" s="356"/>
      <c r="K1415" s="319" t="str">
        <f t="shared" si="1"/>
        <v/>
      </c>
    </row>
    <row r="1416" ht="15.75" customHeight="1">
      <c r="A1416" s="356"/>
      <c r="K1416" s="319" t="str">
        <f t="shared" si="1"/>
        <v/>
      </c>
    </row>
    <row r="1417" ht="15.75" customHeight="1">
      <c r="A1417" s="356"/>
      <c r="K1417" s="319" t="str">
        <f t="shared" si="1"/>
        <v/>
      </c>
    </row>
    <row r="1418" ht="15.75" customHeight="1">
      <c r="A1418" s="356"/>
      <c r="K1418" s="319" t="str">
        <f t="shared" si="1"/>
        <v/>
      </c>
    </row>
    <row r="1419" ht="15.75" customHeight="1">
      <c r="A1419" s="356"/>
      <c r="K1419" s="319" t="str">
        <f t="shared" si="1"/>
        <v/>
      </c>
    </row>
    <row r="1420" ht="15.75" customHeight="1">
      <c r="A1420" s="356"/>
      <c r="K1420" s="319" t="str">
        <f t="shared" si="1"/>
        <v/>
      </c>
    </row>
    <row r="1421" ht="15.75" customHeight="1">
      <c r="A1421" s="356"/>
      <c r="K1421" s="319" t="str">
        <f t="shared" si="1"/>
        <v/>
      </c>
    </row>
    <row r="1422" ht="15.75" customHeight="1">
      <c r="A1422" s="356"/>
      <c r="K1422" s="319" t="str">
        <f t="shared" si="1"/>
        <v/>
      </c>
    </row>
    <row r="1423" ht="15.75" customHeight="1">
      <c r="A1423" s="356"/>
      <c r="K1423" s="319" t="str">
        <f t="shared" si="1"/>
        <v/>
      </c>
    </row>
    <row r="1424" ht="15.75" customHeight="1">
      <c r="A1424" s="356"/>
      <c r="K1424" s="319" t="str">
        <f t="shared" si="1"/>
        <v/>
      </c>
    </row>
    <row r="1425" ht="15.75" customHeight="1">
      <c r="A1425" s="356"/>
      <c r="K1425" s="319" t="str">
        <f t="shared" si="1"/>
        <v/>
      </c>
    </row>
    <row r="1426" ht="15.75" customHeight="1">
      <c r="A1426" s="356"/>
      <c r="K1426" s="319" t="str">
        <f t="shared" si="1"/>
        <v/>
      </c>
    </row>
    <row r="1427" ht="15.75" customHeight="1">
      <c r="A1427" s="356"/>
      <c r="K1427" s="319" t="str">
        <f t="shared" si="1"/>
        <v/>
      </c>
    </row>
    <row r="1428" ht="15.75" customHeight="1">
      <c r="A1428" s="356"/>
      <c r="K1428" s="319" t="str">
        <f t="shared" si="1"/>
        <v/>
      </c>
    </row>
    <row r="1429" ht="15.75" customHeight="1">
      <c r="A1429" s="356"/>
      <c r="K1429" s="319" t="str">
        <f t="shared" si="1"/>
        <v/>
      </c>
    </row>
    <row r="1430" ht="15.75" customHeight="1">
      <c r="A1430" s="356"/>
      <c r="K1430" s="319" t="str">
        <f t="shared" si="1"/>
        <v/>
      </c>
    </row>
    <row r="1431" ht="15.75" customHeight="1">
      <c r="A1431" s="356"/>
      <c r="K1431" s="319" t="str">
        <f t="shared" si="1"/>
        <v/>
      </c>
    </row>
    <row r="1432" ht="15.75" customHeight="1">
      <c r="A1432" s="356"/>
      <c r="K1432" s="319" t="str">
        <f t="shared" si="1"/>
        <v/>
      </c>
    </row>
    <row r="1433" ht="15.75" customHeight="1">
      <c r="A1433" s="356"/>
      <c r="K1433" s="319" t="str">
        <f t="shared" si="1"/>
        <v/>
      </c>
    </row>
    <row r="1434" ht="15.75" customHeight="1">
      <c r="A1434" s="356"/>
      <c r="K1434" s="319" t="str">
        <f t="shared" si="1"/>
        <v/>
      </c>
    </row>
    <row r="1435" ht="15.75" customHeight="1">
      <c r="A1435" s="356"/>
      <c r="K1435" s="319" t="str">
        <f t="shared" si="1"/>
        <v/>
      </c>
    </row>
    <row r="1436" ht="15.75" customHeight="1">
      <c r="A1436" s="356"/>
      <c r="K1436" s="319" t="str">
        <f t="shared" si="1"/>
        <v/>
      </c>
    </row>
    <row r="1437" ht="15.75" customHeight="1">
      <c r="A1437" s="356"/>
      <c r="K1437" s="319" t="str">
        <f t="shared" si="1"/>
        <v/>
      </c>
    </row>
    <row r="1438" ht="15.75" customHeight="1">
      <c r="A1438" s="356"/>
      <c r="K1438" s="319" t="str">
        <f t="shared" si="1"/>
        <v/>
      </c>
    </row>
    <row r="1439" ht="15.75" customHeight="1">
      <c r="A1439" s="356"/>
      <c r="K1439" s="319" t="str">
        <f t="shared" si="1"/>
        <v/>
      </c>
    </row>
    <row r="1440" ht="15.75" customHeight="1">
      <c r="A1440" s="356"/>
      <c r="K1440" s="319" t="str">
        <f t="shared" si="1"/>
        <v/>
      </c>
    </row>
    <row r="1441" ht="15.75" customHeight="1">
      <c r="A1441" s="356"/>
      <c r="K1441" s="319" t="str">
        <f t="shared" si="1"/>
        <v/>
      </c>
    </row>
    <row r="1442" ht="15.75" customHeight="1">
      <c r="A1442" s="356"/>
      <c r="K1442" s="319" t="str">
        <f t="shared" si="1"/>
        <v/>
      </c>
    </row>
    <row r="1443" ht="15.75" customHeight="1">
      <c r="A1443" s="356"/>
      <c r="K1443" s="319" t="str">
        <f t="shared" si="1"/>
        <v/>
      </c>
    </row>
    <row r="1444" ht="15.75" customHeight="1">
      <c r="A1444" s="356"/>
      <c r="K1444" s="319" t="str">
        <f t="shared" si="1"/>
        <v/>
      </c>
    </row>
    <row r="1445" ht="15.75" customHeight="1">
      <c r="A1445" s="356"/>
      <c r="K1445" s="319" t="str">
        <f t="shared" si="1"/>
        <v/>
      </c>
    </row>
    <row r="1446" ht="15.75" customHeight="1">
      <c r="A1446" s="356"/>
      <c r="K1446" s="319" t="str">
        <f t="shared" si="1"/>
        <v/>
      </c>
    </row>
    <row r="1447" ht="15.75" customHeight="1">
      <c r="A1447" s="356"/>
      <c r="K1447" s="319" t="str">
        <f t="shared" si="1"/>
        <v/>
      </c>
    </row>
    <row r="1448" ht="15.75" customHeight="1">
      <c r="A1448" s="356"/>
      <c r="K1448" s="319" t="str">
        <f t="shared" si="1"/>
        <v/>
      </c>
    </row>
    <row r="1449" ht="15.75" customHeight="1">
      <c r="A1449" s="356"/>
      <c r="K1449" s="319" t="str">
        <f t="shared" si="1"/>
        <v/>
      </c>
    </row>
    <row r="1450" ht="15.75" customHeight="1">
      <c r="A1450" s="356"/>
      <c r="K1450" s="319" t="str">
        <f t="shared" si="1"/>
        <v/>
      </c>
    </row>
    <row r="1451" ht="15.75" customHeight="1">
      <c r="A1451" s="356"/>
      <c r="K1451" s="319" t="str">
        <f t="shared" si="1"/>
        <v/>
      </c>
    </row>
    <row r="1452" ht="15.75" customHeight="1">
      <c r="A1452" s="356"/>
      <c r="K1452" s="319" t="str">
        <f t="shared" si="1"/>
        <v/>
      </c>
    </row>
    <row r="1453" ht="15.75" customHeight="1">
      <c r="A1453" s="356"/>
      <c r="K1453" s="319" t="str">
        <f t="shared" si="1"/>
        <v/>
      </c>
    </row>
    <row r="1454" ht="15.75" customHeight="1">
      <c r="A1454" s="356"/>
      <c r="K1454" s="319" t="str">
        <f t="shared" si="1"/>
        <v/>
      </c>
    </row>
    <row r="1455" ht="15.75" customHeight="1">
      <c r="A1455" s="356"/>
      <c r="K1455" s="319" t="str">
        <f t="shared" si="1"/>
        <v/>
      </c>
    </row>
    <row r="1456" ht="15.75" customHeight="1">
      <c r="A1456" s="356"/>
      <c r="K1456" s="319" t="str">
        <f t="shared" si="1"/>
        <v/>
      </c>
    </row>
    <row r="1457" ht="15.75" customHeight="1">
      <c r="A1457" s="356"/>
      <c r="K1457" s="319" t="str">
        <f t="shared" si="1"/>
        <v/>
      </c>
    </row>
    <row r="1458" ht="15.75" customHeight="1">
      <c r="A1458" s="356"/>
      <c r="K1458" s="319" t="str">
        <f t="shared" si="1"/>
        <v/>
      </c>
    </row>
    <row r="1459" ht="15.75" customHeight="1">
      <c r="A1459" s="356"/>
      <c r="K1459" s="319" t="str">
        <f t="shared" si="1"/>
        <v/>
      </c>
    </row>
    <row r="1460" ht="15.75" customHeight="1">
      <c r="A1460" s="356"/>
      <c r="K1460" s="319" t="str">
        <f t="shared" si="1"/>
        <v/>
      </c>
    </row>
    <row r="1461" ht="15.75" customHeight="1">
      <c r="A1461" s="356"/>
      <c r="K1461" s="319" t="str">
        <f t="shared" si="1"/>
        <v/>
      </c>
    </row>
    <row r="1462" ht="15.75" customHeight="1">
      <c r="A1462" s="356"/>
      <c r="K1462" s="319" t="str">
        <f t="shared" si="1"/>
        <v/>
      </c>
    </row>
    <row r="1463" ht="15.75" customHeight="1">
      <c r="A1463" s="356"/>
      <c r="K1463" s="319" t="str">
        <f t="shared" si="1"/>
        <v/>
      </c>
    </row>
    <row r="1464" ht="15.75" customHeight="1">
      <c r="A1464" s="356"/>
      <c r="K1464" s="319" t="str">
        <f t="shared" si="1"/>
        <v/>
      </c>
    </row>
    <row r="1465" ht="15.75" customHeight="1">
      <c r="A1465" s="356"/>
      <c r="K1465" s="319" t="str">
        <f t="shared" si="1"/>
        <v/>
      </c>
    </row>
    <row r="1466" ht="15.75" customHeight="1">
      <c r="A1466" s="356"/>
      <c r="K1466" s="319" t="str">
        <f t="shared" si="1"/>
        <v/>
      </c>
    </row>
    <row r="1467" ht="15.75" customHeight="1">
      <c r="A1467" s="356"/>
      <c r="K1467" s="319" t="str">
        <f t="shared" si="1"/>
        <v/>
      </c>
    </row>
    <row r="1468" ht="15.75" customHeight="1">
      <c r="A1468" s="356"/>
      <c r="K1468" s="319" t="str">
        <f t="shared" si="1"/>
        <v/>
      </c>
    </row>
    <row r="1469" ht="15.75" customHeight="1">
      <c r="A1469" s="356"/>
      <c r="K1469" s="319" t="str">
        <f t="shared" si="1"/>
        <v/>
      </c>
    </row>
    <row r="1470" ht="15.75" customHeight="1">
      <c r="A1470" s="356"/>
      <c r="K1470" s="319" t="str">
        <f t="shared" si="1"/>
        <v/>
      </c>
    </row>
    <row r="1471" ht="15.75" customHeight="1">
      <c r="A1471" s="356"/>
      <c r="K1471" s="319" t="str">
        <f t="shared" si="1"/>
        <v/>
      </c>
    </row>
    <row r="1472" ht="15.75" customHeight="1">
      <c r="A1472" s="356"/>
      <c r="K1472" s="319" t="str">
        <f t="shared" si="1"/>
        <v/>
      </c>
    </row>
    <row r="1473" ht="15.75" customHeight="1">
      <c r="A1473" s="356"/>
      <c r="K1473" s="319" t="str">
        <f t="shared" si="1"/>
        <v/>
      </c>
    </row>
    <row r="1474" ht="15.75" customHeight="1">
      <c r="A1474" s="356"/>
      <c r="K1474" s="319" t="str">
        <f t="shared" si="1"/>
        <v/>
      </c>
    </row>
    <row r="1475" ht="15.75" customHeight="1">
      <c r="A1475" s="356"/>
      <c r="K1475" s="319" t="str">
        <f t="shared" si="1"/>
        <v/>
      </c>
    </row>
    <row r="1476" ht="15.75" customHeight="1">
      <c r="A1476" s="356"/>
      <c r="K1476" s="319" t="str">
        <f t="shared" si="1"/>
        <v/>
      </c>
    </row>
    <row r="1477" ht="15.75" customHeight="1">
      <c r="A1477" s="356"/>
      <c r="K1477" s="319" t="str">
        <f t="shared" si="1"/>
        <v/>
      </c>
    </row>
    <row r="1478" ht="15.75" customHeight="1">
      <c r="A1478" s="356"/>
      <c r="K1478" s="319" t="str">
        <f t="shared" si="1"/>
        <v/>
      </c>
    </row>
    <row r="1479" ht="15.75" customHeight="1">
      <c r="A1479" s="356"/>
      <c r="K1479" s="319" t="str">
        <f t="shared" si="1"/>
        <v/>
      </c>
    </row>
    <row r="1480" ht="15.75" customHeight="1">
      <c r="A1480" s="356"/>
      <c r="K1480" s="319" t="str">
        <f t="shared" si="1"/>
        <v/>
      </c>
    </row>
    <row r="1481" ht="15.75" customHeight="1">
      <c r="A1481" s="356"/>
      <c r="K1481" s="319" t="str">
        <f t="shared" si="1"/>
        <v/>
      </c>
    </row>
    <row r="1482" ht="15.75" customHeight="1">
      <c r="A1482" s="356"/>
      <c r="K1482" s="319" t="str">
        <f t="shared" si="1"/>
        <v/>
      </c>
    </row>
    <row r="1483" ht="15.75" customHeight="1">
      <c r="A1483" s="356"/>
      <c r="K1483" s="319" t="str">
        <f t="shared" si="1"/>
        <v/>
      </c>
    </row>
    <row r="1484" ht="15.75" customHeight="1">
      <c r="A1484" s="356"/>
      <c r="K1484" s="319" t="str">
        <f t="shared" si="1"/>
        <v/>
      </c>
    </row>
    <row r="1485" ht="15.75" customHeight="1">
      <c r="A1485" s="356"/>
      <c r="K1485" s="319" t="str">
        <f t="shared" si="1"/>
        <v/>
      </c>
    </row>
    <row r="1486" ht="15.75" customHeight="1">
      <c r="A1486" s="356"/>
      <c r="K1486" s="319" t="str">
        <f t="shared" si="1"/>
        <v/>
      </c>
    </row>
    <row r="1487" ht="15.75" customHeight="1">
      <c r="A1487" s="356"/>
      <c r="K1487" s="319" t="str">
        <f t="shared" si="1"/>
        <v/>
      </c>
    </row>
    <row r="1488" ht="15.75" customHeight="1">
      <c r="A1488" s="356"/>
      <c r="K1488" s="319" t="str">
        <f t="shared" si="1"/>
        <v/>
      </c>
    </row>
    <row r="1489" ht="15.75" customHeight="1">
      <c r="A1489" s="356"/>
      <c r="K1489" s="319" t="str">
        <f t="shared" si="1"/>
        <v/>
      </c>
    </row>
    <row r="1490" ht="15.75" customHeight="1">
      <c r="A1490" s="356"/>
      <c r="K1490" s="319" t="str">
        <f t="shared" si="1"/>
        <v/>
      </c>
    </row>
    <row r="1491" ht="15.75" customHeight="1">
      <c r="A1491" s="356"/>
      <c r="K1491" s="319" t="str">
        <f t="shared" si="1"/>
        <v/>
      </c>
    </row>
    <row r="1492" ht="15.75" customHeight="1">
      <c r="A1492" s="356"/>
      <c r="K1492" s="319" t="str">
        <f t="shared" si="1"/>
        <v/>
      </c>
    </row>
    <row r="1493" ht="15.75" customHeight="1">
      <c r="A1493" s="356"/>
      <c r="K1493" s="319" t="str">
        <f t="shared" si="1"/>
        <v/>
      </c>
    </row>
    <row r="1494" ht="15.75" customHeight="1">
      <c r="A1494" s="356"/>
      <c r="K1494" s="319" t="str">
        <f t="shared" si="1"/>
        <v/>
      </c>
    </row>
    <row r="1495" ht="15.75" customHeight="1">
      <c r="A1495" s="356"/>
      <c r="K1495" s="319" t="str">
        <f t="shared" si="1"/>
        <v/>
      </c>
    </row>
    <row r="1496" ht="15.75" customHeight="1">
      <c r="A1496" s="356"/>
      <c r="K1496" s="319" t="str">
        <f t="shared" si="1"/>
        <v/>
      </c>
    </row>
    <row r="1497" ht="15.75" customHeight="1">
      <c r="A1497" s="356"/>
      <c r="K1497" s="319" t="str">
        <f t="shared" si="1"/>
        <v/>
      </c>
    </row>
    <row r="1498" ht="15.75" customHeight="1">
      <c r="A1498" s="356"/>
      <c r="K1498" s="319" t="str">
        <f t="shared" si="1"/>
        <v/>
      </c>
    </row>
    <row r="1499" ht="15.75" customHeight="1">
      <c r="A1499" s="356"/>
      <c r="K1499" s="319" t="str">
        <f t="shared" si="1"/>
        <v/>
      </c>
    </row>
    <row r="1500" ht="15.75" customHeight="1">
      <c r="A1500" s="356"/>
      <c r="K1500" s="319" t="str">
        <f t="shared" si="1"/>
        <v/>
      </c>
    </row>
    <row r="1501" ht="15.75" customHeight="1">
      <c r="A1501" s="356"/>
      <c r="K1501" s="319" t="str">
        <f t="shared" si="1"/>
        <v/>
      </c>
    </row>
    <row r="1502" ht="15.75" customHeight="1">
      <c r="A1502" s="356"/>
      <c r="K1502" s="319" t="str">
        <f t="shared" si="1"/>
        <v/>
      </c>
    </row>
    <row r="1503" ht="15.75" customHeight="1">
      <c r="A1503" s="356"/>
      <c r="K1503" s="319" t="str">
        <f t="shared" si="1"/>
        <v/>
      </c>
    </row>
    <row r="1504" ht="15.75" customHeight="1">
      <c r="A1504" s="356"/>
      <c r="K1504" s="319" t="str">
        <f t="shared" si="1"/>
        <v/>
      </c>
    </row>
    <row r="1505" ht="15.75" customHeight="1">
      <c r="A1505" s="356"/>
      <c r="K1505" s="319" t="str">
        <f t="shared" si="1"/>
        <v/>
      </c>
    </row>
    <row r="1506" ht="15.75" customHeight="1">
      <c r="A1506" s="356"/>
      <c r="K1506" s="319" t="str">
        <f t="shared" si="1"/>
        <v/>
      </c>
    </row>
    <row r="1507" ht="15.75" customHeight="1">
      <c r="A1507" s="356"/>
      <c r="K1507" s="319" t="str">
        <f t="shared" si="1"/>
        <v/>
      </c>
    </row>
    <row r="1508" ht="15.75" customHeight="1">
      <c r="A1508" s="356"/>
      <c r="K1508" s="319" t="str">
        <f t="shared" si="1"/>
        <v/>
      </c>
    </row>
    <row r="1509" ht="15.75" customHeight="1">
      <c r="A1509" s="356"/>
      <c r="K1509" s="319" t="str">
        <f t="shared" si="1"/>
        <v/>
      </c>
    </row>
    <row r="1510" ht="15.75" customHeight="1">
      <c r="A1510" s="356"/>
      <c r="K1510" s="319" t="str">
        <f t="shared" si="1"/>
        <v/>
      </c>
    </row>
    <row r="1511" ht="15.75" customHeight="1">
      <c r="A1511" s="356"/>
      <c r="K1511" s="319" t="str">
        <f t="shared" si="1"/>
        <v/>
      </c>
    </row>
    <row r="1512" ht="15.75" customHeight="1">
      <c r="A1512" s="356"/>
      <c r="K1512" s="319" t="str">
        <f t="shared" si="1"/>
        <v/>
      </c>
    </row>
    <row r="1513" ht="15.75" customHeight="1">
      <c r="A1513" s="356"/>
      <c r="K1513" s="319" t="str">
        <f t="shared" si="1"/>
        <v/>
      </c>
    </row>
    <row r="1514" ht="15.75" customHeight="1">
      <c r="A1514" s="356"/>
      <c r="K1514" s="319" t="str">
        <f t="shared" si="1"/>
        <v/>
      </c>
    </row>
    <row r="1515" ht="15.75" customHeight="1">
      <c r="A1515" s="356"/>
      <c r="K1515" s="319" t="str">
        <f t="shared" si="1"/>
        <v/>
      </c>
    </row>
    <row r="1516" ht="15.75" customHeight="1">
      <c r="A1516" s="356"/>
      <c r="K1516" s="319" t="str">
        <f t="shared" si="1"/>
        <v/>
      </c>
    </row>
    <row r="1517" ht="15.75" customHeight="1">
      <c r="A1517" s="356"/>
      <c r="K1517" s="319" t="str">
        <f t="shared" si="1"/>
        <v/>
      </c>
    </row>
    <row r="1518" ht="15.75" customHeight="1">
      <c r="A1518" s="356"/>
      <c r="K1518" s="319" t="str">
        <f t="shared" si="1"/>
        <v/>
      </c>
    </row>
    <row r="1519" ht="15.75" customHeight="1">
      <c r="A1519" s="356"/>
      <c r="K1519" s="319" t="str">
        <f t="shared" si="1"/>
        <v/>
      </c>
    </row>
    <row r="1520" ht="15.75" customHeight="1">
      <c r="A1520" s="356"/>
      <c r="K1520" s="319" t="str">
        <f t="shared" si="1"/>
        <v/>
      </c>
    </row>
    <row r="1521" ht="15.75" customHeight="1">
      <c r="A1521" s="356"/>
      <c r="K1521" s="319" t="str">
        <f t="shared" si="1"/>
        <v/>
      </c>
    </row>
    <row r="1522" ht="15.75" customHeight="1">
      <c r="A1522" s="356"/>
      <c r="K1522" s="319" t="str">
        <f t="shared" si="1"/>
        <v/>
      </c>
    </row>
    <row r="1523" ht="15.75" customHeight="1">
      <c r="A1523" s="356"/>
      <c r="K1523" s="319" t="str">
        <f t="shared" si="1"/>
        <v/>
      </c>
    </row>
    <row r="1524" ht="15.75" customHeight="1">
      <c r="A1524" s="356"/>
      <c r="K1524" s="319" t="str">
        <f t="shared" si="1"/>
        <v/>
      </c>
    </row>
    <row r="1525" ht="15.75" customHeight="1">
      <c r="A1525" s="356"/>
      <c r="K1525" s="319" t="str">
        <f t="shared" si="1"/>
        <v/>
      </c>
    </row>
    <row r="1526" ht="15.75" customHeight="1">
      <c r="A1526" s="356"/>
      <c r="K1526" s="319" t="str">
        <f t="shared" si="1"/>
        <v/>
      </c>
    </row>
    <row r="1527" ht="15.75" customHeight="1">
      <c r="A1527" s="356"/>
      <c r="K1527" s="319" t="str">
        <f t="shared" si="1"/>
        <v/>
      </c>
    </row>
    <row r="1528" ht="15.75" customHeight="1">
      <c r="A1528" s="356"/>
      <c r="K1528" s="319" t="str">
        <f t="shared" si="1"/>
        <v/>
      </c>
    </row>
    <row r="1529" ht="15.75" customHeight="1">
      <c r="A1529" s="356"/>
      <c r="K1529" s="319" t="str">
        <f t="shared" si="1"/>
        <v/>
      </c>
    </row>
    <row r="1530" ht="15.75" customHeight="1">
      <c r="A1530" s="356"/>
      <c r="K1530" s="319" t="str">
        <f t="shared" si="1"/>
        <v/>
      </c>
    </row>
    <row r="1531" ht="15.75" customHeight="1">
      <c r="A1531" s="356"/>
      <c r="K1531" s="319" t="str">
        <f t="shared" si="1"/>
        <v/>
      </c>
    </row>
    <row r="1532" ht="15.75" customHeight="1">
      <c r="A1532" s="356"/>
      <c r="K1532" s="319" t="str">
        <f t="shared" si="1"/>
        <v/>
      </c>
    </row>
    <row r="1533" ht="15.75" customHeight="1">
      <c r="A1533" s="356"/>
      <c r="K1533" s="319" t="str">
        <f t="shared" si="1"/>
        <v/>
      </c>
    </row>
    <row r="1534" ht="15.75" customHeight="1">
      <c r="A1534" s="356"/>
      <c r="K1534" s="319" t="str">
        <f t="shared" si="1"/>
        <v/>
      </c>
    </row>
    <row r="1535" ht="15.75" customHeight="1">
      <c r="A1535" s="356"/>
      <c r="K1535" s="319" t="str">
        <f t="shared" si="1"/>
        <v/>
      </c>
    </row>
    <row r="1536" ht="15.75" customHeight="1">
      <c r="A1536" s="356"/>
      <c r="K1536" s="319" t="str">
        <f t="shared" si="1"/>
        <v/>
      </c>
    </row>
    <row r="1537" ht="15.75" customHeight="1">
      <c r="A1537" s="356"/>
      <c r="K1537" s="319" t="str">
        <f t="shared" si="1"/>
        <v/>
      </c>
    </row>
    <row r="1538" ht="15.75" customHeight="1">
      <c r="A1538" s="356"/>
      <c r="K1538" s="319" t="str">
        <f t="shared" si="1"/>
        <v/>
      </c>
    </row>
    <row r="1539" ht="15.75" customHeight="1">
      <c r="A1539" s="356"/>
      <c r="K1539" s="319" t="str">
        <f t="shared" si="1"/>
        <v/>
      </c>
    </row>
    <row r="1540" ht="15.75" customHeight="1">
      <c r="A1540" s="356"/>
      <c r="K1540" s="319" t="str">
        <f t="shared" si="1"/>
        <v/>
      </c>
    </row>
    <row r="1541" ht="15.75" customHeight="1">
      <c r="A1541" s="356"/>
      <c r="K1541" s="319" t="str">
        <f t="shared" si="1"/>
        <v/>
      </c>
    </row>
    <row r="1542" ht="15.75" customHeight="1">
      <c r="A1542" s="356"/>
      <c r="K1542" s="319" t="str">
        <f t="shared" si="1"/>
        <v/>
      </c>
    </row>
    <row r="1543" ht="15.75" customHeight="1">
      <c r="A1543" s="356"/>
      <c r="K1543" s="319" t="str">
        <f t="shared" si="1"/>
        <v/>
      </c>
    </row>
    <row r="1544" ht="15.75" customHeight="1">
      <c r="A1544" s="356"/>
      <c r="K1544" s="319" t="str">
        <f t="shared" si="1"/>
        <v/>
      </c>
    </row>
    <row r="1545" ht="15.75" customHeight="1">
      <c r="A1545" s="356"/>
      <c r="K1545" s="319" t="str">
        <f t="shared" si="1"/>
        <v/>
      </c>
    </row>
    <row r="1546" ht="15.75" customHeight="1">
      <c r="A1546" s="356"/>
      <c r="K1546" s="319" t="str">
        <f t="shared" si="1"/>
        <v/>
      </c>
    </row>
    <row r="1547" ht="15.75" customHeight="1">
      <c r="A1547" s="356"/>
      <c r="K1547" s="319" t="str">
        <f t="shared" si="1"/>
        <v/>
      </c>
    </row>
    <row r="1548" ht="15.75" customHeight="1">
      <c r="A1548" s="356"/>
      <c r="K1548" s="319" t="str">
        <f t="shared" si="1"/>
        <v/>
      </c>
    </row>
    <row r="1549" ht="15.75" customHeight="1">
      <c r="A1549" s="356"/>
      <c r="K1549" s="319" t="str">
        <f t="shared" si="1"/>
        <v/>
      </c>
    </row>
    <row r="1550" ht="15.75" customHeight="1">
      <c r="A1550" s="356"/>
      <c r="K1550" s="319" t="str">
        <f t="shared" si="1"/>
        <v/>
      </c>
    </row>
    <row r="1551" ht="15.75" customHeight="1">
      <c r="A1551" s="356"/>
      <c r="K1551" s="319" t="str">
        <f t="shared" si="1"/>
        <v/>
      </c>
    </row>
    <row r="1552" ht="15.75" customHeight="1">
      <c r="A1552" s="356"/>
      <c r="K1552" s="319" t="str">
        <f t="shared" si="1"/>
        <v/>
      </c>
    </row>
    <row r="1553" ht="15.75" customHeight="1">
      <c r="A1553" s="356"/>
      <c r="K1553" s="319" t="str">
        <f t="shared" si="1"/>
        <v/>
      </c>
    </row>
    <row r="1554" ht="15.75" customHeight="1">
      <c r="A1554" s="356"/>
      <c r="K1554" s="319" t="str">
        <f t="shared" si="1"/>
        <v/>
      </c>
    </row>
    <row r="1555" ht="15.75" customHeight="1">
      <c r="A1555" s="356"/>
      <c r="K1555" s="319" t="str">
        <f t="shared" si="1"/>
        <v/>
      </c>
    </row>
    <row r="1556" ht="15.75" customHeight="1">
      <c r="A1556" s="356"/>
      <c r="K1556" s="319" t="str">
        <f t="shared" si="1"/>
        <v/>
      </c>
    </row>
    <row r="1557" ht="15.75" customHeight="1">
      <c r="A1557" s="356"/>
      <c r="K1557" s="319" t="str">
        <f t="shared" si="1"/>
        <v/>
      </c>
    </row>
    <row r="1558" ht="15.75" customHeight="1">
      <c r="A1558" s="356"/>
      <c r="K1558" s="319" t="str">
        <f t="shared" si="1"/>
        <v/>
      </c>
    </row>
    <row r="1559" ht="15.75" customHeight="1">
      <c r="A1559" s="356"/>
      <c r="K1559" s="319" t="str">
        <f t="shared" si="1"/>
        <v/>
      </c>
    </row>
    <row r="1560" ht="15.75" customHeight="1">
      <c r="A1560" s="356"/>
      <c r="K1560" s="319" t="str">
        <f t="shared" si="1"/>
        <v/>
      </c>
    </row>
    <row r="1561" ht="15.75" customHeight="1">
      <c r="A1561" s="356"/>
      <c r="K1561" s="319" t="str">
        <f t="shared" si="1"/>
        <v/>
      </c>
    </row>
    <row r="1562" ht="15.75" customHeight="1">
      <c r="A1562" s="356"/>
      <c r="K1562" s="319" t="str">
        <f t="shared" si="1"/>
        <v/>
      </c>
    </row>
    <row r="1563" ht="15.75" customHeight="1">
      <c r="A1563" s="356"/>
      <c r="K1563" s="319" t="str">
        <f t="shared" si="1"/>
        <v/>
      </c>
    </row>
    <row r="1564" ht="15.75" customHeight="1">
      <c r="A1564" s="356"/>
      <c r="K1564" s="319" t="str">
        <f t="shared" si="1"/>
        <v/>
      </c>
    </row>
    <row r="1565" ht="15.75" customHeight="1">
      <c r="A1565" s="356"/>
      <c r="K1565" s="319" t="str">
        <f t="shared" si="1"/>
        <v/>
      </c>
    </row>
    <row r="1566" ht="15.75" customHeight="1">
      <c r="A1566" s="356"/>
      <c r="K1566" s="319" t="str">
        <f t="shared" si="1"/>
        <v/>
      </c>
    </row>
    <row r="1567" ht="15.75" customHeight="1">
      <c r="A1567" s="356"/>
      <c r="K1567" s="319" t="str">
        <f t="shared" si="1"/>
        <v/>
      </c>
    </row>
    <row r="1568" ht="15.75" customHeight="1">
      <c r="A1568" s="356"/>
      <c r="K1568" s="319" t="str">
        <f t="shared" si="1"/>
        <v/>
      </c>
    </row>
    <row r="1569" ht="15.75" customHeight="1">
      <c r="A1569" s="356"/>
      <c r="K1569" s="319" t="str">
        <f t="shared" si="1"/>
        <v/>
      </c>
    </row>
    <row r="1570" ht="15.75" customHeight="1">
      <c r="A1570" s="356"/>
      <c r="K1570" s="319" t="str">
        <f t="shared" si="1"/>
        <v/>
      </c>
    </row>
    <row r="1571" ht="15.75" customHeight="1">
      <c r="A1571" s="356"/>
      <c r="K1571" s="319" t="str">
        <f t="shared" si="1"/>
        <v/>
      </c>
    </row>
    <row r="1572" ht="15.75" customHeight="1">
      <c r="A1572" s="356"/>
      <c r="K1572" s="319" t="str">
        <f t="shared" si="1"/>
        <v/>
      </c>
    </row>
    <row r="1573" ht="15.75" customHeight="1">
      <c r="A1573" s="356"/>
      <c r="K1573" s="319" t="str">
        <f t="shared" si="1"/>
        <v/>
      </c>
    </row>
    <row r="1574" ht="15.75" customHeight="1">
      <c r="A1574" s="356"/>
      <c r="K1574" s="319" t="str">
        <f t="shared" si="1"/>
        <v/>
      </c>
    </row>
    <row r="1575" ht="15.75" customHeight="1">
      <c r="A1575" s="356"/>
      <c r="K1575" s="319" t="str">
        <f t="shared" si="1"/>
        <v/>
      </c>
    </row>
    <row r="1576" ht="15.75" customHeight="1">
      <c r="A1576" s="356"/>
      <c r="K1576" s="319" t="str">
        <f t="shared" si="1"/>
        <v/>
      </c>
    </row>
    <row r="1577" ht="15.75" customHeight="1">
      <c r="A1577" s="356"/>
      <c r="K1577" s="319" t="str">
        <f t="shared" si="1"/>
        <v/>
      </c>
    </row>
    <row r="1578" ht="15.75" customHeight="1">
      <c r="A1578" s="356"/>
      <c r="K1578" s="319" t="str">
        <f t="shared" si="1"/>
        <v/>
      </c>
    </row>
    <row r="1579" ht="15.75" customHeight="1">
      <c r="A1579" s="356"/>
      <c r="K1579" s="319" t="str">
        <f t="shared" si="1"/>
        <v/>
      </c>
    </row>
    <row r="1580" ht="15.75" customHeight="1">
      <c r="A1580" s="356"/>
      <c r="K1580" s="319" t="str">
        <f t="shared" si="1"/>
        <v/>
      </c>
    </row>
    <row r="1581" ht="15.75" customHeight="1">
      <c r="A1581" s="356"/>
      <c r="K1581" s="319" t="str">
        <f t="shared" si="1"/>
        <v/>
      </c>
    </row>
    <row r="1582" ht="15.75" customHeight="1">
      <c r="A1582" s="356"/>
      <c r="K1582" s="319" t="str">
        <f t="shared" si="1"/>
        <v/>
      </c>
    </row>
    <row r="1583" ht="15.75" customHeight="1">
      <c r="A1583" s="356"/>
      <c r="K1583" s="319" t="str">
        <f t="shared" si="1"/>
        <v/>
      </c>
    </row>
    <row r="1584" ht="15.75" customHeight="1">
      <c r="A1584" s="356"/>
      <c r="K1584" s="319" t="str">
        <f t="shared" si="1"/>
        <v/>
      </c>
    </row>
    <row r="1585" ht="15.75" customHeight="1">
      <c r="A1585" s="356"/>
      <c r="K1585" s="319" t="str">
        <f t="shared" si="1"/>
        <v/>
      </c>
    </row>
    <row r="1586" ht="15.75" customHeight="1">
      <c r="A1586" s="356"/>
      <c r="K1586" s="319" t="str">
        <f t="shared" si="1"/>
        <v/>
      </c>
    </row>
    <row r="1587" ht="15.75" customHeight="1">
      <c r="A1587" s="356"/>
      <c r="K1587" s="319" t="str">
        <f t="shared" si="1"/>
        <v/>
      </c>
    </row>
    <row r="1588" ht="15.75" customHeight="1">
      <c r="A1588" s="356"/>
      <c r="K1588" s="319" t="str">
        <f t="shared" si="1"/>
        <v/>
      </c>
    </row>
    <row r="1589" ht="15.75" customHeight="1">
      <c r="A1589" s="356"/>
      <c r="K1589" s="319" t="str">
        <f t="shared" si="1"/>
        <v/>
      </c>
    </row>
    <row r="1590" ht="15.75" customHeight="1">
      <c r="A1590" s="356"/>
      <c r="K1590" s="319" t="str">
        <f t="shared" si="1"/>
        <v/>
      </c>
    </row>
    <row r="1591" ht="15.75" customHeight="1">
      <c r="A1591" s="356"/>
      <c r="K1591" s="319" t="str">
        <f t="shared" si="1"/>
        <v/>
      </c>
    </row>
    <row r="1592" ht="15.75" customHeight="1">
      <c r="A1592" s="356"/>
      <c r="K1592" s="319" t="str">
        <f t="shared" si="1"/>
        <v/>
      </c>
    </row>
    <row r="1593" ht="15.75" customHeight="1">
      <c r="A1593" s="356"/>
      <c r="K1593" s="319" t="str">
        <f t="shared" si="1"/>
        <v/>
      </c>
    </row>
    <row r="1594" ht="15.75" customHeight="1">
      <c r="A1594" s="356"/>
      <c r="K1594" s="319" t="str">
        <f t="shared" si="1"/>
        <v/>
      </c>
    </row>
    <row r="1595" ht="15.75" customHeight="1">
      <c r="A1595" s="356"/>
      <c r="K1595" s="319" t="str">
        <f t="shared" si="1"/>
        <v/>
      </c>
    </row>
    <row r="1596" ht="15.75" customHeight="1">
      <c r="A1596" s="356"/>
      <c r="K1596" s="319" t="str">
        <f t="shared" si="1"/>
        <v/>
      </c>
    </row>
    <row r="1597" ht="15.75" customHeight="1">
      <c r="A1597" s="356"/>
      <c r="K1597" s="319" t="str">
        <f t="shared" si="1"/>
        <v/>
      </c>
    </row>
    <row r="1598" ht="15.75" customHeight="1">
      <c r="A1598" s="356"/>
      <c r="K1598" s="319" t="str">
        <f t="shared" si="1"/>
        <v/>
      </c>
    </row>
    <row r="1599" ht="15.75" customHeight="1">
      <c r="A1599" s="356"/>
      <c r="K1599" s="319" t="str">
        <f t="shared" si="1"/>
        <v/>
      </c>
    </row>
    <row r="1600" ht="15.75" customHeight="1">
      <c r="A1600" s="356"/>
      <c r="K1600" s="319" t="str">
        <f t="shared" si="1"/>
        <v/>
      </c>
    </row>
    <row r="1601" ht="15.75" customHeight="1">
      <c r="A1601" s="356"/>
      <c r="K1601" s="319" t="str">
        <f t="shared" si="1"/>
        <v/>
      </c>
    </row>
    <row r="1602" ht="15.75" customHeight="1">
      <c r="A1602" s="356"/>
      <c r="K1602" s="319" t="str">
        <f t="shared" si="1"/>
        <v/>
      </c>
    </row>
    <row r="1603" ht="15.75" customHeight="1">
      <c r="A1603" s="356"/>
      <c r="K1603" s="319" t="str">
        <f t="shared" si="1"/>
        <v/>
      </c>
    </row>
    <row r="1604" ht="15.75" customHeight="1">
      <c r="A1604" s="356"/>
      <c r="K1604" s="319" t="str">
        <f t="shared" si="1"/>
        <v/>
      </c>
    </row>
    <row r="1605" ht="15.75" customHeight="1">
      <c r="A1605" s="356"/>
      <c r="K1605" s="319" t="str">
        <f t="shared" si="1"/>
        <v/>
      </c>
    </row>
    <row r="1606" ht="15.75" customHeight="1">
      <c r="A1606" s="356"/>
      <c r="K1606" s="319" t="str">
        <f t="shared" si="1"/>
        <v/>
      </c>
    </row>
    <row r="1607" ht="15.75" customHeight="1">
      <c r="A1607" s="356"/>
      <c r="K1607" s="319" t="str">
        <f t="shared" si="1"/>
        <v/>
      </c>
    </row>
    <row r="1608" ht="15.75" customHeight="1">
      <c r="A1608" s="356"/>
      <c r="K1608" s="319" t="str">
        <f t="shared" si="1"/>
        <v/>
      </c>
    </row>
    <row r="1609" ht="15.75" customHeight="1">
      <c r="A1609" s="356"/>
      <c r="K1609" s="319" t="str">
        <f t="shared" si="1"/>
        <v/>
      </c>
    </row>
    <row r="1610" ht="15.75" customHeight="1">
      <c r="A1610" s="356"/>
      <c r="K1610" s="319" t="str">
        <f t="shared" si="1"/>
        <v/>
      </c>
    </row>
    <row r="1611" ht="15.75" customHeight="1">
      <c r="A1611" s="356"/>
      <c r="K1611" s="319" t="str">
        <f t="shared" si="1"/>
        <v/>
      </c>
    </row>
    <row r="1612" ht="15.75" customHeight="1">
      <c r="A1612" s="356"/>
      <c r="K1612" s="319" t="str">
        <f t="shared" si="1"/>
        <v/>
      </c>
    </row>
    <row r="1613" ht="15.75" customHeight="1">
      <c r="A1613" s="356"/>
      <c r="K1613" s="319" t="str">
        <f t="shared" si="1"/>
        <v/>
      </c>
    </row>
    <row r="1614" ht="15.75" customHeight="1">
      <c r="A1614" s="356"/>
      <c r="K1614" s="319" t="str">
        <f t="shared" si="1"/>
        <v/>
      </c>
    </row>
    <row r="1615" ht="15.75" customHeight="1">
      <c r="A1615" s="356"/>
      <c r="K1615" s="319" t="str">
        <f t="shared" si="1"/>
        <v/>
      </c>
    </row>
    <row r="1616" ht="15.75" customHeight="1">
      <c r="A1616" s="356"/>
      <c r="K1616" s="319" t="str">
        <f t="shared" si="1"/>
        <v/>
      </c>
    </row>
    <row r="1617" ht="15.75" customHeight="1">
      <c r="A1617" s="356"/>
      <c r="K1617" s="319" t="str">
        <f t="shared" si="1"/>
        <v/>
      </c>
    </row>
    <row r="1618" ht="15.75" customHeight="1">
      <c r="A1618" s="356"/>
      <c r="K1618" s="319" t="str">
        <f t="shared" si="1"/>
        <v/>
      </c>
    </row>
    <row r="1619" ht="15.75" customHeight="1">
      <c r="A1619" s="356"/>
      <c r="K1619" s="319" t="str">
        <f t="shared" si="1"/>
        <v/>
      </c>
    </row>
    <row r="1620" ht="15.75" customHeight="1">
      <c r="A1620" s="356"/>
      <c r="K1620" s="319" t="str">
        <f t="shared" si="1"/>
        <v/>
      </c>
    </row>
    <row r="1621" ht="15.75" customHeight="1">
      <c r="A1621" s="356"/>
      <c r="K1621" s="319" t="str">
        <f t="shared" si="1"/>
        <v/>
      </c>
    </row>
    <row r="1622" ht="15.75" customHeight="1">
      <c r="A1622" s="356"/>
      <c r="K1622" s="319" t="str">
        <f t="shared" si="1"/>
        <v/>
      </c>
    </row>
    <row r="1623" ht="15.75" customHeight="1">
      <c r="A1623" s="356"/>
      <c r="K1623" s="319" t="str">
        <f t="shared" si="1"/>
        <v/>
      </c>
    </row>
    <row r="1624" ht="15.75" customHeight="1">
      <c r="A1624" s="356"/>
      <c r="K1624" s="319" t="str">
        <f t="shared" si="1"/>
        <v/>
      </c>
    </row>
    <row r="1625" ht="15.75" customHeight="1">
      <c r="A1625" s="356"/>
      <c r="K1625" s="319" t="str">
        <f t="shared" si="1"/>
        <v/>
      </c>
    </row>
    <row r="1626" ht="15.75" customHeight="1">
      <c r="A1626" s="356"/>
      <c r="K1626" s="319" t="str">
        <f t="shared" si="1"/>
        <v/>
      </c>
    </row>
    <row r="1627" ht="15.75" customHeight="1">
      <c r="A1627" s="356"/>
      <c r="K1627" s="319" t="str">
        <f t="shared" si="1"/>
        <v/>
      </c>
    </row>
    <row r="1628" ht="15.75" customHeight="1">
      <c r="A1628" s="356"/>
      <c r="K1628" s="319" t="str">
        <f t="shared" si="1"/>
        <v/>
      </c>
    </row>
    <row r="1629" ht="15.75" customHeight="1">
      <c r="A1629" s="356"/>
      <c r="K1629" s="319" t="str">
        <f t="shared" si="1"/>
        <v/>
      </c>
    </row>
    <row r="1630" ht="15.75" customHeight="1">
      <c r="A1630" s="356"/>
      <c r="K1630" s="319" t="str">
        <f t="shared" si="1"/>
        <v/>
      </c>
    </row>
    <row r="1631" ht="15.75" customHeight="1">
      <c r="A1631" s="356"/>
      <c r="K1631" s="319" t="str">
        <f t="shared" si="1"/>
        <v/>
      </c>
    </row>
    <row r="1632" ht="15.75" customHeight="1">
      <c r="A1632" s="356"/>
      <c r="K1632" s="319" t="str">
        <f t="shared" si="1"/>
        <v/>
      </c>
    </row>
    <row r="1633" ht="15.75" customHeight="1">
      <c r="A1633" s="356"/>
      <c r="K1633" s="319" t="str">
        <f t="shared" si="1"/>
        <v/>
      </c>
    </row>
    <row r="1634" ht="15.75" customHeight="1">
      <c r="A1634" s="356"/>
      <c r="K1634" s="319" t="str">
        <f t="shared" si="1"/>
        <v/>
      </c>
    </row>
    <row r="1635" ht="15.75" customHeight="1">
      <c r="A1635" s="356"/>
      <c r="K1635" s="319" t="str">
        <f t="shared" si="1"/>
        <v/>
      </c>
    </row>
    <row r="1636" ht="15.75" customHeight="1">
      <c r="A1636" s="356"/>
      <c r="K1636" s="319" t="str">
        <f t="shared" si="1"/>
        <v/>
      </c>
    </row>
    <row r="1637" ht="15.75" customHeight="1">
      <c r="A1637" s="356"/>
      <c r="K1637" s="319" t="str">
        <f t="shared" si="1"/>
        <v/>
      </c>
    </row>
    <row r="1638" ht="15.75" customHeight="1">
      <c r="A1638" s="356"/>
      <c r="K1638" s="319" t="str">
        <f t="shared" si="1"/>
        <v/>
      </c>
    </row>
    <row r="1639" ht="15.75" customHeight="1">
      <c r="A1639" s="356"/>
      <c r="K1639" s="319" t="str">
        <f t="shared" si="1"/>
        <v/>
      </c>
    </row>
    <row r="1640" ht="15.75" customHeight="1">
      <c r="A1640" s="356"/>
      <c r="K1640" s="319" t="str">
        <f t="shared" si="1"/>
        <v/>
      </c>
    </row>
    <row r="1641" ht="15.75" customHeight="1">
      <c r="A1641" s="356"/>
      <c r="K1641" s="319" t="str">
        <f t="shared" si="1"/>
        <v/>
      </c>
    </row>
    <row r="1642" ht="15.75" customHeight="1">
      <c r="A1642" s="356"/>
      <c r="K1642" s="319" t="str">
        <f t="shared" si="1"/>
        <v/>
      </c>
    </row>
    <row r="1643" ht="15.75" customHeight="1">
      <c r="A1643" s="356"/>
      <c r="K1643" s="319" t="str">
        <f t="shared" si="1"/>
        <v/>
      </c>
    </row>
    <row r="1644" ht="15.75" customHeight="1">
      <c r="A1644" s="356"/>
      <c r="K1644" s="319" t="str">
        <f t="shared" si="1"/>
        <v/>
      </c>
    </row>
    <row r="1645" ht="15.75" customHeight="1">
      <c r="A1645" s="356"/>
      <c r="K1645" s="319" t="str">
        <f t="shared" si="1"/>
        <v/>
      </c>
    </row>
    <row r="1646" ht="15.75" customHeight="1">
      <c r="A1646" s="356"/>
      <c r="K1646" s="319" t="str">
        <f t="shared" si="1"/>
        <v/>
      </c>
    </row>
    <row r="1647" ht="15.75" customHeight="1">
      <c r="A1647" s="356"/>
      <c r="K1647" s="319" t="str">
        <f t="shared" si="1"/>
        <v/>
      </c>
    </row>
    <row r="1648" ht="15.75" customHeight="1">
      <c r="A1648" s="356"/>
      <c r="K1648" s="319" t="str">
        <f t="shared" si="1"/>
        <v/>
      </c>
    </row>
    <row r="1649" ht="15.75" customHeight="1">
      <c r="A1649" s="356"/>
      <c r="K1649" s="319" t="str">
        <f t="shared" si="1"/>
        <v/>
      </c>
    </row>
    <row r="1650" ht="15.75" customHeight="1">
      <c r="A1650" s="356"/>
      <c r="K1650" s="319" t="str">
        <f t="shared" si="1"/>
        <v/>
      </c>
    </row>
    <row r="1651" ht="15.75" customHeight="1">
      <c r="A1651" s="356"/>
      <c r="K1651" s="319" t="str">
        <f t="shared" si="1"/>
        <v/>
      </c>
    </row>
    <row r="1652" ht="15.75" customHeight="1">
      <c r="A1652" s="356"/>
      <c r="K1652" s="319" t="str">
        <f t="shared" si="1"/>
        <v/>
      </c>
    </row>
    <row r="1653" ht="15.75" customHeight="1">
      <c r="A1653" s="356"/>
      <c r="K1653" s="319" t="str">
        <f t="shared" si="1"/>
        <v/>
      </c>
    </row>
    <row r="1654" ht="15.75" customHeight="1">
      <c r="A1654" s="356"/>
      <c r="K1654" s="319" t="str">
        <f t="shared" si="1"/>
        <v/>
      </c>
    </row>
    <row r="1655" ht="15.75" customHeight="1">
      <c r="A1655" s="356"/>
      <c r="K1655" s="319" t="str">
        <f t="shared" si="1"/>
        <v/>
      </c>
    </row>
    <row r="1656" ht="15.75" customHeight="1">
      <c r="A1656" s="356"/>
      <c r="K1656" s="319" t="str">
        <f t="shared" si="1"/>
        <v/>
      </c>
    </row>
    <row r="1657" ht="15.75" customHeight="1">
      <c r="A1657" s="356"/>
      <c r="K1657" s="319" t="str">
        <f t="shared" si="1"/>
        <v/>
      </c>
    </row>
    <row r="1658" ht="15.75" customHeight="1">
      <c r="A1658" s="356"/>
      <c r="K1658" s="319" t="str">
        <f t="shared" si="1"/>
        <v/>
      </c>
    </row>
    <row r="1659" ht="15.75" customHeight="1">
      <c r="A1659" s="356"/>
      <c r="K1659" s="319" t="str">
        <f t="shared" si="1"/>
        <v/>
      </c>
    </row>
    <row r="1660" ht="15.75" customHeight="1">
      <c r="A1660" s="356"/>
      <c r="K1660" s="319" t="str">
        <f t="shared" si="1"/>
        <v/>
      </c>
    </row>
    <row r="1661" ht="15.75" customHeight="1">
      <c r="A1661" s="356"/>
      <c r="K1661" s="319" t="str">
        <f t="shared" si="1"/>
        <v/>
      </c>
    </row>
    <row r="1662" ht="15.75" customHeight="1">
      <c r="A1662" s="356"/>
      <c r="K1662" s="319" t="str">
        <f t="shared" si="1"/>
        <v/>
      </c>
    </row>
    <row r="1663" ht="15.75" customHeight="1">
      <c r="A1663" s="356"/>
      <c r="K1663" s="319" t="str">
        <f t="shared" si="1"/>
        <v/>
      </c>
    </row>
    <row r="1664" ht="15.75" customHeight="1">
      <c r="A1664" s="356"/>
      <c r="K1664" s="319" t="str">
        <f t="shared" si="1"/>
        <v/>
      </c>
    </row>
    <row r="1665" ht="15.75" customHeight="1">
      <c r="A1665" s="356"/>
      <c r="K1665" s="319" t="str">
        <f t="shared" si="1"/>
        <v/>
      </c>
    </row>
    <row r="1666" ht="15.75" customHeight="1">
      <c r="A1666" s="356"/>
      <c r="K1666" s="319" t="str">
        <f t="shared" si="1"/>
        <v/>
      </c>
    </row>
    <row r="1667" ht="15.75" customHeight="1">
      <c r="A1667" s="356"/>
      <c r="K1667" s="319" t="str">
        <f t="shared" si="1"/>
        <v/>
      </c>
    </row>
    <row r="1668" ht="15.75" customHeight="1">
      <c r="A1668" s="356"/>
      <c r="K1668" s="319" t="str">
        <f t="shared" si="1"/>
        <v/>
      </c>
    </row>
    <row r="1669" ht="15.75" customHeight="1">
      <c r="A1669" s="356"/>
      <c r="K1669" s="319" t="str">
        <f t="shared" si="1"/>
        <v/>
      </c>
    </row>
    <row r="1670" ht="15.75" customHeight="1">
      <c r="A1670" s="356"/>
      <c r="K1670" s="319" t="str">
        <f t="shared" si="1"/>
        <v/>
      </c>
    </row>
    <row r="1671" ht="15.75" customHeight="1">
      <c r="A1671" s="356"/>
      <c r="K1671" s="319" t="str">
        <f t="shared" si="1"/>
        <v/>
      </c>
    </row>
    <row r="1672" ht="15.75" customHeight="1">
      <c r="A1672" s="356"/>
      <c r="K1672" s="319" t="str">
        <f t="shared" si="1"/>
        <v/>
      </c>
    </row>
    <row r="1673" ht="15.75" customHeight="1">
      <c r="A1673" s="356"/>
      <c r="K1673" s="319" t="str">
        <f t="shared" si="1"/>
        <v/>
      </c>
    </row>
    <row r="1674" ht="15.75" customHeight="1">
      <c r="A1674" s="356"/>
      <c r="K1674" s="319" t="str">
        <f t="shared" si="1"/>
        <v/>
      </c>
    </row>
    <row r="1675" ht="15.75" customHeight="1">
      <c r="A1675" s="356"/>
      <c r="K1675" s="319" t="str">
        <f t="shared" si="1"/>
        <v/>
      </c>
    </row>
    <row r="1676" ht="15.75" customHeight="1">
      <c r="A1676" s="356"/>
      <c r="K1676" s="319" t="str">
        <f t="shared" si="1"/>
        <v/>
      </c>
    </row>
    <row r="1677" ht="15.75" customHeight="1">
      <c r="A1677" s="356"/>
      <c r="K1677" s="319" t="str">
        <f t="shared" si="1"/>
        <v/>
      </c>
    </row>
    <row r="1678" ht="15.75" customHeight="1">
      <c r="A1678" s="356"/>
      <c r="K1678" s="319" t="str">
        <f t="shared" si="1"/>
        <v/>
      </c>
    </row>
    <row r="1679" ht="15.75" customHeight="1">
      <c r="A1679" s="356"/>
      <c r="K1679" s="319" t="str">
        <f t="shared" si="1"/>
        <v/>
      </c>
    </row>
    <row r="1680" ht="15.75" customHeight="1">
      <c r="A1680" s="356"/>
      <c r="K1680" s="319" t="str">
        <f t="shared" si="1"/>
        <v/>
      </c>
    </row>
    <row r="1681" ht="15.75" customHeight="1">
      <c r="A1681" s="356"/>
      <c r="K1681" s="319" t="str">
        <f t="shared" si="1"/>
        <v/>
      </c>
    </row>
    <row r="1682" ht="15.75" customHeight="1">
      <c r="A1682" s="356"/>
      <c r="K1682" s="319" t="str">
        <f t="shared" si="1"/>
        <v/>
      </c>
    </row>
    <row r="1683" ht="15.75" customHeight="1">
      <c r="A1683" s="356"/>
      <c r="K1683" s="319" t="str">
        <f t="shared" si="1"/>
        <v/>
      </c>
    </row>
    <row r="1684" ht="15.75" customHeight="1">
      <c r="A1684" s="356"/>
      <c r="K1684" s="319" t="str">
        <f t="shared" si="1"/>
        <v/>
      </c>
    </row>
    <row r="1685" ht="15.75" customHeight="1">
      <c r="A1685" s="356"/>
      <c r="K1685" s="319" t="str">
        <f t="shared" si="1"/>
        <v/>
      </c>
    </row>
    <row r="1686" ht="15.75" customHeight="1">
      <c r="A1686" s="356"/>
      <c r="K1686" s="319" t="str">
        <f t="shared" si="1"/>
        <v/>
      </c>
    </row>
    <row r="1687" ht="15.75" customHeight="1">
      <c r="A1687" s="356"/>
      <c r="K1687" s="319" t="str">
        <f t="shared" si="1"/>
        <v/>
      </c>
    </row>
    <row r="1688" ht="15.75" customHeight="1">
      <c r="A1688" s="356"/>
      <c r="K1688" s="319" t="str">
        <f t="shared" si="1"/>
        <v/>
      </c>
    </row>
    <row r="1689" ht="15.75" customHeight="1">
      <c r="A1689" s="356"/>
      <c r="K1689" s="319" t="str">
        <f t="shared" si="1"/>
        <v/>
      </c>
    </row>
    <row r="1690" ht="15.75" customHeight="1">
      <c r="A1690" s="356"/>
      <c r="K1690" s="319" t="str">
        <f t="shared" si="1"/>
        <v/>
      </c>
    </row>
    <row r="1691" ht="15.75" customHeight="1">
      <c r="A1691" s="356"/>
      <c r="K1691" s="319" t="str">
        <f t="shared" si="1"/>
        <v/>
      </c>
    </row>
    <row r="1692" ht="15.75" customHeight="1">
      <c r="A1692" s="356"/>
      <c r="K1692" s="319" t="str">
        <f t="shared" si="1"/>
        <v/>
      </c>
    </row>
    <row r="1693" ht="15.75" customHeight="1">
      <c r="A1693" s="356"/>
      <c r="K1693" s="319" t="str">
        <f t="shared" si="1"/>
        <v/>
      </c>
    </row>
    <row r="1694" ht="15.75" customHeight="1">
      <c r="A1694" s="356"/>
      <c r="K1694" s="319" t="str">
        <f t="shared" si="1"/>
        <v/>
      </c>
    </row>
    <row r="1695" ht="15.75" customHeight="1">
      <c r="A1695" s="356"/>
      <c r="K1695" s="319" t="str">
        <f t="shared" si="1"/>
        <v/>
      </c>
    </row>
    <row r="1696" ht="15.75" customHeight="1">
      <c r="A1696" s="356"/>
      <c r="K1696" s="319" t="str">
        <f t="shared" si="1"/>
        <v/>
      </c>
    </row>
    <row r="1697" ht="15.75" customHeight="1">
      <c r="A1697" s="356"/>
      <c r="K1697" s="319" t="str">
        <f t="shared" si="1"/>
        <v/>
      </c>
    </row>
    <row r="1698" ht="15.75" customHeight="1">
      <c r="A1698" s="356"/>
      <c r="K1698" s="319" t="str">
        <f t="shared" si="1"/>
        <v/>
      </c>
    </row>
    <row r="1699" ht="15.75" customHeight="1">
      <c r="A1699" s="356"/>
      <c r="K1699" s="319" t="str">
        <f t="shared" si="1"/>
        <v/>
      </c>
    </row>
    <row r="1700" ht="15.75" customHeight="1">
      <c r="A1700" s="356"/>
      <c r="K1700" s="319" t="str">
        <f t="shared" si="1"/>
        <v/>
      </c>
    </row>
    <row r="1701" ht="15.75" customHeight="1">
      <c r="A1701" s="356"/>
      <c r="K1701" s="319" t="str">
        <f t="shared" si="1"/>
        <v/>
      </c>
    </row>
    <row r="1702" ht="15.75" customHeight="1">
      <c r="A1702" s="356"/>
      <c r="K1702" s="319" t="str">
        <f t="shared" si="1"/>
        <v/>
      </c>
    </row>
    <row r="1703" ht="15.75" customHeight="1">
      <c r="A1703" s="356"/>
      <c r="K1703" s="319" t="str">
        <f t="shared" si="1"/>
        <v/>
      </c>
    </row>
    <row r="1704" ht="15.75" customHeight="1">
      <c r="A1704" s="356"/>
      <c r="K1704" s="319" t="str">
        <f t="shared" si="1"/>
        <v/>
      </c>
    </row>
    <row r="1705" ht="15.75" customHeight="1">
      <c r="A1705" s="356"/>
      <c r="K1705" s="319" t="str">
        <f t="shared" si="1"/>
        <v/>
      </c>
    </row>
    <row r="1706" ht="15.75" customHeight="1">
      <c r="A1706" s="356"/>
      <c r="K1706" s="319" t="str">
        <f t="shared" si="1"/>
        <v/>
      </c>
    </row>
    <row r="1707" ht="15.75" customHeight="1">
      <c r="A1707" s="356"/>
      <c r="K1707" s="319" t="str">
        <f t="shared" si="1"/>
        <v/>
      </c>
    </row>
    <row r="1708" ht="15.75" customHeight="1">
      <c r="A1708" s="356"/>
      <c r="K1708" s="319" t="str">
        <f t="shared" si="1"/>
        <v/>
      </c>
    </row>
    <row r="1709" ht="15.75" customHeight="1">
      <c r="A1709" s="356"/>
      <c r="K1709" s="319" t="str">
        <f t="shared" si="1"/>
        <v/>
      </c>
    </row>
    <row r="1710" ht="15.75" customHeight="1">
      <c r="A1710" s="356"/>
      <c r="K1710" s="319" t="str">
        <f t="shared" si="1"/>
        <v/>
      </c>
    </row>
    <row r="1711" ht="15.75" customHeight="1">
      <c r="A1711" s="356"/>
      <c r="K1711" s="319" t="str">
        <f t="shared" si="1"/>
        <v/>
      </c>
    </row>
    <row r="1712" ht="15.75" customHeight="1">
      <c r="A1712" s="356"/>
      <c r="K1712" s="319" t="str">
        <f t="shared" si="1"/>
        <v/>
      </c>
    </row>
    <row r="1713" ht="15.75" customHeight="1">
      <c r="A1713" s="356"/>
      <c r="K1713" s="319" t="str">
        <f t="shared" si="1"/>
        <v/>
      </c>
    </row>
    <row r="1714" ht="15.75" customHeight="1">
      <c r="A1714" s="356"/>
      <c r="K1714" s="319" t="str">
        <f t="shared" si="1"/>
        <v/>
      </c>
    </row>
    <row r="1715" ht="15.75" customHeight="1">
      <c r="A1715" s="356"/>
      <c r="K1715" s="319" t="str">
        <f t="shared" si="1"/>
        <v/>
      </c>
    </row>
    <row r="1716" ht="15.75" customHeight="1">
      <c r="A1716" s="356"/>
      <c r="K1716" s="319" t="str">
        <f t="shared" si="1"/>
        <v/>
      </c>
    </row>
    <row r="1717" ht="15.75" customHeight="1">
      <c r="A1717" s="356"/>
      <c r="K1717" s="319" t="str">
        <f t="shared" si="1"/>
        <v/>
      </c>
    </row>
    <row r="1718" ht="15.75" customHeight="1">
      <c r="A1718" s="356"/>
      <c r="K1718" s="319" t="str">
        <f t="shared" si="1"/>
        <v/>
      </c>
    </row>
    <row r="1719" ht="15.75" customHeight="1">
      <c r="A1719" s="356"/>
      <c r="K1719" s="319" t="str">
        <f t="shared" si="1"/>
        <v/>
      </c>
    </row>
    <row r="1720" ht="15.75" customHeight="1">
      <c r="A1720" s="356"/>
      <c r="K1720" s="319" t="str">
        <f t="shared" si="1"/>
        <v/>
      </c>
    </row>
    <row r="1721" ht="15.75" customHeight="1">
      <c r="A1721" s="356"/>
      <c r="K1721" s="319" t="str">
        <f t="shared" si="1"/>
        <v/>
      </c>
    </row>
    <row r="1722" ht="15.75" customHeight="1">
      <c r="A1722" s="356"/>
      <c r="K1722" s="319" t="str">
        <f t="shared" si="1"/>
        <v/>
      </c>
    </row>
    <row r="1723" ht="15.75" customHeight="1">
      <c r="A1723" s="356"/>
      <c r="K1723" s="319" t="str">
        <f t="shared" si="1"/>
        <v/>
      </c>
    </row>
    <row r="1724" ht="15.75" customHeight="1">
      <c r="A1724" s="356"/>
      <c r="K1724" s="319" t="str">
        <f t="shared" si="1"/>
        <v/>
      </c>
    </row>
    <row r="1725" ht="15.75" customHeight="1">
      <c r="A1725" s="356"/>
      <c r="K1725" s="319" t="str">
        <f t="shared" si="1"/>
        <v/>
      </c>
    </row>
    <row r="1726" ht="15.75" customHeight="1">
      <c r="A1726" s="356"/>
      <c r="K1726" s="319" t="str">
        <f t="shared" si="1"/>
        <v/>
      </c>
    </row>
    <row r="1727" ht="15.75" customHeight="1">
      <c r="A1727" s="356"/>
      <c r="K1727" s="319" t="str">
        <f t="shared" si="1"/>
        <v/>
      </c>
    </row>
    <row r="1728" ht="15.75" customHeight="1">
      <c r="A1728" s="356"/>
      <c r="K1728" s="319" t="str">
        <f t="shared" si="1"/>
        <v/>
      </c>
    </row>
    <row r="1729" ht="15.75" customHeight="1">
      <c r="A1729" s="356"/>
      <c r="K1729" s="319" t="str">
        <f t="shared" si="1"/>
        <v/>
      </c>
    </row>
    <row r="1730" ht="15.75" customHeight="1">
      <c r="A1730" s="356"/>
      <c r="K1730" s="319" t="str">
        <f t="shared" si="1"/>
        <v/>
      </c>
    </row>
    <row r="1731" ht="15.75" customHeight="1">
      <c r="A1731" s="356"/>
      <c r="K1731" s="319" t="str">
        <f t="shared" si="1"/>
        <v/>
      </c>
    </row>
    <row r="1732" ht="15.75" customHeight="1">
      <c r="A1732" s="356"/>
      <c r="K1732" s="319" t="str">
        <f t="shared" si="1"/>
        <v/>
      </c>
    </row>
    <row r="1733" ht="15.75" customHeight="1">
      <c r="A1733" s="356"/>
      <c r="K1733" s="319" t="str">
        <f t="shared" si="1"/>
        <v/>
      </c>
    </row>
    <row r="1734" ht="15.75" customHeight="1">
      <c r="A1734" s="356"/>
      <c r="K1734" s="319" t="str">
        <f t="shared" si="1"/>
        <v/>
      </c>
    </row>
    <row r="1735" ht="15.75" customHeight="1">
      <c r="A1735" s="356"/>
      <c r="K1735" s="319" t="str">
        <f t="shared" si="1"/>
        <v/>
      </c>
    </row>
    <row r="1736" ht="15.75" customHeight="1">
      <c r="A1736" s="356"/>
      <c r="K1736" s="319" t="str">
        <f t="shared" si="1"/>
        <v/>
      </c>
    </row>
    <row r="1737" ht="15.75" customHeight="1">
      <c r="A1737" s="356"/>
      <c r="K1737" s="319" t="str">
        <f t="shared" si="1"/>
        <v/>
      </c>
    </row>
    <row r="1738" ht="15.75" customHeight="1">
      <c r="A1738" s="356"/>
      <c r="K1738" s="319" t="str">
        <f t="shared" si="1"/>
        <v/>
      </c>
    </row>
    <row r="1739" ht="15.75" customHeight="1">
      <c r="A1739" s="356"/>
      <c r="K1739" s="319" t="str">
        <f t="shared" si="1"/>
        <v/>
      </c>
    </row>
    <row r="1740" ht="15.75" customHeight="1">
      <c r="A1740" s="356"/>
      <c r="K1740" s="319" t="str">
        <f t="shared" si="1"/>
        <v/>
      </c>
    </row>
    <row r="1741" ht="15.75" customHeight="1">
      <c r="A1741" s="356"/>
      <c r="K1741" s="319" t="str">
        <f t="shared" si="1"/>
        <v/>
      </c>
    </row>
    <row r="1742" ht="15.75" customHeight="1">
      <c r="A1742" s="356"/>
      <c r="K1742" s="319" t="str">
        <f t="shared" si="1"/>
        <v/>
      </c>
    </row>
    <row r="1743" ht="15.75" customHeight="1">
      <c r="A1743" s="356"/>
      <c r="K1743" s="319" t="str">
        <f t="shared" si="1"/>
        <v/>
      </c>
    </row>
    <row r="1744" ht="15.75" customHeight="1">
      <c r="A1744" s="356"/>
      <c r="K1744" s="319" t="str">
        <f t="shared" si="1"/>
        <v/>
      </c>
    </row>
    <row r="1745" ht="15.75" customHeight="1">
      <c r="A1745" s="356"/>
      <c r="K1745" s="319" t="str">
        <f t="shared" si="1"/>
        <v/>
      </c>
    </row>
    <row r="1746" ht="15.75" customHeight="1">
      <c r="A1746" s="356"/>
      <c r="K1746" s="319" t="str">
        <f t="shared" si="1"/>
        <v/>
      </c>
    </row>
    <row r="1747" ht="15.75" customHeight="1">
      <c r="A1747" s="356"/>
      <c r="K1747" s="319" t="str">
        <f t="shared" si="1"/>
        <v/>
      </c>
    </row>
    <row r="1748" ht="15.75" customHeight="1">
      <c r="A1748" s="356"/>
      <c r="K1748" s="319" t="str">
        <f t="shared" si="1"/>
        <v/>
      </c>
    </row>
    <row r="1749" ht="15.75" customHeight="1">
      <c r="A1749" s="356"/>
      <c r="K1749" s="319" t="str">
        <f t="shared" si="1"/>
        <v/>
      </c>
    </row>
    <row r="1750" ht="15.75" customHeight="1">
      <c r="A1750" s="356"/>
      <c r="K1750" s="319" t="str">
        <f t="shared" si="1"/>
        <v/>
      </c>
    </row>
    <row r="1751" ht="15.75" customHeight="1">
      <c r="A1751" s="356"/>
      <c r="K1751" s="319" t="str">
        <f t="shared" si="1"/>
        <v/>
      </c>
    </row>
    <row r="1752" ht="15.75" customHeight="1">
      <c r="A1752" s="356"/>
      <c r="K1752" s="319" t="str">
        <f t="shared" si="1"/>
        <v/>
      </c>
    </row>
    <row r="1753" ht="15.75" customHeight="1">
      <c r="A1753" s="356"/>
      <c r="K1753" s="319" t="str">
        <f t="shared" si="1"/>
        <v/>
      </c>
    </row>
    <row r="1754" ht="15.75" customHeight="1">
      <c r="A1754" s="356"/>
      <c r="K1754" s="319" t="str">
        <f t="shared" si="1"/>
        <v/>
      </c>
    </row>
    <row r="1755" ht="15.75" customHeight="1">
      <c r="A1755" s="356"/>
      <c r="K1755" s="319" t="str">
        <f t="shared" si="1"/>
        <v/>
      </c>
    </row>
    <row r="1756" ht="15.75" customHeight="1">
      <c r="A1756" s="356"/>
      <c r="K1756" s="319" t="str">
        <f t="shared" si="1"/>
        <v/>
      </c>
    </row>
    <row r="1757" ht="15.75" customHeight="1">
      <c r="A1757" s="356"/>
      <c r="K1757" s="319" t="str">
        <f t="shared" si="1"/>
        <v/>
      </c>
    </row>
    <row r="1758" ht="15.75" customHeight="1">
      <c r="A1758" s="356"/>
      <c r="K1758" s="319" t="str">
        <f t="shared" si="1"/>
        <v/>
      </c>
    </row>
    <row r="1759" ht="15.75" customHeight="1">
      <c r="A1759" s="356"/>
      <c r="K1759" s="319" t="str">
        <f t="shared" si="1"/>
        <v/>
      </c>
    </row>
    <row r="1760" ht="15.75" customHeight="1">
      <c r="A1760" s="356"/>
      <c r="K1760" s="319" t="str">
        <f t="shared" si="1"/>
        <v/>
      </c>
    </row>
    <row r="1761" ht="15.75" customHeight="1">
      <c r="A1761" s="356"/>
      <c r="K1761" s="319" t="str">
        <f t="shared" si="1"/>
        <v/>
      </c>
    </row>
    <row r="1762" ht="15.75" customHeight="1">
      <c r="A1762" s="356"/>
      <c r="K1762" s="319" t="str">
        <f t="shared" si="1"/>
        <v/>
      </c>
    </row>
    <row r="1763" ht="15.75" customHeight="1">
      <c r="A1763" s="356"/>
      <c r="K1763" s="319" t="str">
        <f t="shared" si="1"/>
        <v/>
      </c>
    </row>
    <row r="1764" ht="15.75" customHeight="1">
      <c r="A1764" s="356"/>
      <c r="K1764" s="319" t="str">
        <f t="shared" si="1"/>
        <v/>
      </c>
    </row>
    <row r="1765" ht="15.75" customHeight="1">
      <c r="A1765" s="356"/>
      <c r="K1765" s="319" t="str">
        <f t="shared" si="1"/>
        <v/>
      </c>
    </row>
    <row r="1766" ht="15.75" customHeight="1">
      <c r="A1766" s="356"/>
      <c r="K1766" s="319" t="str">
        <f t="shared" si="1"/>
        <v/>
      </c>
    </row>
    <row r="1767" ht="15.75" customHeight="1">
      <c r="A1767" s="356"/>
      <c r="K1767" s="319" t="str">
        <f t="shared" si="1"/>
        <v/>
      </c>
    </row>
    <row r="1768" ht="15.75" customHeight="1">
      <c r="A1768" s="356"/>
      <c r="K1768" s="319" t="str">
        <f t="shared" si="1"/>
        <v/>
      </c>
    </row>
    <row r="1769" ht="15.75" customHeight="1">
      <c r="A1769" s="356"/>
      <c r="K1769" s="319" t="str">
        <f t="shared" si="1"/>
        <v/>
      </c>
    </row>
    <row r="1770" ht="15.75" customHeight="1">
      <c r="A1770" s="356"/>
      <c r="K1770" s="319" t="str">
        <f t="shared" si="1"/>
        <v/>
      </c>
    </row>
    <row r="1771" ht="15.75" customHeight="1">
      <c r="A1771" s="356"/>
      <c r="K1771" s="319" t="str">
        <f t="shared" si="1"/>
        <v/>
      </c>
    </row>
    <row r="1772" ht="15.75" customHeight="1">
      <c r="A1772" s="356"/>
      <c r="K1772" s="319" t="str">
        <f t="shared" si="1"/>
        <v/>
      </c>
    </row>
    <row r="1773" ht="15.75" customHeight="1">
      <c r="A1773" s="356"/>
      <c r="K1773" s="319" t="str">
        <f t="shared" si="1"/>
        <v/>
      </c>
    </row>
    <row r="1774" ht="15.75" customHeight="1">
      <c r="A1774" s="356"/>
      <c r="K1774" s="319" t="str">
        <f t="shared" si="1"/>
        <v/>
      </c>
    </row>
    <row r="1775" ht="15.75" customHeight="1">
      <c r="A1775" s="356"/>
      <c r="K1775" s="319" t="str">
        <f t="shared" si="1"/>
        <v/>
      </c>
    </row>
    <row r="1776" ht="15.75" customHeight="1">
      <c r="A1776" s="356"/>
      <c r="K1776" s="319" t="str">
        <f t="shared" si="1"/>
        <v/>
      </c>
    </row>
    <row r="1777" ht="15.75" customHeight="1">
      <c r="A1777" s="356"/>
      <c r="K1777" s="319" t="str">
        <f t="shared" si="1"/>
        <v/>
      </c>
    </row>
    <row r="1778" ht="15.75" customHeight="1">
      <c r="A1778" s="356"/>
      <c r="K1778" s="319" t="str">
        <f t="shared" si="1"/>
        <v/>
      </c>
    </row>
    <row r="1779" ht="15.75" customHeight="1">
      <c r="A1779" s="356"/>
      <c r="K1779" s="319" t="str">
        <f t="shared" si="1"/>
        <v/>
      </c>
    </row>
    <row r="1780" ht="15.75" customHeight="1">
      <c r="A1780" s="356"/>
      <c r="K1780" s="319" t="str">
        <f t="shared" si="1"/>
        <v/>
      </c>
    </row>
    <row r="1781" ht="15.75" customHeight="1">
      <c r="A1781" s="356"/>
      <c r="K1781" s="319" t="str">
        <f t="shared" si="1"/>
        <v/>
      </c>
    </row>
    <row r="1782" ht="15.75" customHeight="1">
      <c r="A1782" s="356"/>
      <c r="K1782" s="319" t="str">
        <f t="shared" si="1"/>
        <v/>
      </c>
    </row>
    <row r="1783" ht="15.75" customHeight="1">
      <c r="A1783" s="356"/>
      <c r="K1783" s="319" t="str">
        <f t="shared" si="1"/>
        <v/>
      </c>
    </row>
    <row r="1784" ht="15.75" customHeight="1">
      <c r="A1784" s="356"/>
      <c r="K1784" s="319" t="str">
        <f t="shared" si="1"/>
        <v/>
      </c>
    </row>
    <row r="1785" ht="15.75" customHeight="1">
      <c r="A1785" s="356"/>
      <c r="K1785" s="319" t="str">
        <f t="shared" si="1"/>
        <v/>
      </c>
    </row>
    <row r="1786" ht="15.75" customHeight="1">
      <c r="A1786" s="356"/>
      <c r="K1786" s="319" t="str">
        <f t="shared" si="1"/>
        <v/>
      </c>
    </row>
    <row r="1787" ht="15.75" customHeight="1">
      <c r="A1787" s="356"/>
      <c r="K1787" s="319" t="str">
        <f t="shared" si="1"/>
        <v/>
      </c>
    </row>
    <row r="1788" ht="15.75" customHeight="1">
      <c r="A1788" s="356"/>
      <c r="K1788" s="319" t="str">
        <f t="shared" si="1"/>
        <v/>
      </c>
    </row>
    <row r="1789" ht="15.75" customHeight="1">
      <c r="A1789" s="356"/>
      <c r="K1789" s="319" t="str">
        <f t="shared" si="1"/>
        <v/>
      </c>
    </row>
    <row r="1790" ht="15.75" customHeight="1">
      <c r="A1790" s="356"/>
      <c r="K1790" s="319" t="str">
        <f t="shared" si="1"/>
        <v/>
      </c>
    </row>
    <row r="1791" ht="15.75" customHeight="1">
      <c r="A1791" s="356"/>
      <c r="K1791" s="319" t="str">
        <f t="shared" si="1"/>
        <v/>
      </c>
    </row>
    <row r="1792" ht="15.75" customHeight="1">
      <c r="A1792" s="356"/>
      <c r="K1792" s="319" t="str">
        <f t="shared" si="1"/>
        <v/>
      </c>
    </row>
    <row r="1793" ht="15.75" customHeight="1">
      <c r="A1793" s="356"/>
      <c r="K1793" s="319" t="str">
        <f t="shared" si="1"/>
        <v/>
      </c>
    </row>
    <row r="1794" ht="15.75" customHeight="1">
      <c r="A1794" s="356"/>
      <c r="K1794" s="319" t="str">
        <f t="shared" si="1"/>
        <v/>
      </c>
    </row>
    <row r="1795" ht="15.75" customHeight="1">
      <c r="A1795" s="356"/>
      <c r="K1795" s="319" t="str">
        <f t="shared" si="1"/>
        <v/>
      </c>
    </row>
    <row r="1796" ht="15.75" customHeight="1">
      <c r="A1796" s="356"/>
      <c r="K1796" s="319" t="str">
        <f t="shared" si="1"/>
        <v/>
      </c>
    </row>
    <row r="1797" ht="15.75" customHeight="1">
      <c r="A1797" s="356"/>
      <c r="K1797" s="319" t="str">
        <f t="shared" si="1"/>
        <v/>
      </c>
    </row>
    <row r="1798" ht="15.75" customHeight="1">
      <c r="A1798" s="356"/>
      <c r="K1798" s="319" t="str">
        <f t="shared" si="1"/>
        <v/>
      </c>
    </row>
    <row r="1799" ht="15.75" customHeight="1">
      <c r="A1799" s="356"/>
      <c r="K1799" s="319" t="str">
        <f t="shared" si="1"/>
        <v/>
      </c>
    </row>
    <row r="1800" ht="15.75" customHeight="1">
      <c r="A1800" s="356"/>
      <c r="K1800" s="319" t="str">
        <f t="shared" si="1"/>
        <v/>
      </c>
    </row>
    <row r="1801" ht="15.75" customHeight="1">
      <c r="A1801" s="356"/>
      <c r="K1801" s="319" t="str">
        <f t="shared" si="1"/>
        <v/>
      </c>
    </row>
    <row r="1802" ht="15.75" customHeight="1">
      <c r="A1802" s="356"/>
      <c r="K1802" s="319" t="str">
        <f t="shared" si="1"/>
        <v/>
      </c>
    </row>
    <row r="1803" ht="15.75" customHeight="1">
      <c r="A1803" s="356"/>
      <c r="K1803" s="319" t="str">
        <f t="shared" si="1"/>
        <v/>
      </c>
    </row>
    <row r="1804" ht="15.75" customHeight="1">
      <c r="A1804" s="356"/>
      <c r="K1804" s="319" t="str">
        <f t="shared" si="1"/>
        <v/>
      </c>
    </row>
    <row r="1805" ht="15.75" customHeight="1">
      <c r="A1805" s="356"/>
      <c r="K1805" s="319" t="str">
        <f t="shared" si="1"/>
        <v/>
      </c>
    </row>
    <row r="1806" ht="15.75" customHeight="1">
      <c r="A1806" s="356"/>
      <c r="K1806" s="319" t="str">
        <f t="shared" si="1"/>
        <v/>
      </c>
    </row>
    <row r="1807" ht="15.75" customHeight="1">
      <c r="A1807" s="356"/>
      <c r="K1807" s="319" t="str">
        <f t="shared" si="1"/>
        <v/>
      </c>
    </row>
    <row r="1808" ht="15.75" customHeight="1">
      <c r="A1808" s="356"/>
      <c r="K1808" s="319" t="str">
        <f t="shared" si="1"/>
        <v/>
      </c>
    </row>
    <row r="1809" ht="15.75" customHeight="1">
      <c r="A1809" s="356"/>
      <c r="K1809" s="319" t="str">
        <f t="shared" si="1"/>
        <v/>
      </c>
    </row>
    <row r="1810" ht="15.75" customHeight="1">
      <c r="A1810" s="356"/>
      <c r="K1810" s="319" t="str">
        <f t="shared" si="1"/>
        <v/>
      </c>
    </row>
    <row r="1811" ht="15.75" customHeight="1">
      <c r="A1811" s="356"/>
      <c r="K1811" s="319" t="str">
        <f t="shared" si="1"/>
        <v/>
      </c>
    </row>
    <row r="1812" ht="15.75" customHeight="1">
      <c r="A1812" s="356"/>
      <c r="K1812" s="319" t="str">
        <f t="shared" si="1"/>
        <v/>
      </c>
    </row>
    <row r="1813" ht="15.75" customHeight="1">
      <c r="A1813" s="356"/>
      <c r="K1813" s="319" t="str">
        <f t="shared" si="1"/>
        <v/>
      </c>
    </row>
    <row r="1814" ht="15.75" customHeight="1">
      <c r="A1814" s="356"/>
      <c r="K1814" s="319" t="str">
        <f t="shared" si="1"/>
        <v/>
      </c>
    </row>
    <row r="1815" ht="15.75" customHeight="1">
      <c r="A1815" s="356"/>
      <c r="K1815" s="319" t="str">
        <f t="shared" si="1"/>
        <v/>
      </c>
    </row>
    <row r="1816" ht="15.75" customHeight="1">
      <c r="A1816" s="356"/>
      <c r="K1816" s="319" t="str">
        <f t="shared" si="1"/>
        <v/>
      </c>
    </row>
    <row r="1817" ht="15.75" customHeight="1">
      <c r="A1817" s="356"/>
      <c r="K1817" s="319" t="str">
        <f t="shared" si="1"/>
        <v/>
      </c>
    </row>
    <row r="1818" ht="15.75" customHeight="1">
      <c r="A1818" s="356"/>
      <c r="K1818" s="319" t="str">
        <f t="shared" si="1"/>
        <v/>
      </c>
    </row>
    <row r="1819" ht="15.75" customHeight="1">
      <c r="A1819" s="356"/>
      <c r="K1819" s="319" t="str">
        <f t="shared" si="1"/>
        <v/>
      </c>
    </row>
    <row r="1820" ht="15.75" customHeight="1">
      <c r="A1820" s="356"/>
      <c r="K1820" s="319" t="str">
        <f t="shared" si="1"/>
        <v/>
      </c>
    </row>
    <row r="1821" ht="15.75" customHeight="1">
      <c r="A1821" s="356"/>
      <c r="K1821" s="319" t="str">
        <f t="shared" si="1"/>
        <v/>
      </c>
    </row>
    <row r="1822" ht="15.75" customHeight="1">
      <c r="A1822" s="356"/>
      <c r="K1822" s="319" t="str">
        <f t="shared" si="1"/>
        <v/>
      </c>
    </row>
    <row r="1823" ht="15.75" customHeight="1">
      <c r="A1823" s="356"/>
      <c r="K1823" s="319" t="str">
        <f t="shared" si="1"/>
        <v/>
      </c>
    </row>
    <row r="1824" ht="15.75" customHeight="1">
      <c r="A1824" s="356"/>
      <c r="K1824" s="319" t="str">
        <f t="shared" si="1"/>
        <v/>
      </c>
    </row>
    <row r="1825" ht="15.75" customHeight="1">
      <c r="A1825" s="356"/>
      <c r="K1825" s="319" t="str">
        <f t="shared" si="1"/>
        <v/>
      </c>
    </row>
    <row r="1826" ht="15.75" customHeight="1">
      <c r="A1826" s="356"/>
      <c r="K1826" s="319" t="str">
        <f t="shared" si="1"/>
        <v/>
      </c>
    </row>
    <row r="1827" ht="15.75" customHeight="1">
      <c r="A1827" s="356"/>
      <c r="K1827" s="319" t="str">
        <f t="shared" si="1"/>
        <v/>
      </c>
    </row>
    <row r="1828" ht="15.75" customHeight="1">
      <c r="A1828" s="356"/>
      <c r="K1828" s="319" t="str">
        <f t="shared" si="1"/>
        <v/>
      </c>
    </row>
    <row r="1829" ht="15.75" customHeight="1">
      <c r="A1829" s="356"/>
      <c r="K1829" s="319" t="str">
        <f t="shared" si="1"/>
        <v/>
      </c>
    </row>
    <row r="1830" ht="15.75" customHeight="1">
      <c r="A1830" s="356"/>
      <c r="K1830" s="319" t="str">
        <f t="shared" si="1"/>
        <v/>
      </c>
    </row>
    <row r="1831" ht="15.75" customHeight="1">
      <c r="A1831" s="356"/>
      <c r="K1831" s="319" t="str">
        <f t="shared" si="1"/>
        <v/>
      </c>
    </row>
    <row r="1832" ht="15.75" customHeight="1">
      <c r="A1832" s="356"/>
      <c r="K1832" s="319" t="str">
        <f t="shared" si="1"/>
        <v/>
      </c>
    </row>
    <row r="1833" ht="15.75" customHeight="1">
      <c r="A1833" s="356"/>
      <c r="K1833" s="319" t="str">
        <f t="shared" si="1"/>
        <v/>
      </c>
    </row>
    <row r="1834" ht="15.75" customHeight="1">
      <c r="A1834" s="356"/>
      <c r="K1834" s="319" t="str">
        <f t="shared" si="1"/>
        <v/>
      </c>
    </row>
    <row r="1835" ht="15.75" customHeight="1">
      <c r="A1835" s="356"/>
      <c r="K1835" s="319" t="str">
        <f t="shared" si="1"/>
        <v/>
      </c>
    </row>
    <row r="1836" ht="15.75" customHeight="1">
      <c r="A1836" s="356"/>
      <c r="K1836" s="319" t="str">
        <f t="shared" si="1"/>
        <v/>
      </c>
    </row>
    <row r="1837" ht="15.75" customHeight="1">
      <c r="A1837" s="356"/>
      <c r="K1837" s="319" t="str">
        <f t="shared" si="1"/>
        <v/>
      </c>
    </row>
    <row r="1838" ht="15.75" customHeight="1">
      <c r="A1838" s="356"/>
      <c r="K1838" s="319" t="str">
        <f t="shared" si="1"/>
        <v/>
      </c>
    </row>
    <row r="1839" ht="15.75" customHeight="1">
      <c r="A1839" s="356"/>
      <c r="K1839" s="319" t="str">
        <f t="shared" si="1"/>
        <v/>
      </c>
    </row>
    <row r="1840" ht="15.75" customHeight="1">
      <c r="A1840" s="356"/>
      <c r="K1840" s="319" t="str">
        <f t="shared" si="1"/>
        <v/>
      </c>
    </row>
    <row r="1841" ht="15.75" customHeight="1">
      <c r="A1841" s="356"/>
      <c r="I1841" s="319"/>
      <c r="J1841" s="319"/>
      <c r="K1841" s="319" t="str">
        <f t="shared" si="1"/>
        <v/>
      </c>
    </row>
    <row r="1842" ht="15.75" customHeight="1">
      <c r="A1842" s="356"/>
      <c r="I1842" s="319"/>
      <c r="J1842" s="319"/>
      <c r="K1842" s="319" t="str">
        <f t="shared" si="1"/>
        <v/>
      </c>
    </row>
    <row r="1843" ht="15.75" customHeight="1">
      <c r="A1843" s="356"/>
      <c r="I1843" s="319"/>
      <c r="J1843" s="319"/>
      <c r="K1843" s="319" t="str">
        <f t="shared" si="1"/>
        <v/>
      </c>
    </row>
    <row r="1844" ht="15.75" customHeight="1">
      <c r="A1844" s="356"/>
      <c r="I1844" s="319"/>
      <c r="J1844" s="319"/>
      <c r="K1844" s="319" t="str">
        <f t="shared" si="1"/>
        <v/>
      </c>
    </row>
    <row r="1845" ht="15.75" customHeight="1">
      <c r="A1845" s="356"/>
      <c r="K1845" s="319" t="str">
        <f t="shared" si="1"/>
        <v/>
      </c>
    </row>
    <row r="1846" ht="15.75" customHeight="1">
      <c r="A1846" s="356"/>
      <c r="K1846" s="319" t="str">
        <f t="shared" si="1"/>
        <v/>
      </c>
    </row>
    <row r="1847" ht="15.75" customHeight="1">
      <c r="A1847" s="356"/>
      <c r="K1847" s="319" t="str">
        <f t="shared" si="1"/>
        <v/>
      </c>
    </row>
    <row r="1848" ht="15.75" customHeight="1">
      <c r="A1848" s="356"/>
      <c r="K1848" s="319" t="str">
        <f t="shared" si="1"/>
        <v/>
      </c>
    </row>
    <row r="1849" ht="15.75" customHeight="1">
      <c r="A1849" s="356"/>
      <c r="I1849" s="319"/>
      <c r="K1849" s="319" t="str">
        <f t="shared" si="1"/>
        <v/>
      </c>
    </row>
    <row r="1850" ht="15.75" customHeight="1">
      <c r="A1850" s="356"/>
      <c r="K1850" s="319" t="str">
        <f t="shared" si="1"/>
        <v/>
      </c>
    </row>
    <row r="1851" ht="15.75" customHeight="1">
      <c r="A1851" s="356"/>
      <c r="K1851" s="319" t="str">
        <f t="shared" si="1"/>
        <v/>
      </c>
    </row>
    <row r="1852" ht="15.75" customHeight="1">
      <c r="A1852" s="356"/>
      <c r="I1852" s="319"/>
      <c r="J1852" s="319"/>
      <c r="K1852" s="319" t="str">
        <f t="shared" si="1"/>
        <v/>
      </c>
    </row>
    <row r="1853" ht="15.75" customHeight="1">
      <c r="A1853" s="356"/>
      <c r="I1853" s="319"/>
      <c r="J1853" s="319"/>
      <c r="K1853" s="319" t="str">
        <f t="shared" si="1"/>
        <v/>
      </c>
    </row>
    <row r="1854" ht="15.75" customHeight="1">
      <c r="A1854" s="356"/>
      <c r="I1854" s="319"/>
      <c r="J1854" s="319"/>
      <c r="K1854" s="319" t="str">
        <f t="shared" si="1"/>
        <v/>
      </c>
    </row>
    <row r="1855" ht="15.75" customHeight="1">
      <c r="A1855" s="356"/>
      <c r="K1855" s="319" t="str">
        <f t="shared" si="1"/>
        <v/>
      </c>
    </row>
    <row r="1856" ht="15.75" customHeight="1">
      <c r="A1856" s="356"/>
      <c r="I1856" s="319"/>
      <c r="J1856" s="319"/>
      <c r="K1856" s="319" t="str">
        <f t="shared" si="1"/>
        <v/>
      </c>
    </row>
    <row r="1857" ht="15.75" customHeight="1">
      <c r="A1857" s="356"/>
      <c r="I1857" s="319"/>
      <c r="J1857" s="319"/>
      <c r="K1857" s="319" t="str">
        <f t="shared" si="1"/>
        <v/>
      </c>
    </row>
    <row r="1858" ht="15.75" customHeight="1">
      <c r="A1858" s="356"/>
      <c r="K1858" s="319" t="str">
        <f t="shared" si="1"/>
        <v/>
      </c>
    </row>
    <row r="1859" ht="15.75" customHeight="1">
      <c r="A1859" s="356"/>
      <c r="K1859" s="319" t="str">
        <f t="shared" si="1"/>
        <v/>
      </c>
    </row>
    <row r="1860" ht="15.75" customHeight="1">
      <c r="A1860" s="356"/>
      <c r="K1860" s="319" t="str">
        <f t="shared" si="1"/>
        <v/>
      </c>
    </row>
    <row r="1861" ht="15.75" customHeight="1">
      <c r="A1861" s="356"/>
      <c r="K1861" s="319" t="str">
        <f t="shared" si="1"/>
        <v/>
      </c>
    </row>
    <row r="1862" ht="15.75" customHeight="1">
      <c r="A1862" s="356"/>
      <c r="K1862" s="319" t="str">
        <f t="shared" si="1"/>
        <v/>
      </c>
    </row>
    <row r="1863" ht="15.75" customHeight="1">
      <c r="A1863" s="356"/>
      <c r="K1863" s="319" t="str">
        <f t="shared" si="1"/>
        <v/>
      </c>
    </row>
    <row r="1864" ht="15.75" customHeight="1">
      <c r="A1864" s="356"/>
      <c r="K1864" s="319" t="str">
        <f t="shared" si="1"/>
        <v/>
      </c>
    </row>
    <row r="1865" ht="15.75" customHeight="1">
      <c r="A1865" s="356"/>
      <c r="I1865" s="319"/>
      <c r="J1865" s="319"/>
      <c r="K1865" s="319" t="str">
        <f t="shared" si="1"/>
        <v/>
      </c>
    </row>
    <row r="1866" ht="15.75" customHeight="1">
      <c r="A1866" s="356"/>
      <c r="I1866" s="319"/>
      <c r="J1866" s="319"/>
      <c r="K1866" s="319" t="str">
        <f t="shared" si="1"/>
        <v/>
      </c>
    </row>
    <row r="1867" ht="15.75" customHeight="1">
      <c r="A1867" s="356"/>
      <c r="I1867" s="319"/>
      <c r="J1867" s="319"/>
      <c r="K1867" s="319" t="str">
        <f t="shared" si="1"/>
        <v/>
      </c>
    </row>
    <row r="1868" ht="15.75" customHeight="1">
      <c r="A1868" s="356"/>
      <c r="K1868" s="319" t="str">
        <f t="shared" si="1"/>
        <v/>
      </c>
    </row>
    <row r="1869" ht="15.75" customHeight="1">
      <c r="A1869" s="356"/>
      <c r="I1869" s="319"/>
      <c r="J1869" s="319"/>
      <c r="K1869" s="319" t="str">
        <f t="shared" si="1"/>
        <v/>
      </c>
    </row>
    <row r="1870" ht="15.75" customHeight="1">
      <c r="A1870" s="356"/>
      <c r="K1870" s="319" t="str">
        <f t="shared" si="1"/>
        <v/>
      </c>
    </row>
    <row r="1871" ht="15.75" customHeight="1">
      <c r="A1871" s="356"/>
      <c r="K1871" s="319" t="str">
        <f t="shared" si="1"/>
        <v/>
      </c>
    </row>
    <row r="1872" ht="15.75" customHeight="1">
      <c r="A1872" s="356"/>
      <c r="K1872" s="319" t="str">
        <f t="shared" si="1"/>
        <v/>
      </c>
    </row>
    <row r="1873" ht="15.75" customHeight="1">
      <c r="A1873" s="356"/>
      <c r="K1873" s="319" t="str">
        <f t="shared" si="1"/>
        <v/>
      </c>
    </row>
    <row r="1874" ht="15.75" customHeight="1">
      <c r="A1874" s="356"/>
      <c r="K1874" s="319" t="str">
        <f t="shared" si="1"/>
        <v/>
      </c>
    </row>
    <row r="1875" ht="15.75" customHeight="1">
      <c r="A1875" s="356"/>
      <c r="K1875" s="319" t="str">
        <f t="shared" si="1"/>
        <v/>
      </c>
    </row>
    <row r="1876" ht="15.75" customHeight="1">
      <c r="A1876" s="356"/>
      <c r="K1876" s="319" t="str">
        <f t="shared" si="1"/>
        <v/>
      </c>
    </row>
    <row r="1877" ht="15.75" customHeight="1">
      <c r="A1877" s="356"/>
      <c r="K1877" s="319" t="str">
        <f t="shared" si="1"/>
        <v/>
      </c>
    </row>
    <row r="1878" ht="15.75" customHeight="1">
      <c r="A1878" s="356"/>
      <c r="K1878" s="319" t="str">
        <f t="shared" si="1"/>
        <v/>
      </c>
    </row>
    <row r="1879" ht="15.75" customHeight="1">
      <c r="A1879" s="356"/>
      <c r="I1879" s="319"/>
      <c r="J1879" s="319"/>
      <c r="K1879" s="319" t="str">
        <f t="shared" si="1"/>
        <v/>
      </c>
    </row>
    <row r="1880" ht="15.75" customHeight="1">
      <c r="A1880" s="356"/>
      <c r="K1880" s="319" t="str">
        <f t="shared" si="1"/>
        <v/>
      </c>
    </row>
    <row r="1881" ht="15.75" customHeight="1">
      <c r="A1881" s="356"/>
      <c r="K1881" s="319" t="str">
        <f t="shared" si="1"/>
        <v/>
      </c>
    </row>
    <row r="1882" ht="15.75" customHeight="1">
      <c r="A1882" s="356"/>
      <c r="K1882" s="319" t="str">
        <f t="shared" si="1"/>
        <v/>
      </c>
    </row>
    <row r="1883" ht="15.75" customHeight="1">
      <c r="A1883" s="356"/>
      <c r="K1883" s="319" t="str">
        <f t="shared" si="1"/>
        <v/>
      </c>
    </row>
    <row r="1884" ht="15.75" customHeight="1">
      <c r="A1884" s="356"/>
      <c r="K1884" s="319" t="str">
        <f t="shared" si="1"/>
        <v/>
      </c>
    </row>
    <row r="1885" ht="15.75" customHeight="1">
      <c r="A1885" s="356"/>
      <c r="K1885" s="319" t="str">
        <f t="shared" si="1"/>
        <v/>
      </c>
    </row>
    <row r="1886" ht="15.75" customHeight="1">
      <c r="A1886" s="356"/>
      <c r="K1886" s="319" t="str">
        <f t="shared" si="1"/>
        <v/>
      </c>
    </row>
    <row r="1887" ht="15.75" customHeight="1">
      <c r="A1887" s="356"/>
      <c r="K1887" s="319" t="str">
        <f t="shared" si="1"/>
        <v/>
      </c>
    </row>
    <row r="1888" ht="15.75" customHeight="1">
      <c r="A1888" s="356"/>
      <c r="K1888" s="319" t="str">
        <f t="shared" si="1"/>
        <v/>
      </c>
    </row>
    <row r="1889" ht="15.75" customHeight="1">
      <c r="A1889" s="356"/>
      <c r="K1889" s="319" t="str">
        <f t="shared" si="1"/>
        <v/>
      </c>
    </row>
    <row r="1890" ht="15.75" customHeight="1">
      <c r="A1890" s="356"/>
      <c r="K1890" s="319" t="str">
        <f t="shared" si="1"/>
        <v/>
      </c>
    </row>
    <row r="1891" ht="15.75" customHeight="1">
      <c r="A1891" s="356"/>
      <c r="K1891" s="319" t="str">
        <f t="shared" si="1"/>
        <v/>
      </c>
    </row>
    <row r="1892" ht="15.75" customHeight="1">
      <c r="A1892" s="356"/>
      <c r="K1892" s="319" t="str">
        <f t="shared" si="1"/>
        <v/>
      </c>
    </row>
    <row r="1893" ht="15.75" customHeight="1">
      <c r="A1893" s="356"/>
      <c r="K1893" s="319" t="str">
        <f t="shared" si="1"/>
        <v/>
      </c>
    </row>
    <row r="1894" ht="15.75" customHeight="1">
      <c r="A1894" s="356"/>
      <c r="K1894" s="319" t="str">
        <f t="shared" si="1"/>
        <v/>
      </c>
    </row>
    <row r="1895" ht="15.75" customHeight="1">
      <c r="A1895" s="356"/>
      <c r="K1895" s="319" t="str">
        <f t="shared" si="1"/>
        <v/>
      </c>
    </row>
    <row r="1896" ht="15.75" customHeight="1">
      <c r="A1896" s="356"/>
      <c r="K1896" s="319" t="str">
        <f t="shared" si="1"/>
        <v/>
      </c>
    </row>
    <row r="1897" ht="15.75" customHeight="1">
      <c r="A1897" s="356"/>
      <c r="K1897" s="319" t="str">
        <f t="shared" si="1"/>
        <v/>
      </c>
    </row>
    <row r="1898" ht="15.75" customHeight="1">
      <c r="A1898" s="356"/>
      <c r="K1898" s="319" t="str">
        <f t="shared" si="1"/>
        <v/>
      </c>
    </row>
    <row r="1899" ht="15.75" customHeight="1">
      <c r="A1899" s="356"/>
      <c r="K1899" s="319" t="str">
        <f t="shared" si="1"/>
        <v/>
      </c>
    </row>
    <row r="1900" ht="15.75" customHeight="1">
      <c r="A1900" s="356"/>
      <c r="K1900" s="319" t="str">
        <f t="shared" si="1"/>
        <v/>
      </c>
    </row>
    <row r="1901" ht="15.75" customHeight="1">
      <c r="A1901" s="356"/>
      <c r="K1901" s="319" t="str">
        <f t="shared" si="1"/>
        <v/>
      </c>
    </row>
    <row r="1902" ht="15.75" customHeight="1">
      <c r="A1902" s="356"/>
      <c r="K1902" s="319" t="str">
        <f t="shared" si="1"/>
        <v/>
      </c>
    </row>
    <row r="1903" ht="15.75" customHeight="1">
      <c r="A1903" s="356"/>
      <c r="K1903" s="319" t="str">
        <f t="shared" si="1"/>
        <v/>
      </c>
    </row>
    <row r="1904" ht="15.75" customHeight="1">
      <c r="A1904" s="356"/>
      <c r="K1904" s="319" t="str">
        <f t="shared" si="1"/>
        <v/>
      </c>
    </row>
    <row r="1905" ht="15.75" customHeight="1">
      <c r="A1905" s="356"/>
      <c r="K1905" s="319" t="str">
        <f t="shared" si="1"/>
        <v/>
      </c>
    </row>
    <row r="1906" ht="15.75" customHeight="1">
      <c r="A1906" s="356"/>
      <c r="K1906" s="319" t="str">
        <f t="shared" si="1"/>
        <v/>
      </c>
    </row>
    <row r="1907" ht="15.75" customHeight="1">
      <c r="A1907" s="356"/>
      <c r="K1907" s="319" t="str">
        <f t="shared" si="1"/>
        <v/>
      </c>
    </row>
    <row r="1908" ht="15.75" customHeight="1">
      <c r="A1908" s="356"/>
      <c r="K1908" s="319" t="str">
        <f t="shared" si="1"/>
        <v/>
      </c>
    </row>
    <row r="1909" ht="15.75" customHeight="1">
      <c r="A1909" s="356"/>
      <c r="K1909" s="319" t="str">
        <f t="shared" si="1"/>
        <v/>
      </c>
    </row>
    <row r="1910" ht="15.75" customHeight="1">
      <c r="A1910" s="356"/>
      <c r="K1910" s="319" t="str">
        <f t="shared" si="1"/>
        <v/>
      </c>
    </row>
    <row r="1911" ht="15.75" customHeight="1">
      <c r="A1911" s="356"/>
      <c r="K1911" s="319" t="str">
        <f t="shared" si="1"/>
        <v/>
      </c>
    </row>
    <row r="1912" ht="15.75" customHeight="1">
      <c r="A1912" s="356"/>
      <c r="K1912" s="319" t="str">
        <f t="shared" si="1"/>
        <v/>
      </c>
    </row>
    <row r="1913" ht="15.75" customHeight="1">
      <c r="A1913" s="356"/>
      <c r="K1913" s="319" t="str">
        <f t="shared" si="1"/>
        <v/>
      </c>
    </row>
    <row r="1914" ht="15.75" customHeight="1">
      <c r="A1914" s="356"/>
      <c r="K1914" s="319" t="str">
        <f t="shared" si="1"/>
        <v/>
      </c>
    </row>
    <row r="1915" ht="15.75" customHeight="1">
      <c r="A1915" s="356"/>
      <c r="K1915" s="319" t="str">
        <f t="shared" si="1"/>
        <v/>
      </c>
    </row>
    <row r="1916" ht="15.75" customHeight="1">
      <c r="A1916" s="356"/>
      <c r="K1916" s="319" t="str">
        <f t="shared" si="1"/>
        <v/>
      </c>
    </row>
    <row r="1917" ht="15.75" customHeight="1">
      <c r="A1917" s="356"/>
      <c r="K1917" s="319" t="str">
        <f t="shared" si="1"/>
        <v/>
      </c>
    </row>
    <row r="1918" ht="15.75" customHeight="1">
      <c r="A1918" s="356"/>
      <c r="K1918" s="319" t="str">
        <f t="shared" si="1"/>
        <v/>
      </c>
    </row>
    <row r="1919" ht="15.75" customHeight="1">
      <c r="A1919" s="356"/>
      <c r="K1919" s="319" t="str">
        <f t="shared" si="1"/>
        <v/>
      </c>
    </row>
    <row r="1920" ht="15.75" customHeight="1">
      <c r="A1920" s="356"/>
      <c r="K1920" s="319" t="str">
        <f t="shared" si="1"/>
        <v/>
      </c>
    </row>
    <row r="1921" ht="15.75" customHeight="1">
      <c r="A1921" s="356"/>
      <c r="K1921" s="319" t="str">
        <f t="shared" si="1"/>
        <v/>
      </c>
    </row>
    <row r="1922" ht="15.75" customHeight="1">
      <c r="A1922" s="356"/>
      <c r="K1922" s="319" t="str">
        <f t="shared" si="1"/>
        <v/>
      </c>
    </row>
    <row r="1923" ht="15.75" customHeight="1">
      <c r="A1923" s="356"/>
      <c r="K1923" s="319" t="str">
        <f t="shared" si="1"/>
        <v/>
      </c>
    </row>
    <row r="1924" ht="15.75" customHeight="1">
      <c r="A1924" s="356"/>
      <c r="K1924" s="319" t="str">
        <f t="shared" si="1"/>
        <v/>
      </c>
    </row>
    <row r="1925" ht="15.75" customHeight="1">
      <c r="A1925" s="356"/>
      <c r="K1925" s="319" t="str">
        <f t="shared" si="1"/>
        <v/>
      </c>
    </row>
    <row r="1926" ht="15.75" customHeight="1">
      <c r="A1926" s="356"/>
      <c r="K1926" s="319" t="str">
        <f t="shared" si="1"/>
        <v/>
      </c>
    </row>
    <row r="1927" ht="15.75" customHeight="1">
      <c r="A1927" s="356"/>
      <c r="K1927" s="319" t="str">
        <f t="shared" si="1"/>
        <v/>
      </c>
    </row>
    <row r="1928" ht="15.75" customHeight="1">
      <c r="A1928" s="356"/>
      <c r="K1928" s="319" t="str">
        <f t="shared" si="1"/>
        <v/>
      </c>
    </row>
    <row r="1929" ht="15.75" customHeight="1">
      <c r="A1929" s="356"/>
      <c r="K1929" s="319" t="str">
        <f t="shared" si="1"/>
        <v/>
      </c>
    </row>
    <row r="1930" ht="15.75" customHeight="1">
      <c r="A1930" s="356"/>
      <c r="K1930" s="319" t="str">
        <f t="shared" si="1"/>
        <v/>
      </c>
    </row>
    <row r="1931" ht="15.75" customHeight="1">
      <c r="A1931" s="356"/>
      <c r="K1931" s="319" t="str">
        <f t="shared" si="1"/>
        <v/>
      </c>
    </row>
    <row r="1932" ht="15.75" customHeight="1">
      <c r="A1932" s="356"/>
      <c r="K1932" s="319" t="str">
        <f t="shared" si="1"/>
        <v/>
      </c>
    </row>
    <row r="1933" ht="15.75" customHeight="1">
      <c r="A1933" s="356"/>
      <c r="K1933" s="319" t="str">
        <f t="shared" si="1"/>
        <v/>
      </c>
    </row>
    <row r="1934" ht="15.75" customHeight="1">
      <c r="A1934" s="356"/>
      <c r="K1934" s="319" t="str">
        <f t="shared" si="1"/>
        <v/>
      </c>
    </row>
    <row r="1935" ht="15.75" customHeight="1">
      <c r="A1935" s="356"/>
      <c r="K1935" s="319" t="str">
        <f t="shared" si="1"/>
        <v/>
      </c>
    </row>
    <row r="1936" ht="15.75" customHeight="1">
      <c r="A1936" s="356"/>
      <c r="K1936" s="319" t="str">
        <f t="shared" si="1"/>
        <v/>
      </c>
    </row>
    <row r="1937" ht="15.75" customHeight="1">
      <c r="A1937" s="356"/>
      <c r="K1937" s="319" t="str">
        <f t="shared" si="1"/>
        <v/>
      </c>
    </row>
    <row r="1938" ht="15.75" customHeight="1">
      <c r="A1938" s="356"/>
      <c r="K1938" s="319" t="str">
        <f t="shared" si="1"/>
        <v/>
      </c>
    </row>
    <row r="1939" ht="15.75" customHeight="1">
      <c r="A1939" s="356"/>
      <c r="K1939" s="319" t="str">
        <f t="shared" si="1"/>
        <v/>
      </c>
    </row>
    <row r="1940" ht="15.75" customHeight="1">
      <c r="A1940" s="356"/>
      <c r="K1940" s="319" t="str">
        <f t="shared" si="1"/>
        <v/>
      </c>
    </row>
    <row r="1941" ht="15.75" customHeight="1">
      <c r="A1941" s="356"/>
      <c r="K1941" s="319" t="str">
        <f t="shared" si="1"/>
        <v/>
      </c>
    </row>
    <row r="1942" ht="15.75" customHeight="1">
      <c r="A1942" s="356"/>
      <c r="K1942" s="319" t="str">
        <f t="shared" si="1"/>
        <v/>
      </c>
    </row>
    <row r="1943" ht="15.75" customHeight="1">
      <c r="A1943" s="356"/>
      <c r="K1943" s="319" t="str">
        <f t="shared" si="1"/>
        <v/>
      </c>
    </row>
    <row r="1944" ht="15.75" customHeight="1">
      <c r="A1944" s="356"/>
      <c r="K1944" s="319" t="str">
        <f t="shared" si="1"/>
        <v/>
      </c>
    </row>
    <row r="1945" ht="15.75" customHeight="1">
      <c r="A1945" s="356"/>
      <c r="K1945" s="319" t="str">
        <f t="shared" si="1"/>
        <v/>
      </c>
    </row>
    <row r="1946" ht="15.75" customHeight="1">
      <c r="A1946" s="356"/>
      <c r="K1946" s="319" t="str">
        <f t="shared" si="1"/>
        <v/>
      </c>
    </row>
    <row r="1947" ht="15.75" customHeight="1">
      <c r="A1947" s="356"/>
      <c r="K1947" s="319" t="str">
        <f t="shared" si="1"/>
        <v/>
      </c>
    </row>
    <row r="1948" ht="15.75" customHeight="1">
      <c r="A1948" s="356"/>
      <c r="K1948" s="319" t="str">
        <f t="shared" si="1"/>
        <v/>
      </c>
    </row>
    <row r="1949" ht="15.75" customHeight="1">
      <c r="A1949" s="356"/>
      <c r="K1949" s="319" t="str">
        <f t="shared" si="1"/>
        <v/>
      </c>
    </row>
    <row r="1950" ht="15.75" customHeight="1">
      <c r="A1950" s="356"/>
      <c r="K1950" s="319" t="str">
        <f t="shared" si="1"/>
        <v/>
      </c>
    </row>
    <row r="1951" ht="15.75" customHeight="1">
      <c r="A1951" s="356"/>
      <c r="K1951" s="319" t="str">
        <f t="shared" si="1"/>
        <v/>
      </c>
    </row>
    <row r="1952" ht="15.75" customHeight="1">
      <c r="A1952" s="356"/>
      <c r="K1952" s="319" t="str">
        <f t="shared" si="1"/>
        <v/>
      </c>
    </row>
    <row r="1953" ht="15.75" customHeight="1">
      <c r="A1953" s="356"/>
      <c r="K1953" s="319" t="str">
        <f t="shared" si="1"/>
        <v/>
      </c>
    </row>
    <row r="1954" ht="15.75" customHeight="1">
      <c r="A1954" s="356"/>
      <c r="K1954" s="319" t="str">
        <f t="shared" si="1"/>
        <v/>
      </c>
    </row>
    <row r="1955" ht="15.75" customHeight="1">
      <c r="A1955" s="356"/>
      <c r="K1955" s="319" t="str">
        <f t="shared" si="1"/>
        <v/>
      </c>
    </row>
    <row r="1956" ht="15.75" customHeight="1">
      <c r="A1956" s="356"/>
      <c r="K1956" s="319" t="str">
        <f t="shared" si="1"/>
        <v/>
      </c>
    </row>
    <row r="1957" ht="15.75" customHeight="1">
      <c r="A1957" s="356"/>
      <c r="K1957" s="319" t="str">
        <f t="shared" si="1"/>
        <v/>
      </c>
    </row>
    <row r="1958" ht="15.75" customHeight="1">
      <c r="A1958" s="356"/>
      <c r="K1958" s="319" t="str">
        <f t="shared" si="1"/>
        <v/>
      </c>
    </row>
    <row r="1959" ht="15.75" customHeight="1">
      <c r="A1959" s="356"/>
      <c r="K1959" s="319" t="str">
        <f t="shared" si="1"/>
        <v/>
      </c>
    </row>
    <row r="1960" ht="15.75" customHeight="1">
      <c r="A1960" s="356"/>
      <c r="K1960" s="319" t="str">
        <f t="shared" si="1"/>
        <v/>
      </c>
    </row>
    <row r="1961" ht="15.75" customHeight="1">
      <c r="A1961" s="356"/>
      <c r="K1961" s="319" t="str">
        <f t="shared" si="1"/>
        <v/>
      </c>
    </row>
    <row r="1962" ht="15.75" customHeight="1">
      <c r="A1962" s="356"/>
      <c r="K1962" s="319" t="str">
        <f t="shared" si="1"/>
        <v/>
      </c>
    </row>
    <row r="1963" ht="15.75" customHeight="1">
      <c r="A1963" s="356"/>
      <c r="K1963" s="319" t="str">
        <f t="shared" si="1"/>
        <v/>
      </c>
    </row>
    <row r="1964" ht="15.75" customHeight="1">
      <c r="A1964" s="356"/>
      <c r="K1964" s="319" t="str">
        <f t="shared" si="1"/>
        <v/>
      </c>
    </row>
    <row r="1965" ht="15.75" customHeight="1">
      <c r="A1965" s="356"/>
      <c r="K1965" s="319" t="str">
        <f t="shared" si="1"/>
        <v/>
      </c>
    </row>
    <row r="1966" ht="15.75" customHeight="1">
      <c r="A1966" s="356"/>
      <c r="K1966" s="319" t="str">
        <f t="shared" si="1"/>
        <v/>
      </c>
    </row>
    <row r="1967" ht="15.75" customHeight="1">
      <c r="A1967" s="356"/>
      <c r="K1967" s="319" t="str">
        <f t="shared" si="1"/>
        <v/>
      </c>
    </row>
    <row r="1968" ht="15.75" customHeight="1">
      <c r="A1968" s="356"/>
      <c r="K1968" s="319" t="str">
        <f t="shared" si="1"/>
        <v/>
      </c>
    </row>
    <row r="1969" ht="15.75" customHeight="1">
      <c r="A1969" s="356"/>
      <c r="K1969" s="319" t="str">
        <f t="shared" si="1"/>
        <v/>
      </c>
    </row>
    <row r="1970" ht="15.75" customHeight="1">
      <c r="A1970" s="356"/>
      <c r="K1970" s="319" t="str">
        <f t="shared" si="1"/>
        <v/>
      </c>
    </row>
    <row r="1971" ht="15.75" customHeight="1">
      <c r="A1971" s="356"/>
      <c r="K1971" s="319" t="str">
        <f t="shared" si="1"/>
        <v/>
      </c>
    </row>
    <row r="1972" ht="15.75" customHeight="1">
      <c r="A1972" s="356"/>
      <c r="K1972" s="319" t="str">
        <f t="shared" si="1"/>
        <v/>
      </c>
    </row>
    <row r="1973" ht="15.75" customHeight="1">
      <c r="A1973" s="356"/>
      <c r="K1973" s="319" t="str">
        <f t="shared" si="1"/>
        <v/>
      </c>
    </row>
    <row r="1974" ht="15.75" customHeight="1">
      <c r="A1974" s="356"/>
      <c r="K1974" s="319" t="str">
        <f t="shared" si="1"/>
        <v/>
      </c>
    </row>
    <row r="1975" ht="15.75" customHeight="1">
      <c r="A1975" s="356"/>
      <c r="K1975" s="319" t="str">
        <f t="shared" si="1"/>
        <v/>
      </c>
    </row>
    <row r="1976" ht="15.75" customHeight="1">
      <c r="A1976" s="356"/>
      <c r="K1976" s="319" t="str">
        <f t="shared" si="1"/>
        <v/>
      </c>
    </row>
    <row r="1977" ht="15.75" customHeight="1">
      <c r="A1977" s="356"/>
      <c r="K1977" s="319" t="str">
        <f t="shared" si="1"/>
        <v/>
      </c>
    </row>
    <row r="1978" ht="15.75" customHeight="1">
      <c r="A1978" s="356"/>
      <c r="K1978" s="319" t="str">
        <f t="shared" si="1"/>
        <v/>
      </c>
    </row>
    <row r="1979" ht="15.75" customHeight="1">
      <c r="A1979" s="356"/>
      <c r="K1979" s="319" t="str">
        <f t="shared" si="1"/>
        <v/>
      </c>
    </row>
    <row r="1980" ht="15.75" customHeight="1">
      <c r="A1980" s="356"/>
      <c r="K1980" s="319" t="str">
        <f t="shared" si="1"/>
        <v/>
      </c>
    </row>
    <row r="1981" ht="15.75" customHeight="1">
      <c r="A1981" s="356"/>
      <c r="K1981" s="319" t="str">
        <f t="shared" si="1"/>
        <v/>
      </c>
    </row>
    <row r="1982" ht="15.75" customHeight="1">
      <c r="A1982" s="356"/>
      <c r="K1982" s="319" t="str">
        <f t="shared" si="1"/>
        <v/>
      </c>
    </row>
    <row r="1983" ht="15.75" customHeight="1">
      <c r="A1983" s="356"/>
      <c r="K1983" s="319" t="str">
        <f t="shared" si="1"/>
        <v/>
      </c>
    </row>
    <row r="1984" ht="15.75" customHeight="1">
      <c r="A1984" s="356"/>
      <c r="K1984" s="319" t="str">
        <f t="shared" si="1"/>
        <v/>
      </c>
    </row>
    <row r="1985" ht="15.75" customHeight="1">
      <c r="A1985" s="356"/>
      <c r="K1985" s="319" t="str">
        <f t="shared" si="1"/>
        <v/>
      </c>
    </row>
    <row r="1986" ht="15.75" customHeight="1">
      <c r="A1986" s="356"/>
      <c r="K1986" s="319" t="str">
        <f t="shared" si="1"/>
        <v/>
      </c>
    </row>
    <row r="1987" ht="15.75" customHeight="1">
      <c r="A1987" s="356"/>
      <c r="K1987" s="319" t="str">
        <f t="shared" si="1"/>
        <v/>
      </c>
    </row>
    <row r="1988" ht="15.75" customHeight="1">
      <c r="A1988" s="356"/>
      <c r="K1988" s="319" t="str">
        <f t="shared" si="1"/>
        <v/>
      </c>
    </row>
    <row r="1989" ht="15.75" customHeight="1">
      <c r="A1989" s="356"/>
      <c r="K1989" s="319" t="str">
        <f t="shared" si="1"/>
        <v/>
      </c>
    </row>
    <row r="1990" ht="15.75" customHeight="1">
      <c r="A1990" s="356"/>
      <c r="K1990" s="319" t="str">
        <f t="shared" si="1"/>
        <v/>
      </c>
    </row>
    <row r="1991" ht="15.75" customHeight="1">
      <c r="A1991" s="356"/>
      <c r="K1991" s="319" t="str">
        <f t="shared" si="1"/>
        <v/>
      </c>
    </row>
    <row r="1992" ht="15.75" customHeight="1">
      <c r="A1992" s="356"/>
      <c r="K1992" s="319" t="str">
        <f t="shared" si="1"/>
        <v/>
      </c>
    </row>
    <row r="1993" ht="15.75" customHeight="1">
      <c r="A1993" s="356"/>
      <c r="K1993" s="319" t="str">
        <f t="shared" si="1"/>
        <v/>
      </c>
    </row>
    <row r="1994" ht="15.75" customHeight="1">
      <c r="A1994" s="356"/>
      <c r="K1994" s="319" t="str">
        <f t="shared" si="1"/>
        <v/>
      </c>
    </row>
    <row r="1995" ht="15.75" customHeight="1">
      <c r="A1995" s="356"/>
      <c r="K1995" s="319" t="str">
        <f t="shared" si="1"/>
        <v/>
      </c>
    </row>
    <row r="1996" ht="15.75" customHeight="1">
      <c r="A1996" s="356"/>
      <c r="K1996" s="319" t="str">
        <f t="shared" si="1"/>
        <v/>
      </c>
    </row>
    <row r="1997" ht="15.75" customHeight="1">
      <c r="A1997" s="356"/>
      <c r="K1997" s="319" t="str">
        <f t="shared" si="1"/>
        <v/>
      </c>
    </row>
    <row r="1998" ht="15.75" customHeight="1">
      <c r="A1998" s="356"/>
      <c r="K1998" s="319" t="str">
        <f t="shared" si="1"/>
        <v/>
      </c>
    </row>
    <row r="1999" ht="15.75" customHeight="1">
      <c r="A1999" s="356"/>
      <c r="K1999" s="319" t="str">
        <f t="shared" si="1"/>
        <v/>
      </c>
    </row>
    <row r="2000" ht="15.75" customHeight="1">
      <c r="A2000" s="356"/>
      <c r="K2000" s="319" t="str">
        <f t="shared" si="1"/>
        <v/>
      </c>
    </row>
    <row r="2001" ht="15.75" customHeight="1">
      <c r="A2001" s="356"/>
      <c r="K2001" s="319" t="str">
        <f t="shared" si="1"/>
        <v/>
      </c>
    </row>
    <row r="2002" ht="15.75" customHeight="1">
      <c r="A2002" s="356"/>
      <c r="K2002" s="319" t="str">
        <f t="shared" si="1"/>
        <v/>
      </c>
    </row>
    <row r="2003" ht="15.75" customHeight="1">
      <c r="A2003" s="356"/>
      <c r="K2003" s="319" t="str">
        <f t="shared" si="1"/>
        <v/>
      </c>
    </row>
    <row r="2004" ht="15.75" customHeight="1">
      <c r="A2004" s="356"/>
      <c r="K2004" s="319" t="str">
        <f t="shared" si="1"/>
        <v/>
      </c>
    </row>
    <row r="2005" ht="15.75" customHeight="1">
      <c r="A2005" s="356"/>
      <c r="K2005" s="319" t="str">
        <f t="shared" si="1"/>
        <v/>
      </c>
    </row>
    <row r="2006" ht="15.75" customHeight="1">
      <c r="A2006" s="356"/>
      <c r="K2006" s="319" t="str">
        <f t="shared" si="1"/>
        <v/>
      </c>
    </row>
    <row r="2007" ht="15.75" customHeight="1">
      <c r="A2007" s="356"/>
      <c r="K2007" s="319" t="str">
        <f t="shared" si="1"/>
        <v/>
      </c>
    </row>
    <row r="2008" ht="15.75" customHeight="1">
      <c r="A2008" s="356"/>
      <c r="K2008" s="319" t="str">
        <f t="shared" si="1"/>
        <v/>
      </c>
    </row>
    <row r="2009" ht="15.75" customHeight="1">
      <c r="A2009" s="356"/>
      <c r="K2009" s="319" t="str">
        <f t="shared" si="1"/>
        <v/>
      </c>
    </row>
    <row r="2010" ht="15.75" customHeight="1">
      <c r="A2010" s="356"/>
      <c r="K2010" s="319" t="str">
        <f t="shared" si="1"/>
        <v/>
      </c>
    </row>
    <row r="2011" ht="15.75" customHeight="1">
      <c r="A2011" s="356"/>
      <c r="K2011" s="319" t="str">
        <f t="shared" si="1"/>
        <v/>
      </c>
    </row>
    <row r="2012" ht="15.75" customHeight="1">
      <c r="A2012" s="356"/>
      <c r="K2012" s="319" t="str">
        <f t="shared" si="1"/>
        <v/>
      </c>
    </row>
    <row r="2013" ht="15.75" customHeight="1">
      <c r="A2013" s="356"/>
      <c r="K2013" s="319" t="str">
        <f t="shared" si="1"/>
        <v/>
      </c>
    </row>
    <row r="2014" ht="15.75" customHeight="1">
      <c r="A2014" s="356"/>
      <c r="K2014" s="319" t="str">
        <f t="shared" si="1"/>
        <v/>
      </c>
    </row>
    <row r="2015" ht="15.75" customHeight="1">
      <c r="A2015" s="356"/>
      <c r="K2015" s="319" t="str">
        <f t="shared" si="1"/>
        <v/>
      </c>
    </row>
    <row r="2016" ht="15.75" customHeight="1">
      <c r="A2016" s="356"/>
      <c r="K2016" s="319" t="str">
        <f t="shared" si="1"/>
        <v/>
      </c>
    </row>
    <row r="2017" ht="15.75" customHeight="1">
      <c r="A2017" s="356"/>
      <c r="K2017" s="319" t="str">
        <f t="shared" si="1"/>
        <v/>
      </c>
    </row>
    <row r="2018" ht="15.75" customHeight="1">
      <c r="A2018" s="356"/>
      <c r="K2018" s="319" t="str">
        <f t="shared" si="1"/>
        <v/>
      </c>
    </row>
    <row r="2019" ht="15.75" customHeight="1">
      <c r="A2019" s="356"/>
      <c r="K2019" s="319" t="str">
        <f t="shared" si="1"/>
        <v/>
      </c>
    </row>
    <row r="2020" ht="15.75" customHeight="1">
      <c r="A2020" s="356"/>
      <c r="K2020" s="319" t="str">
        <f t="shared" si="1"/>
        <v/>
      </c>
    </row>
    <row r="2021" ht="15.75" customHeight="1">
      <c r="A2021" s="356"/>
      <c r="K2021" s="319" t="str">
        <f t="shared" si="1"/>
        <v/>
      </c>
    </row>
    <row r="2022" ht="15.75" customHeight="1">
      <c r="A2022" s="356"/>
      <c r="K2022" s="319" t="str">
        <f t="shared" si="1"/>
        <v/>
      </c>
    </row>
    <row r="2023" ht="15.75" customHeight="1">
      <c r="A2023" s="356"/>
      <c r="K2023" s="319" t="str">
        <f t="shared" si="1"/>
        <v/>
      </c>
    </row>
    <row r="2024" ht="15.75" customHeight="1">
      <c r="A2024" s="356"/>
      <c r="K2024" s="319" t="str">
        <f t="shared" si="1"/>
        <v/>
      </c>
    </row>
    <row r="2025" ht="15.75" customHeight="1">
      <c r="A2025" s="356"/>
      <c r="K2025" s="319" t="str">
        <f t="shared" si="1"/>
        <v/>
      </c>
    </row>
    <row r="2026" ht="15.75" customHeight="1">
      <c r="A2026" s="356"/>
      <c r="K2026" s="319" t="str">
        <f t="shared" si="1"/>
        <v/>
      </c>
    </row>
    <row r="2027" ht="15.75" customHeight="1">
      <c r="A2027" s="356"/>
      <c r="K2027" s="319" t="str">
        <f t="shared" si="1"/>
        <v/>
      </c>
    </row>
    <row r="2028" ht="15.75" customHeight="1">
      <c r="A2028" s="356"/>
      <c r="K2028" s="319" t="str">
        <f t="shared" si="1"/>
        <v/>
      </c>
    </row>
    <row r="2029" ht="15.75" customHeight="1">
      <c r="A2029" s="356"/>
      <c r="K2029" s="319" t="str">
        <f t="shared" si="1"/>
        <v/>
      </c>
    </row>
    <row r="2030" ht="15.75" customHeight="1">
      <c r="A2030" s="356"/>
      <c r="K2030" s="319" t="str">
        <f t="shared" si="1"/>
        <v/>
      </c>
    </row>
    <row r="2031" ht="15.75" customHeight="1">
      <c r="A2031" s="356"/>
      <c r="K2031" s="319" t="str">
        <f t="shared" si="1"/>
        <v/>
      </c>
    </row>
    <row r="2032" ht="15.75" customHeight="1">
      <c r="A2032" s="356"/>
      <c r="K2032" s="319" t="str">
        <f t="shared" si="1"/>
        <v/>
      </c>
    </row>
    <row r="2033" ht="15.75" customHeight="1">
      <c r="A2033" s="356"/>
      <c r="K2033" s="319" t="str">
        <f t="shared" si="1"/>
        <v/>
      </c>
    </row>
    <row r="2034" ht="15.75" customHeight="1">
      <c r="A2034" s="356"/>
      <c r="K2034" s="319" t="str">
        <f t="shared" si="1"/>
        <v/>
      </c>
    </row>
    <row r="2035" ht="15.75" customHeight="1">
      <c r="A2035" s="356"/>
      <c r="K2035" s="319" t="str">
        <f t="shared" si="1"/>
        <v/>
      </c>
    </row>
    <row r="2036" ht="15.75" customHeight="1">
      <c r="A2036" s="356"/>
      <c r="K2036" s="319" t="str">
        <f t="shared" si="1"/>
        <v/>
      </c>
    </row>
    <row r="2037" ht="15.75" customHeight="1">
      <c r="A2037" s="356"/>
      <c r="K2037" s="319" t="str">
        <f t="shared" si="1"/>
        <v/>
      </c>
    </row>
    <row r="2038" ht="15.75" customHeight="1">
      <c r="A2038" s="356"/>
      <c r="K2038" s="319" t="str">
        <f t="shared" si="1"/>
        <v/>
      </c>
    </row>
    <row r="2039" ht="15.75" customHeight="1">
      <c r="A2039" s="356"/>
      <c r="K2039" s="319" t="str">
        <f t="shared" si="1"/>
        <v/>
      </c>
    </row>
    <row r="2040" ht="15.75" customHeight="1">
      <c r="A2040" s="356"/>
      <c r="K2040" s="319" t="str">
        <f t="shared" si="1"/>
        <v/>
      </c>
    </row>
    <row r="2041" ht="15.75" customHeight="1">
      <c r="A2041" s="356"/>
      <c r="K2041" s="319" t="str">
        <f t="shared" si="1"/>
        <v/>
      </c>
    </row>
    <row r="2042" ht="15.75" customHeight="1">
      <c r="A2042" s="356"/>
      <c r="K2042" s="319" t="str">
        <f t="shared" si="1"/>
        <v/>
      </c>
    </row>
    <row r="2043" ht="15.75" customHeight="1">
      <c r="A2043" s="356"/>
      <c r="K2043" s="319" t="str">
        <f t="shared" si="1"/>
        <v/>
      </c>
    </row>
    <row r="2044" ht="15.75" customHeight="1">
      <c r="A2044" s="356"/>
      <c r="K2044" s="319" t="str">
        <f t="shared" si="1"/>
        <v/>
      </c>
    </row>
    <row r="2045" ht="15.75" customHeight="1">
      <c r="A2045" s="356"/>
      <c r="K2045" s="319" t="str">
        <f t="shared" si="1"/>
        <v/>
      </c>
    </row>
    <row r="2046" ht="15.75" customHeight="1">
      <c r="A2046" s="356"/>
      <c r="K2046" s="319" t="str">
        <f t="shared" si="1"/>
        <v/>
      </c>
    </row>
    <row r="2047" ht="15.75" customHeight="1">
      <c r="A2047" s="356"/>
      <c r="K2047" s="319" t="str">
        <f t="shared" si="1"/>
        <v/>
      </c>
    </row>
    <row r="2048" ht="15.75" customHeight="1">
      <c r="A2048" s="356"/>
      <c r="K2048" s="319" t="str">
        <f t="shared" si="1"/>
        <v/>
      </c>
    </row>
    <row r="2049" ht="15.75" customHeight="1">
      <c r="A2049" s="356"/>
      <c r="K2049" s="319" t="str">
        <f t="shared" si="1"/>
        <v/>
      </c>
    </row>
    <row r="2050" ht="15.75" customHeight="1">
      <c r="A2050" s="356"/>
      <c r="K2050" s="319" t="str">
        <f t="shared" si="1"/>
        <v/>
      </c>
    </row>
    <row r="2051" ht="15.75" customHeight="1">
      <c r="A2051" s="356"/>
      <c r="K2051" s="319" t="str">
        <f t="shared" si="1"/>
        <v/>
      </c>
    </row>
    <row r="2052" ht="15.75" customHeight="1">
      <c r="A2052" s="356"/>
      <c r="K2052" s="319" t="str">
        <f t="shared" si="1"/>
        <v/>
      </c>
    </row>
    <row r="2053" ht="15.75" customHeight="1">
      <c r="A2053" s="356"/>
      <c r="K2053" s="319" t="str">
        <f t="shared" si="1"/>
        <v/>
      </c>
    </row>
    <row r="2054" ht="15.75" customHeight="1">
      <c r="A2054" s="356"/>
      <c r="K2054" s="319" t="str">
        <f t="shared" si="1"/>
        <v/>
      </c>
    </row>
    <row r="2055" ht="15.75" customHeight="1">
      <c r="A2055" s="356"/>
      <c r="K2055" s="319" t="str">
        <f t="shared" si="1"/>
        <v/>
      </c>
    </row>
    <row r="2056" ht="15.75" customHeight="1">
      <c r="A2056" s="356"/>
      <c r="K2056" s="319" t="str">
        <f t="shared" si="1"/>
        <v/>
      </c>
    </row>
    <row r="2057" ht="15.75" customHeight="1">
      <c r="A2057" s="356"/>
      <c r="K2057" s="319" t="str">
        <f t="shared" si="1"/>
        <v/>
      </c>
    </row>
    <row r="2058" ht="15.75" customHeight="1">
      <c r="A2058" s="356"/>
      <c r="K2058" s="319" t="str">
        <f t="shared" si="1"/>
        <v/>
      </c>
    </row>
    <row r="2059" ht="15.75" customHeight="1">
      <c r="A2059" s="356"/>
      <c r="K2059" s="319" t="str">
        <f t="shared" si="1"/>
        <v/>
      </c>
    </row>
    <row r="2060" ht="15.75" customHeight="1">
      <c r="A2060" s="356"/>
      <c r="K2060" s="319" t="str">
        <f t="shared" si="1"/>
        <v/>
      </c>
    </row>
    <row r="2061" ht="15.75" customHeight="1">
      <c r="A2061" s="356"/>
      <c r="K2061" s="319" t="str">
        <f t="shared" si="1"/>
        <v/>
      </c>
    </row>
    <row r="2062" ht="15.75" customHeight="1">
      <c r="A2062" s="356"/>
      <c r="K2062" s="319" t="str">
        <f t="shared" si="1"/>
        <v/>
      </c>
    </row>
    <row r="2063" ht="15.75" customHeight="1">
      <c r="A2063" s="356"/>
      <c r="K2063" s="319" t="str">
        <f t="shared" si="1"/>
        <v/>
      </c>
    </row>
    <row r="2064" ht="15.75" customHeight="1">
      <c r="A2064" s="356"/>
      <c r="K2064" s="319" t="str">
        <f t="shared" si="1"/>
        <v/>
      </c>
    </row>
    <row r="2065" ht="15.75" customHeight="1">
      <c r="A2065" s="356"/>
      <c r="K2065" s="319" t="str">
        <f t="shared" si="1"/>
        <v/>
      </c>
    </row>
    <row r="2066" ht="15.75" customHeight="1">
      <c r="A2066" s="356"/>
      <c r="K2066" s="319" t="str">
        <f t="shared" si="1"/>
        <v/>
      </c>
    </row>
    <row r="2067" ht="15.75" customHeight="1">
      <c r="A2067" s="356"/>
      <c r="K2067" s="319" t="str">
        <f t="shared" si="1"/>
        <v/>
      </c>
    </row>
    <row r="2068" ht="15.75" customHeight="1">
      <c r="A2068" s="356"/>
      <c r="K2068" s="319" t="str">
        <f t="shared" si="1"/>
        <v/>
      </c>
    </row>
    <row r="2069" ht="15.75" customHeight="1">
      <c r="A2069" s="356"/>
      <c r="K2069" s="319" t="str">
        <f t="shared" si="1"/>
        <v/>
      </c>
    </row>
    <row r="2070" ht="15.75" customHeight="1">
      <c r="A2070" s="356"/>
      <c r="K2070" s="319" t="str">
        <f t="shared" si="1"/>
        <v/>
      </c>
    </row>
    <row r="2071" ht="15.75" customHeight="1">
      <c r="A2071" s="356"/>
      <c r="K2071" s="319" t="str">
        <f t="shared" si="1"/>
        <v/>
      </c>
    </row>
    <row r="2072" ht="15.75" customHeight="1">
      <c r="A2072" s="356"/>
      <c r="K2072" s="319" t="str">
        <f t="shared" si="1"/>
        <v/>
      </c>
    </row>
    <row r="2073" ht="15.75" customHeight="1">
      <c r="A2073" s="356"/>
      <c r="K2073" s="319" t="str">
        <f t="shared" si="1"/>
        <v/>
      </c>
    </row>
    <row r="2074" ht="15.75" customHeight="1">
      <c r="A2074" s="356"/>
      <c r="K2074" s="319" t="str">
        <f t="shared" si="1"/>
        <v/>
      </c>
    </row>
    <row r="2075" ht="15.75" customHeight="1">
      <c r="A2075" s="356"/>
      <c r="K2075" s="319" t="str">
        <f t="shared" si="1"/>
        <v/>
      </c>
    </row>
    <row r="2076" ht="15.75" customHeight="1">
      <c r="A2076" s="356"/>
      <c r="K2076" s="319" t="str">
        <f t="shared" si="1"/>
        <v/>
      </c>
    </row>
    <row r="2077" ht="15.75" customHeight="1">
      <c r="A2077" s="356"/>
      <c r="K2077" s="319" t="str">
        <f t="shared" si="1"/>
        <v/>
      </c>
    </row>
    <row r="2078" ht="15.75" customHeight="1">
      <c r="A2078" s="356"/>
      <c r="K2078" s="319" t="str">
        <f t="shared" si="1"/>
        <v/>
      </c>
    </row>
    <row r="2079" ht="15.75" customHeight="1">
      <c r="A2079" s="356"/>
      <c r="K2079" s="319" t="str">
        <f t="shared" si="1"/>
        <v/>
      </c>
    </row>
    <row r="2080" ht="15.75" customHeight="1">
      <c r="A2080" s="356"/>
      <c r="K2080" s="319" t="str">
        <f t="shared" si="1"/>
        <v/>
      </c>
    </row>
    <row r="2081" ht="15.75" customHeight="1">
      <c r="A2081" s="356"/>
      <c r="K2081" s="319" t="str">
        <f t="shared" si="1"/>
        <v/>
      </c>
    </row>
    <row r="2082" ht="15.75" customHeight="1">
      <c r="A2082" s="356"/>
      <c r="K2082" s="319" t="str">
        <f t="shared" si="1"/>
        <v/>
      </c>
    </row>
    <row r="2083" ht="15.75" customHeight="1">
      <c r="A2083" s="356"/>
      <c r="K2083" s="319" t="str">
        <f t="shared" si="1"/>
        <v/>
      </c>
    </row>
    <row r="2084" ht="15.75" customHeight="1">
      <c r="A2084" s="356"/>
      <c r="K2084" s="319" t="str">
        <f t="shared" si="1"/>
        <v/>
      </c>
    </row>
    <row r="2085" ht="15.75" customHeight="1">
      <c r="A2085" s="356"/>
      <c r="K2085" s="319" t="str">
        <f t="shared" si="1"/>
        <v/>
      </c>
    </row>
    <row r="2086" ht="15.75" customHeight="1">
      <c r="A2086" s="356"/>
      <c r="K2086" s="319" t="str">
        <f t="shared" si="1"/>
        <v/>
      </c>
    </row>
    <row r="2087" ht="15.75" customHeight="1">
      <c r="A2087" s="356"/>
      <c r="K2087" s="319" t="str">
        <f t="shared" si="1"/>
        <v/>
      </c>
    </row>
    <row r="2088" ht="15.75" customHeight="1">
      <c r="A2088" s="356"/>
      <c r="K2088" s="319" t="str">
        <f t="shared" si="1"/>
        <v/>
      </c>
    </row>
    <row r="2089" ht="15.75" customHeight="1">
      <c r="A2089" s="356"/>
      <c r="K2089" s="319" t="str">
        <f t="shared" si="1"/>
        <v/>
      </c>
    </row>
    <row r="2090" ht="15.75" customHeight="1">
      <c r="A2090" s="356"/>
      <c r="K2090" s="319" t="str">
        <f t="shared" si="1"/>
        <v/>
      </c>
    </row>
    <row r="2091" ht="15.75" customHeight="1">
      <c r="A2091" s="356"/>
      <c r="K2091" s="319" t="str">
        <f t="shared" si="1"/>
        <v/>
      </c>
    </row>
    <row r="2092" ht="15.75" customHeight="1">
      <c r="A2092" s="356"/>
      <c r="K2092" s="319" t="str">
        <f t="shared" si="1"/>
        <v/>
      </c>
    </row>
    <row r="2093" ht="15.75" customHeight="1">
      <c r="A2093" s="356"/>
      <c r="K2093" s="319" t="str">
        <f t="shared" si="1"/>
        <v/>
      </c>
    </row>
    <row r="2094" ht="15.75" customHeight="1">
      <c r="A2094" s="356"/>
      <c r="K2094" s="319" t="str">
        <f t="shared" si="1"/>
        <v/>
      </c>
    </row>
    <row r="2095" ht="15.75" customHeight="1">
      <c r="A2095" s="356"/>
      <c r="K2095" s="319" t="str">
        <f t="shared" si="1"/>
        <v/>
      </c>
    </row>
    <row r="2096" ht="15.75" customHeight="1">
      <c r="A2096" s="356"/>
      <c r="K2096" s="319" t="str">
        <f t="shared" si="1"/>
        <v/>
      </c>
    </row>
    <row r="2097" ht="15.75" customHeight="1">
      <c r="A2097" s="356"/>
      <c r="K2097" s="319" t="str">
        <f t="shared" si="1"/>
        <v/>
      </c>
    </row>
    <row r="2098" ht="15.75" customHeight="1">
      <c r="A2098" s="356"/>
      <c r="K2098" s="319" t="str">
        <f t="shared" si="1"/>
        <v/>
      </c>
    </row>
    <row r="2099" ht="15.75" customHeight="1">
      <c r="A2099" s="356"/>
      <c r="K2099" s="319" t="str">
        <f t="shared" si="1"/>
        <v/>
      </c>
    </row>
    <row r="2100" ht="15.75" customHeight="1">
      <c r="A2100" s="356"/>
      <c r="K2100" s="319" t="str">
        <f t="shared" si="1"/>
        <v/>
      </c>
    </row>
    <row r="2101" ht="15.75" customHeight="1">
      <c r="A2101" s="356"/>
      <c r="K2101" s="319" t="str">
        <f t="shared" si="1"/>
        <v/>
      </c>
    </row>
    <row r="2102" ht="15.75" customHeight="1">
      <c r="A2102" s="356"/>
      <c r="K2102" s="319" t="str">
        <f t="shared" si="1"/>
        <v/>
      </c>
    </row>
    <row r="2103" ht="15.75" customHeight="1">
      <c r="A2103" s="356"/>
      <c r="K2103" s="319" t="str">
        <f t="shared" si="1"/>
        <v/>
      </c>
    </row>
    <row r="2104" ht="15.75" customHeight="1">
      <c r="A2104" s="356"/>
      <c r="K2104" s="319" t="str">
        <f t="shared" si="1"/>
        <v/>
      </c>
    </row>
    <row r="2105" ht="15.75" customHeight="1">
      <c r="A2105" s="356"/>
      <c r="K2105" s="319" t="str">
        <f t="shared" si="1"/>
        <v/>
      </c>
    </row>
    <row r="2106" ht="15.75" customHeight="1">
      <c r="A2106" s="356"/>
      <c r="K2106" s="319" t="str">
        <f t="shared" si="1"/>
        <v/>
      </c>
    </row>
    <row r="2107" ht="15.75" customHeight="1">
      <c r="A2107" s="356"/>
      <c r="K2107" s="319" t="str">
        <f t="shared" si="1"/>
        <v/>
      </c>
    </row>
    <row r="2108" ht="15.75" customHeight="1">
      <c r="A2108" s="356"/>
      <c r="K2108" s="319" t="str">
        <f t="shared" si="1"/>
        <v/>
      </c>
    </row>
    <row r="2109" ht="15.75" customHeight="1">
      <c r="A2109" s="356"/>
      <c r="K2109" s="319" t="str">
        <f t="shared" si="1"/>
        <v/>
      </c>
    </row>
    <row r="2110" ht="15.75" customHeight="1">
      <c r="A2110" s="356"/>
      <c r="K2110" s="319" t="str">
        <f t="shared" si="1"/>
        <v/>
      </c>
    </row>
    <row r="2111" ht="15.75" customHeight="1">
      <c r="A2111" s="356"/>
      <c r="K2111" s="319" t="str">
        <f t="shared" si="1"/>
        <v/>
      </c>
    </row>
    <row r="2112" ht="15.75" customHeight="1">
      <c r="A2112" s="356"/>
      <c r="K2112" s="319" t="str">
        <f t="shared" si="1"/>
        <v/>
      </c>
    </row>
    <row r="2113" ht="15.75" customHeight="1">
      <c r="A2113" s="356"/>
      <c r="K2113" s="319" t="str">
        <f t="shared" si="1"/>
        <v/>
      </c>
    </row>
    <row r="2114" ht="15.75" customHeight="1">
      <c r="A2114" s="356"/>
      <c r="K2114" s="319" t="str">
        <f t="shared" si="1"/>
        <v/>
      </c>
    </row>
    <row r="2115" ht="15.75" customHeight="1">
      <c r="A2115" s="356"/>
      <c r="K2115" s="319" t="str">
        <f t="shared" si="1"/>
        <v/>
      </c>
    </row>
    <row r="2116" ht="15.75" customHeight="1">
      <c r="A2116" s="356"/>
      <c r="K2116" s="319" t="str">
        <f t="shared" si="1"/>
        <v/>
      </c>
    </row>
    <row r="2117" ht="15.75" customHeight="1">
      <c r="A2117" s="356"/>
      <c r="K2117" s="319" t="str">
        <f t="shared" si="1"/>
        <v/>
      </c>
    </row>
    <row r="2118" ht="15.75" customHeight="1">
      <c r="A2118" s="356"/>
      <c r="K2118" s="319" t="str">
        <f t="shared" si="1"/>
        <v/>
      </c>
    </row>
    <row r="2119" ht="15.75" customHeight="1">
      <c r="A2119" s="356"/>
      <c r="K2119" s="319" t="str">
        <f t="shared" si="1"/>
        <v/>
      </c>
    </row>
    <row r="2120" ht="15.75" customHeight="1">
      <c r="A2120" s="356"/>
      <c r="K2120" s="319" t="str">
        <f t="shared" si="1"/>
        <v/>
      </c>
    </row>
    <row r="2121" ht="15.75" customHeight="1">
      <c r="A2121" s="356"/>
      <c r="K2121" s="319" t="str">
        <f t="shared" si="1"/>
        <v/>
      </c>
    </row>
    <row r="2122" ht="15.75" customHeight="1">
      <c r="A2122" s="356"/>
      <c r="K2122" s="319" t="str">
        <f t="shared" si="1"/>
        <v/>
      </c>
    </row>
    <row r="2123" ht="15.75" customHeight="1">
      <c r="A2123" s="356"/>
      <c r="K2123" s="319" t="str">
        <f t="shared" si="1"/>
        <v/>
      </c>
    </row>
    <row r="2124" ht="15.75" customHeight="1">
      <c r="A2124" s="356"/>
      <c r="K2124" s="319" t="str">
        <f t="shared" si="1"/>
        <v/>
      </c>
    </row>
    <row r="2125" ht="15.75" customHeight="1">
      <c r="A2125" s="356"/>
      <c r="K2125" s="319" t="str">
        <f t="shared" si="1"/>
        <v/>
      </c>
    </row>
    <row r="2126" ht="15.75" customHeight="1">
      <c r="A2126" s="356"/>
      <c r="K2126" s="319" t="str">
        <f t="shared" si="1"/>
        <v/>
      </c>
    </row>
    <row r="2127" ht="15.75" customHeight="1">
      <c r="A2127" s="356"/>
      <c r="K2127" s="319" t="str">
        <f t="shared" si="1"/>
        <v/>
      </c>
    </row>
    <row r="2128" ht="15.75" customHeight="1">
      <c r="A2128" s="356"/>
      <c r="K2128" s="319" t="str">
        <f t="shared" si="1"/>
        <v/>
      </c>
    </row>
    <row r="2129" ht="15.75" customHeight="1">
      <c r="A2129" s="356"/>
      <c r="K2129" s="319" t="str">
        <f t="shared" si="1"/>
        <v/>
      </c>
    </row>
    <row r="2130" ht="15.75" customHeight="1">
      <c r="A2130" s="356"/>
      <c r="K2130" s="319" t="str">
        <f t="shared" si="1"/>
        <v/>
      </c>
    </row>
    <row r="2131" ht="15.75" customHeight="1">
      <c r="A2131" s="356"/>
      <c r="K2131" s="319" t="str">
        <f t="shared" si="1"/>
        <v/>
      </c>
    </row>
    <row r="2132" ht="15.75" customHeight="1">
      <c r="A2132" s="356"/>
      <c r="K2132" s="319" t="str">
        <f t="shared" si="1"/>
        <v/>
      </c>
    </row>
    <row r="2133" ht="15.75" customHeight="1">
      <c r="A2133" s="356"/>
      <c r="K2133" s="319" t="str">
        <f t="shared" si="1"/>
        <v/>
      </c>
    </row>
    <row r="2134" ht="15.75" customHeight="1">
      <c r="A2134" s="356"/>
      <c r="K2134" s="319" t="str">
        <f t="shared" si="1"/>
        <v/>
      </c>
    </row>
    <row r="2135" ht="15.75" customHeight="1">
      <c r="A2135" s="356"/>
      <c r="K2135" s="319" t="str">
        <f t="shared" si="1"/>
        <v/>
      </c>
    </row>
    <row r="2136" ht="15.75" customHeight="1">
      <c r="A2136" s="356"/>
      <c r="K2136" s="319" t="str">
        <f t="shared" si="1"/>
        <v/>
      </c>
    </row>
    <row r="2137" ht="15.75" customHeight="1">
      <c r="A2137" s="356"/>
      <c r="K2137" s="319" t="str">
        <f t="shared" si="1"/>
        <v/>
      </c>
    </row>
    <row r="2138" ht="15.75" customHeight="1">
      <c r="A2138" s="356"/>
      <c r="K2138" s="319" t="str">
        <f t="shared" si="1"/>
        <v/>
      </c>
    </row>
    <row r="2139" ht="15.75" customHeight="1">
      <c r="A2139" s="356"/>
      <c r="K2139" s="319" t="str">
        <f t="shared" si="1"/>
        <v/>
      </c>
    </row>
    <row r="2140" ht="15.75" customHeight="1">
      <c r="A2140" s="356"/>
      <c r="K2140" s="319" t="str">
        <f t="shared" si="1"/>
        <v/>
      </c>
    </row>
    <row r="2141" ht="15.75" customHeight="1">
      <c r="A2141" s="356"/>
      <c r="K2141" s="319" t="str">
        <f t="shared" si="1"/>
        <v/>
      </c>
    </row>
    <row r="2142" ht="15.75" customHeight="1">
      <c r="A2142" s="356"/>
      <c r="K2142" s="319" t="str">
        <f t="shared" si="1"/>
        <v/>
      </c>
    </row>
    <row r="2143" ht="15.75" customHeight="1">
      <c r="A2143" s="356"/>
      <c r="K2143" s="319" t="str">
        <f t="shared" si="1"/>
        <v/>
      </c>
    </row>
    <row r="2144" ht="15.75" customHeight="1">
      <c r="A2144" s="356"/>
      <c r="K2144" s="319" t="str">
        <f t="shared" si="1"/>
        <v/>
      </c>
    </row>
    <row r="2145" ht="15.75" customHeight="1">
      <c r="A2145" s="356"/>
      <c r="K2145" s="319" t="str">
        <f t="shared" si="1"/>
        <v/>
      </c>
    </row>
    <row r="2146" ht="15.75" customHeight="1">
      <c r="A2146" s="356"/>
      <c r="K2146" s="319" t="str">
        <f t="shared" si="1"/>
        <v/>
      </c>
    </row>
    <row r="2147" ht="15.75" customHeight="1">
      <c r="A2147" s="356"/>
      <c r="K2147" s="319" t="str">
        <f t="shared" si="1"/>
        <v/>
      </c>
    </row>
    <row r="2148" ht="15.75" customHeight="1">
      <c r="A2148" s="356"/>
      <c r="K2148" s="319" t="str">
        <f t="shared" si="1"/>
        <v/>
      </c>
    </row>
    <row r="2149" ht="15.75" customHeight="1">
      <c r="A2149" s="356"/>
      <c r="K2149" s="319" t="str">
        <f t="shared" si="1"/>
        <v/>
      </c>
    </row>
    <row r="2150" ht="15.75" customHeight="1">
      <c r="A2150" s="356"/>
      <c r="K2150" s="319" t="str">
        <f t="shared" si="1"/>
        <v/>
      </c>
    </row>
    <row r="2151" ht="15.75" customHeight="1">
      <c r="A2151" s="356"/>
      <c r="K2151" s="319" t="str">
        <f t="shared" si="1"/>
        <v/>
      </c>
    </row>
    <row r="2152" ht="15.75" customHeight="1">
      <c r="A2152" s="356"/>
      <c r="K2152" s="319" t="str">
        <f t="shared" si="1"/>
        <v/>
      </c>
    </row>
    <row r="2153" ht="15.75" customHeight="1">
      <c r="A2153" s="356"/>
      <c r="K2153" s="319" t="str">
        <f t="shared" si="1"/>
        <v/>
      </c>
    </row>
    <row r="2154" ht="15.75" customHeight="1">
      <c r="A2154" s="356"/>
      <c r="K2154" s="319" t="str">
        <f t="shared" si="1"/>
        <v/>
      </c>
    </row>
    <row r="2155" ht="15.75" customHeight="1">
      <c r="A2155" s="356"/>
      <c r="K2155" s="319" t="str">
        <f t="shared" si="1"/>
        <v/>
      </c>
    </row>
    <row r="2156" ht="15.75" customHeight="1">
      <c r="A2156" s="356"/>
      <c r="K2156" s="319" t="str">
        <f t="shared" si="1"/>
        <v/>
      </c>
    </row>
    <row r="2157" ht="15.75" customHeight="1">
      <c r="A2157" s="356"/>
      <c r="K2157" s="319" t="str">
        <f t="shared" si="1"/>
        <v/>
      </c>
    </row>
    <row r="2158" ht="15.75" customHeight="1">
      <c r="A2158" s="356"/>
      <c r="K2158" s="319" t="str">
        <f t="shared" si="1"/>
        <v/>
      </c>
    </row>
    <row r="2159" ht="15.75" customHeight="1">
      <c r="A2159" s="356"/>
      <c r="K2159" s="319" t="str">
        <f t="shared" si="1"/>
        <v/>
      </c>
    </row>
    <row r="2160" ht="15.75" customHeight="1">
      <c r="A2160" s="356"/>
      <c r="K2160" s="319" t="str">
        <f t="shared" si="1"/>
        <v/>
      </c>
    </row>
    <row r="2161" ht="15.75" customHeight="1">
      <c r="A2161" s="356"/>
      <c r="K2161" s="319" t="str">
        <f t="shared" si="1"/>
        <v/>
      </c>
    </row>
    <row r="2162" ht="15.75" customHeight="1">
      <c r="A2162" s="356"/>
      <c r="K2162" s="319" t="str">
        <f t="shared" si="1"/>
        <v/>
      </c>
    </row>
    <row r="2163" ht="15.75" customHeight="1">
      <c r="A2163" s="356"/>
      <c r="K2163" s="319" t="str">
        <f t="shared" si="1"/>
        <v/>
      </c>
    </row>
    <row r="2164" ht="15.75" customHeight="1">
      <c r="A2164" s="356"/>
      <c r="K2164" s="319" t="str">
        <f t="shared" si="1"/>
        <v/>
      </c>
    </row>
    <row r="2165" ht="15.75" customHeight="1">
      <c r="A2165" s="356"/>
      <c r="K2165" s="319" t="str">
        <f t="shared" si="1"/>
        <v/>
      </c>
    </row>
    <row r="2166" ht="15.75" customHeight="1">
      <c r="A2166" s="356"/>
      <c r="K2166" s="319" t="str">
        <f t="shared" si="1"/>
        <v/>
      </c>
    </row>
    <row r="2167" ht="15.75" customHeight="1">
      <c r="A2167" s="356"/>
      <c r="K2167" s="319" t="str">
        <f t="shared" si="1"/>
        <v/>
      </c>
    </row>
    <row r="2168" ht="15.75" customHeight="1">
      <c r="A2168" s="356"/>
      <c r="K2168" s="319" t="str">
        <f t="shared" si="1"/>
        <v/>
      </c>
    </row>
    <row r="2169" ht="15.75" customHeight="1">
      <c r="A2169" s="356"/>
      <c r="K2169" s="319" t="str">
        <f t="shared" si="1"/>
        <v/>
      </c>
    </row>
    <row r="2170" ht="15.75" customHeight="1">
      <c r="A2170" s="356"/>
      <c r="K2170" s="319" t="str">
        <f t="shared" si="1"/>
        <v/>
      </c>
    </row>
    <row r="2171" ht="15.75" customHeight="1">
      <c r="A2171" s="356"/>
      <c r="K2171" s="319" t="str">
        <f t="shared" si="1"/>
        <v/>
      </c>
    </row>
    <row r="2172" ht="15.75" customHeight="1">
      <c r="A2172" s="356"/>
      <c r="K2172" s="319" t="str">
        <f t="shared" si="1"/>
        <v/>
      </c>
    </row>
    <row r="2173" ht="15.75" customHeight="1">
      <c r="A2173" s="356"/>
      <c r="K2173" s="319" t="str">
        <f t="shared" si="1"/>
        <v/>
      </c>
    </row>
    <row r="2174" ht="15.75" customHeight="1">
      <c r="A2174" s="356"/>
      <c r="K2174" s="319" t="str">
        <f t="shared" si="1"/>
        <v/>
      </c>
    </row>
    <row r="2175" ht="15.75" customHeight="1">
      <c r="A2175" s="356"/>
      <c r="K2175" s="319" t="str">
        <f t="shared" si="1"/>
        <v/>
      </c>
    </row>
    <row r="2176" ht="15.75" customHeight="1">
      <c r="A2176" s="356"/>
      <c r="K2176" s="319" t="str">
        <f t="shared" si="1"/>
        <v/>
      </c>
    </row>
    <row r="2177" ht="15.75" customHeight="1">
      <c r="A2177" s="356"/>
      <c r="K2177" s="319" t="str">
        <f t="shared" si="1"/>
        <v/>
      </c>
    </row>
    <row r="2178" ht="15.75" customHeight="1">
      <c r="A2178" s="356"/>
      <c r="K2178" s="319" t="str">
        <f t="shared" si="1"/>
        <v/>
      </c>
    </row>
    <row r="2179" ht="15.75" customHeight="1">
      <c r="A2179" s="356"/>
      <c r="K2179" s="319" t="str">
        <f t="shared" si="1"/>
        <v/>
      </c>
    </row>
    <row r="2180" ht="15.75" customHeight="1">
      <c r="A2180" s="356"/>
      <c r="K2180" s="319" t="str">
        <f t="shared" si="1"/>
        <v/>
      </c>
    </row>
    <row r="2181" ht="15.75" customHeight="1">
      <c r="A2181" s="356"/>
      <c r="K2181" s="319" t="str">
        <f t="shared" si="1"/>
        <v/>
      </c>
    </row>
    <row r="2182" ht="15.75" customHeight="1">
      <c r="A2182" s="356"/>
      <c r="K2182" s="319" t="str">
        <f t="shared" si="1"/>
        <v/>
      </c>
    </row>
    <row r="2183" ht="15.75" customHeight="1">
      <c r="A2183" s="356"/>
      <c r="K2183" s="319" t="str">
        <f t="shared" si="1"/>
        <v/>
      </c>
    </row>
    <row r="2184" ht="15.75" customHeight="1">
      <c r="A2184" s="356"/>
      <c r="K2184" s="319" t="str">
        <f t="shared" si="1"/>
        <v/>
      </c>
    </row>
    <row r="2185" ht="15.75" customHeight="1">
      <c r="A2185" s="356"/>
      <c r="K2185" s="319" t="str">
        <f t="shared" si="1"/>
        <v/>
      </c>
    </row>
    <row r="2186" ht="15.75" customHeight="1">
      <c r="A2186" s="356"/>
      <c r="K2186" s="319" t="str">
        <f t="shared" si="1"/>
        <v/>
      </c>
    </row>
    <row r="2187" ht="15.75" customHeight="1">
      <c r="A2187" s="356"/>
      <c r="K2187" s="319" t="str">
        <f t="shared" si="1"/>
        <v/>
      </c>
    </row>
    <row r="2188" ht="15.75" customHeight="1">
      <c r="A2188" s="356"/>
      <c r="K2188" s="319" t="str">
        <f t="shared" si="1"/>
        <v/>
      </c>
    </row>
    <row r="2189" ht="15.75" customHeight="1">
      <c r="A2189" s="356"/>
      <c r="K2189" s="319" t="str">
        <f t="shared" si="1"/>
        <v/>
      </c>
    </row>
    <row r="2190" ht="15.75" customHeight="1">
      <c r="A2190" s="356"/>
      <c r="K2190" s="319" t="str">
        <f t="shared" si="1"/>
        <v/>
      </c>
    </row>
    <row r="2191" ht="15.75" customHeight="1">
      <c r="A2191" s="356"/>
      <c r="K2191" s="319" t="str">
        <f t="shared" si="1"/>
        <v/>
      </c>
    </row>
    <row r="2192" ht="15.75" customHeight="1">
      <c r="A2192" s="356"/>
      <c r="K2192" s="319" t="str">
        <f t="shared" si="1"/>
        <v/>
      </c>
    </row>
    <row r="2193" ht="15.75" customHeight="1">
      <c r="A2193" s="356"/>
      <c r="K2193" s="319" t="str">
        <f t="shared" si="1"/>
        <v/>
      </c>
    </row>
    <row r="2194" ht="15.75" customHeight="1">
      <c r="A2194" s="356"/>
      <c r="K2194" s="319" t="str">
        <f t="shared" si="1"/>
        <v/>
      </c>
    </row>
    <row r="2195" ht="15.75" customHeight="1">
      <c r="A2195" s="356"/>
      <c r="K2195" s="319" t="str">
        <f t="shared" si="1"/>
        <v/>
      </c>
    </row>
    <row r="2196" ht="15.75" customHeight="1">
      <c r="A2196" s="356"/>
      <c r="K2196" s="319" t="str">
        <f t="shared" si="1"/>
        <v/>
      </c>
    </row>
    <row r="2197" ht="15.75" customHeight="1">
      <c r="A2197" s="356"/>
      <c r="K2197" s="319" t="str">
        <f t="shared" si="1"/>
        <v/>
      </c>
    </row>
    <row r="2198" ht="15.75" customHeight="1">
      <c r="A2198" s="356"/>
      <c r="K2198" s="319" t="str">
        <f t="shared" si="1"/>
        <v/>
      </c>
    </row>
    <row r="2199" ht="15.75" customHeight="1">
      <c r="A2199" s="356"/>
      <c r="K2199" s="319" t="str">
        <f t="shared" si="1"/>
        <v/>
      </c>
    </row>
    <row r="2200" ht="15.75" customHeight="1">
      <c r="A2200" s="356"/>
      <c r="K2200" s="319" t="str">
        <f t="shared" si="1"/>
        <v/>
      </c>
    </row>
    <row r="2201" ht="15.75" customHeight="1">
      <c r="A2201" s="356"/>
      <c r="K2201" s="319" t="str">
        <f t="shared" si="1"/>
        <v/>
      </c>
    </row>
    <row r="2202" ht="15.75" customHeight="1">
      <c r="A2202" s="356"/>
      <c r="K2202" s="319" t="str">
        <f t="shared" si="1"/>
        <v/>
      </c>
    </row>
    <row r="2203" ht="15.75" customHeight="1">
      <c r="A2203" s="356"/>
      <c r="K2203" s="319" t="str">
        <f t="shared" si="1"/>
        <v/>
      </c>
    </row>
    <row r="2204" ht="15.75" customHeight="1">
      <c r="A2204" s="356"/>
      <c r="K2204" s="319" t="str">
        <f t="shared" si="1"/>
        <v/>
      </c>
    </row>
    <row r="2205" ht="15.75" customHeight="1">
      <c r="A2205" s="356"/>
      <c r="K2205" s="319" t="str">
        <f t="shared" si="1"/>
        <v/>
      </c>
    </row>
    <row r="2206" ht="15.75" customHeight="1">
      <c r="A2206" s="356"/>
      <c r="K2206" s="319" t="str">
        <f t="shared" si="1"/>
        <v/>
      </c>
    </row>
    <row r="2207" ht="15.75" customHeight="1">
      <c r="A2207" s="356"/>
      <c r="K2207" s="319" t="str">
        <f t="shared" si="1"/>
        <v/>
      </c>
    </row>
    <row r="2208" ht="15.75" customHeight="1">
      <c r="A2208" s="356"/>
      <c r="K2208" s="319" t="str">
        <f t="shared" si="1"/>
        <v/>
      </c>
    </row>
    <row r="2209" ht="15.75" customHeight="1">
      <c r="A2209" s="356"/>
      <c r="K2209" s="319" t="str">
        <f t="shared" si="1"/>
        <v/>
      </c>
    </row>
    <row r="2210" ht="15.75" customHeight="1">
      <c r="A2210" s="356"/>
      <c r="K2210" s="319" t="str">
        <f t="shared" si="1"/>
        <v/>
      </c>
    </row>
    <row r="2211" ht="15.75" customHeight="1">
      <c r="A2211" s="356"/>
      <c r="K2211" s="319" t="str">
        <f t="shared" si="1"/>
        <v/>
      </c>
    </row>
    <row r="2212" ht="15.75" customHeight="1">
      <c r="A2212" s="356"/>
      <c r="K2212" s="319" t="str">
        <f t="shared" si="1"/>
        <v/>
      </c>
    </row>
    <row r="2213" ht="15.75" customHeight="1">
      <c r="A2213" s="356"/>
      <c r="K2213" s="319" t="str">
        <f t="shared" si="1"/>
        <v/>
      </c>
    </row>
    <row r="2214" ht="15.75" customHeight="1">
      <c r="A2214" s="356"/>
      <c r="K2214" s="319" t="str">
        <f t="shared" si="1"/>
        <v/>
      </c>
    </row>
    <row r="2215" ht="15.75" customHeight="1">
      <c r="A2215" s="356"/>
      <c r="K2215" s="319" t="str">
        <f t="shared" si="1"/>
        <v/>
      </c>
    </row>
    <row r="2216" ht="15.75" customHeight="1">
      <c r="A2216" s="356"/>
      <c r="K2216" s="319" t="str">
        <f t="shared" si="1"/>
        <v/>
      </c>
    </row>
    <row r="2217" ht="15.75" customHeight="1">
      <c r="A2217" s="356"/>
      <c r="K2217" s="319" t="str">
        <f t="shared" si="1"/>
        <v/>
      </c>
    </row>
    <row r="2218" ht="15.75" customHeight="1">
      <c r="A2218" s="356"/>
      <c r="K2218" s="319" t="str">
        <f t="shared" si="1"/>
        <v/>
      </c>
    </row>
    <row r="2219" ht="15.75" customHeight="1">
      <c r="A2219" s="356"/>
      <c r="K2219" s="319" t="str">
        <f t="shared" si="1"/>
        <v/>
      </c>
    </row>
    <row r="2220" ht="15.75" customHeight="1">
      <c r="A2220" s="356"/>
      <c r="K2220" s="319" t="str">
        <f t="shared" si="1"/>
        <v/>
      </c>
    </row>
    <row r="2221" ht="15.75" customHeight="1">
      <c r="A2221" s="356"/>
      <c r="K2221" s="319" t="str">
        <f t="shared" si="1"/>
        <v/>
      </c>
    </row>
    <row r="2222" ht="15.75" customHeight="1">
      <c r="A2222" s="356"/>
      <c r="K2222" s="319" t="str">
        <f t="shared" si="1"/>
        <v/>
      </c>
    </row>
    <row r="2223" ht="15.75" customHeight="1">
      <c r="A2223" s="356"/>
      <c r="K2223" s="319" t="str">
        <f t="shared" si="1"/>
        <v/>
      </c>
    </row>
    <row r="2224" ht="15.75" customHeight="1">
      <c r="A2224" s="356"/>
      <c r="K2224" s="319" t="str">
        <f t="shared" si="1"/>
        <v/>
      </c>
    </row>
    <row r="2225" ht="15.75" customHeight="1">
      <c r="A2225" s="356"/>
      <c r="K2225" s="319" t="str">
        <f t="shared" si="1"/>
        <v/>
      </c>
    </row>
    <row r="2226" ht="15.75" customHeight="1">
      <c r="A2226" s="356"/>
      <c r="K2226" s="319" t="str">
        <f t="shared" si="1"/>
        <v/>
      </c>
    </row>
    <row r="2227" ht="15.75" customHeight="1">
      <c r="A2227" s="356"/>
      <c r="K2227" s="319" t="str">
        <f t="shared" si="1"/>
        <v/>
      </c>
    </row>
    <row r="2228" ht="15.75" customHeight="1">
      <c r="A2228" s="356"/>
      <c r="K2228" s="319" t="str">
        <f t="shared" si="1"/>
        <v/>
      </c>
    </row>
    <row r="2229" ht="15.75" customHeight="1">
      <c r="A2229" s="356"/>
      <c r="K2229" s="319" t="str">
        <f t="shared" si="1"/>
        <v/>
      </c>
    </row>
    <row r="2230" ht="15.75" customHeight="1">
      <c r="A2230" s="356"/>
      <c r="K2230" s="319" t="str">
        <f t="shared" si="1"/>
        <v/>
      </c>
    </row>
    <row r="2231" ht="15.75" customHeight="1">
      <c r="A2231" s="356"/>
      <c r="K2231" s="319" t="str">
        <f t="shared" si="1"/>
        <v/>
      </c>
    </row>
    <row r="2232" ht="15.75" customHeight="1">
      <c r="A2232" s="356"/>
      <c r="K2232" s="319" t="str">
        <f t="shared" si="1"/>
        <v/>
      </c>
    </row>
    <row r="2233" ht="15.75" customHeight="1">
      <c r="A2233" s="356"/>
      <c r="K2233" s="319" t="str">
        <f t="shared" si="1"/>
        <v/>
      </c>
    </row>
    <row r="2234" ht="15.75" customHeight="1">
      <c r="A2234" s="356"/>
      <c r="K2234" s="319" t="str">
        <f t="shared" si="1"/>
        <v/>
      </c>
    </row>
    <row r="2235" ht="15.75" customHeight="1">
      <c r="A2235" s="356"/>
      <c r="K2235" s="319" t="str">
        <f t="shared" si="1"/>
        <v/>
      </c>
    </row>
    <row r="2236" ht="15.75" customHeight="1">
      <c r="A2236" s="356"/>
      <c r="K2236" s="319" t="str">
        <f t="shared" si="1"/>
        <v/>
      </c>
    </row>
    <row r="2237" ht="15.75" customHeight="1">
      <c r="A2237" s="356"/>
      <c r="K2237" s="319" t="str">
        <f t="shared" si="1"/>
        <v/>
      </c>
    </row>
    <row r="2238" ht="15.75" customHeight="1">
      <c r="A2238" s="356"/>
      <c r="K2238" s="319" t="str">
        <f t="shared" si="1"/>
        <v/>
      </c>
    </row>
    <row r="2239" ht="15.75" customHeight="1">
      <c r="A2239" s="356"/>
      <c r="K2239" s="319" t="str">
        <f t="shared" si="1"/>
        <v/>
      </c>
    </row>
    <row r="2240" ht="15.75" customHeight="1">
      <c r="A2240" s="356"/>
      <c r="K2240" s="319" t="str">
        <f t="shared" si="1"/>
        <v/>
      </c>
    </row>
    <row r="2241" ht="15.75" customHeight="1">
      <c r="A2241" s="356"/>
      <c r="K2241" s="319" t="str">
        <f t="shared" si="1"/>
        <v/>
      </c>
    </row>
    <row r="2242" ht="15.75" customHeight="1">
      <c r="A2242" s="356"/>
      <c r="K2242" s="319" t="str">
        <f t="shared" si="1"/>
        <v/>
      </c>
    </row>
    <row r="2243" ht="15.75" customHeight="1">
      <c r="A2243" s="356"/>
      <c r="K2243" s="319" t="str">
        <f t="shared" si="1"/>
        <v/>
      </c>
    </row>
    <row r="2244" ht="15.75" customHeight="1">
      <c r="A2244" s="356"/>
      <c r="K2244" s="319" t="str">
        <f t="shared" si="1"/>
        <v/>
      </c>
    </row>
    <row r="2245" ht="15.75" customHeight="1">
      <c r="A2245" s="356"/>
      <c r="K2245" s="319" t="str">
        <f t="shared" si="1"/>
        <v/>
      </c>
    </row>
    <row r="2246" ht="15.75" customHeight="1">
      <c r="A2246" s="356"/>
      <c r="K2246" s="319" t="str">
        <f t="shared" si="1"/>
        <v/>
      </c>
    </row>
    <row r="2247" ht="15.75" customHeight="1">
      <c r="A2247" s="356"/>
      <c r="K2247" s="319" t="str">
        <f t="shared" si="1"/>
        <v/>
      </c>
    </row>
    <row r="2248" ht="15.75" customHeight="1">
      <c r="A2248" s="356"/>
      <c r="K2248" s="319" t="str">
        <f t="shared" si="1"/>
        <v/>
      </c>
    </row>
    <row r="2249" ht="15.75" customHeight="1">
      <c r="A2249" s="356"/>
      <c r="K2249" s="319" t="str">
        <f t="shared" si="1"/>
        <v/>
      </c>
    </row>
    <row r="2250" ht="15.75" customHeight="1">
      <c r="A2250" s="356"/>
      <c r="K2250" s="319" t="str">
        <f t="shared" si="1"/>
        <v/>
      </c>
    </row>
    <row r="2251" ht="15.75" customHeight="1">
      <c r="A2251" s="356"/>
      <c r="K2251" s="319" t="str">
        <f t="shared" si="1"/>
        <v/>
      </c>
    </row>
    <row r="2252" ht="15.75" customHeight="1">
      <c r="A2252" s="356"/>
      <c r="K2252" s="319" t="str">
        <f t="shared" si="1"/>
        <v/>
      </c>
    </row>
    <row r="2253" ht="15.75" customHeight="1">
      <c r="A2253" s="356"/>
      <c r="K2253" s="319" t="str">
        <f t="shared" si="1"/>
        <v/>
      </c>
    </row>
    <row r="2254" ht="15.75" customHeight="1">
      <c r="A2254" s="356"/>
      <c r="K2254" s="319" t="str">
        <f t="shared" si="1"/>
        <v/>
      </c>
    </row>
    <row r="2255" ht="15.75" customHeight="1">
      <c r="A2255" s="356"/>
      <c r="K2255" s="319" t="str">
        <f t="shared" si="1"/>
        <v/>
      </c>
    </row>
    <row r="2256" ht="15.75" customHeight="1">
      <c r="A2256" s="356"/>
      <c r="K2256" s="319" t="str">
        <f t="shared" si="1"/>
        <v/>
      </c>
    </row>
    <row r="2257" ht="15.75" customHeight="1">
      <c r="A2257" s="356"/>
      <c r="K2257" s="319" t="str">
        <f t="shared" si="1"/>
        <v/>
      </c>
    </row>
    <row r="2258" ht="15.75" customHeight="1">
      <c r="A2258" s="356"/>
      <c r="K2258" s="319" t="str">
        <f t="shared" si="1"/>
        <v/>
      </c>
    </row>
    <row r="2259" ht="15.75" customHeight="1">
      <c r="A2259" s="356"/>
      <c r="K2259" s="319" t="str">
        <f t="shared" si="1"/>
        <v/>
      </c>
    </row>
    <row r="2260" ht="15.75" customHeight="1">
      <c r="A2260" s="356"/>
      <c r="K2260" s="319" t="str">
        <f t="shared" si="1"/>
        <v/>
      </c>
    </row>
    <row r="2261" ht="15.75" customHeight="1">
      <c r="A2261" s="356"/>
      <c r="K2261" s="319" t="str">
        <f t="shared" si="1"/>
        <v/>
      </c>
    </row>
    <row r="2262" ht="15.75" customHeight="1">
      <c r="A2262" s="356"/>
      <c r="K2262" s="319" t="str">
        <f t="shared" si="1"/>
        <v/>
      </c>
    </row>
    <row r="2263" ht="15.75" customHeight="1">
      <c r="A2263" s="356"/>
      <c r="K2263" s="319" t="str">
        <f t="shared" si="1"/>
        <v/>
      </c>
    </row>
    <row r="2264" ht="15.75" customHeight="1">
      <c r="A2264" s="356"/>
      <c r="K2264" s="319" t="str">
        <f t="shared" si="1"/>
        <v/>
      </c>
    </row>
    <row r="2265" ht="15.75" customHeight="1">
      <c r="A2265" s="356"/>
      <c r="K2265" s="319" t="str">
        <f t="shared" si="1"/>
        <v/>
      </c>
    </row>
    <row r="2266" ht="15.75" customHeight="1">
      <c r="A2266" s="356"/>
      <c r="K2266" s="319" t="str">
        <f t="shared" si="1"/>
        <v/>
      </c>
    </row>
    <row r="2267" ht="15.75" customHeight="1">
      <c r="A2267" s="356"/>
      <c r="K2267" s="319" t="str">
        <f t="shared" si="1"/>
        <v/>
      </c>
    </row>
    <row r="2268" ht="15.75" customHeight="1">
      <c r="A2268" s="356"/>
      <c r="K2268" s="319" t="str">
        <f t="shared" si="1"/>
        <v/>
      </c>
    </row>
    <row r="2269" ht="15.75" customHeight="1">
      <c r="A2269" s="356"/>
      <c r="K2269" s="319" t="str">
        <f t="shared" si="1"/>
        <v/>
      </c>
    </row>
    <row r="2270" ht="15.75" customHeight="1">
      <c r="A2270" s="356"/>
      <c r="K2270" s="319" t="str">
        <f t="shared" si="1"/>
        <v/>
      </c>
    </row>
    <row r="2271" ht="15.75" customHeight="1">
      <c r="A2271" s="356"/>
      <c r="K2271" s="319" t="str">
        <f t="shared" si="1"/>
        <v/>
      </c>
    </row>
    <row r="2272" ht="15.75" customHeight="1">
      <c r="A2272" s="356"/>
      <c r="K2272" s="319" t="str">
        <f t="shared" si="1"/>
        <v/>
      </c>
    </row>
    <row r="2273" ht="15.75" customHeight="1">
      <c r="A2273" s="356"/>
      <c r="K2273" s="319" t="str">
        <f t="shared" si="1"/>
        <v/>
      </c>
    </row>
    <row r="2274" ht="15.75" customHeight="1">
      <c r="A2274" s="356"/>
      <c r="K2274" s="319" t="str">
        <f t="shared" si="1"/>
        <v/>
      </c>
    </row>
    <row r="2275" ht="15.75" customHeight="1">
      <c r="A2275" s="356"/>
      <c r="K2275" s="319" t="str">
        <f t="shared" si="1"/>
        <v/>
      </c>
    </row>
    <row r="2276" ht="15.75" customHeight="1">
      <c r="A2276" s="356"/>
      <c r="K2276" s="319" t="str">
        <f t="shared" si="1"/>
        <v/>
      </c>
    </row>
    <row r="2277" ht="15.75" customHeight="1">
      <c r="A2277" s="356"/>
      <c r="K2277" s="319" t="str">
        <f t="shared" si="1"/>
        <v/>
      </c>
    </row>
    <row r="2278" ht="15.75" customHeight="1">
      <c r="A2278" s="356"/>
      <c r="K2278" s="319" t="str">
        <f t="shared" si="1"/>
        <v/>
      </c>
    </row>
    <row r="2279" ht="15.75" customHeight="1">
      <c r="A2279" s="356"/>
      <c r="K2279" s="319" t="str">
        <f t="shared" si="1"/>
        <v/>
      </c>
    </row>
    <row r="2280" ht="15.75" customHeight="1">
      <c r="A2280" s="356"/>
      <c r="K2280" s="319" t="str">
        <f t="shared" si="1"/>
        <v/>
      </c>
    </row>
    <row r="2281" ht="15.75" customHeight="1">
      <c r="A2281" s="356"/>
      <c r="K2281" s="319" t="str">
        <f t="shared" si="1"/>
        <v/>
      </c>
    </row>
    <row r="2282" ht="15.75" customHeight="1">
      <c r="A2282" s="356"/>
      <c r="K2282" s="319" t="str">
        <f t="shared" si="1"/>
        <v/>
      </c>
    </row>
    <row r="2283" ht="15.75" customHeight="1">
      <c r="A2283" s="356"/>
      <c r="K2283" s="319" t="str">
        <f t="shared" si="1"/>
        <v/>
      </c>
    </row>
    <row r="2284" ht="15.75" customHeight="1">
      <c r="A2284" s="356"/>
      <c r="K2284" s="319" t="str">
        <f t="shared" si="1"/>
        <v/>
      </c>
    </row>
    <row r="2285" ht="15.75" customHeight="1">
      <c r="A2285" s="356"/>
      <c r="K2285" s="319" t="str">
        <f t="shared" si="1"/>
        <v/>
      </c>
    </row>
    <row r="2286" ht="15.75" customHeight="1">
      <c r="A2286" s="356"/>
      <c r="K2286" s="319" t="str">
        <f t="shared" si="1"/>
        <v/>
      </c>
    </row>
    <row r="2287" ht="15.75" customHeight="1">
      <c r="A2287" s="356"/>
      <c r="K2287" s="319" t="str">
        <f t="shared" si="1"/>
        <v/>
      </c>
    </row>
    <row r="2288" ht="15.75" customHeight="1">
      <c r="A2288" s="356"/>
      <c r="K2288" s="319" t="str">
        <f t="shared" si="1"/>
        <v/>
      </c>
    </row>
    <row r="2289" ht="15.75" customHeight="1">
      <c r="A2289" s="356"/>
      <c r="K2289" s="319" t="str">
        <f t="shared" si="1"/>
        <v/>
      </c>
    </row>
    <row r="2290" ht="15.75" customHeight="1">
      <c r="A2290" s="356"/>
      <c r="K2290" s="319" t="str">
        <f t="shared" si="1"/>
        <v/>
      </c>
    </row>
    <row r="2291" ht="15.75" customHeight="1">
      <c r="A2291" s="356"/>
      <c r="K2291" s="319" t="str">
        <f t="shared" si="1"/>
        <v/>
      </c>
    </row>
    <row r="2292" ht="15.75" customHeight="1">
      <c r="A2292" s="356"/>
      <c r="K2292" s="319" t="str">
        <f t="shared" si="1"/>
        <v/>
      </c>
    </row>
    <row r="2293" ht="15.75" customHeight="1">
      <c r="A2293" s="356"/>
      <c r="K2293" s="319" t="str">
        <f t="shared" si="1"/>
        <v/>
      </c>
    </row>
    <row r="2294" ht="15.75" customHeight="1">
      <c r="A2294" s="356"/>
      <c r="K2294" s="319" t="str">
        <f t="shared" si="1"/>
        <v/>
      </c>
    </row>
    <row r="2295" ht="15.75" customHeight="1">
      <c r="A2295" s="356"/>
      <c r="K2295" s="319" t="str">
        <f t="shared" si="1"/>
        <v/>
      </c>
    </row>
    <row r="2296" ht="15.75" customHeight="1">
      <c r="A2296" s="356"/>
      <c r="K2296" s="319" t="str">
        <f t="shared" si="1"/>
        <v/>
      </c>
    </row>
    <row r="2297" ht="15.75" customHeight="1">
      <c r="A2297" s="356"/>
      <c r="K2297" s="319" t="str">
        <f t="shared" si="1"/>
        <v/>
      </c>
    </row>
    <row r="2298" ht="15.75" customHeight="1">
      <c r="A2298" s="356"/>
      <c r="K2298" s="319" t="str">
        <f t="shared" si="1"/>
        <v/>
      </c>
    </row>
    <row r="2299" ht="15.75" customHeight="1">
      <c r="A2299" s="356"/>
      <c r="K2299" s="319" t="str">
        <f t="shared" si="1"/>
        <v/>
      </c>
    </row>
    <row r="2300" ht="15.75" customHeight="1">
      <c r="A2300" s="356"/>
      <c r="K2300" s="319" t="str">
        <f t="shared" si="1"/>
        <v/>
      </c>
    </row>
    <row r="2301" ht="15.75" customHeight="1">
      <c r="A2301" s="356"/>
      <c r="K2301" s="319" t="str">
        <f t="shared" si="1"/>
        <v/>
      </c>
    </row>
    <row r="2302" ht="15.75" customHeight="1">
      <c r="A2302" s="356"/>
      <c r="K2302" s="319" t="str">
        <f t="shared" si="1"/>
        <v/>
      </c>
    </row>
    <row r="2303" ht="15.75" customHeight="1">
      <c r="A2303" s="356"/>
      <c r="K2303" s="319" t="str">
        <f t="shared" si="1"/>
        <v/>
      </c>
    </row>
    <row r="2304" ht="15.75" customHeight="1">
      <c r="A2304" s="356"/>
      <c r="K2304" s="319" t="str">
        <f t="shared" si="1"/>
        <v/>
      </c>
    </row>
    <row r="2305" ht="15.75" customHeight="1">
      <c r="A2305" s="356"/>
      <c r="K2305" s="319" t="str">
        <f t="shared" si="1"/>
        <v/>
      </c>
    </row>
    <row r="2306" ht="15.75" customHeight="1">
      <c r="A2306" s="356"/>
      <c r="K2306" s="319" t="str">
        <f t="shared" si="1"/>
        <v/>
      </c>
    </row>
    <row r="2307" ht="15.75" customHeight="1">
      <c r="A2307" s="356"/>
      <c r="K2307" s="319" t="str">
        <f t="shared" si="1"/>
        <v/>
      </c>
    </row>
    <row r="2308" ht="15.75" customHeight="1">
      <c r="A2308" s="356"/>
      <c r="K2308" s="319" t="str">
        <f t="shared" si="1"/>
        <v/>
      </c>
    </row>
    <row r="2309" ht="15.75" customHeight="1">
      <c r="A2309" s="356"/>
      <c r="K2309" s="319" t="str">
        <f t="shared" si="1"/>
        <v/>
      </c>
    </row>
    <row r="2310" ht="15.75" customHeight="1">
      <c r="A2310" s="356"/>
      <c r="K2310" s="319" t="str">
        <f t="shared" si="1"/>
        <v/>
      </c>
    </row>
    <row r="2311" ht="15.75" customHeight="1">
      <c r="A2311" s="356"/>
      <c r="K2311" s="319" t="str">
        <f t="shared" si="1"/>
        <v/>
      </c>
    </row>
    <row r="2312" ht="15.75" customHeight="1">
      <c r="A2312" s="356"/>
      <c r="K2312" s="319" t="str">
        <f t="shared" si="1"/>
        <v/>
      </c>
    </row>
    <row r="2313" ht="15.75" customHeight="1">
      <c r="A2313" s="356"/>
      <c r="K2313" s="319" t="str">
        <f t="shared" si="1"/>
        <v/>
      </c>
    </row>
    <row r="2314" ht="15.75" customHeight="1">
      <c r="A2314" s="356"/>
      <c r="K2314" s="319" t="str">
        <f t="shared" si="1"/>
        <v/>
      </c>
    </row>
    <row r="2315" ht="15.75" customHeight="1">
      <c r="A2315" s="356"/>
      <c r="K2315" s="319" t="str">
        <f t="shared" si="1"/>
        <v/>
      </c>
    </row>
    <row r="2316" ht="15.75" customHeight="1">
      <c r="A2316" s="356"/>
      <c r="K2316" s="319" t="str">
        <f t="shared" si="1"/>
        <v/>
      </c>
    </row>
    <row r="2317" ht="15.75" customHeight="1">
      <c r="A2317" s="356"/>
      <c r="K2317" s="319" t="str">
        <f t="shared" si="1"/>
        <v/>
      </c>
    </row>
    <row r="2318" ht="15.75" customHeight="1">
      <c r="A2318" s="356"/>
      <c r="K2318" s="319" t="str">
        <f t="shared" si="1"/>
        <v/>
      </c>
    </row>
    <row r="2319" ht="15.75" customHeight="1">
      <c r="A2319" s="356"/>
      <c r="K2319" s="319" t="str">
        <f t="shared" si="1"/>
        <v/>
      </c>
    </row>
    <row r="2320" ht="15.75" customHeight="1">
      <c r="A2320" s="356"/>
      <c r="K2320" s="319" t="str">
        <f t="shared" si="1"/>
        <v/>
      </c>
    </row>
    <row r="2321" ht="15.75" customHeight="1">
      <c r="A2321" s="356"/>
      <c r="K2321" s="319" t="str">
        <f t="shared" si="1"/>
        <v/>
      </c>
    </row>
    <row r="2322" ht="15.75" customHeight="1">
      <c r="A2322" s="356"/>
      <c r="K2322" s="319" t="str">
        <f t="shared" si="1"/>
        <v/>
      </c>
    </row>
    <row r="2323" ht="15.75" customHeight="1">
      <c r="A2323" s="356"/>
      <c r="K2323" s="319" t="str">
        <f t="shared" si="1"/>
        <v/>
      </c>
    </row>
    <row r="2324" ht="15.75" customHeight="1">
      <c r="A2324" s="356"/>
      <c r="K2324" s="319" t="str">
        <f t="shared" si="1"/>
        <v/>
      </c>
    </row>
    <row r="2325" ht="15.75" customHeight="1">
      <c r="A2325" s="356"/>
      <c r="K2325" s="319" t="str">
        <f t="shared" si="1"/>
        <v/>
      </c>
    </row>
    <row r="2326" ht="15.75" customHeight="1">
      <c r="A2326" s="356"/>
      <c r="K2326" s="319" t="str">
        <f t="shared" si="1"/>
        <v/>
      </c>
    </row>
    <row r="2327" ht="15.75" customHeight="1">
      <c r="A2327" s="356"/>
      <c r="K2327" s="319" t="str">
        <f t="shared" si="1"/>
        <v/>
      </c>
    </row>
    <row r="2328" ht="15.75" customHeight="1">
      <c r="A2328" s="356"/>
      <c r="K2328" s="319" t="str">
        <f t="shared" si="1"/>
        <v/>
      </c>
    </row>
    <row r="2329" ht="15.75" customHeight="1">
      <c r="A2329" s="356"/>
      <c r="K2329" s="319" t="str">
        <f t="shared" si="1"/>
        <v/>
      </c>
    </row>
    <row r="2330" ht="15.75" customHeight="1">
      <c r="A2330" s="356"/>
      <c r="K2330" s="319" t="str">
        <f t="shared" si="1"/>
        <v/>
      </c>
    </row>
    <row r="2331" ht="15.75" customHeight="1">
      <c r="A2331" s="356"/>
      <c r="K2331" s="319" t="str">
        <f t="shared" si="1"/>
        <v/>
      </c>
    </row>
    <row r="2332" ht="15.75" customHeight="1">
      <c r="A2332" s="356"/>
      <c r="K2332" s="319" t="str">
        <f t="shared" si="1"/>
        <v/>
      </c>
    </row>
    <row r="2333" ht="15.75" customHeight="1">
      <c r="A2333" s="356"/>
      <c r="K2333" s="319" t="str">
        <f t="shared" si="1"/>
        <v/>
      </c>
    </row>
    <row r="2334" ht="15.75" customHeight="1">
      <c r="A2334" s="356"/>
      <c r="K2334" s="319" t="str">
        <f t="shared" si="1"/>
        <v/>
      </c>
    </row>
    <row r="2335" ht="15.75" customHeight="1">
      <c r="A2335" s="356"/>
      <c r="K2335" s="319" t="str">
        <f t="shared" si="1"/>
        <v/>
      </c>
    </row>
    <row r="2336" ht="15.75" customHeight="1">
      <c r="A2336" s="356"/>
      <c r="K2336" s="319" t="str">
        <f t="shared" si="1"/>
        <v/>
      </c>
    </row>
    <row r="2337" ht="15.75" customHeight="1">
      <c r="A2337" s="356"/>
      <c r="K2337" s="319" t="str">
        <f t="shared" si="1"/>
        <v/>
      </c>
    </row>
    <row r="2338" ht="15.75" customHeight="1">
      <c r="A2338" s="356"/>
      <c r="K2338" s="319" t="str">
        <f t="shared" si="1"/>
        <v/>
      </c>
    </row>
    <row r="2339" ht="15.75" customHeight="1">
      <c r="A2339" s="356"/>
      <c r="K2339" s="319" t="str">
        <f t="shared" si="1"/>
        <v/>
      </c>
    </row>
    <row r="2340" ht="15.75" customHeight="1">
      <c r="A2340" s="356"/>
      <c r="K2340" s="319" t="str">
        <f t="shared" si="1"/>
        <v/>
      </c>
    </row>
    <row r="2341" ht="15.75" customHeight="1">
      <c r="A2341" s="356"/>
      <c r="K2341" s="319" t="str">
        <f t="shared" si="1"/>
        <v/>
      </c>
    </row>
    <row r="2342" ht="15.75" customHeight="1">
      <c r="A2342" s="356"/>
      <c r="K2342" s="319" t="str">
        <f t="shared" si="1"/>
        <v/>
      </c>
    </row>
    <row r="2343" ht="15.75" customHeight="1">
      <c r="A2343" s="356"/>
      <c r="K2343" s="319" t="str">
        <f t="shared" si="1"/>
        <v/>
      </c>
    </row>
    <row r="2344" ht="15.75" customHeight="1">
      <c r="A2344" s="356"/>
      <c r="K2344" s="319" t="str">
        <f t="shared" si="1"/>
        <v/>
      </c>
    </row>
    <row r="2345" ht="15.75" customHeight="1">
      <c r="A2345" s="356"/>
      <c r="K2345" s="319" t="str">
        <f t="shared" si="1"/>
        <v/>
      </c>
    </row>
    <row r="2346" ht="15.75" customHeight="1">
      <c r="A2346" s="356"/>
      <c r="K2346" s="319" t="str">
        <f t="shared" si="1"/>
        <v/>
      </c>
    </row>
    <row r="2347" ht="15.75" customHeight="1">
      <c r="A2347" s="356"/>
      <c r="K2347" s="319" t="str">
        <f t="shared" si="1"/>
        <v/>
      </c>
    </row>
    <row r="2348" ht="15.75" customHeight="1">
      <c r="A2348" s="356"/>
      <c r="K2348" s="319" t="str">
        <f t="shared" si="1"/>
        <v/>
      </c>
    </row>
    <row r="2349" ht="15.75" customHeight="1">
      <c r="A2349" s="356"/>
      <c r="K2349" s="319" t="str">
        <f t="shared" si="1"/>
        <v/>
      </c>
    </row>
    <row r="2350" ht="15.75" customHeight="1">
      <c r="A2350" s="356"/>
      <c r="K2350" s="319" t="str">
        <f t="shared" si="1"/>
        <v/>
      </c>
    </row>
    <row r="2351" ht="15.75" customHeight="1">
      <c r="A2351" s="356"/>
      <c r="K2351" s="319" t="str">
        <f t="shared" si="1"/>
        <v/>
      </c>
    </row>
    <row r="2352" ht="15.75" customHeight="1">
      <c r="A2352" s="356"/>
      <c r="K2352" s="319" t="str">
        <f t="shared" si="1"/>
        <v/>
      </c>
    </row>
    <row r="2353" ht="15.75" customHeight="1">
      <c r="A2353" s="356"/>
      <c r="K2353" s="319" t="str">
        <f t="shared" si="1"/>
        <v/>
      </c>
    </row>
    <row r="2354" ht="15.75" customHeight="1">
      <c r="A2354" s="356"/>
      <c r="K2354" s="319" t="str">
        <f t="shared" si="1"/>
        <v/>
      </c>
    </row>
    <row r="2355" ht="15.75" customHeight="1">
      <c r="A2355" s="356"/>
      <c r="K2355" s="319" t="str">
        <f t="shared" si="1"/>
        <v/>
      </c>
    </row>
    <row r="2356" ht="15.75" customHeight="1">
      <c r="A2356" s="356"/>
      <c r="K2356" s="319" t="str">
        <f t="shared" si="1"/>
        <v/>
      </c>
    </row>
    <row r="2357" ht="15.75" customHeight="1">
      <c r="A2357" s="356"/>
      <c r="K2357" s="319" t="str">
        <f t="shared" si="1"/>
        <v/>
      </c>
    </row>
    <row r="2358" ht="15.75" customHeight="1">
      <c r="A2358" s="356"/>
      <c r="K2358" s="319" t="str">
        <f t="shared" si="1"/>
        <v/>
      </c>
    </row>
    <row r="2359" ht="15.75" customHeight="1">
      <c r="A2359" s="356"/>
      <c r="K2359" s="319" t="str">
        <f t="shared" si="1"/>
        <v/>
      </c>
    </row>
    <row r="2360" ht="15.75" customHeight="1">
      <c r="A2360" s="356"/>
      <c r="K2360" s="319" t="str">
        <f t="shared" si="1"/>
        <v/>
      </c>
    </row>
    <row r="2361" ht="15.75" customHeight="1">
      <c r="A2361" s="356"/>
      <c r="K2361" s="319" t="str">
        <f t="shared" si="1"/>
        <v/>
      </c>
    </row>
    <row r="2362" ht="15.75" customHeight="1">
      <c r="A2362" s="356"/>
      <c r="K2362" s="319" t="str">
        <f t="shared" si="1"/>
        <v/>
      </c>
    </row>
    <row r="2363" ht="15.75" customHeight="1">
      <c r="A2363" s="356"/>
      <c r="K2363" s="319" t="str">
        <f t="shared" si="1"/>
        <v/>
      </c>
    </row>
    <row r="2364" ht="15.75" customHeight="1">
      <c r="A2364" s="356"/>
      <c r="K2364" s="319" t="str">
        <f t="shared" si="1"/>
        <v/>
      </c>
    </row>
    <row r="2365" ht="15.75" customHeight="1">
      <c r="A2365" s="356"/>
      <c r="K2365" s="319" t="str">
        <f t="shared" si="1"/>
        <v/>
      </c>
    </row>
    <row r="2366" ht="15.75" customHeight="1">
      <c r="A2366" s="356"/>
      <c r="K2366" s="319" t="str">
        <f t="shared" si="1"/>
        <v/>
      </c>
    </row>
    <row r="2367" ht="15.75" customHeight="1">
      <c r="A2367" s="356"/>
      <c r="K2367" s="319" t="str">
        <f t="shared" si="1"/>
        <v/>
      </c>
    </row>
    <row r="2368" ht="15.75" customHeight="1">
      <c r="A2368" s="356"/>
      <c r="K2368" s="319" t="str">
        <f t="shared" si="1"/>
        <v/>
      </c>
    </row>
    <row r="2369" ht="15.75" customHeight="1">
      <c r="A2369" s="356"/>
      <c r="K2369" s="319" t="str">
        <f t="shared" si="1"/>
        <v/>
      </c>
    </row>
    <row r="2370" ht="15.75" customHeight="1">
      <c r="A2370" s="356"/>
      <c r="K2370" s="319" t="str">
        <f t="shared" si="1"/>
        <v/>
      </c>
    </row>
    <row r="2371" ht="15.75" customHeight="1">
      <c r="A2371" s="356"/>
      <c r="K2371" s="319" t="str">
        <f t="shared" si="1"/>
        <v/>
      </c>
    </row>
    <row r="2372" ht="15.75" customHeight="1">
      <c r="A2372" s="356"/>
      <c r="K2372" s="319" t="str">
        <f t="shared" si="1"/>
        <v/>
      </c>
    </row>
    <row r="2373" ht="15.75" customHeight="1">
      <c r="A2373" s="356"/>
      <c r="K2373" s="319" t="str">
        <f t="shared" si="1"/>
        <v/>
      </c>
    </row>
    <row r="2374" ht="15.75" customHeight="1">
      <c r="A2374" s="356"/>
      <c r="K2374" s="319" t="str">
        <f t="shared" si="1"/>
        <v/>
      </c>
    </row>
    <row r="2375" ht="15.75" customHeight="1">
      <c r="A2375" s="356"/>
      <c r="K2375" s="319" t="str">
        <f t="shared" si="1"/>
        <v/>
      </c>
    </row>
    <row r="2376" ht="15.75" customHeight="1">
      <c r="A2376" s="356"/>
      <c r="K2376" s="319" t="str">
        <f t="shared" si="1"/>
        <v/>
      </c>
    </row>
    <row r="2377" ht="15.75" customHeight="1">
      <c r="A2377" s="356"/>
      <c r="K2377" s="319" t="str">
        <f t="shared" si="1"/>
        <v/>
      </c>
    </row>
    <row r="2378" ht="15.75" customHeight="1">
      <c r="A2378" s="356"/>
      <c r="K2378" s="319" t="str">
        <f t="shared" si="1"/>
        <v/>
      </c>
    </row>
    <row r="2379" ht="15.75" customHeight="1">
      <c r="A2379" s="356"/>
      <c r="K2379" s="319" t="str">
        <f t="shared" si="1"/>
        <v/>
      </c>
    </row>
    <row r="2380" ht="15.75" customHeight="1">
      <c r="A2380" s="356"/>
      <c r="K2380" s="319" t="str">
        <f t="shared" si="1"/>
        <v/>
      </c>
    </row>
    <row r="2381" ht="15.75" customHeight="1">
      <c r="A2381" s="356"/>
      <c r="K2381" s="319" t="str">
        <f t="shared" si="1"/>
        <v/>
      </c>
    </row>
    <row r="2382" ht="15.75" customHeight="1">
      <c r="A2382" s="356"/>
      <c r="K2382" s="319" t="str">
        <f t="shared" si="1"/>
        <v/>
      </c>
    </row>
    <row r="2383" ht="15.75" customHeight="1">
      <c r="A2383" s="356"/>
      <c r="K2383" s="319" t="str">
        <f t="shared" si="1"/>
        <v/>
      </c>
    </row>
    <row r="2384" ht="15.75" customHeight="1">
      <c r="A2384" s="356"/>
      <c r="K2384" s="319" t="str">
        <f t="shared" si="1"/>
        <v/>
      </c>
    </row>
    <row r="2385" ht="15.75" customHeight="1">
      <c r="A2385" s="356"/>
      <c r="K2385" s="319" t="str">
        <f t="shared" si="1"/>
        <v/>
      </c>
    </row>
    <row r="2386" ht="15.75" customHeight="1">
      <c r="A2386" s="356"/>
      <c r="K2386" s="319" t="str">
        <f t="shared" si="1"/>
        <v/>
      </c>
    </row>
    <row r="2387" ht="15.75" customHeight="1">
      <c r="A2387" s="356"/>
      <c r="K2387" s="319" t="str">
        <f t="shared" si="1"/>
        <v/>
      </c>
    </row>
    <row r="2388" ht="15.75" customHeight="1">
      <c r="A2388" s="356"/>
      <c r="K2388" s="319" t="str">
        <f t="shared" si="1"/>
        <v/>
      </c>
    </row>
    <row r="2389" ht="15.75" customHeight="1">
      <c r="A2389" s="356"/>
      <c r="K2389" s="319" t="str">
        <f t="shared" si="1"/>
        <v/>
      </c>
    </row>
    <row r="2390" ht="15.75" customHeight="1">
      <c r="A2390" s="356"/>
      <c r="K2390" s="319" t="str">
        <f t="shared" si="1"/>
        <v/>
      </c>
    </row>
    <row r="2391" ht="15.75" customHeight="1">
      <c r="A2391" s="356"/>
      <c r="K2391" s="319" t="str">
        <f t="shared" si="1"/>
        <v/>
      </c>
    </row>
    <row r="2392" ht="15.75" customHeight="1">
      <c r="A2392" s="356"/>
      <c r="K2392" s="319" t="str">
        <f t="shared" si="1"/>
        <v/>
      </c>
    </row>
    <row r="2393" ht="15.75" customHeight="1">
      <c r="A2393" s="356"/>
      <c r="K2393" s="319" t="str">
        <f t="shared" si="1"/>
        <v/>
      </c>
    </row>
    <row r="2394" ht="15.75" customHeight="1">
      <c r="A2394" s="356"/>
      <c r="K2394" s="319" t="str">
        <f t="shared" si="1"/>
        <v/>
      </c>
    </row>
    <row r="2395" ht="15.75" customHeight="1">
      <c r="A2395" s="356"/>
      <c r="K2395" s="319" t="str">
        <f t="shared" si="1"/>
        <v/>
      </c>
    </row>
    <row r="2396" ht="15.75" customHeight="1">
      <c r="A2396" s="356"/>
      <c r="K2396" s="319" t="str">
        <f t="shared" si="1"/>
        <v/>
      </c>
    </row>
    <row r="2397" ht="15.75" customHeight="1">
      <c r="A2397" s="356"/>
      <c r="K2397" s="319" t="str">
        <f t="shared" si="1"/>
        <v/>
      </c>
    </row>
    <row r="2398" ht="15.75" customHeight="1">
      <c r="A2398" s="356"/>
      <c r="K2398" s="319" t="str">
        <f t="shared" si="1"/>
        <v/>
      </c>
    </row>
    <row r="2399" ht="15.75" customHeight="1">
      <c r="A2399" s="356"/>
      <c r="K2399" s="319" t="str">
        <f t="shared" si="1"/>
        <v/>
      </c>
    </row>
    <row r="2400" ht="15.75" customHeight="1">
      <c r="A2400" s="356"/>
      <c r="K2400" s="319" t="str">
        <f t="shared" si="1"/>
        <v/>
      </c>
    </row>
    <row r="2401" ht="15.75" customHeight="1">
      <c r="A2401" s="356"/>
      <c r="K2401" s="319" t="str">
        <f t="shared" si="1"/>
        <v/>
      </c>
    </row>
    <row r="2402" ht="15.75" customHeight="1">
      <c r="A2402" s="356"/>
      <c r="K2402" s="319" t="str">
        <f t="shared" si="1"/>
        <v/>
      </c>
    </row>
    <row r="2403" ht="15.75" customHeight="1">
      <c r="A2403" s="356"/>
      <c r="K2403" s="319" t="str">
        <f t="shared" si="1"/>
        <v/>
      </c>
    </row>
    <row r="2404" ht="15.75" customHeight="1">
      <c r="A2404" s="356"/>
      <c r="K2404" s="319" t="str">
        <f t="shared" si="1"/>
        <v/>
      </c>
    </row>
    <row r="2405" ht="15.75" customHeight="1">
      <c r="A2405" s="356"/>
      <c r="K2405" s="319" t="str">
        <f t="shared" si="1"/>
        <v/>
      </c>
    </row>
    <row r="2406" ht="15.75" customHeight="1">
      <c r="A2406" s="356"/>
      <c r="K2406" s="319" t="str">
        <f t="shared" si="1"/>
        <v/>
      </c>
    </row>
    <row r="2407" ht="15.75" customHeight="1">
      <c r="A2407" s="356"/>
      <c r="K2407" s="319" t="str">
        <f t="shared" si="1"/>
        <v/>
      </c>
    </row>
    <row r="2408" ht="15.75" customHeight="1">
      <c r="A2408" s="356"/>
      <c r="K2408" s="319" t="str">
        <f t="shared" si="1"/>
        <v/>
      </c>
    </row>
    <row r="2409" ht="15.75" customHeight="1">
      <c r="A2409" s="356"/>
      <c r="K2409" s="319" t="str">
        <f t="shared" si="1"/>
        <v/>
      </c>
    </row>
    <row r="2410" ht="15.75" customHeight="1">
      <c r="A2410" s="356"/>
      <c r="K2410" s="319" t="str">
        <f t="shared" si="1"/>
        <v/>
      </c>
    </row>
    <row r="2411" ht="15.75" customHeight="1">
      <c r="A2411" s="356"/>
      <c r="K2411" s="319" t="str">
        <f t="shared" si="1"/>
        <v/>
      </c>
    </row>
    <row r="2412" ht="15.75" customHeight="1">
      <c r="A2412" s="356"/>
      <c r="K2412" s="319" t="str">
        <f t="shared" si="1"/>
        <v/>
      </c>
    </row>
    <row r="2413" ht="15.75" customHeight="1">
      <c r="A2413" s="356"/>
      <c r="K2413" s="319" t="str">
        <f t="shared" si="1"/>
        <v/>
      </c>
    </row>
    <row r="2414" ht="15.75" customHeight="1">
      <c r="A2414" s="356"/>
      <c r="K2414" s="319" t="str">
        <f t="shared" si="1"/>
        <v/>
      </c>
    </row>
    <row r="2415" ht="15.75" customHeight="1">
      <c r="A2415" s="356"/>
      <c r="K2415" s="319" t="str">
        <f t="shared" si="1"/>
        <v/>
      </c>
    </row>
    <row r="2416" ht="15.75" customHeight="1">
      <c r="A2416" s="356"/>
      <c r="K2416" s="319" t="str">
        <f t="shared" si="1"/>
        <v/>
      </c>
    </row>
    <row r="2417" ht="15.75" customHeight="1">
      <c r="A2417" s="356"/>
      <c r="K2417" s="319" t="str">
        <f t="shared" si="1"/>
        <v/>
      </c>
    </row>
    <row r="2418" ht="15.75" customHeight="1">
      <c r="A2418" s="356"/>
      <c r="K2418" s="319" t="str">
        <f t="shared" si="1"/>
        <v/>
      </c>
    </row>
    <row r="2419" ht="15.75" customHeight="1">
      <c r="A2419" s="356"/>
      <c r="K2419" s="319" t="str">
        <f t="shared" si="1"/>
        <v/>
      </c>
    </row>
    <row r="2420" ht="15.75" customHeight="1">
      <c r="A2420" s="356"/>
      <c r="K2420" s="319" t="str">
        <f t="shared" si="1"/>
        <v/>
      </c>
    </row>
    <row r="2421" ht="15.75" customHeight="1">
      <c r="A2421" s="356"/>
      <c r="K2421" s="319" t="str">
        <f t="shared" si="1"/>
        <v/>
      </c>
    </row>
    <row r="2422" ht="15.75" customHeight="1">
      <c r="A2422" s="356"/>
      <c r="K2422" s="319" t="str">
        <f t="shared" si="1"/>
        <v/>
      </c>
    </row>
    <row r="2423" ht="15.75" customHeight="1">
      <c r="A2423" s="356"/>
      <c r="K2423" s="319" t="str">
        <f t="shared" si="1"/>
        <v/>
      </c>
    </row>
    <row r="2424" ht="15.75" customHeight="1">
      <c r="A2424" s="356"/>
      <c r="K2424" s="319" t="str">
        <f t="shared" si="1"/>
        <v/>
      </c>
    </row>
    <row r="2425" ht="15.75" customHeight="1">
      <c r="A2425" s="356"/>
      <c r="K2425" s="319" t="str">
        <f t="shared" si="1"/>
        <v/>
      </c>
    </row>
    <row r="2426" ht="15.75" customHeight="1">
      <c r="A2426" s="356"/>
      <c r="K2426" s="319" t="str">
        <f t="shared" si="1"/>
        <v/>
      </c>
    </row>
    <row r="2427" ht="15.75" customHeight="1">
      <c r="A2427" s="356"/>
      <c r="K2427" s="319" t="str">
        <f t="shared" si="1"/>
        <v/>
      </c>
    </row>
    <row r="2428" ht="15.75" customHeight="1">
      <c r="A2428" s="356"/>
      <c r="K2428" s="319" t="str">
        <f t="shared" si="1"/>
        <v/>
      </c>
    </row>
    <row r="2429" ht="15.75" customHeight="1">
      <c r="A2429" s="356"/>
      <c r="K2429" s="319" t="str">
        <f t="shared" si="1"/>
        <v/>
      </c>
    </row>
    <row r="2430" ht="15.75" customHeight="1">
      <c r="A2430" s="356"/>
      <c r="K2430" s="319" t="str">
        <f t="shared" si="1"/>
        <v/>
      </c>
    </row>
    <row r="2431" ht="15.75" customHeight="1">
      <c r="A2431" s="356"/>
      <c r="K2431" s="319" t="str">
        <f t="shared" si="1"/>
        <v/>
      </c>
    </row>
    <row r="2432" ht="15.75" customHeight="1">
      <c r="A2432" s="356"/>
      <c r="K2432" s="319" t="str">
        <f t="shared" si="1"/>
        <v/>
      </c>
    </row>
    <row r="2433" ht="15.75" customHeight="1">
      <c r="A2433" s="356"/>
      <c r="K2433" s="319" t="str">
        <f t="shared" si="1"/>
        <v/>
      </c>
    </row>
    <row r="2434" ht="15.75" customHeight="1">
      <c r="A2434" s="356"/>
      <c r="K2434" s="319" t="str">
        <f t="shared" si="1"/>
        <v/>
      </c>
    </row>
    <row r="2435" ht="15.75" customHeight="1">
      <c r="A2435" s="356"/>
      <c r="K2435" s="319" t="str">
        <f t="shared" si="1"/>
        <v/>
      </c>
    </row>
    <row r="2436" ht="15.75" customHeight="1">
      <c r="A2436" s="356"/>
      <c r="K2436" s="319" t="str">
        <f t="shared" si="1"/>
        <v/>
      </c>
    </row>
    <row r="2437" ht="15.75" customHeight="1">
      <c r="A2437" s="356"/>
      <c r="K2437" s="319" t="str">
        <f t="shared" si="1"/>
        <v/>
      </c>
    </row>
    <row r="2438" ht="15.75" customHeight="1">
      <c r="A2438" s="356"/>
      <c r="K2438" s="319" t="str">
        <f t="shared" si="1"/>
        <v/>
      </c>
    </row>
    <row r="2439" ht="15.75" customHeight="1">
      <c r="A2439" s="356"/>
      <c r="K2439" s="319" t="str">
        <f t="shared" si="1"/>
        <v/>
      </c>
    </row>
    <row r="2440" ht="15.75" customHeight="1">
      <c r="A2440" s="356"/>
      <c r="K2440" s="319" t="str">
        <f t="shared" si="1"/>
        <v/>
      </c>
    </row>
    <row r="2441" ht="15.75" customHeight="1">
      <c r="A2441" s="356"/>
      <c r="K2441" s="319" t="str">
        <f t="shared" si="1"/>
        <v/>
      </c>
    </row>
    <row r="2442" ht="15.75" customHeight="1">
      <c r="A2442" s="356"/>
      <c r="K2442" s="319" t="str">
        <f t="shared" si="1"/>
        <v/>
      </c>
    </row>
    <row r="2443" ht="15.75" customHeight="1">
      <c r="A2443" s="356"/>
      <c r="K2443" s="319" t="str">
        <f t="shared" si="1"/>
        <v/>
      </c>
    </row>
    <row r="2444" ht="15.75" customHeight="1">
      <c r="A2444" s="356"/>
      <c r="K2444" s="319" t="str">
        <f t="shared" si="1"/>
        <v/>
      </c>
    </row>
    <row r="2445" ht="15.75" customHeight="1">
      <c r="A2445" s="356"/>
      <c r="K2445" s="319" t="str">
        <f t="shared" si="1"/>
        <v/>
      </c>
    </row>
    <row r="2446" ht="15.75" customHeight="1">
      <c r="A2446" s="356"/>
      <c r="K2446" s="319" t="str">
        <f t="shared" si="1"/>
        <v/>
      </c>
    </row>
    <row r="2447" ht="15.75" customHeight="1">
      <c r="A2447" s="356"/>
      <c r="K2447" s="319" t="str">
        <f t="shared" si="1"/>
        <v/>
      </c>
    </row>
    <row r="2448" ht="15.75" customHeight="1">
      <c r="A2448" s="356"/>
      <c r="K2448" s="319" t="str">
        <f t="shared" si="1"/>
        <v/>
      </c>
    </row>
    <row r="2449" ht="15.75" customHeight="1">
      <c r="A2449" s="356"/>
      <c r="K2449" s="319" t="str">
        <f t="shared" si="1"/>
        <v/>
      </c>
    </row>
    <row r="2450" ht="15.75" customHeight="1">
      <c r="A2450" s="356"/>
      <c r="K2450" s="319" t="str">
        <f t="shared" si="1"/>
        <v/>
      </c>
    </row>
    <row r="2451" ht="15.75" customHeight="1">
      <c r="A2451" s="356"/>
      <c r="K2451" s="319" t="str">
        <f t="shared" si="1"/>
        <v/>
      </c>
    </row>
    <row r="2452" ht="15.75" customHeight="1">
      <c r="A2452" s="356"/>
      <c r="K2452" s="319" t="str">
        <f t="shared" si="1"/>
        <v/>
      </c>
    </row>
    <row r="2453" ht="15.75" customHeight="1">
      <c r="A2453" s="356"/>
      <c r="K2453" s="319" t="str">
        <f t="shared" si="1"/>
        <v/>
      </c>
    </row>
    <row r="2454" ht="15.75" customHeight="1">
      <c r="A2454" s="356"/>
      <c r="K2454" s="319" t="str">
        <f t="shared" si="1"/>
        <v/>
      </c>
    </row>
    <row r="2455" ht="15.75" customHeight="1">
      <c r="A2455" s="356"/>
      <c r="K2455" s="319" t="str">
        <f t="shared" si="1"/>
        <v/>
      </c>
    </row>
    <row r="2456" ht="15.75" customHeight="1">
      <c r="A2456" s="356"/>
      <c r="K2456" s="319" t="str">
        <f t="shared" si="1"/>
        <v/>
      </c>
    </row>
    <row r="2457" ht="15.75" customHeight="1">
      <c r="A2457" s="356"/>
      <c r="K2457" s="319" t="str">
        <f t="shared" si="1"/>
        <v/>
      </c>
    </row>
    <row r="2458" ht="15.75" customHeight="1">
      <c r="A2458" s="356"/>
      <c r="K2458" s="319" t="str">
        <f t="shared" si="1"/>
        <v/>
      </c>
    </row>
    <row r="2459" ht="15.75" customHeight="1">
      <c r="A2459" s="356"/>
      <c r="K2459" s="319" t="str">
        <f t="shared" si="1"/>
        <v/>
      </c>
    </row>
    <row r="2460" ht="15.75" customHeight="1">
      <c r="A2460" s="356"/>
      <c r="K2460" s="319" t="str">
        <f t="shared" si="1"/>
        <v/>
      </c>
    </row>
    <row r="2461" ht="15.75" customHeight="1">
      <c r="A2461" s="356"/>
      <c r="K2461" s="319" t="str">
        <f t="shared" si="1"/>
        <v/>
      </c>
    </row>
    <row r="2462" ht="15.75" customHeight="1">
      <c r="A2462" s="356"/>
      <c r="K2462" s="319" t="str">
        <f t="shared" si="1"/>
        <v/>
      </c>
    </row>
    <row r="2463" ht="15.75" customHeight="1">
      <c r="A2463" s="356"/>
      <c r="K2463" s="319" t="str">
        <f t="shared" si="1"/>
        <v/>
      </c>
    </row>
    <row r="2464" ht="15.75" customHeight="1">
      <c r="A2464" s="356"/>
      <c r="K2464" s="319" t="str">
        <f t="shared" si="1"/>
        <v/>
      </c>
    </row>
    <row r="2465" ht="15.75" customHeight="1">
      <c r="A2465" s="356"/>
      <c r="K2465" s="319" t="str">
        <f t="shared" si="1"/>
        <v/>
      </c>
    </row>
    <row r="2466" ht="15.75" customHeight="1">
      <c r="A2466" s="356"/>
      <c r="K2466" s="319" t="str">
        <f t="shared" si="1"/>
        <v/>
      </c>
    </row>
    <row r="2467" ht="15.75" customHeight="1">
      <c r="A2467" s="356"/>
      <c r="K2467" s="319" t="str">
        <f t="shared" si="1"/>
        <v/>
      </c>
    </row>
    <row r="2468" ht="15.75" customHeight="1">
      <c r="A2468" s="356"/>
      <c r="K2468" s="319" t="str">
        <f t="shared" si="1"/>
        <v/>
      </c>
    </row>
    <row r="2469" ht="15.75" customHeight="1">
      <c r="A2469" s="356"/>
      <c r="K2469" s="319" t="str">
        <f t="shared" si="1"/>
        <v/>
      </c>
    </row>
    <row r="2470" ht="15.75" customHeight="1">
      <c r="A2470" s="356"/>
      <c r="K2470" s="319" t="str">
        <f t="shared" si="1"/>
        <v/>
      </c>
    </row>
    <row r="2471" ht="15.75" customHeight="1">
      <c r="A2471" s="356"/>
      <c r="K2471" s="319" t="str">
        <f t="shared" si="1"/>
        <v/>
      </c>
    </row>
    <row r="2472" ht="15.75" customHeight="1">
      <c r="A2472" s="356"/>
      <c r="K2472" s="319" t="str">
        <f t="shared" si="1"/>
        <v/>
      </c>
    </row>
    <row r="2473" ht="15.75" customHeight="1">
      <c r="A2473" s="356"/>
      <c r="K2473" s="319" t="str">
        <f t="shared" si="1"/>
        <v/>
      </c>
    </row>
    <row r="2474" ht="15.75" customHeight="1">
      <c r="A2474" s="356"/>
      <c r="K2474" s="319" t="str">
        <f t="shared" si="1"/>
        <v/>
      </c>
    </row>
    <row r="2475" ht="15.75" customHeight="1">
      <c r="A2475" s="356"/>
      <c r="K2475" s="319" t="str">
        <f t="shared" si="1"/>
        <v/>
      </c>
    </row>
    <row r="2476" ht="15.75" customHeight="1">
      <c r="A2476" s="356"/>
      <c r="K2476" s="319" t="str">
        <f t="shared" si="1"/>
        <v/>
      </c>
    </row>
    <row r="2477" ht="15.75" customHeight="1">
      <c r="A2477" s="356"/>
      <c r="K2477" s="319" t="str">
        <f t="shared" si="1"/>
        <v/>
      </c>
    </row>
    <row r="2478" ht="15.75" customHeight="1">
      <c r="A2478" s="356"/>
      <c r="K2478" s="319" t="str">
        <f t="shared" si="1"/>
        <v/>
      </c>
    </row>
    <row r="2479" ht="15.75" customHeight="1">
      <c r="A2479" s="356"/>
      <c r="K2479" s="319" t="str">
        <f t="shared" si="1"/>
        <v/>
      </c>
    </row>
    <row r="2480" ht="15.75" customHeight="1">
      <c r="A2480" s="356"/>
      <c r="K2480" s="319" t="str">
        <f t="shared" si="1"/>
        <v/>
      </c>
    </row>
    <row r="2481" ht="15.75" customHeight="1">
      <c r="A2481" s="356"/>
      <c r="K2481" s="319" t="str">
        <f t="shared" si="1"/>
        <v/>
      </c>
    </row>
    <row r="2482" ht="15.75" customHeight="1">
      <c r="A2482" s="356"/>
      <c r="K2482" s="319" t="str">
        <f t="shared" si="1"/>
        <v/>
      </c>
    </row>
    <row r="2483" ht="15.75" customHeight="1">
      <c r="A2483" s="356"/>
      <c r="K2483" s="319" t="str">
        <f t="shared" si="1"/>
        <v/>
      </c>
    </row>
    <row r="2484" ht="15.75" customHeight="1">
      <c r="A2484" s="356"/>
      <c r="K2484" s="319" t="str">
        <f t="shared" si="1"/>
        <v/>
      </c>
    </row>
    <row r="2485" ht="15.75" customHeight="1">
      <c r="A2485" s="356"/>
      <c r="K2485" s="319" t="str">
        <f t="shared" si="1"/>
        <v/>
      </c>
    </row>
    <row r="2486" ht="15.75" customHeight="1">
      <c r="A2486" s="356"/>
      <c r="K2486" s="319" t="str">
        <f t="shared" si="1"/>
        <v/>
      </c>
    </row>
    <row r="2487" ht="15.75" customHeight="1">
      <c r="A2487" s="356"/>
      <c r="K2487" s="319" t="str">
        <f t="shared" si="1"/>
        <v/>
      </c>
    </row>
    <row r="2488" ht="15.75" customHeight="1">
      <c r="A2488" s="356"/>
      <c r="K2488" s="319" t="str">
        <f t="shared" si="1"/>
        <v/>
      </c>
    </row>
    <row r="2489" ht="15.75" customHeight="1">
      <c r="A2489" s="356"/>
      <c r="K2489" s="319" t="str">
        <f t="shared" si="1"/>
        <v/>
      </c>
    </row>
    <row r="2490" ht="15.75" customHeight="1">
      <c r="A2490" s="356"/>
      <c r="K2490" s="319" t="str">
        <f t="shared" si="1"/>
        <v/>
      </c>
    </row>
    <row r="2491" ht="15.75" customHeight="1">
      <c r="A2491" s="356"/>
      <c r="K2491" s="319" t="str">
        <f t="shared" si="1"/>
        <v/>
      </c>
    </row>
    <row r="2492" ht="15.75" customHeight="1">
      <c r="A2492" s="356"/>
      <c r="K2492" s="319" t="str">
        <f t="shared" si="1"/>
        <v/>
      </c>
    </row>
    <row r="2493" ht="15.75" customHeight="1">
      <c r="A2493" s="356"/>
      <c r="K2493" s="319" t="str">
        <f t="shared" si="1"/>
        <v/>
      </c>
    </row>
    <row r="2494" ht="15.75" customHeight="1">
      <c r="A2494" s="356"/>
      <c r="K2494" s="319" t="str">
        <f t="shared" si="1"/>
        <v/>
      </c>
    </row>
    <row r="2495" ht="15.75" customHeight="1">
      <c r="A2495" s="356"/>
      <c r="K2495" s="319" t="str">
        <f t="shared" si="1"/>
        <v/>
      </c>
    </row>
    <row r="2496" ht="15.75" customHeight="1">
      <c r="A2496" s="356"/>
      <c r="K2496" s="319" t="str">
        <f t="shared" si="1"/>
        <v/>
      </c>
    </row>
    <row r="2497" ht="15.75" customHeight="1">
      <c r="A2497" s="356"/>
      <c r="K2497" s="319" t="str">
        <f t="shared" si="1"/>
        <v/>
      </c>
    </row>
    <row r="2498" ht="15.75" customHeight="1">
      <c r="A2498" s="356"/>
      <c r="K2498" s="319" t="str">
        <f t="shared" si="1"/>
        <v/>
      </c>
    </row>
    <row r="2499" ht="15.75" customHeight="1">
      <c r="A2499" s="356"/>
      <c r="K2499" s="319" t="str">
        <f t="shared" si="1"/>
        <v/>
      </c>
    </row>
    <row r="2500" ht="15.75" customHeight="1">
      <c r="A2500" s="356"/>
      <c r="K2500" s="319" t="str">
        <f t="shared" si="1"/>
        <v/>
      </c>
    </row>
    <row r="2501" ht="15.75" customHeight="1">
      <c r="A2501" s="356"/>
      <c r="K2501" s="319" t="str">
        <f t="shared" si="1"/>
        <v/>
      </c>
    </row>
    <row r="2502" ht="15.75" customHeight="1">
      <c r="A2502" s="356"/>
      <c r="K2502" s="319" t="str">
        <f t="shared" si="1"/>
        <v/>
      </c>
    </row>
    <row r="2503" ht="15.75" customHeight="1">
      <c r="A2503" s="356"/>
      <c r="K2503" s="319" t="str">
        <f t="shared" si="1"/>
        <v/>
      </c>
    </row>
    <row r="2504" ht="15.75" customHeight="1">
      <c r="A2504" s="356"/>
      <c r="K2504" s="319" t="str">
        <f t="shared" si="1"/>
        <v/>
      </c>
    </row>
    <row r="2505" ht="15.75" customHeight="1">
      <c r="A2505" s="356"/>
      <c r="K2505" s="319" t="str">
        <f t="shared" si="1"/>
        <v/>
      </c>
    </row>
    <row r="2506" ht="15.75" customHeight="1">
      <c r="A2506" s="356"/>
      <c r="K2506" s="319" t="str">
        <f t="shared" si="1"/>
        <v/>
      </c>
    </row>
    <row r="2507" ht="15.75" customHeight="1">
      <c r="A2507" s="356"/>
      <c r="K2507" s="319" t="str">
        <f t="shared" si="1"/>
        <v/>
      </c>
    </row>
    <row r="2508" ht="15.75" customHeight="1">
      <c r="A2508" s="356"/>
      <c r="K2508" s="319" t="str">
        <f t="shared" si="1"/>
        <v/>
      </c>
    </row>
    <row r="2509" ht="15.75" customHeight="1">
      <c r="A2509" s="356"/>
      <c r="K2509" s="319" t="str">
        <f t="shared" si="1"/>
        <v/>
      </c>
    </row>
    <row r="2510" ht="15.75" customHeight="1">
      <c r="A2510" s="356"/>
      <c r="K2510" s="319" t="str">
        <f t="shared" si="1"/>
        <v/>
      </c>
    </row>
    <row r="2511" ht="15.75" customHeight="1">
      <c r="A2511" s="356"/>
      <c r="K2511" s="319" t="str">
        <f t="shared" si="1"/>
        <v/>
      </c>
    </row>
    <row r="2512" ht="15.75" customHeight="1">
      <c r="A2512" s="356"/>
      <c r="K2512" s="319" t="str">
        <f t="shared" si="1"/>
        <v/>
      </c>
    </row>
    <row r="2513" ht="15.75" customHeight="1">
      <c r="A2513" s="356"/>
      <c r="K2513" s="319" t="str">
        <f t="shared" si="1"/>
        <v/>
      </c>
    </row>
    <row r="2514" ht="15.75" customHeight="1">
      <c r="A2514" s="356"/>
      <c r="K2514" s="319" t="str">
        <f t="shared" si="1"/>
        <v/>
      </c>
    </row>
    <row r="2515" ht="15.75" customHeight="1">
      <c r="A2515" s="356"/>
      <c r="K2515" s="319" t="str">
        <f t="shared" si="1"/>
        <v/>
      </c>
    </row>
    <row r="2516" ht="15.75" customHeight="1">
      <c r="A2516" s="356"/>
      <c r="K2516" s="319" t="str">
        <f t="shared" si="1"/>
        <v/>
      </c>
    </row>
    <row r="2517" ht="15.75" customHeight="1">
      <c r="A2517" s="356"/>
      <c r="K2517" s="319" t="str">
        <f t="shared" si="1"/>
        <v/>
      </c>
    </row>
    <row r="2518" ht="15.75" customHeight="1">
      <c r="A2518" s="356"/>
      <c r="K2518" s="319" t="str">
        <f t="shared" si="1"/>
        <v/>
      </c>
    </row>
    <row r="2519" ht="15.75" customHeight="1">
      <c r="A2519" s="356"/>
      <c r="K2519" s="319" t="str">
        <f t="shared" si="1"/>
        <v/>
      </c>
    </row>
    <row r="2520" ht="15.75" customHeight="1">
      <c r="A2520" s="356"/>
      <c r="K2520" s="319" t="str">
        <f t="shared" si="1"/>
        <v/>
      </c>
    </row>
    <row r="2521" ht="15.75" customHeight="1">
      <c r="A2521" s="356"/>
      <c r="K2521" s="319" t="str">
        <f t="shared" si="1"/>
        <v/>
      </c>
    </row>
    <row r="2522" ht="15.75" customHeight="1">
      <c r="A2522" s="356"/>
      <c r="K2522" s="319" t="str">
        <f t="shared" si="1"/>
        <v/>
      </c>
    </row>
    <row r="2523" ht="15.75" customHeight="1">
      <c r="A2523" s="356"/>
      <c r="K2523" s="319" t="str">
        <f t="shared" si="1"/>
        <v/>
      </c>
    </row>
    <row r="2524" ht="15.75" customHeight="1">
      <c r="A2524" s="356"/>
      <c r="K2524" s="319" t="str">
        <f t="shared" si="1"/>
        <v/>
      </c>
    </row>
    <row r="2525" ht="15.75" customHeight="1">
      <c r="A2525" s="356"/>
      <c r="K2525" s="319" t="str">
        <f t="shared" si="1"/>
        <v/>
      </c>
    </row>
    <row r="2526" ht="15.75" customHeight="1">
      <c r="A2526" s="356"/>
      <c r="K2526" s="319" t="str">
        <f t="shared" si="1"/>
        <v/>
      </c>
    </row>
    <row r="2527" ht="15.75" customHeight="1">
      <c r="A2527" s="356"/>
      <c r="K2527" s="319" t="str">
        <f t="shared" si="1"/>
        <v/>
      </c>
    </row>
    <row r="2528" ht="15.75" customHeight="1">
      <c r="A2528" s="356"/>
      <c r="K2528" s="319" t="str">
        <f t="shared" si="1"/>
        <v/>
      </c>
    </row>
    <row r="2529" ht="15.75" customHeight="1">
      <c r="A2529" s="356"/>
      <c r="K2529" s="319" t="str">
        <f t="shared" si="1"/>
        <v/>
      </c>
    </row>
    <row r="2530" ht="15.75" customHeight="1">
      <c r="A2530" s="356"/>
      <c r="K2530" s="319" t="str">
        <f t="shared" si="1"/>
        <v/>
      </c>
    </row>
    <row r="2531" ht="15.75" customHeight="1">
      <c r="A2531" s="356"/>
      <c r="K2531" s="319" t="str">
        <f t="shared" si="1"/>
        <v/>
      </c>
    </row>
    <row r="2532" ht="15.75" customHeight="1">
      <c r="A2532" s="356"/>
      <c r="K2532" s="319" t="str">
        <f t="shared" si="1"/>
        <v/>
      </c>
    </row>
    <row r="2533" ht="15.75" customHeight="1">
      <c r="A2533" s="356"/>
      <c r="K2533" s="319" t="str">
        <f t="shared" si="1"/>
        <v/>
      </c>
    </row>
    <row r="2534" ht="15.75" customHeight="1">
      <c r="A2534" s="356"/>
      <c r="K2534" s="319" t="str">
        <f t="shared" si="1"/>
        <v/>
      </c>
    </row>
    <row r="2535" ht="15.75" customHeight="1">
      <c r="A2535" s="356"/>
      <c r="K2535" s="319" t="str">
        <f t="shared" si="1"/>
        <v/>
      </c>
    </row>
    <row r="2536" ht="15.75" customHeight="1">
      <c r="A2536" s="356"/>
      <c r="K2536" s="319" t="str">
        <f t="shared" si="1"/>
        <v/>
      </c>
    </row>
    <row r="2537" ht="15.75" customHeight="1">
      <c r="A2537" s="356"/>
      <c r="K2537" s="319" t="str">
        <f t="shared" si="1"/>
        <v/>
      </c>
    </row>
    <row r="2538" ht="15.75" customHeight="1">
      <c r="A2538" s="356"/>
      <c r="K2538" s="319" t="str">
        <f t="shared" si="1"/>
        <v/>
      </c>
    </row>
    <row r="2539" ht="15.75" customHeight="1">
      <c r="A2539" s="356"/>
      <c r="K2539" s="319" t="str">
        <f t="shared" si="1"/>
        <v/>
      </c>
    </row>
    <row r="2540" ht="15.75" customHeight="1">
      <c r="A2540" s="356"/>
      <c r="K2540" s="319" t="str">
        <f t="shared" si="1"/>
        <v/>
      </c>
    </row>
    <row r="2541" ht="15.75" customHeight="1">
      <c r="A2541" s="356"/>
      <c r="K2541" s="319" t="str">
        <f t="shared" si="1"/>
        <v/>
      </c>
    </row>
    <row r="2542" ht="15.75" customHeight="1">
      <c r="A2542" s="356"/>
      <c r="K2542" s="319" t="str">
        <f t="shared" si="1"/>
        <v/>
      </c>
    </row>
    <row r="2543" ht="15.75" customHeight="1">
      <c r="A2543" s="356"/>
      <c r="K2543" s="319" t="str">
        <f t="shared" si="1"/>
        <v/>
      </c>
    </row>
    <row r="2544" ht="15.75" customHeight="1">
      <c r="A2544" s="356"/>
      <c r="K2544" s="319" t="str">
        <f t="shared" si="1"/>
        <v/>
      </c>
    </row>
    <row r="2545" ht="15.75" customHeight="1">
      <c r="A2545" s="356"/>
      <c r="K2545" s="319" t="str">
        <f t="shared" si="1"/>
        <v/>
      </c>
    </row>
    <row r="2546" ht="15.75" customHeight="1">
      <c r="A2546" s="356"/>
      <c r="K2546" s="319" t="str">
        <f t="shared" si="1"/>
        <v/>
      </c>
    </row>
    <row r="2547" ht="15.75" customHeight="1">
      <c r="A2547" s="356"/>
      <c r="K2547" s="319" t="str">
        <f t="shared" si="1"/>
        <v/>
      </c>
    </row>
    <row r="2548" ht="15.75" customHeight="1">
      <c r="A2548" s="356"/>
      <c r="K2548" s="319" t="str">
        <f t="shared" si="1"/>
        <v/>
      </c>
    </row>
    <row r="2549" ht="15.75" customHeight="1">
      <c r="A2549" s="356"/>
      <c r="K2549" s="319" t="str">
        <f t="shared" si="1"/>
        <v/>
      </c>
    </row>
    <row r="2550" ht="15.75" customHeight="1">
      <c r="A2550" s="356"/>
      <c r="K2550" s="319" t="str">
        <f t="shared" si="1"/>
        <v/>
      </c>
    </row>
    <row r="2551" ht="15.75" customHeight="1">
      <c r="A2551" s="356"/>
      <c r="K2551" s="319" t="str">
        <f t="shared" si="1"/>
        <v/>
      </c>
    </row>
    <row r="2552" ht="15.75" customHeight="1">
      <c r="A2552" s="356"/>
      <c r="K2552" s="319" t="str">
        <f t="shared" si="1"/>
        <v/>
      </c>
    </row>
    <row r="2553" ht="15.75" customHeight="1">
      <c r="A2553" s="356"/>
      <c r="K2553" s="319" t="str">
        <f t="shared" si="1"/>
        <v/>
      </c>
    </row>
    <row r="2554" ht="15.75" customHeight="1">
      <c r="A2554" s="356"/>
      <c r="K2554" s="319" t="str">
        <f t="shared" si="1"/>
        <v/>
      </c>
    </row>
    <row r="2555" ht="15.75" customHeight="1">
      <c r="A2555" s="356"/>
      <c r="K2555" s="319" t="str">
        <f t="shared" si="1"/>
        <v/>
      </c>
    </row>
    <row r="2556" ht="15.75" customHeight="1">
      <c r="A2556" s="356"/>
      <c r="K2556" s="319" t="str">
        <f t="shared" si="1"/>
        <v/>
      </c>
    </row>
    <row r="2557" ht="15.75" customHeight="1">
      <c r="A2557" s="356"/>
      <c r="K2557" s="319" t="str">
        <f t="shared" si="1"/>
        <v/>
      </c>
    </row>
    <row r="2558" ht="15.75" customHeight="1">
      <c r="A2558" s="356"/>
      <c r="K2558" s="319" t="str">
        <f t="shared" si="1"/>
        <v/>
      </c>
    </row>
    <row r="2559" ht="15.75" customHeight="1">
      <c r="A2559" s="356"/>
      <c r="K2559" s="319" t="str">
        <f t="shared" si="1"/>
        <v/>
      </c>
    </row>
    <row r="2560" ht="15.75" customHeight="1">
      <c r="A2560" s="356"/>
      <c r="K2560" s="319" t="str">
        <f t="shared" si="1"/>
        <v/>
      </c>
    </row>
    <row r="2561" ht="15.75" customHeight="1">
      <c r="A2561" s="356"/>
      <c r="K2561" s="319" t="str">
        <f t="shared" si="1"/>
        <v/>
      </c>
    </row>
    <row r="2562" ht="15.75" customHeight="1">
      <c r="A2562" s="356"/>
      <c r="K2562" s="319" t="str">
        <f t="shared" si="1"/>
        <v/>
      </c>
    </row>
    <row r="2563" ht="15.75" customHeight="1">
      <c r="A2563" s="356"/>
      <c r="K2563" s="319" t="str">
        <f t="shared" si="1"/>
        <v/>
      </c>
    </row>
    <row r="2564" ht="15.75" customHeight="1">
      <c r="A2564" s="356"/>
      <c r="K2564" s="319" t="str">
        <f t="shared" si="1"/>
        <v/>
      </c>
    </row>
    <row r="2565" ht="15.75" customHeight="1">
      <c r="A2565" s="356"/>
      <c r="K2565" s="319" t="str">
        <f t="shared" si="1"/>
        <v/>
      </c>
    </row>
    <row r="2566" ht="15.75" customHeight="1">
      <c r="A2566" s="356"/>
      <c r="K2566" s="319" t="str">
        <f t="shared" si="1"/>
        <v/>
      </c>
    </row>
    <row r="2567" ht="15.75" customHeight="1">
      <c r="A2567" s="356"/>
      <c r="K2567" s="319" t="str">
        <f t="shared" si="1"/>
        <v/>
      </c>
    </row>
    <row r="2568" ht="15.75" customHeight="1">
      <c r="A2568" s="356"/>
      <c r="K2568" s="319" t="str">
        <f t="shared" si="1"/>
        <v/>
      </c>
    </row>
    <row r="2569" ht="15.75" customHeight="1">
      <c r="A2569" s="356"/>
      <c r="K2569" s="319" t="str">
        <f t="shared" si="1"/>
        <v/>
      </c>
    </row>
    <row r="2570" ht="15.75" customHeight="1">
      <c r="A2570" s="356"/>
      <c r="K2570" s="319" t="str">
        <f t="shared" si="1"/>
        <v/>
      </c>
    </row>
    <row r="2571" ht="15.75" customHeight="1">
      <c r="A2571" s="356"/>
      <c r="K2571" s="319" t="str">
        <f t="shared" si="1"/>
        <v/>
      </c>
    </row>
    <row r="2572" ht="15.75" customHeight="1">
      <c r="A2572" s="356"/>
      <c r="K2572" s="319" t="str">
        <f t="shared" si="1"/>
        <v/>
      </c>
    </row>
    <row r="2573" ht="15.75" customHeight="1">
      <c r="A2573" s="356"/>
      <c r="K2573" s="319" t="str">
        <f t="shared" si="1"/>
        <v/>
      </c>
    </row>
    <row r="2574" ht="15.75" customHeight="1">
      <c r="A2574" s="356"/>
      <c r="K2574" s="319" t="str">
        <f t="shared" si="1"/>
        <v/>
      </c>
    </row>
    <row r="2575" ht="15.75" customHeight="1">
      <c r="A2575" s="356"/>
      <c r="K2575" s="319" t="str">
        <f t="shared" si="1"/>
        <v/>
      </c>
    </row>
    <row r="2576" ht="15.75" customHeight="1">
      <c r="A2576" s="356"/>
      <c r="K2576" s="319" t="str">
        <f t="shared" si="1"/>
        <v/>
      </c>
    </row>
    <row r="2577" ht="15.75" customHeight="1">
      <c r="A2577" s="356"/>
      <c r="K2577" s="319" t="str">
        <f t="shared" si="1"/>
        <v/>
      </c>
    </row>
    <row r="2578" ht="15.75" customHeight="1">
      <c r="A2578" s="356"/>
      <c r="K2578" s="319" t="str">
        <f t="shared" si="1"/>
        <v/>
      </c>
    </row>
    <row r="2579" ht="15.75" customHeight="1">
      <c r="A2579" s="356"/>
      <c r="K2579" s="319" t="str">
        <f t="shared" si="1"/>
        <v/>
      </c>
    </row>
    <row r="2580" ht="15.75" customHeight="1">
      <c r="A2580" s="356"/>
      <c r="K2580" s="319" t="str">
        <f t="shared" si="1"/>
        <v/>
      </c>
    </row>
    <row r="2581" ht="15.75" customHeight="1">
      <c r="A2581" s="356"/>
      <c r="K2581" s="319" t="str">
        <f t="shared" si="1"/>
        <v/>
      </c>
    </row>
    <row r="2582" ht="15.75" customHeight="1">
      <c r="A2582" s="356"/>
      <c r="K2582" s="319" t="str">
        <f t="shared" si="1"/>
        <v/>
      </c>
    </row>
    <row r="2583" ht="15.75" customHeight="1">
      <c r="A2583" s="356"/>
      <c r="K2583" s="319" t="str">
        <f t="shared" si="1"/>
        <v/>
      </c>
    </row>
    <row r="2584" ht="15.75" customHeight="1">
      <c r="A2584" s="356"/>
      <c r="K2584" s="319" t="str">
        <f t="shared" si="1"/>
        <v/>
      </c>
    </row>
    <row r="2585" ht="15.75" customHeight="1">
      <c r="A2585" s="356"/>
      <c r="K2585" s="319" t="str">
        <f t="shared" si="1"/>
        <v/>
      </c>
    </row>
    <row r="2586" ht="15.75" customHeight="1">
      <c r="A2586" s="356"/>
      <c r="K2586" s="319" t="str">
        <f t="shared" si="1"/>
        <v/>
      </c>
    </row>
    <row r="2587" ht="15.75" customHeight="1">
      <c r="A2587" s="356"/>
      <c r="K2587" s="319" t="str">
        <f t="shared" si="1"/>
        <v/>
      </c>
    </row>
    <row r="2588" ht="15.75" customHeight="1">
      <c r="A2588" s="356"/>
      <c r="K2588" s="319" t="str">
        <f t="shared" si="1"/>
        <v/>
      </c>
    </row>
    <row r="2589" ht="15.75" customHeight="1">
      <c r="A2589" s="356"/>
      <c r="K2589" s="319" t="str">
        <f t="shared" si="1"/>
        <v/>
      </c>
    </row>
    <row r="2590" ht="15.75" customHeight="1">
      <c r="A2590" s="356"/>
      <c r="K2590" s="319" t="str">
        <f t="shared" si="1"/>
        <v/>
      </c>
    </row>
    <row r="2591" ht="15.75" customHeight="1">
      <c r="A2591" s="356"/>
      <c r="K2591" s="319" t="str">
        <f t="shared" si="1"/>
        <v/>
      </c>
    </row>
    <row r="2592" ht="15.75" customHeight="1">
      <c r="A2592" s="356"/>
      <c r="K2592" s="319" t="str">
        <f t="shared" si="1"/>
        <v/>
      </c>
    </row>
    <row r="2593" ht="15.75" customHeight="1">
      <c r="A2593" s="356"/>
      <c r="K2593" s="319" t="str">
        <f t="shared" si="1"/>
        <v/>
      </c>
    </row>
    <row r="2594" ht="15.75" customHeight="1">
      <c r="A2594" s="356"/>
      <c r="K2594" s="319" t="str">
        <f t="shared" si="1"/>
        <v/>
      </c>
    </row>
    <row r="2595" ht="15.75" customHeight="1">
      <c r="A2595" s="356"/>
      <c r="K2595" s="319" t="str">
        <f t="shared" si="1"/>
        <v/>
      </c>
    </row>
    <row r="2596" ht="15.75" customHeight="1">
      <c r="A2596" s="356"/>
      <c r="K2596" s="319" t="str">
        <f t="shared" si="1"/>
        <v/>
      </c>
    </row>
    <row r="2597" ht="15.75" customHeight="1">
      <c r="A2597" s="356"/>
      <c r="K2597" s="319" t="str">
        <f t="shared" si="1"/>
        <v/>
      </c>
    </row>
    <row r="2598" ht="15.75" customHeight="1">
      <c r="A2598" s="356"/>
      <c r="K2598" s="319" t="str">
        <f t="shared" si="1"/>
        <v/>
      </c>
    </row>
    <row r="2599" ht="15.75" customHeight="1">
      <c r="A2599" s="356"/>
      <c r="K2599" s="319" t="str">
        <f t="shared" si="1"/>
        <v/>
      </c>
    </row>
    <row r="2600" ht="15.75" customHeight="1">
      <c r="A2600" s="356"/>
      <c r="K2600" s="319" t="str">
        <f t="shared" si="1"/>
        <v/>
      </c>
    </row>
    <row r="2601" ht="15.75" customHeight="1">
      <c r="A2601" s="356"/>
      <c r="K2601" s="319" t="str">
        <f t="shared" si="1"/>
        <v/>
      </c>
    </row>
    <row r="2602" ht="15.75" customHeight="1">
      <c r="A2602" s="356"/>
      <c r="K2602" s="319" t="str">
        <f t="shared" si="1"/>
        <v/>
      </c>
    </row>
    <row r="2603" ht="15.75" customHeight="1">
      <c r="A2603" s="356"/>
      <c r="K2603" s="319" t="str">
        <f t="shared" si="1"/>
        <v/>
      </c>
    </row>
    <row r="2604" ht="15.75" customHeight="1">
      <c r="A2604" s="356"/>
      <c r="K2604" s="319" t="str">
        <f t="shared" si="1"/>
        <v/>
      </c>
    </row>
    <row r="2605" ht="15.75" customHeight="1">
      <c r="A2605" s="356"/>
      <c r="K2605" s="319" t="str">
        <f t="shared" si="1"/>
        <v/>
      </c>
    </row>
    <row r="2606" ht="15.75" customHeight="1">
      <c r="A2606" s="356"/>
      <c r="K2606" s="319" t="str">
        <f t="shared" si="1"/>
        <v/>
      </c>
    </row>
    <row r="2607" ht="15.75" customHeight="1">
      <c r="A2607" s="356"/>
      <c r="K2607" s="319" t="str">
        <f t="shared" si="1"/>
        <v/>
      </c>
    </row>
    <row r="2608" ht="15.75" customHeight="1">
      <c r="A2608" s="356"/>
      <c r="K2608" s="319" t="str">
        <f t="shared" si="1"/>
        <v/>
      </c>
    </row>
    <row r="2609" ht="15.75" customHeight="1">
      <c r="A2609" s="356"/>
      <c r="K2609" s="319" t="str">
        <f t="shared" si="1"/>
        <v/>
      </c>
    </row>
    <row r="2610" ht="15.75" customHeight="1">
      <c r="A2610" s="356"/>
      <c r="K2610" s="319" t="str">
        <f t="shared" si="1"/>
        <v/>
      </c>
    </row>
    <row r="2611" ht="15.75" customHeight="1">
      <c r="A2611" s="356"/>
      <c r="K2611" s="319" t="str">
        <f t="shared" si="1"/>
        <v/>
      </c>
    </row>
    <row r="2612" ht="15.75" customHeight="1">
      <c r="A2612" s="356"/>
      <c r="K2612" s="319" t="str">
        <f t="shared" si="1"/>
        <v/>
      </c>
    </row>
    <row r="2613" ht="15.75" customHeight="1">
      <c r="A2613" s="356"/>
      <c r="K2613" s="319" t="str">
        <f t="shared" si="1"/>
        <v/>
      </c>
    </row>
    <row r="2614" ht="15.75" customHeight="1">
      <c r="A2614" s="356"/>
      <c r="K2614" s="319" t="str">
        <f t="shared" si="1"/>
        <v/>
      </c>
    </row>
    <row r="2615" ht="15.75" customHeight="1">
      <c r="A2615" s="356"/>
      <c r="K2615" s="319" t="str">
        <f t="shared" si="1"/>
        <v/>
      </c>
    </row>
    <row r="2616" ht="15.75" customHeight="1">
      <c r="A2616" s="356"/>
      <c r="K2616" s="319" t="str">
        <f t="shared" si="1"/>
        <v/>
      </c>
    </row>
    <row r="2617" ht="15.75" customHeight="1">
      <c r="A2617" s="356"/>
      <c r="K2617" s="319" t="str">
        <f t="shared" si="1"/>
        <v/>
      </c>
    </row>
    <row r="2618" ht="15.75" customHeight="1">
      <c r="A2618" s="356"/>
      <c r="K2618" s="319" t="str">
        <f t="shared" si="1"/>
        <v/>
      </c>
    </row>
    <row r="2619" ht="15.75" customHeight="1">
      <c r="A2619" s="356"/>
      <c r="K2619" s="319" t="str">
        <f t="shared" si="1"/>
        <v/>
      </c>
    </row>
    <row r="2620" ht="15.75" customHeight="1">
      <c r="A2620" s="356"/>
      <c r="K2620" s="319" t="str">
        <f t="shared" si="1"/>
        <v/>
      </c>
    </row>
    <row r="2621" ht="15.75" customHeight="1">
      <c r="A2621" s="356"/>
      <c r="K2621" s="319" t="str">
        <f t="shared" si="1"/>
        <v/>
      </c>
    </row>
    <row r="2622" ht="15.75" customHeight="1">
      <c r="A2622" s="356"/>
      <c r="K2622" s="319" t="str">
        <f t="shared" si="1"/>
        <v/>
      </c>
    </row>
    <row r="2623" ht="15.75" customHeight="1">
      <c r="A2623" s="356"/>
      <c r="K2623" s="319" t="str">
        <f t="shared" si="1"/>
        <v/>
      </c>
    </row>
    <row r="2624" ht="15.75" customHeight="1">
      <c r="A2624" s="356"/>
      <c r="K2624" s="319" t="str">
        <f t="shared" si="1"/>
        <v/>
      </c>
    </row>
    <row r="2625" ht="15.75" customHeight="1">
      <c r="A2625" s="356"/>
      <c r="K2625" s="319" t="str">
        <f t="shared" si="1"/>
        <v/>
      </c>
    </row>
    <row r="2626" ht="15.75" customHeight="1">
      <c r="A2626" s="356"/>
      <c r="K2626" s="319" t="str">
        <f t="shared" si="1"/>
        <v/>
      </c>
    </row>
    <row r="2627" ht="15.75" customHeight="1">
      <c r="A2627" s="356"/>
      <c r="K2627" s="319" t="str">
        <f t="shared" si="1"/>
        <v/>
      </c>
    </row>
    <row r="2628" ht="15.75" customHeight="1">
      <c r="A2628" s="356"/>
      <c r="K2628" s="319" t="str">
        <f t="shared" si="1"/>
        <v/>
      </c>
    </row>
    <row r="2629" ht="15.75" customHeight="1">
      <c r="A2629" s="356"/>
      <c r="K2629" s="319" t="str">
        <f t="shared" si="1"/>
        <v/>
      </c>
    </row>
    <row r="2630" ht="15.75" customHeight="1">
      <c r="A2630" s="356"/>
      <c r="K2630" s="319" t="str">
        <f t="shared" si="1"/>
        <v/>
      </c>
    </row>
    <row r="2631" ht="15.75" customHeight="1">
      <c r="A2631" s="356"/>
      <c r="K2631" s="319" t="str">
        <f t="shared" si="1"/>
        <v/>
      </c>
    </row>
    <row r="2632" ht="15.75" customHeight="1">
      <c r="A2632" s="356"/>
      <c r="K2632" s="319" t="str">
        <f t="shared" si="1"/>
        <v/>
      </c>
    </row>
    <row r="2633" ht="15.75" customHeight="1">
      <c r="A2633" s="356"/>
      <c r="K2633" s="319" t="str">
        <f t="shared" si="1"/>
        <v/>
      </c>
    </row>
    <row r="2634" ht="15.75" customHeight="1">
      <c r="A2634" s="356"/>
      <c r="K2634" s="319" t="str">
        <f t="shared" si="1"/>
        <v/>
      </c>
    </row>
    <row r="2635" ht="15.75" customHeight="1">
      <c r="A2635" s="356"/>
      <c r="K2635" s="319" t="str">
        <f t="shared" si="1"/>
        <v/>
      </c>
    </row>
    <row r="2636" ht="15.75" customHeight="1">
      <c r="A2636" s="356"/>
      <c r="K2636" s="319" t="str">
        <f t="shared" si="1"/>
        <v/>
      </c>
    </row>
    <row r="2637" ht="15.75" customHeight="1">
      <c r="A2637" s="356"/>
      <c r="K2637" s="319" t="str">
        <f t="shared" si="1"/>
        <v/>
      </c>
    </row>
    <row r="2638" ht="15.75" customHeight="1">
      <c r="A2638" s="356"/>
      <c r="K2638" s="319" t="str">
        <f t="shared" si="1"/>
        <v/>
      </c>
    </row>
    <row r="2639" ht="15.75" customHeight="1">
      <c r="A2639" s="356"/>
      <c r="K2639" s="319" t="str">
        <f t="shared" si="1"/>
        <v/>
      </c>
    </row>
    <row r="2640" ht="15.75" customHeight="1">
      <c r="A2640" s="356"/>
      <c r="K2640" s="319" t="str">
        <f t="shared" si="1"/>
        <v/>
      </c>
    </row>
    <row r="2641" ht="15.75" customHeight="1">
      <c r="A2641" s="356"/>
      <c r="K2641" s="319" t="str">
        <f t="shared" si="1"/>
        <v/>
      </c>
    </row>
    <row r="2642" ht="15.75" customHeight="1">
      <c r="A2642" s="356"/>
      <c r="K2642" s="319" t="str">
        <f t="shared" si="1"/>
        <v/>
      </c>
    </row>
    <row r="2643" ht="15.75" customHeight="1">
      <c r="A2643" s="356"/>
      <c r="K2643" s="319" t="str">
        <f t="shared" si="1"/>
        <v/>
      </c>
    </row>
    <row r="2644" ht="15.75" customHeight="1">
      <c r="A2644" s="356"/>
      <c r="K2644" s="319" t="str">
        <f t="shared" si="1"/>
        <v/>
      </c>
    </row>
    <row r="2645" ht="15.75" customHeight="1">
      <c r="A2645" s="356"/>
      <c r="K2645" s="319" t="str">
        <f t="shared" si="1"/>
        <v/>
      </c>
    </row>
    <row r="2646" ht="15.75" customHeight="1">
      <c r="A2646" s="356"/>
      <c r="K2646" s="319" t="str">
        <f t="shared" si="1"/>
        <v/>
      </c>
    </row>
    <row r="2647" ht="15.75" customHeight="1">
      <c r="A2647" s="356"/>
      <c r="K2647" s="319" t="str">
        <f t="shared" si="1"/>
        <v/>
      </c>
    </row>
    <row r="2648" ht="15.75" customHeight="1">
      <c r="A2648" s="356"/>
      <c r="K2648" s="319" t="str">
        <f t="shared" si="1"/>
        <v/>
      </c>
    </row>
    <row r="2649" ht="15.75" customHeight="1">
      <c r="A2649" s="356"/>
      <c r="K2649" s="319" t="str">
        <f t="shared" si="1"/>
        <v/>
      </c>
    </row>
    <row r="2650" ht="15.75" customHeight="1">
      <c r="A2650" s="356"/>
      <c r="K2650" s="319" t="str">
        <f t="shared" si="1"/>
        <v/>
      </c>
    </row>
    <row r="2651" ht="15.75" customHeight="1">
      <c r="A2651" s="356"/>
      <c r="K2651" s="319" t="str">
        <f t="shared" si="1"/>
        <v/>
      </c>
    </row>
    <row r="2652" ht="15.75" customHeight="1">
      <c r="A2652" s="356"/>
      <c r="K2652" s="319" t="str">
        <f t="shared" si="1"/>
        <v/>
      </c>
    </row>
    <row r="2653" ht="15.75" customHeight="1">
      <c r="A2653" s="356"/>
      <c r="K2653" s="319" t="str">
        <f t="shared" si="1"/>
        <v/>
      </c>
    </row>
    <row r="2654" ht="15.75" customHeight="1">
      <c r="A2654" s="356"/>
      <c r="K2654" s="319" t="str">
        <f t="shared" si="1"/>
        <v/>
      </c>
    </row>
    <row r="2655" ht="15.75" customHeight="1">
      <c r="A2655" s="356"/>
      <c r="K2655" s="319" t="str">
        <f t="shared" si="1"/>
        <v/>
      </c>
    </row>
    <row r="2656" ht="15.75" customHeight="1">
      <c r="A2656" s="356"/>
      <c r="K2656" s="319" t="str">
        <f t="shared" si="1"/>
        <v/>
      </c>
    </row>
    <row r="2657" ht="15.75" customHeight="1">
      <c r="A2657" s="356"/>
      <c r="K2657" s="319" t="str">
        <f t="shared" si="1"/>
        <v/>
      </c>
    </row>
    <row r="2658" ht="15.75" customHeight="1">
      <c r="A2658" s="356"/>
      <c r="K2658" s="319" t="str">
        <f t="shared" si="1"/>
        <v/>
      </c>
    </row>
    <row r="2659" ht="15.75" customHeight="1">
      <c r="A2659" s="356"/>
      <c r="K2659" s="319" t="str">
        <f t="shared" si="1"/>
        <v/>
      </c>
    </row>
    <row r="2660" ht="15.75" customHeight="1">
      <c r="A2660" s="356"/>
      <c r="K2660" s="319" t="str">
        <f t="shared" si="1"/>
        <v/>
      </c>
    </row>
    <row r="2661" ht="15.75" customHeight="1">
      <c r="A2661" s="356"/>
      <c r="K2661" s="319" t="str">
        <f t="shared" si="1"/>
        <v/>
      </c>
    </row>
    <row r="2662" ht="15.75" customHeight="1">
      <c r="A2662" s="356"/>
      <c r="K2662" s="319" t="str">
        <f t="shared" si="1"/>
        <v/>
      </c>
    </row>
    <row r="2663" ht="15.75" customHeight="1">
      <c r="A2663" s="356"/>
      <c r="K2663" s="319" t="str">
        <f t="shared" si="1"/>
        <v/>
      </c>
    </row>
    <row r="2664" ht="15.75" customHeight="1">
      <c r="A2664" s="356"/>
      <c r="K2664" s="319" t="str">
        <f t="shared" si="1"/>
        <v/>
      </c>
    </row>
    <row r="2665" ht="15.75" customHeight="1">
      <c r="A2665" s="356"/>
      <c r="K2665" s="319" t="str">
        <f t="shared" si="1"/>
        <v/>
      </c>
    </row>
    <row r="2666" ht="15.75" customHeight="1">
      <c r="A2666" s="356"/>
      <c r="K2666" s="319" t="str">
        <f t="shared" si="1"/>
        <v/>
      </c>
    </row>
    <row r="2667" ht="15.75" customHeight="1">
      <c r="A2667" s="356"/>
      <c r="K2667" s="319" t="str">
        <f t="shared" si="1"/>
        <v/>
      </c>
    </row>
    <row r="2668" ht="15.75" customHeight="1">
      <c r="A2668" s="356"/>
      <c r="K2668" s="319" t="str">
        <f t="shared" si="1"/>
        <v/>
      </c>
    </row>
    <row r="2669" ht="15.75" customHeight="1">
      <c r="A2669" s="356"/>
      <c r="K2669" s="319" t="str">
        <f t="shared" si="1"/>
        <v/>
      </c>
    </row>
    <row r="2670" ht="15.75" customHeight="1">
      <c r="A2670" s="356"/>
      <c r="K2670" s="319" t="str">
        <f t="shared" si="1"/>
        <v/>
      </c>
    </row>
    <row r="2671" ht="15.75" customHeight="1">
      <c r="A2671" s="356"/>
      <c r="K2671" s="319" t="str">
        <f t="shared" si="1"/>
        <v/>
      </c>
    </row>
    <row r="2672" ht="15.75" customHeight="1">
      <c r="A2672" s="356"/>
      <c r="K2672" s="319" t="str">
        <f t="shared" si="1"/>
        <v/>
      </c>
    </row>
    <row r="2673" ht="15.75" customHeight="1">
      <c r="A2673" s="356"/>
      <c r="K2673" s="319" t="str">
        <f t="shared" si="1"/>
        <v/>
      </c>
    </row>
    <row r="2674" ht="15.75" customHeight="1">
      <c r="A2674" s="356"/>
      <c r="K2674" s="319" t="str">
        <f t="shared" si="1"/>
        <v/>
      </c>
    </row>
    <row r="2675" ht="15.75" customHeight="1">
      <c r="A2675" s="356"/>
      <c r="K2675" s="319" t="str">
        <f t="shared" si="1"/>
        <v/>
      </c>
    </row>
    <row r="2676" ht="15.75" customHeight="1">
      <c r="A2676" s="356"/>
      <c r="K2676" s="319" t="str">
        <f t="shared" si="1"/>
        <v/>
      </c>
    </row>
    <row r="2677" ht="15.75" customHeight="1">
      <c r="A2677" s="356"/>
      <c r="K2677" s="319" t="str">
        <f t="shared" si="1"/>
        <v/>
      </c>
    </row>
    <row r="2678" ht="15.75" customHeight="1">
      <c r="A2678" s="356"/>
      <c r="K2678" s="319" t="str">
        <f t="shared" si="1"/>
        <v/>
      </c>
    </row>
    <row r="2679" ht="15.75" customHeight="1">
      <c r="A2679" s="356"/>
      <c r="K2679" s="319" t="str">
        <f t="shared" si="1"/>
        <v/>
      </c>
    </row>
    <row r="2680" ht="15.75" customHeight="1">
      <c r="A2680" s="356"/>
      <c r="K2680" s="319" t="str">
        <f t="shared" si="1"/>
        <v/>
      </c>
    </row>
    <row r="2681" ht="15.75" customHeight="1">
      <c r="A2681" s="356"/>
      <c r="K2681" s="319" t="str">
        <f t="shared" si="1"/>
        <v/>
      </c>
    </row>
    <row r="2682" ht="15.75" customHeight="1">
      <c r="A2682" s="356"/>
      <c r="K2682" s="319" t="str">
        <f t="shared" si="1"/>
        <v/>
      </c>
    </row>
    <row r="2683" ht="15.75" customHeight="1">
      <c r="A2683" s="356"/>
      <c r="K2683" s="319" t="str">
        <f t="shared" si="1"/>
        <v/>
      </c>
    </row>
    <row r="2684" ht="15.75" customHeight="1">
      <c r="A2684" s="356"/>
      <c r="K2684" s="319" t="str">
        <f t="shared" si="1"/>
        <v/>
      </c>
    </row>
    <row r="2685" ht="15.75" customHeight="1">
      <c r="A2685" s="356"/>
      <c r="K2685" s="319" t="str">
        <f t="shared" si="1"/>
        <v/>
      </c>
    </row>
    <row r="2686" ht="15.75" customHeight="1">
      <c r="A2686" s="356"/>
      <c r="K2686" s="319" t="str">
        <f t="shared" si="1"/>
        <v/>
      </c>
    </row>
    <row r="2687" ht="15.75" customHeight="1">
      <c r="A2687" s="356"/>
      <c r="K2687" s="319" t="str">
        <f t="shared" si="1"/>
        <v/>
      </c>
    </row>
    <row r="2688" ht="15.75" customHeight="1">
      <c r="A2688" s="356"/>
      <c r="K2688" s="319" t="str">
        <f t="shared" si="1"/>
        <v/>
      </c>
    </row>
    <row r="2689" ht="15.75" customHeight="1">
      <c r="A2689" s="356"/>
      <c r="K2689" s="319" t="str">
        <f t="shared" si="1"/>
        <v/>
      </c>
    </row>
    <row r="2690" ht="15.75" customHeight="1">
      <c r="A2690" s="356"/>
      <c r="K2690" s="319" t="str">
        <f t="shared" si="1"/>
        <v/>
      </c>
    </row>
    <row r="2691" ht="15.75" customHeight="1">
      <c r="A2691" s="356"/>
      <c r="K2691" s="319" t="str">
        <f t="shared" si="1"/>
        <v/>
      </c>
    </row>
    <row r="2692" ht="15.75" customHeight="1">
      <c r="A2692" s="356"/>
      <c r="K2692" s="319" t="str">
        <f t="shared" si="1"/>
        <v/>
      </c>
    </row>
    <row r="2693" ht="15.75" customHeight="1">
      <c r="A2693" s="356"/>
      <c r="K2693" s="319" t="str">
        <f t="shared" si="1"/>
        <v/>
      </c>
    </row>
    <row r="2694" ht="15.75" customHeight="1">
      <c r="A2694" s="356"/>
      <c r="K2694" s="319" t="str">
        <f t="shared" si="1"/>
        <v/>
      </c>
    </row>
    <row r="2695" ht="15.75" customHeight="1">
      <c r="A2695" s="356"/>
      <c r="K2695" s="319" t="str">
        <f t="shared" si="1"/>
        <v/>
      </c>
    </row>
    <row r="2696" ht="15.75" customHeight="1">
      <c r="A2696" s="356"/>
      <c r="K2696" s="319" t="str">
        <f t="shared" si="1"/>
        <v/>
      </c>
    </row>
    <row r="2697" ht="15.75" customHeight="1">
      <c r="A2697" s="356"/>
      <c r="K2697" s="319" t="str">
        <f t="shared" si="1"/>
        <v/>
      </c>
    </row>
    <row r="2698" ht="15.75" customHeight="1">
      <c r="A2698" s="356"/>
      <c r="K2698" s="319" t="str">
        <f t="shared" si="1"/>
        <v/>
      </c>
    </row>
    <row r="2699" ht="15.75" customHeight="1">
      <c r="A2699" s="356"/>
      <c r="K2699" s="319" t="str">
        <f t="shared" si="1"/>
        <v/>
      </c>
    </row>
    <row r="2700" ht="15.75" customHeight="1">
      <c r="A2700" s="356"/>
      <c r="K2700" s="319" t="str">
        <f t="shared" si="1"/>
        <v/>
      </c>
    </row>
    <row r="2701" ht="15.75" customHeight="1">
      <c r="A2701" s="356"/>
      <c r="K2701" s="319" t="str">
        <f t="shared" si="1"/>
        <v/>
      </c>
    </row>
    <row r="2702" ht="15.75" customHeight="1">
      <c r="A2702" s="356"/>
      <c r="K2702" s="319" t="str">
        <f t="shared" si="1"/>
        <v/>
      </c>
    </row>
    <row r="2703" ht="15.75" customHeight="1">
      <c r="A2703" s="356"/>
      <c r="K2703" s="319" t="str">
        <f t="shared" si="1"/>
        <v/>
      </c>
    </row>
    <row r="2704" ht="15.75" customHeight="1">
      <c r="A2704" s="356"/>
      <c r="K2704" s="319" t="str">
        <f t="shared" si="1"/>
        <v/>
      </c>
    </row>
    <row r="2705" ht="15.75" customHeight="1">
      <c r="A2705" s="356"/>
      <c r="K2705" s="319" t="str">
        <f t="shared" si="1"/>
        <v/>
      </c>
    </row>
    <row r="2706" ht="15.75" customHeight="1">
      <c r="A2706" s="356"/>
      <c r="K2706" s="319" t="str">
        <f t="shared" si="1"/>
        <v/>
      </c>
    </row>
    <row r="2707" ht="15.75" customHeight="1">
      <c r="A2707" s="356"/>
      <c r="K2707" s="319" t="str">
        <f t="shared" si="1"/>
        <v/>
      </c>
    </row>
    <row r="2708" ht="15.75" customHeight="1">
      <c r="A2708" s="356"/>
      <c r="K2708" s="319" t="str">
        <f t="shared" si="1"/>
        <v/>
      </c>
    </row>
    <row r="2709" ht="15.75" customHeight="1">
      <c r="A2709" s="356"/>
      <c r="K2709" s="319" t="str">
        <f t="shared" si="1"/>
        <v/>
      </c>
    </row>
    <row r="2710" ht="15.75" customHeight="1">
      <c r="A2710" s="356"/>
      <c r="K2710" s="319" t="str">
        <f t="shared" si="1"/>
        <v/>
      </c>
    </row>
    <row r="2711" ht="15.75" customHeight="1">
      <c r="A2711" s="356"/>
      <c r="K2711" s="319" t="str">
        <f t="shared" si="1"/>
        <v/>
      </c>
    </row>
    <row r="2712" ht="15.75" customHeight="1">
      <c r="A2712" s="356"/>
      <c r="K2712" s="319" t="str">
        <f t="shared" si="1"/>
        <v/>
      </c>
    </row>
    <row r="2713" ht="15.75" customHeight="1">
      <c r="A2713" s="356"/>
      <c r="K2713" s="319" t="str">
        <f t="shared" si="1"/>
        <v/>
      </c>
    </row>
    <row r="2714" ht="15.75" customHeight="1">
      <c r="A2714" s="356"/>
      <c r="K2714" s="319" t="str">
        <f t="shared" si="1"/>
        <v/>
      </c>
    </row>
    <row r="2715" ht="15.75" customHeight="1">
      <c r="A2715" s="356"/>
      <c r="K2715" s="319" t="str">
        <f t="shared" si="1"/>
        <v/>
      </c>
    </row>
    <row r="2716" ht="15.75" customHeight="1">
      <c r="A2716" s="356"/>
      <c r="K2716" s="319" t="str">
        <f t="shared" si="1"/>
        <v/>
      </c>
    </row>
    <row r="2717" ht="15.75" customHeight="1">
      <c r="A2717" s="356"/>
      <c r="K2717" s="319" t="str">
        <f t="shared" si="1"/>
        <v/>
      </c>
    </row>
    <row r="2718" ht="15.75" customHeight="1">
      <c r="A2718" s="356"/>
      <c r="K2718" s="319" t="str">
        <f t="shared" si="1"/>
        <v/>
      </c>
    </row>
    <row r="2719" ht="15.75" customHeight="1">
      <c r="A2719" s="356"/>
      <c r="K2719" s="319" t="str">
        <f t="shared" si="1"/>
        <v/>
      </c>
    </row>
    <row r="2720" ht="15.75" customHeight="1">
      <c r="A2720" s="356"/>
      <c r="K2720" s="319" t="str">
        <f t="shared" si="1"/>
        <v/>
      </c>
    </row>
    <row r="2721" ht="15.75" customHeight="1">
      <c r="A2721" s="356"/>
      <c r="K2721" s="319" t="str">
        <f t="shared" si="1"/>
        <v/>
      </c>
    </row>
    <row r="2722" ht="15.75" customHeight="1">
      <c r="A2722" s="356"/>
      <c r="K2722" s="319" t="str">
        <f t="shared" si="1"/>
        <v/>
      </c>
    </row>
    <row r="2723" ht="15.75" customHeight="1">
      <c r="A2723" s="356"/>
      <c r="K2723" s="319" t="str">
        <f t="shared" si="1"/>
        <v/>
      </c>
    </row>
    <row r="2724" ht="15.75" customHeight="1">
      <c r="A2724" s="356"/>
      <c r="K2724" s="319" t="str">
        <f t="shared" si="1"/>
        <v/>
      </c>
    </row>
    <row r="2725" ht="15.75" customHeight="1">
      <c r="A2725" s="356"/>
      <c r="K2725" s="319" t="str">
        <f t="shared" si="1"/>
        <v/>
      </c>
    </row>
    <row r="2726" ht="15.75" customHeight="1">
      <c r="A2726" s="356"/>
      <c r="K2726" s="319" t="str">
        <f t="shared" si="1"/>
        <v/>
      </c>
    </row>
    <row r="2727" ht="15.75" customHeight="1">
      <c r="A2727" s="356"/>
      <c r="K2727" s="319" t="str">
        <f t="shared" si="1"/>
        <v/>
      </c>
    </row>
    <row r="2728" ht="15.75" customHeight="1">
      <c r="A2728" s="356"/>
      <c r="K2728" s="319" t="str">
        <f t="shared" si="1"/>
        <v/>
      </c>
    </row>
    <row r="2729" ht="15.75" customHeight="1">
      <c r="A2729" s="356"/>
      <c r="K2729" s="319" t="str">
        <f t="shared" si="1"/>
        <v/>
      </c>
    </row>
    <row r="2730" ht="15.75" customHeight="1">
      <c r="A2730" s="356"/>
      <c r="K2730" s="319" t="str">
        <f t="shared" si="1"/>
        <v/>
      </c>
    </row>
    <row r="2731" ht="15.75" customHeight="1">
      <c r="A2731" s="356"/>
      <c r="K2731" s="319" t="str">
        <f t="shared" si="1"/>
        <v/>
      </c>
    </row>
    <row r="2732" ht="15.75" customHeight="1">
      <c r="A2732" s="356"/>
      <c r="K2732" s="319" t="str">
        <f t="shared" si="1"/>
        <v/>
      </c>
    </row>
    <row r="2733" ht="15.75" customHeight="1">
      <c r="A2733" s="356"/>
      <c r="K2733" s="319" t="str">
        <f t="shared" si="1"/>
        <v/>
      </c>
    </row>
    <row r="2734" ht="15.75" customHeight="1">
      <c r="A2734" s="356"/>
      <c r="K2734" s="319" t="str">
        <f t="shared" si="1"/>
        <v/>
      </c>
    </row>
    <row r="2735" ht="15.75" customHeight="1">
      <c r="A2735" s="356"/>
      <c r="K2735" s="319" t="str">
        <f t="shared" si="1"/>
        <v/>
      </c>
    </row>
    <row r="2736" ht="15.75" customHeight="1">
      <c r="A2736" s="356"/>
      <c r="K2736" s="319" t="str">
        <f t="shared" si="1"/>
        <v/>
      </c>
    </row>
    <row r="2737" ht="15.75" customHeight="1">
      <c r="A2737" s="356"/>
      <c r="K2737" s="319" t="str">
        <f t="shared" si="1"/>
        <v/>
      </c>
    </row>
    <row r="2738" ht="15.75" customHeight="1">
      <c r="A2738" s="356"/>
      <c r="K2738" s="319" t="str">
        <f t="shared" si="1"/>
        <v/>
      </c>
    </row>
    <row r="2739" ht="15.75" customHeight="1">
      <c r="A2739" s="356"/>
      <c r="K2739" s="319" t="str">
        <f t="shared" si="1"/>
        <v/>
      </c>
    </row>
    <row r="2740" ht="15.75" customHeight="1">
      <c r="A2740" s="356"/>
      <c r="K2740" s="319" t="str">
        <f t="shared" si="1"/>
        <v/>
      </c>
    </row>
    <row r="2741" ht="15.75" customHeight="1">
      <c r="A2741" s="356"/>
      <c r="K2741" s="319" t="str">
        <f t="shared" si="1"/>
        <v/>
      </c>
    </row>
    <row r="2742" ht="15.75" customHeight="1">
      <c r="A2742" s="356"/>
      <c r="K2742" s="319" t="str">
        <f t="shared" si="1"/>
        <v/>
      </c>
    </row>
    <row r="2743" ht="15.75" customHeight="1">
      <c r="A2743" s="356"/>
      <c r="K2743" s="319" t="str">
        <f t="shared" si="1"/>
        <v/>
      </c>
    </row>
    <row r="2744" ht="15.75" customHeight="1">
      <c r="A2744" s="356"/>
      <c r="K2744" s="319" t="str">
        <f t="shared" si="1"/>
        <v/>
      </c>
    </row>
    <row r="2745" ht="15.75" customHeight="1">
      <c r="A2745" s="356"/>
      <c r="K2745" s="319" t="str">
        <f t="shared" si="1"/>
        <v/>
      </c>
    </row>
    <row r="2746" ht="15.75" customHeight="1">
      <c r="A2746" s="356"/>
      <c r="K2746" s="319" t="str">
        <f t="shared" si="1"/>
        <v/>
      </c>
    </row>
    <row r="2747" ht="15.75" customHeight="1">
      <c r="A2747" s="356"/>
      <c r="K2747" s="319" t="str">
        <f t="shared" si="1"/>
        <v/>
      </c>
    </row>
    <row r="2748" ht="15.75" customHeight="1">
      <c r="A2748" s="356"/>
      <c r="K2748" s="319" t="str">
        <f t="shared" si="1"/>
        <v/>
      </c>
    </row>
    <row r="2749" ht="15.75" customHeight="1">
      <c r="A2749" s="356"/>
      <c r="K2749" s="319" t="str">
        <f t="shared" si="1"/>
        <v/>
      </c>
    </row>
    <row r="2750" ht="15.75" customHeight="1">
      <c r="A2750" s="356"/>
      <c r="K2750" s="319" t="str">
        <f t="shared" si="1"/>
        <v/>
      </c>
    </row>
    <row r="2751" ht="15.75" customHeight="1">
      <c r="A2751" s="356"/>
      <c r="K2751" s="319" t="str">
        <f t="shared" si="1"/>
        <v/>
      </c>
    </row>
    <row r="2752" ht="15.75" customHeight="1">
      <c r="A2752" s="356"/>
      <c r="K2752" s="319" t="str">
        <f t="shared" si="1"/>
        <v/>
      </c>
    </row>
    <row r="2753" ht="15.75" customHeight="1">
      <c r="A2753" s="356"/>
      <c r="K2753" s="319" t="str">
        <f t="shared" si="1"/>
        <v/>
      </c>
    </row>
    <row r="2754" ht="15.75" customHeight="1">
      <c r="A2754" s="356"/>
      <c r="K2754" s="319" t="str">
        <f t="shared" si="1"/>
        <v/>
      </c>
    </row>
    <row r="2755" ht="15.75" customHeight="1">
      <c r="A2755" s="356"/>
      <c r="K2755" s="319" t="str">
        <f t="shared" si="1"/>
        <v/>
      </c>
    </row>
    <row r="2756" ht="15.75" customHeight="1">
      <c r="A2756" s="356"/>
      <c r="K2756" s="319" t="str">
        <f t="shared" si="1"/>
        <v/>
      </c>
    </row>
    <row r="2757" ht="15.75" customHeight="1">
      <c r="A2757" s="356"/>
      <c r="K2757" s="319" t="str">
        <f t="shared" si="1"/>
        <v/>
      </c>
    </row>
    <row r="2758" ht="15.75" customHeight="1">
      <c r="A2758" s="356"/>
      <c r="K2758" s="319" t="str">
        <f t="shared" si="1"/>
        <v/>
      </c>
    </row>
    <row r="2759" ht="15.75" customHeight="1">
      <c r="A2759" s="356"/>
      <c r="K2759" s="319" t="str">
        <f t="shared" si="1"/>
        <v/>
      </c>
    </row>
    <row r="2760" ht="15.75" customHeight="1">
      <c r="A2760" s="356"/>
      <c r="K2760" s="319" t="str">
        <f t="shared" si="1"/>
        <v/>
      </c>
    </row>
    <row r="2761" ht="15.75" customHeight="1">
      <c r="A2761" s="356"/>
      <c r="K2761" s="319" t="str">
        <f t="shared" si="1"/>
        <v/>
      </c>
    </row>
    <row r="2762" ht="15.75" customHeight="1">
      <c r="A2762" s="356"/>
      <c r="K2762" s="319" t="str">
        <f t="shared" si="1"/>
        <v/>
      </c>
    </row>
    <row r="2763" ht="15.75" customHeight="1">
      <c r="A2763" s="356"/>
      <c r="K2763" s="319" t="str">
        <f t="shared" si="1"/>
        <v/>
      </c>
    </row>
    <row r="2764" ht="15.75" customHeight="1">
      <c r="A2764" s="356"/>
      <c r="K2764" s="319" t="str">
        <f t="shared" si="1"/>
        <v/>
      </c>
    </row>
    <row r="2765" ht="15.75" customHeight="1">
      <c r="A2765" s="356"/>
      <c r="K2765" s="319" t="str">
        <f t="shared" si="1"/>
        <v/>
      </c>
    </row>
    <row r="2766" ht="15.75" customHeight="1">
      <c r="A2766" s="356"/>
      <c r="K2766" s="319" t="str">
        <f t="shared" si="1"/>
        <v/>
      </c>
    </row>
    <row r="2767" ht="15.75" customHeight="1">
      <c r="A2767" s="356"/>
      <c r="K2767" s="319" t="str">
        <f t="shared" si="1"/>
        <v/>
      </c>
    </row>
    <row r="2768" ht="15.75" customHeight="1">
      <c r="A2768" s="356"/>
      <c r="K2768" s="319" t="str">
        <f t="shared" si="1"/>
        <v/>
      </c>
    </row>
    <row r="2769" ht="15.75" customHeight="1">
      <c r="A2769" s="356"/>
      <c r="K2769" s="319" t="str">
        <f t="shared" si="1"/>
        <v/>
      </c>
    </row>
    <row r="2770" ht="15.75" customHeight="1">
      <c r="A2770" s="356"/>
      <c r="K2770" s="319" t="str">
        <f t="shared" si="1"/>
        <v/>
      </c>
    </row>
    <row r="2771" ht="15.75" customHeight="1">
      <c r="A2771" s="356"/>
      <c r="K2771" s="319" t="str">
        <f t="shared" si="1"/>
        <v/>
      </c>
    </row>
    <row r="2772" ht="15.75" customHeight="1">
      <c r="A2772" s="356"/>
      <c r="K2772" s="319" t="str">
        <f t="shared" si="1"/>
        <v/>
      </c>
    </row>
    <row r="2773" ht="15.75" customHeight="1">
      <c r="A2773" s="356"/>
      <c r="K2773" s="319" t="str">
        <f t="shared" si="1"/>
        <v/>
      </c>
    </row>
    <row r="2774" ht="15.75" customHeight="1">
      <c r="A2774" s="356"/>
      <c r="K2774" s="319" t="str">
        <f t="shared" si="1"/>
        <v/>
      </c>
    </row>
    <row r="2775" ht="15.75" customHeight="1">
      <c r="A2775" s="356"/>
      <c r="K2775" s="319" t="str">
        <f t="shared" si="1"/>
        <v/>
      </c>
    </row>
    <row r="2776" ht="15.75" customHeight="1">
      <c r="A2776" s="356"/>
      <c r="K2776" s="319" t="str">
        <f t="shared" si="1"/>
        <v/>
      </c>
    </row>
    <row r="2777" ht="15.75" customHeight="1">
      <c r="A2777" s="356"/>
      <c r="K2777" s="319" t="str">
        <f t="shared" si="1"/>
        <v/>
      </c>
    </row>
    <row r="2778" ht="15.75" customHeight="1">
      <c r="A2778" s="356"/>
      <c r="K2778" s="319" t="str">
        <f t="shared" si="1"/>
        <v/>
      </c>
    </row>
    <row r="2779" ht="15.75" customHeight="1">
      <c r="A2779" s="356"/>
      <c r="K2779" s="319" t="str">
        <f t="shared" si="1"/>
        <v/>
      </c>
    </row>
    <row r="2780" ht="15.75" customHeight="1">
      <c r="A2780" s="356"/>
      <c r="K2780" s="319" t="str">
        <f t="shared" si="1"/>
        <v/>
      </c>
    </row>
    <row r="2781" ht="15.75" customHeight="1">
      <c r="A2781" s="356"/>
      <c r="K2781" s="319" t="str">
        <f t="shared" si="1"/>
        <v/>
      </c>
    </row>
    <row r="2782" ht="15.75" customHeight="1">
      <c r="A2782" s="356"/>
      <c r="K2782" s="319" t="str">
        <f t="shared" si="1"/>
        <v/>
      </c>
    </row>
    <row r="2783" ht="15.75" customHeight="1">
      <c r="A2783" s="356"/>
      <c r="K2783" s="319" t="str">
        <f t="shared" si="1"/>
        <v/>
      </c>
    </row>
    <row r="2784" ht="15.75" customHeight="1">
      <c r="A2784" s="356"/>
      <c r="K2784" s="319" t="str">
        <f t="shared" si="1"/>
        <v/>
      </c>
    </row>
    <row r="2785" ht="15.75" customHeight="1">
      <c r="A2785" s="356"/>
      <c r="K2785" s="319" t="str">
        <f t="shared" si="1"/>
        <v/>
      </c>
    </row>
    <row r="2786" ht="15.75" customHeight="1">
      <c r="A2786" s="356"/>
      <c r="K2786" s="319" t="str">
        <f t="shared" si="1"/>
        <v/>
      </c>
    </row>
    <row r="2787" ht="15.75" customHeight="1">
      <c r="A2787" s="356"/>
      <c r="K2787" s="319" t="str">
        <f t="shared" si="1"/>
        <v/>
      </c>
    </row>
    <row r="2788" ht="15.75" customHeight="1">
      <c r="A2788" s="356"/>
      <c r="K2788" s="319" t="str">
        <f t="shared" si="1"/>
        <v/>
      </c>
    </row>
    <row r="2789" ht="15.75" customHeight="1">
      <c r="A2789" s="356"/>
      <c r="K2789" s="319" t="str">
        <f t="shared" si="1"/>
        <v/>
      </c>
    </row>
    <row r="2790" ht="15.75" customHeight="1">
      <c r="A2790" s="356"/>
      <c r="K2790" s="319" t="str">
        <f t="shared" si="1"/>
        <v/>
      </c>
    </row>
    <row r="2791" ht="15.75" customHeight="1">
      <c r="A2791" s="356"/>
      <c r="K2791" s="319" t="str">
        <f t="shared" si="1"/>
        <v/>
      </c>
    </row>
    <row r="2792" ht="15.75" customHeight="1">
      <c r="A2792" s="356"/>
      <c r="K2792" s="319" t="str">
        <f t="shared" si="1"/>
        <v/>
      </c>
    </row>
    <row r="2793" ht="15.75" customHeight="1">
      <c r="A2793" s="356"/>
      <c r="K2793" s="319" t="str">
        <f t="shared" si="1"/>
        <v/>
      </c>
    </row>
    <row r="2794" ht="15.75" customHeight="1">
      <c r="A2794" s="356"/>
      <c r="K2794" s="319" t="str">
        <f t="shared" si="1"/>
        <v/>
      </c>
    </row>
    <row r="2795" ht="15.75" customHeight="1">
      <c r="A2795" s="356"/>
      <c r="K2795" s="319" t="str">
        <f t="shared" si="1"/>
        <v/>
      </c>
    </row>
    <row r="2796" ht="15.75" customHeight="1">
      <c r="A2796" s="356"/>
      <c r="K2796" s="319" t="str">
        <f t="shared" si="1"/>
        <v/>
      </c>
    </row>
    <row r="2797" ht="15.75" customHeight="1">
      <c r="A2797" s="356"/>
      <c r="K2797" s="319" t="str">
        <f t="shared" si="1"/>
        <v/>
      </c>
    </row>
    <row r="2798" ht="15.75" customHeight="1">
      <c r="A2798" s="356"/>
      <c r="K2798" s="319" t="str">
        <f t="shared" si="1"/>
        <v/>
      </c>
    </row>
    <row r="2799" ht="15.75" customHeight="1">
      <c r="A2799" s="356"/>
      <c r="K2799" s="319" t="str">
        <f t="shared" si="1"/>
        <v/>
      </c>
    </row>
    <row r="2800" ht="15.75" customHeight="1">
      <c r="A2800" s="356"/>
      <c r="K2800" s="319" t="str">
        <f t="shared" si="1"/>
        <v/>
      </c>
    </row>
    <row r="2801" ht="15.75" customHeight="1">
      <c r="A2801" s="356"/>
      <c r="K2801" s="319" t="str">
        <f t="shared" si="1"/>
        <v/>
      </c>
    </row>
    <row r="2802" ht="15.75" customHeight="1">
      <c r="A2802" s="356"/>
      <c r="K2802" s="319" t="str">
        <f t="shared" si="1"/>
        <v/>
      </c>
    </row>
    <row r="2803" ht="15.75" customHeight="1">
      <c r="A2803" s="356"/>
      <c r="K2803" s="319" t="str">
        <f t="shared" si="1"/>
        <v/>
      </c>
    </row>
    <row r="2804" ht="15.75" customHeight="1">
      <c r="A2804" s="356"/>
      <c r="K2804" s="319" t="str">
        <f t="shared" si="1"/>
        <v/>
      </c>
    </row>
    <row r="2805" ht="15.75" customHeight="1">
      <c r="A2805" s="356"/>
      <c r="K2805" s="319" t="str">
        <f t="shared" si="1"/>
        <v/>
      </c>
    </row>
    <row r="2806" ht="15.75" customHeight="1">
      <c r="A2806" s="356"/>
      <c r="K2806" s="319" t="str">
        <f t="shared" si="1"/>
        <v/>
      </c>
    </row>
    <row r="2807" ht="15.75" customHeight="1">
      <c r="A2807" s="356"/>
      <c r="K2807" s="319" t="str">
        <f t="shared" si="1"/>
        <v/>
      </c>
    </row>
    <row r="2808" ht="15.75" customHeight="1">
      <c r="A2808" s="356"/>
      <c r="K2808" s="319" t="str">
        <f t="shared" si="1"/>
        <v/>
      </c>
    </row>
    <row r="2809" ht="15.75" customHeight="1">
      <c r="A2809" s="356"/>
      <c r="K2809" s="319" t="str">
        <f t="shared" si="1"/>
        <v/>
      </c>
    </row>
    <row r="2810" ht="15.75" customHeight="1">
      <c r="A2810" s="356"/>
      <c r="K2810" s="319" t="str">
        <f t="shared" si="1"/>
        <v/>
      </c>
    </row>
    <row r="2811" ht="15.75" customHeight="1">
      <c r="A2811" s="356"/>
      <c r="K2811" s="319" t="str">
        <f t="shared" si="1"/>
        <v/>
      </c>
    </row>
    <row r="2812" ht="15.75" customHeight="1">
      <c r="A2812" s="356"/>
      <c r="K2812" s="319" t="str">
        <f t="shared" si="1"/>
        <v/>
      </c>
    </row>
    <row r="2813" ht="15.75" customHeight="1">
      <c r="A2813" s="356"/>
      <c r="K2813" s="319" t="str">
        <f t="shared" si="1"/>
        <v/>
      </c>
    </row>
    <row r="2814" ht="15.75" customHeight="1">
      <c r="A2814" s="356"/>
      <c r="K2814" s="319" t="str">
        <f t="shared" si="1"/>
        <v/>
      </c>
    </row>
    <row r="2815" ht="15.75" customHeight="1">
      <c r="A2815" s="356"/>
      <c r="K2815" s="319" t="str">
        <f t="shared" si="1"/>
        <v/>
      </c>
    </row>
    <row r="2816" ht="15.75" customHeight="1">
      <c r="A2816" s="356"/>
      <c r="K2816" s="319" t="str">
        <f t="shared" si="1"/>
        <v/>
      </c>
    </row>
    <row r="2817" ht="15.75" customHeight="1">
      <c r="A2817" s="356"/>
      <c r="K2817" s="319" t="str">
        <f t="shared" si="1"/>
        <v/>
      </c>
    </row>
    <row r="2818" ht="15.75" customHeight="1">
      <c r="A2818" s="356"/>
      <c r="K2818" s="319" t="str">
        <f t="shared" si="1"/>
        <v/>
      </c>
    </row>
    <row r="2819" ht="15.75" customHeight="1">
      <c r="A2819" s="356"/>
      <c r="K2819" s="319" t="str">
        <f t="shared" si="1"/>
        <v/>
      </c>
    </row>
    <row r="2820" ht="15.75" customHeight="1">
      <c r="A2820" s="356"/>
      <c r="K2820" s="319" t="str">
        <f t="shared" si="1"/>
        <v/>
      </c>
    </row>
    <row r="2821" ht="15.75" customHeight="1">
      <c r="A2821" s="356"/>
      <c r="K2821" s="319" t="str">
        <f t="shared" si="1"/>
        <v/>
      </c>
    </row>
    <row r="2822" ht="15.75" customHeight="1">
      <c r="A2822" s="356"/>
      <c r="K2822" s="319" t="str">
        <f t="shared" si="1"/>
        <v/>
      </c>
    </row>
    <row r="2823" ht="15.75" customHeight="1">
      <c r="A2823" s="356"/>
      <c r="K2823" s="319" t="str">
        <f t="shared" si="1"/>
        <v/>
      </c>
    </row>
    <row r="2824" ht="15.75" customHeight="1">
      <c r="A2824" s="356"/>
      <c r="K2824" s="319" t="str">
        <f t="shared" si="1"/>
        <v/>
      </c>
    </row>
    <row r="2825" ht="15.75" customHeight="1">
      <c r="A2825" s="356"/>
      <c r="K2825" s="319" t="str">
        <f t="shared" si="1"/>
        <v/>
      </c>
    </row>
    <row r="2826" ht="15.75" customHeight="1">
      <c r="A2826" s="356"/>
      <c r="K2826" s="319" t="str">
        <f t="shared" si="1"/>
        <v/>
      </c>
    </row>
    <row r="2827" ht="15.75" customHeight="1">
      <c r="A2827" s="356"/>
      <c r="K2827" s="319" t="str">
        <f t="shared" si="1"/>
        <v/>
      </c>
    </row>
    <row r="2828" ht="15.75" customHeight="1">
      <c r="A2828" s="356"/>
      <c r="K2828" s="319" t="str">
        <f t="shared" si="1"/>
        <v/>
      </c>
    </row>
    <row r="2829" ht="15.75" customHeight="1">
      <c r="A2829" s="356"/>
      <c r="K2829" s="319" t="str">
        <f t="shared" si="1"/>
        <v/>
      </c>
    </row>
    <row r="2830" ht="15.75" customHeight="1">
      <c r="A2830" s="356"/>
      <c r="K2830" s="319" t="str">
        <f t="shared" si="1"/>
        <v/>
      </c>
    </row>
    <row r="2831" ht="15.75" customHeight="1">
      <c r="A2831" s="356"/>
      <c r="K2831" s="319" t="str">
        <f t="shared" si="1"/>
        <v/>
      </c>
    </row>
    <row r="2832" ht="15.75" customHeight="1">
      <c r="A2832" s="356"/>
      <c r="K2832" s="319" t="str">
        <f t="shared" si="1"/>
        <v/>
      </c>
    </row>
    <row r="2833" ht="15.75" customHeight="1">
      <c r="A2833" s="356"/>
      <c r="K2833" s="319" t="str">
        <f t="shared" si="1"/>
        <v/>
      </c>
    </row>
    <row r="2834" ht="15.75" customHeight="1">
      <c r="A2834" s="356"/>
      <c r="K2834" s="319" t="str">
        <f t="shared" si="1"/>
        <v/>
      </c>
    </row>
    <row r="2835" ht="15.75" customHeight="1">
      <c r="A2835" s="356"/>
      <c r="K2835" s="319" t="str">
        <f t="shared" si="1"/>
        <v/>
      </c>
    </row>
    <row r="2836" ht="15.75" customHeight="1">
      <c r="A2836" s="356"/>
      <c r="K2836" s="319" t="str">
        <f t="shared" si="1"/>
        <v/>
      </c>
    </row>
    <row r="2837" ht="15.75" customHeight="1">
      <c r="A2837" s="356"/>
      <c r="K2837" s="319" t="str">
        <f t="shared" si="1"/>
        <v/>
      </c>
    </row>
    <row r="2838" ht="15.75" customHeight="1">
      <c r="A2838" s="356"/>
      <c r="K2838" s="319" t="str">
        <f t="shared" si="1"/>
        <v/>
      </c>
    </row>
    <row r="2839" ht="15.75" customHeight="1">
      <c r="A2839" s="356"/>
      <c r="K2839" s="319" t="str">
        <f t="shared" si="1"/>
        <v/>
      </c>
    </row>
    <row r="2840" ht="15.75" customHeight="1">
      <c r="A2840" s="356"/>
      <c r="K2840" s="319" t="str">
        <f t="shared" si="1"/>
        <v/>
      </c>
    </row>
    <row r="2841" ht="15.75" customHeight="1">
      <c r="A2841" s="356"/>
      <c r="K2841" s="319" t="str">
        <f t="shared" si="1"/>
        <v/>
      </c>
    </row>
    <row r="2842" ht="15.75" customHeight="1">
      <c r="A2842" s="356"/>
      <c r="K2842" s="319" t="str">
        <f t="shared" si="1"/>
        <v/>
      </c>
    </row>
    <row r="2843" ht="15.75" customHeight="1">
      <c r="A2843" s="356"/>
      <c r="K2843" s="319" t="str">
        <f t="shared" si="1"/>
        <v/>
      </c>
    </row>
    <row r="2844" ht="15.75" customHeight="1">
      <c r="A2844" s="356"/>
      <c r="K2844" s="319" t="str">
        <f t="shared" si="1"/>
        <v/>
      </c>
    </row>
    <row r="2845" ht="15.75" customHeight="1">
      <c r="A2845" s="356"/>
      <c r="K2845" s="319" t="str">
        <f t="shared" si="1"/>
        <v/>
      </c>
    </row>
    <row r="2846" ht="15.75" customHeight="1">
      <c r="A2846" s="356"/>
      <c r="K2846" s="319" t="str">
        <f t="shared" si="1"/>
        <v/>
      </c>
    </row>
    <row r="2847" ht="15.75" customHeight="1">
      <c r="A2847" s="356"/>
      <c r="K2847" s="319" t="str">
        <f t="shared" si="1"/>
        <v/>
      </c>
    </row>
    <row r="2848" ht="15.75" customHeight="1">
      <c r="A2848" s="356"/>
      <c r="K2848" s="319" t="str">
        <f t="shared" si="1"/>
        <v/>
      </c>
    </row>
    <row r="2849" ht="15.75" customHeight="1">
      <c r="A2849" s="356"/>
      <c r="K2849" s="319" t="str">
        <f t="shared" si="1"/>
        <v/>
      </c>
    </row>
    <row r="2850" ht="15.75" customHeight="1">
      <c r="A2850" s="356"/>
      <c r="K2850" s="319" t="str">
        <f t="shared" si="1"/>
        <v/>
      </c>
    </row>
    <row r="2851" ht="15.75" customHeight="1">
      <c r="A2851" s="356"/>
      <c r="K2851" s="319" t="str">
        <f t="shared" si="1"/>
        <v/>
      </c>
    </row>
    <row r="2852" ht="15.75" customHeight="1">
      <c r="A2852" s="356"/>
      <c r="K2852" s="319" t="str">
        <f t="shared" si="1"/>
        <v/>
      </c>
    </row>
    <row r="2853" ht="15.75" customHeight="1">
      <c r="A2853" s="356"/>
      <c r="K2853" s="319" t="str">
        <f t="shared" si="1"/>
        <v/>
      </c>
    </row>
    <row r="2854" ht="15.75" customHeight="1">
      <c r="A2854" s="356"/>
      <c r="K2854" s="319" t="str">
        <f t="shared" si="1"/>
        <v/>
      </c>
    </row>
    <row r="2855" ht="15.75" customHeight="1">
      <c r="A2855" s="356"/>
      <c r="K2855" s="319" t="str">
        <f t="shared" si="1"/>
        <v/>
      </c>
    </row>
    <row r="2856" ht="15.75" customHeight="1">
      <c r="A2856" s="356"/>
      <c r="K2856" s="319" t="str">
        <f t="shared" si="1"/>
        <v/>
      </c>
    </row>
    <row r="2857" ht="15.75" customHeight="1">
      <c r="A2857" s="356"/>
      <c r="K2857" s="319" t="str">
        <f t="shared" si="1"/>
        <v/>
      </c>
    </row>
    <row r="2858" ht="15.75" customHeight="1">
      <c r="A2858" s="356"/>
      <c r="K2858" s="319" t="str">
        <f t="shared" si="1"/>
        <v/>
      </c>
    </row>
    <row r="2859" ht="15.75" customHeight="1">
      <c r="A2859" s="356"/>
      <c r="K2859" s="319" t="str">
        <f t="shared" si="1"/>
        <v/>
      </c>
    </row>
    <row r="2860" ht="15.75" customHeight="1">
      <c r="A2860" s="356"/>
      <c r="K2860" s="319" t="str">
        <f t="shared" si="1"/>
        <v/>
      </c>
    </row>
    <row r="2861" ht="15.75" customHeight="1">
      <c r="A2861" s="356"/>
      <c r="K2861" s="319" t="str">
        <f t="shared" si="1"/>
        <v/>
      </c>
    </row>
    <row r="2862" ht="15.75" customHeight="1">
      <c r="A2862" s="356"/>
      <c r="K2862" s="319" t="str">
        <f t="shared" si="1"/>
        <v/>
      </c>
    </row>
    <row r="2863" ht="15.75" customHeight="1">
      <c r="A2863" s="356"/>
      <c r="K2863" s="319" t="str">
        <f t="shared" si="1"/>
        <v/>
      </c>
    </row>
    <row r="2864" ht="15.75" customHeight="1">
      <c r="A2864" s="356"/>
      <c r="K2864" s="319" t="str">
        <f t="shared" si="1"/>
        <v/>
      </c>
    </row>
    <row r="2865" ht="15.75" customHeight="1">
      <c r="A2865" s="356"/>
      <c r="K2865" s="319" t="str">
        <f t="shared" si="1"/>
        <v/>
      </c>
    </row>
    <row r="2866" ht="15.75" customHeight="1">
      <c r="A2866" s="356"/>
      <c r="K2866" s="319" t="str">
        <f t="shared" si="1"/>
        <v/>
      </c>
    </row>
    <row r="2867" ht="15.75" customHeight="1">
      <c r="A2867" s="356"/>
      <c r="K2867" s="319" t="str">
        <f t="shared" si="1"/>
        <v/>
      </c>
    </row>
    <row r="2868" ht="15.75" customHeight="1">
      <c r="A2868" s="356"/>
      <c r="K2868" s="319" t="str">
        <f t="shared" si="1"/>
        <v/>
      </c>
    </row>
    <row r="2869" ht="15.75" customHeight="1">
      <c r="A2869" s="356"/>
      <c r="K2869" s="319" t="str">
        <f t="shared" si="1"/>
        <v/>
      </c>
    </row>
    <row r="2870" ht="15.75" customHeight="1">
      <c r="A2870" s="356"/>
      <c r="K2870" s="319" t="str">
        <f t="shared" si="1"/>
        <v/>
      </c>
    </row>
    <row r="2871" ht="15.75" customHeight="1">
      <c r="A2871" s="356"/>
      <c r="K2871" s="319" t="str">
        <f t="shared" si="1"/>
        <v/>
      </c>
    </row>
    <row r="2872" ht="15.75" customHeight="1">
      <c r="A2872" s="356"/>
      <c r="K2872" s="319" t="str">
        <f t="shared" si="1"/>
        <v/>
      </c>
    </row>
    <row r="2873" ht="15.75" customHeight="1">
      <c r="A2873" s="356"/>
      <c r="K2873" s="319" t="str">
        <f t="shared" si="1"/>
        <v/>
      </c>
    </row>
    <row r="2874" ht="15.75" customHeight="1">
      <c r="A2874" s="356"/>
      <c r="K2874" s="319" t="str">
        <f t="shared" si="1"/>
        <v/>
      </c>
    </row>
    <row r="2875" ht="15.75" customHeight="1">
      <c r="A2875" s="356"/>
      <c r="K2875" s="319" t="str">
        <f t="shared" si="1"/>
        <v/>
      </c>
    </row>
    <row r="2876" ht="15.75" customHeight="1">
      <c r="A2876" s="356"/>
      <c r="K2876" s="319" t="str">
        <f t="shared" si="1"/>
        <v/>
      </c>
    </row>
    <row r="2877" ht="15.75" customHeight="1">
      <c r="A2877" s="356"/>
      <c r="K2877" s="319" t="str">
        <f t="shared" si="1"/>
        <v/>
      </c>
    </row>
    <row r="2878" ht="15.75" customHeight="1">
      <c r="A2878" s="356"/>
      <c r="K2878" s="319" t="str">
        <f t="shared" si="1"/>
        <v/>
      </c>
    </row>
    <row r="2879" ht="15.75" customHeight="1">
      <c r="A2879" s="356"/>
      <c r="K2879" s="319" t="str">
        <f t="shared" si="1"/>
        <v/>
      </c>
    </row>
    <row r="2880" ht="15.75" customHeight="1">
      <c r="A2880" s="356"/>
      <c r="K2880" s="319" t="str">
        <f t="shared" si="1"/>
        <v/>
      </c>
    </row>
    <row r="2881" ht="15.75" customHeight="1">
      <c r="A2881" s="356"/>
      <c r="K2881" s="319" t="str">
        <f t="shared" si="1"/>
        <v/>
      </c>
    </row>
    <row r="2882" ht="15.75" customHeight="1">
      <c r="A2882" s="356"/>
      <c r="K2882" s="319" t="str">
        <f t="shared" si="1"/>
        <v/>
      </c>
    </row>
    <row r="2883" ht="15.75" customHeight="1">
      <c r="A2883" s="356"/>
      <c r="K2883" s="319" t="str">
        <f t="shared" si="1"/>
        <v/>
      </c>
    </row>
    <row r="2884" ht="15.75" customHeight="1">
      <c r="A2884" s="356"/>
      <c r="K2884" s="319" t="str">
        <f t="shared" si="1"/>
        <v/>
      </c>
    </row>
    <row r="2885" ht="15.75" customHeight="1">
      <c r="A2885" s="356"/>
      <c r="K2885" s="319" t="str">
        <f t="shared" si="1"/>
        <v/>
      </c>
    </row>
    <row r="2886" ht="15.75" customHeight="1">
      <c r="A2886" s="356"/>
      <c r="K2886" s="319" t="str">
        <f t="shared" si="1"/>
        <v/>
      </c>
    </row>
    <row r="2887" ht="15.75" customHeight="1">
      <c r="A2887" s="356"/>
      <c r="K2887" s="319" t="str">
        <f t="shared" si="1"/>
        <v/>
      </c>
    </row>
    <row r="2888" ht="15.75" customHeight="1">
      <c r="A2888" s="356"/>
      <c r="K2888" s="319" t="str">
        <f t="shared" si="1"/>
        <v/>
      </c>
    </row>
    <row r="2889" ht="15.75" customHeight="1">
      <c r="A2889" s="356"/>
      <c r="K2889" s="319" t="str">
        <f t="shared" si="1"/>
        <v/>
      </c>
    </row>
    <row r="2890" ht="15.75" customHeight="1">
      <c r="A2890" s="356"/>
      <c r="K2890" s="319" t="str">
        <f t="shared" si="1"/>
        <v/>
      </c>
    </row>
    <row r="2891" ht="15.75" customHeight="1">
      <c r="A2891" s="356"/>
      <c r="K2891" s="319" t="str">
        <f t="shared" si="1"/>
        <v/>
      </c>
    </row>
    <row r="2892" ht="15.75" customHeight="1">
      <c r="A2892" s="356"/>
      <c r="K2892" s="319" t="str">
        <f t="shared" si="1"/>
        <v/>
      </c>
    </row>
    <row r="2893" ht="15.75" customHeight="1">
      <c r="A2893" s="356"/>
      <c r="K2893" s="319" t="str">
        <f t="shared" si="1"/>
        <v/>
      </c>
    </row>
    <row r="2894" ht="15.75" customHeight="1">
      <c r="A2894" s="356"/>
      <c r="K2894" s="319" t="str">
        <f t="shared" si="1"/>
        <v/>
      </c>
    </row>
    <row r="2895" ht="15.75" customHeight="1">
      <c r="A2895" s="356"/>
      <c r="K2895" s="319" t="str">
        <f t="shared" si="1"/>
        <v/>
      </c>
    </row>
    <row r="2896" ht="15.75" customHeight="1">
      <c r="A2896" s="356"/>
      <c r="K2896" s="319" t="str">
        <f t="shared" si="1"/>
        <v/>
      </c>
    </row>
    <row r="2897" ht="15.75" customHeight="1">
      <c r="A2897" s="356"/>
      <c r="K2897" s="319" t="str">
        <f t="shared" si="1"/>
        <v/>
      </c>
    </row>
    <row r="2898" ht="15.75" customHeight="1">
      <c r="A2898" s="356"/>
      <c r="K2898" s="319" t="str">
        <f t="shared" si="1"/>
        <v/>
      </c>
    </row>
    <row r="2899" ht="15.75" customHeight="1">
      <c r="A2899" s="356"/>
      <c r="K2899" s="319" t="str">
        <f t="shared" si="1"/>
        <v/>
      </c>
    </row>
    <row r="2900" ht="15.75" customHeight="1">
      <c r="A2900" s="356"/>
      <c r="K2900" s="319" t="str">
        <f t="shared" si="1"/>
        <v/>
      </c>
    </row>
    <row r="2901" ht="15.75" customHeight="1">
      <c r="A2901" s="356"/>
      <c r="K2901" s="319" t="str">
        <f t="shared" si="1"/>
        <v/>
      </c>
    </row>
    <row r="2902" ht="15.75" customHeight="1">
      <c r="A2902" s="356"/>
      <c r="K2902" s="319" t="str">
        <f t="shared" si="1"/>
        <v/>
      </c>
    </row>
    <row r="2903" ht="15.75" customHeight="1">
      <c r="A2903" s="356"/>
      <c r="K2903" s="319" t="str">
        <f t="shared" si="1"/>
        <v/>
      </c>
    </row>
    <row r="2904" ht="15.75" customHeight="1">
      <c r="A2904" s="356"/>
      <c r="K2904" s="319" t="str">
        <f t="shared" si="1"/>
        <v/>
      </c>
    </row>
    <row r="2905" ht="15.75" customHeight="1">
      <c r="A2905" s="356"/>
      <c r="K2905" s="319" t="str">
        <f t="shared" si="1"/>
        <v/>
      </c>
    </row>
    <row r="2906" ht="15.75" customHeight="1">
      <c r="A2906" s="356"/>
      <c r="K2906" s="319" t="str">
        <f t="shared" si="1"/>
        <v/>
      </c>
    </row>
    <row r="2907" ht="15.75" customHeight="1">
      <c r="A2907" s="356"/>
      <c r="K2907" s="319" t="str">
        <f t="shared" si="1"/>
        <v/>
      </c>
    </row>
    <row r="2908" ht="15.75" customHeight="1">
      <c r="A2908" s="356"/>
      <c r="K2908" s="319" t="str">
        <f t="shared" si="1"/>
        <v/>
      </c>
    </row>
    <row r="2909" ht="15.75" customHeight="1">
      <c r="A2909" s="356"/>
      <c r="K2909" s="319" t="str">
        <f t="shared" si="1"/>
        <v/>
      </c>
    </row>
    <row r="2910" ht="15.75" customHeight="1">
      <c r="A2910" s="356"/>
      <c r="K2910" s="319" t="str">
        <f t="shared" si="1"/>
        <v/>
      </c>
    </row>
    <row r="2911" ht="15.75" customHeight="1">
      <c r="A2911" s="356"/>
      <c r="K2911" s="319" t="str">
        <f t="shared" si="1"/>
        <v/>
      </c>
    </row>
    <row r="2912" ht="15.75" customHeight="1">
      <c r="A2912" s="356"/>
      <c r="K2912" s="319" t="str">
        <f t="shared" si="1"/>
        <v/>
      </c>
    </row>
    <row r="2913" ht="15.75" customHeight="1">
      <c r="A2913" s="356"/>
      <c r="K2913" s="319" t="str">
        <f t="shared" si="1"/>
        <v/>
      </c>
    </row>
    <row r="2914" ht="15.75" customHeight="1">
      <c r="A2914" s="356"/>
      <c r="K2914" s="319" t="str">
        <f t="shared" si="1"/>
        <v/>
      </c>
    </row>
    <row r="2915" ht="15.75" customHeight="1">
      <c r="A2915" s="356"/>
      <c r="K2915" s="319" t="str">
        <f t="shared" si="1"/>
        <v/>
      </c>
    </row>
    <row r="2916" ht="15.75" customHeight="1">
      <c r="A2916" s="356"/>
      <c r="K2916" s="319" t="str">
        <f t="shared" si="1"/>
        <v/>
      </c>
    </row>
    <row r="2917" ht="15.75" customHeight="1">
      <c r="A2917" s="356"/>
      <c r="K2917" s="319" t="str">
        <f t="shared" si="1"/>
        <v/>
      </c>
    </row>
    <row r="2918" ht="15.75" customHeight="1">
      <c r="A2918" s="356"/>
      <c r="K2918" s="319" t="str">
        <f t="shared" si="1"/>
        <v/>
      </c>
    </row>
    <row r="2919" ht="15.75" customHeight="1">
      <c r="A2919" s="356"/>
      <c r="K2919" s="319" t="str">
        <f t="shared" si="1"/>
        <v/>
      </c>
    </row>
    <row r="2920" ht="15.75" customHeight="1">
      <c r="A2920" s="356"/>
      <c r="K2920" s="319" t="str">
        <f t="shared" si="1"/>
        <v/>
      </c>
    </row>
    <row r="2921" ht="15.75" customHeight="1">
      <c r="A2921" s="356"/>
      <c r="K2921" s="319" t="str">
        <f t="shared" si="1"/>
        <v/>
      </c>
    </row>
    <row r="2922" ht="15.75" customHeight="1">
      <c r="A2922" s="356"/>
      <c r="K2922" s="319" t="str">
        <f t="shared" si="1"/>
        <v/>
      </c>
    </row>
    <row r="2923" ht="15.75" customHeight="1">
      <c r="A2923" s="356"/>
      <c r="K2923" s="319" t="str">
        <f t="shared" si="1"/>
        <v/>
      </c>
    </row>
    <row r="2924" ht="15.75" customHeight="1">
      <c r="A2924" s="356"/>
      <c r="K2924" s="319" t="str">
        <f t="shared" si="1"/>
        <v/>
      </c>
    </row>
    <row r="2925" ht="15.75" customHeight="1">
      <c r="A2925" s="356"/>
      <c r="K2925" s="319" t="str">
        <f t="shared" si="1"/>
        <v/>
      </c>
    </row>
    <row r="2926" ht="15.75" customHeight="1">
      <c r="A2926" s="356"/>
      <c r="K2926" s="319" t="str">
        <f t="shared" si="1"/>
        <v/>
      </c>
    </row>
    <row r="2927" ht="15.75" customHeight="1">
      <c r="A2927" s="356"/>
      <c r="K2927" s="319" t="str">
        <f t="shared" si="1"/>
        <v/>
      </c>
    </row>
    <row r="2928" ht="15.75" customHeight="1">
      <c r="A2928" s="356"/>
      <c r="K2928" s="319" t="str">
        <f t="shared" si="1"/>
        <v/>
      </c>
    </row>
    <row r="2929" ht="15.75" customHeight="1">
      <c r="A2929" s="356"/>
      <c r="K2929" s="319" t="str">
        <f t="shared" si="1"/>
        <v/>
      </c>
    </row>
    <row r="2930" ht="15.75" customHeight="1">
      <c r="A2930" s="356"/>
      <c r="K2930" s="319" t="str">
        <f t="shared" si="1"/>
        <v/>
      </c>
    </row>
    <row r="2931" ht="15.75" customHeight="1">
      <c r="A2931" s="356"/>
      <c r="K2931" s="319" t="str">
        <f t="shared" si="1"/>
        <v/>
      </c>
    </row>
    <row r="2932" ht="15.75" customHeight="1">
      <c r="A2932" s="356"/>
      <c r="K2932" s="319" t="str">
        <f t="shared" si="1"/>
        <v/>
      </c>
    </row>
    <row r="2933" ht="15.75" customHeight="1">
      <c r="A2933" s="356"/>
      <c r="K2933" s="319" t="str">
        <f t="shared" si="1"/>
        <v/>
      </c>
    </row>
    <row r="2934" ht="15.75" customHeight="1">
      <c r="A2934" s="356"/>
      <c r="K2934" s="319" t="str">
        <f t="shared" si="1"/>
        <v/>
      </c>
    </row>
    <row r="2935" ht="15.75" customHeight="1">
      <c r="A2935" s="356"/>
      <c r="K2935" s="319" t="str">
        <f t="shared" si="1"/>
        <v/>
      </c>
    </row>
    <row r="2936" ht="15.75" customHeight="1">
      <c r="A2936" s="356"/>
      <c r="K2936" s="319" t="str">
        <f t="shared" si="1"/>
        <v/>
      </c>
    </row>
    <row r="2937" ht="15.75" customHeight="1">
      <c r="A2937" s="356"/>
      <c r="K2937" s="319" t="str">
        <f t="shared" si="1"/>
        <v/>
      </c>
    </row>
    <row r="2938" ht="15.75" customHeight="1">
      <c r="A2938" s="356"/>
      <c r="K2938" s="319" t="str">
        <f t="shared" si="1"/>
        <v/>
      </c>
    </row>
    <row r="2939" ht="15.75" customHeight="1">
      <c r="A2939" s="356"/>
      <c r="K2939" s="319" t="str">
        <f t="shared" si="1"/>
        <v/>
      </c>
    </row>
    <row r="2940" ht="15.75" customHeight="1">
      <c r="A2940" s="356"/>
      <c r="K2940" s="319" t="str">
        <f t="shared" si="1"/>
        <v/>
      </c>
    </row>
    <row r="2941" ht="15.75" customHeight="1">
      <c r="A2941" s="356"/>
      <c r="K2941" s="319" t="str">
        <f t="shared" si="1"/>
        <v/>
      </c>
    </row>
    <row r="2942" ht="15.75" customHeight="1">
      <c r="A2942" s="356"/>
      <c r="K2942" s="319" t="str">
        <f t="shared" si="1"/>
        <v/>
      </c>
    </row>
    <row r="2943" ht="15.75" customHeight="1">
      <c r="A2943" s="356"/>
      <c r="K2943" s="319" t="str">
        <f t="shared" si="1"/>
        <v/>
      </c>
    </row>
    <row r="2944" ht="15.75" customHeight="1">
      <c r="A2944" s="356"/>
      <c r="K2944" s="319" t="str">
        <f t="shared" si="1"/>
        <v/>
      </c>
    </row>
    <row r="2945" ht="15.75" customHeight="1">
      <c r="A2945" s="356"/>
      <c r="K2945" s="319" t="str">
        <f t="shared" si="1"/>
        <v/>
      </c>
    </row>
    <row r="2946" ht="15.75" customHeight="1">
      <c r="A2946" s="356"/>
      <c r="K2946" s="319" t="str">
        <f t="shared" si="1"/>
        <v/>
      </c>
    </row>
    <row r="2947" ht="15.75" customHeight="1">
      <c r="A2947" s="356"/>
      <c r="K2947" s="319" t="str">
        <f t="shared" si="1"/>
        <v/>
      </c>
    </row>
    <row r="2948" ht="15.75" customHeight="1">
      <c r="A2948" s="356"/>
      <c r="K2948" s="319" t="str">
        <f t="shared" si="1"/>
        <v/>
      </c>
    </row>
    <row r="2949" ht="15.75" customHeight="1">
      <c r="A2949" s="356"/>
      <c r="K2949" s="319" t="str">
        <f t="shared" si="1"/>
        <v/>
      </c>
    </row>
    <row r="2950" ht="15.75" customHeight="1">
      <c r="A2950" s="356"/>
      <c r="K2950" s="319" t="str">
        <f t="shared" si="1"/>
        <v/>
      </c>
    </row>
    <row r="2951" ht="15.75" customHeight="1">
      <c r="A2951" s="356"/>
      <c r="K2951" s="319" t="str">
        <f t="shared" si="1"/>
        <v/>
      </c>
    </row>
    <row r="2952" ht="15.75" customHeight="1">
      <c r="A2952" s="356"/>
      <c r="K2952" s="319" t="str">
        <f t="shared" si="1"/>
        <v/>
      </c>
    </row>
    <row r="2953" ht="15.75" customHeight="1">
      <c r="A2953" s="356"/>
      <c r="K2953" s="319" t="str">
        <f t="shared" si="1"/>
        <v/>
      </c>
    </row>
    <row r="2954" ht="15.75" customHeight="1">
      <c r="A2954" s="356"/>
      <c r="K2954" s="319" t="str">
        <f t="shared" si="1"/>
        <v/>
      </c>
    </row>
    <row r="2955" ht="15.75" customHeight="1">
      <c r="A2955" s="356"/>
      <c r="K2955" s="319" t="str">
        <f t="shared" si="1"/>
        <v/>
      </c>
    </row>
    <row r="2956" ht="15.75" customHeight="1">
      <c r="A2956" s="356"/>
      <c r="K2956" s="319" t="str">
        <f t="shared" si="1"/>
        <v/>
      </c>
    </row>
    <row r="2957" ht="15.75" customHeight="1">
      <c r="A2957" s="356"/>
      <c r="K2957" s="319" t="str">
        <f t="shared" si="1"/>
        <v/>
      </c>
    </row>
    <row r="2958" ht="15.75" customHeight="1">
      <c r="A2958" s="356"/>
      <c r="K2958" s="319" t="str">
        <f t="shared" si="1"/>
        <v/>
      </c>
    </row>
    <row r="2959" ht="15.75" customHeight="1">
      <c r="A2959" s="356"/>
      <c r="K2959" s="319" t="str">
        <f t="shared" si="1"/>
        <v/>
      </c>
    </row>
    <row r="2960" ht="15.75" customHeight="1">
      <c r="A2960" s="356"/>
      <c r="K2960" s="319" t="str">
        <f t="shared" si="1"/>
        <v/>
      </c>
    </row>
    <row r="2961" ht="15.75" customHeight="1">
      <c r="A2961" s="356"/>
      <c r="K2961" s="319" t="str">
        <f t="shared" si="1"/>
        <v/>
      </c>
    </row>
    <row r="2962" ht="15.75" customHeight="1">
      <c r="A2962" s="356"/>
      <c r="K2962" s="319" t="str">
        <f t="shared" si="1"/>
        <v/>
      </c>
    </row>
    <row r="2963" ht="15.75" customHeight="1">
      <c r="A2963" s="356"/>
      <c r="K2963" s="319" t="str">
        <f t="shared" si="1"/>
        <v/>
      </c>
    </row>
    <row r="2964" ht="15.75" customHeight="1">
      <c r="A2964" s="356"/>
      <c r="K2964" s="319" t="str">
        <f t="shared" si="1"/>
        <v/>
      </c>
    </row>
    <row r="2965" ht="15.75" customHeight="1">
      <c r="A2965" s="356"/>
      <c r="K2965" s="319" t="str">
        <f t="shared" si="1"/>
        <v/>
      </c>
    </row>
    <row r="2966" ht="15.75" customHeight="1">
      <c r="A2966" s="356"/>
      <c r="K2966" s="319" t="str">
        <f t="shared" si="1"/>
        <v/>
      </c>
    </row>
    <row r="2967" ht="15.75" customHeight="1">
      <c r="A2967" s="356"/>
      <c r="K2967" s="319" t="str">
        <f t="shared" si="1"/>
        <v/>
      </c>
    </row>
    <row r="2968" ht="15.75" customHeight="1">
      <c r="A2968" s="356"/>
      <c r="K2968" s="319" t="str">
        <f t="shared" si="1"/>
        <v/>
      </c>
    </row>
    <row r="2969" ht="15.75" customHeight="1">
      <c r="A2969" s="356"/>
      <c r="K2969" s="319" t="str">
        <f t="shared" si="1"/>
        <v/>
      </c>
    </row>
    <row r="2970" ht="15.75" customHeight="1">
      <c r="A2970" s="356"/>
      <c r="K2970" s="319" t="str">
        <f t="shared" si="1"/>
        <v/>
      </c>
    </row>
    <row r="2971" ht="15.75" customHeight="1">
      <c r="A2971" s="356"/>
      <c r="K2971" s="319" t="str">
        <f t="shared" si="1"/>
        <v/>
      </c>
    </row>
    <row r="2972" ht="15.75" customHeight="1">
      <c r="A2972" s="356"/>
      <c r="K2972" s="319" t="str">
        <f t="shared" si="1"/>
        <v/>
      </c>
    </row>
    <row r="2973" ht="15.75" customHeight="1">
      <c r="A2973" s="356"/>
      <c r="K2973" s="319" t="str">
        <f t="shared" si="1"/>
        <v/>
      </c>
    </row>
    <row r="2974" ht="15.75" customHeight="1">
      <c r="A2974" s="356"/>
      <c r="K2974" s="319" t="str">
        <f t="shared" si="1"/>
        <v/>
      </c>
    </row>
    <row r="2975" ht="15.75" customHeight="1">
      <c r="A2975" s="356"/>
      <c r="K2975" s="319" t="str">
        <f t="shared" si="1"/>
        <v/>
      </c>
    </row>
    <row r="2976" ht="15.75" customHeight="1">
      <c r="A2976" s="356"/>
      <c r="K2976" s="319" t="str">
        <f t="shared" si="1"/>
        <v/>
      </c>
    </row>
    <row r="2977" ht="15.75" customHeight="1">
      <c r="A2977" s="356"/>
      <c r="K2977" s="319" t="str">
        <f t="shared" si="1"/>
        <v/>
      </c>
    </row>
    <row r="2978" ht="15.75" customHeight="1">
      <c r="A2978" s="356"/>
      <c r="K2978" s="319" t="str">
        <f t="shared" si="1"/>
        <v/>
      </c>
    </row>
    <row r="2979" ht="15.75" customHeight="1">
      <c r="A2979" s="356"/>
      <c r="K2979" s="319" t="str">
        <f t="shared" si="1"/>
        <v/>
      </c>
    </row>
    <row r="2980" ht="15.75" customHeight="1">
      <c r="A2980" s="356"/>
      <c r="K2980" s="319" t="str">
        <f t="shared" si="1"/>
        <v/>
      </c>
    </row>
    <row r="2981" ht="15.75" customHeight="1">
      <c r="A2981" s="356"/>
      <c r="K2981" s="319" t="str">
        <f t="shared" si="1"/>
        <v/>
      </c>
    </row>
    <row r="2982" ht="15.75" customHeight="1">
      <c r="A2982" s="356"/>
      <c r="K2982" s="319" t="str">
        <f t="shared" si="1"/>
        <v/>
      </c>
    </row>
    <row r="2983" ht="15.75" customHeight="1">
      <c r="A2983" s="356"/>
      <c r="K2983" s="319" t="str">
        <f t="shared" si="1"/>
        <v/>
      </c>
    </row>
    <row r="2984" ht="15.75" customHeight="1">
      <c r="A2984" s="356"/>
      <c r="K2984" s="319" t="str">
        <f t="shared" si="1"/>
        <v/>
      </c>
    </row>
    <row r="2985" ht="15.75" customHeight="1">
      <c r="A2985" s="356"/>
      <c r="K2985" s="319" t="str">
        <f t="shared" si="1"/>
        <v/>
      </c>
    </row>
    <row r="2986" ht="15.75" customHeight="1">
      <c r="A2986" s="356"/>
      <c r="K2986" s="319" t="str">
        <f t="shared" si="1"/>
        <v/>
      </c>
    </row>
    <row r="2987" ht="15.75" customHeight="1">
      <c r="A2987" s="356"/>
      <c r="K2987" s="319" t="str">
        <f t="shared" si="1"/>
        <v/>
      </c>
    </row>
    <row r="2988" ht="15.75" customHeight="1">
      <c r="A2988" s="356"/>
      <c r="K2988" s="319" t="str">
        <f t="shared" si="1"/>
        <v/>
      </c>
    </row>
    <row r="2989" ht="15.75" customHeight="1">
      <c r="A2989" s="356"/>
      <c r="K2989" s="319" t="str">
        <f t="shared" si="1"/>
        <v/>
      </c>
    </row>
    <row r="2990" ht="15.75" customHeight="1">
      <c r="A2990" s="356"/>
      <c r="K2990" s="319" t="str">
        <f t="shared" si="1"/>
        <v/>
      </c>
    </row>
    <row r="2991" ht="15.75" customHeight="1">
      <c r="A2991" s="356"/>
      <c r="K2991" s="319" t="str">
        <f t="shared" si="1"/>
        <v/>
      </c>
    </row>
    <row r="2992" ht="15.75" customHeight="1">
      <c r="A2992" s="356"/>
      <c r="K2992" s="319" t="str">
        <f t="shared" si="1"/>
        <v/>
      </c>
    </row>
    <row r="2993" ht="15.75" customHeight="1">
      <c r="A2993" s="356"/>
      <c r="K2993" s="319" t="str">
        <f t="shared" si="1"/>
        <v/>
      </c>
    </row>
    <row r="2994" ht="15.75" customHeight="1">
      <c r="A2994" s="356"/>
      <c r="K2994" s="319" t="str">
        <f t="shared" si="1"/>
        <v/>
      </c>
    </row>
    <row r="2995" ht="15.75" customHeight="1">
      <c r="A2995" s="356"/>
      <c r="K2995" s="319" t="str">
        <f t="shared" si="1"/>
        <v/>
      </c>
    </row>
    <row r="2996" ht="15.75" customHeight="1">
      <c r="A2996" s="356"/>
      <c r="K2996" s="319" t="str">
        <f t="shared" si="1"/>
        <v/>
      </c>
    </row>
    <row r="2997" ht="15.75" customHeight="1">
      <c r="A2997" s="356"/>
      <c r="K2997" s="319" t="str">
        <f t="shared" si="1"/>
        <v/>
      </c>
    </row>
    <row r="2998" ht="15.75" customHeight="1">
      <c r="A2998" s="356"/>
      <c r="K2998" s="319" t="str">
        <f t="shared" si="1"/>
        <v/>
      </c>
    </row>
    <row r="2999" ht="15.75" customHeight="1">
      <c r="A2999" s="356"/>
      <c r="K2999" s="319" t="str">
        <f t="shared" si="1"/>
        <v/>
      </c>
    </row>
    <row r="3000" ht="15.75" customHeight="1">
      <c r="A3000" s="356"/>
      <c r="K3000" s="319" t="str">
        <f t="shared" si="1"/>
        <v/>
      </c>
    </row>
    <row r="3001" ht="15.75" customHeight="1">
      <c r="A3001" s="356"/>
      <c r="K3001" s="319" t="str">
        <f t="shared" si="1"/>
        <v/>
      </c>
    </row>
    <row r="3002" ht="15.75" customHeight="1">
      <c r="A3002" s="356"/>
      <c r="K3002" s="319" t="str">
        <f t="shared" si="1"/>
        <v/>
      </c>
    </row>
    <row r="3003" ht="15.75" customHeight="1">
      <c r="A3003" s="356"/>
      <c r="K3003" s="319" t="str">
        <f t="shared" si="1"/>
        <v/>
      </c>
    </row>
    <row r="3004" ht="15.75" customHeight="1">
      <c r="A3004" s="356"/>
      <c r="K3004" s="319" t="str">
        <f t="shared" si="1"/>
        <v/>
      </c>
    </row>
    <row r="3005" ht="15.75" customHeight="1">
      <c r="A3005" s="356"/>
      <c r="K3005" s="319" t="str">
        <f t="shared" si="1"/>
        <v/>
      </c>
    </row>
    <row r="3006" ht="15.75" customHeight="1">
      <c r="A3006" s="356"/>
      <c r="K3006" s="319" t="str">
        <f t="shared" si="1"/>
        <v/>
      </c>
    </row>
    <row r="3007" ht="15.75" customHeight="1">
      <c r="A3007" s="356"/>
      <c r="K3007" s="319" t="str">
        <f t="shared" si="1"/>
        <v/>
      </c>
    </row>
    <row r="3008" ht="15.75" customHeight="1">
      <c r="A3008" s="356"/>
      <c r="K3008" s="319" t="str">
        <f t="shared" si="1"/>
        <v/>
      </c>
    </row>
    <row r="3009" ht="15.75" customHeight="1">
      <c r="A3009" s="356"/>
      <c r="K3009" s="319" t="str">
        <f t="shared" si="1"/>
        <v/>
      </c>
    </row>
    <row r="3010" ht="15.75" customHeight="1">
      <c r="A3010" s="356"/>
      <c r="K3010" s="319" t="str">
        <f t="shared" si="1"/>
        <v/>
      </c>
    </row>
    <row r="3011" ht="15.75" customHeight="1">
      <c r="A3011" s="356"/>
      <c r="K3011" s="319" t="str">
        <f t="shared" si="1"/>
        <v/>
      </c>
    </row>
    <row r="3012" ht="15.75" customHeight="1">
      <c r="A3012" s="356"/>
      <c r="K3012" s="319" t="str">
        <f t="shared" si="1"/>
        <v/>
      </c>
    </row>
    <row r="3013" ht="15.75" customHeight="1">
      <c r="A3013" s="356"/>
      <c r="K3013" s="319" t="str">
        <f t="shared" si="1"/>
        <v/>
      </c>
    </row>
    <row r="3014" ht="15.75" customHeight="1">
      <c r="A3014" s="356"/>
      <c r="K3014" s="319" t="str">
        <f t="shared" si="1"/>
        <v/>
      </c>
    </row>
    <row r="3015" ht="15.75" customHeight="1">
      <c r="A3015" s="356"/>
      <c r="K3015" s="319" t="str">
        <f t="shared" si="1"/>
        <v/>
      </c>
    </row>
    <row r="3016" ht="15.75" customHeight="1">
      <c r="A3016" s="356"/>
      <c r="K3016" s="319" t="str">
        <f t="shared" si="1"/>
        <v/>
      </c>
    </row>
    <row r="3017" ht="15.75" customHeight="1">
      <c r="A3017" s="356"/>
      <c r="K3017" s="319" t="str">
        <f t="shared" si="1"/>
        <v/>
      </c>
    </row>
    <row r="3018" ht="15.75" customHeight="1">
      <c r="A3018" s="356"/>
      <c r="K3018" s="319" t="str">
        <f t="shared" si="1"/>
        <v/>
      </c>
    </row>
    <row r="3019" ht="15.75" customHeight="1">
      <c r="A3019" s="356"/>
      <c r="K3019" s="319" t="str">
        <f t="shared" si="1"/>
        <v/>
      </c>
    </row>
    <row r="3020" ht="15.75" customHeight="1">
      <c r="A3020" s="356"/>
      <c r="K3020" s="319" t="str">
        <f t="shared" si="1"/>
        <v/>
      </c>
    </row>
    <row r="3021" ht="15.75" customHeight="1">
      <c r="A3021" s="356"/>
      <c r="K3021" s="319" t="str">
        <f t="shared" si="1"/>
        <v/>
      </c>
    </row>
    <row r="3022" ht="15.75" customHeight="1">
      <c r="A3022" s="356"/>
      <c r="K3022" s="319" t="str">
        <f t="shared" si="1"/>
        <v/>
      </c>
    </row>
    <row r="3023" ht="15.75" customHeight="1">
      <c r="A3023" s="356"/>
      <c r="K3023" s="319" t="str">
        <f t="shared" si="1"/>
        <v/>
      </c>
    </row>
    <row r="3024" ht="15.75" customHeight="1">
      <c r="A3024" s="356"/>
      <c r="K3024" s="319" t="str">
        <f t="shared" si="1"/>
        <v/>
      </c>
    </row>
    <row r="3025" ht="15.75" customHeight="1">
      <c r="A3025" s="356"/>
      <c r="K3025" s="319" t="str">
        <f t="shared" si="1"/>
        <v/>
      </c>
    </row>
    <row r="3026" ht="15.75" customHeight="1">
      <c r="A3026" s="356"/>
      <c r="K3026" s="319" t="str">
        <f t="shared" si="1"/>
        <v/>
      </c>
    </row>
    <row r="3027" ht="15.75" customHeight="1">
      <c r="A3027" s="356"/>
      <c r="K3027" s="319" t="str">
        <f t="shared" si="1"/>
        <v/>
      </c>
    </row>
    <row r="3028" ht="15.75" customHeight="1">
      <c r="A3028" s="356"/>
      <c r="K3028" s="319" t="str">
        <f t="shared" si="1"/>
        <v/>
      </c>
    </row>
    <row r="3029" ht="15.75" customHeight="1">
      <c r="A3029" s="356"/>
      <c r="K3029" s="319" t="str">
        <f t="shared" si="1"/>
        <v/>
      </c>
    </row>
    <row r="3030" ht="15.75" customHeight="1">
      <c r="A3030" s="356"/>
      <c r="K3030" s="319" t="str">
        <f t="shared" si="1"/>
        <v/>
      </c>
    </row>
    <row r="3031" ht="15.75" customHeight="1">
      <c r="A3031" s="356"/>
      <c r="K3031" s="319" t="str">
        <f t="shared" si="1"/>
        <v/>
      </c>
    </row>
    <row r="3032" ht="15.75" customHeight="1">
      <c r="A3032" s="356"/>
      <c r="K3032" s="319" t="str">
        <f t="shared" si="1"/>
        <v/>
      </c>
    </row>
    <row r="3033" ht="15.75" customHeight="1">
      <c r="A3033" s="356"/>
      <c r="K3033" s="319" t="str">
        <f t="shared" si="1"/>
        <v/>
      </c>
    </row>
    <row r="3034" ht="15.75" customHeight="1">
      <c r="A3034" s="356"/>
      <c r="K3034" s="319" t="str">
        <f t="shared" si="1"/>
        <v/>
      </c>
    </row>
    <row r="3035" ht="15.75" customHeight="1">
      <c r="A3035" s="356"/>
      <c r="K3035" s="319" t="str">
        <f t="shared" si="1"/>
        <v/>
      </c>
    </row>
    <row r="3036" ht="15.75" customHeight="1">
      <c r="A3036" s="356"/>
      <c r="K3036" s="319" t="str">
        <f t="shared" si="1"/>
        <v/>
      </c>
    </row>
    <row r="3037" ht="15.75" customHeight="1">
      <c r="A3037" s="356"/>
      <c r="K3037" s="319" t="str">
        <f t="shared" si="1"/>
        <v/>
      </c>
    </row>
    <row r="3038" ht="15.75" customHeight="1">
      <c r="A3038" s="356"/>
      <c r="K3038" s="319" t="str">
        <f t="shared" si="1"/>
        <v/>
      </c>
    </row>
    <row r="3039" ht="15.75" customHeight="1">
      <c r="A3039" s="356"/>
      <c r="K3039" s="319" t="str">
        <f t="shared" si="1"/>
        <v/>
      </c>
    </row>
    <row r="3040" ht="15.75" customHeight="1">
      <c r="A3040" s="356"/>
      <c r="K3040" s="319" t="str">
        <f t="shared" si="1"/>
        <v/>
      </c>
    </row>
    <row r="3041" ht="15.75" customHeight="1">
      <c r="A3041" s="356"/>
      <c r="K3041" s="319" t="str">
        <f t="shared" si="1"/>
        <v/>
      </c>
    </row>
    <row r="3042" ht="15.75" customHeight="1">
      <c r="A3042" s="356"/>
      <c r="K3042" s="319" t="str">
        <f t="shared" si="1"/>
        <v/>
      </c>
    </row>
    <row r="3043" ht="15.75" customHeight="1">
      <c r="A3043" s="356"/>
      <c r="K3043" s="319" t="str">
        <f t="shared" si="1"/>
        <v/>
      </c>
    </row>
    <row r="3044" ht="15.75" customHeight="1">
      <c r="A3044" s="356"/>
      <c r="K3044" s="319" t="str">
        <f t="shared" si="1"/>
        <v/>
      </c>
    </row>
    <row r="3045" ht="15.75" customHeight="1">
      <c r="A3045" s="356"/>
      <c r="K3045" s="319" t="str">
        <f t="shared" si="1"/>
        <v/>
      </c>
    </row>
    <row r="3046" ht="15.75" customHeight="1">
      <c r="A3046" s="356"/>
      <c r="K3046" s="319" t="str">
        <f t="shared" si="1"/>
        <v/>
      </c>
    </row>
    <row r="3047" ht="15.75" customHeight="1">
      <c r="A3047" s="356"/>
      <c r="K3047" s="319" t="str">
        <f t="shared" si="1"/>
        <v/>
      </c>
    </row>
    <row r="3048" ht="15.75" customHeight="1">
      <c r="A3048" s="356"/>
      <c r="K3048" s="319" t="str">
        <f t="shared" si="1"/>
        <v/>
      </c>
    </row>
    <row r="3049" ht="15.75" customHeight="1">
      <c r="A3049" s="356"/>
      <c r="K3049" s="319" t="str">
        <f t="shared" si="1"/>
        <v/>
      </c>
    </row>
    <row r="3050" ht="15.75" customHeight="1">
      <c r="A3050" s="356"/>
      <c r="K3050" s="319" t="str">
        <f t="shared" si="1"/>
        <v/>
      </c>
    </row>
    <row r="3051" ht="15.75" customHeight="1">
      <c r="A3051" s="356"/>
      <c r="K3051" s="319" t="str">
        <f t="shared" si="1"/>
        <v/>
      </c>
    </row>
    <row r="3052" ht="15.75" customHeight="1">
      <c r="A3052" s="356"/>
      <c r="K3052" s="319" t="str">
        <f t="shared" si="1"/>
        <v/>
      </c>
    </row>
    <row r="3053" ht="15.75" customHeight="1">
      <c r="A3053" s="356"/>
      <c r="K3053" s="319" t="str">
        <f t="shared" si="1"/>
        <v/>
      </c>
    </row>
    <row r="3054" ht="15.75" customHeight="1">
      <c r="A3054" s="356"/>
      <c r="K3054" s="319" t="str">
        <f t="shared" si="1"/>
        <v/>
      </c>
    </row>
    <row r="3055" ht="15.75" customHeight="1">
      <c r="A3055" s="356"/>
      <c r="K3055" s="319" t="str">
        <f t="shared" si="1"/>
        <v/>
      </c>
    </row>
    <row r="3056" ht="15.75" customHeight="1">
      <c r="A3056" s="356"/>
      <c r="K3056" s="319" t="str">
        <f t="shared" si="1"/>
        <v/>
      </c>
    </row>
    <row r="3057" ht="15.75" customHeight="1">
      <c r="A3057" s="356"/>
      <c r="K3057" s="319" t="str">
        <f t="shared" si="1"/>
        <v/>
      </c>
    </row>
    <row r="3058" ht="15.75" customHeight="1">
      <c r="A3058" s="356"/>
      <c r="K3058" s="319" t="str">
        <f t="shared" si="1"/>
        <v/>
      </c>
    </row>
    <row r="3059" ht="15.75" customHeight="1">
      <c r="A3059" s="356"/>
      <c r="K3059" s="319" t="str">
        <f t="shared" si="1"/>
        <v/>
      </c>
    </row>
    <row r="3060" ht="15.75" customHeight="1">
      <c r="A3060" s="356"/>
      <c r="K3060" s="319" t="str">
        <f t="shared" si="1"/>
        <v/>
      </c>
    </row>
    <row r="3061" ht="15.75" customHeight="1">
      <c r="A3061" s="356"/>
      <c r="K3061" s="319" t="str">
        <f t="shared" si="1"/>
        <v/>
      </c>
    </row>
    <row r="3062" ht="15.75" customHeight="1">
      <c r="A3062" s="356"/>
      <c r="K3062" s="319" t="str">
        <f t="shared" si="1"/>
        <v/>
      </c>
    </row>
    <row r="3063" ht="15.75" customHeight="1">
      <c r="A3063" s="356"/>
      <c r="K3063" s="319" t="str">
        <f t="shared" si="1"/>
        <v/>
      </c>
    </row>
    <row r="3064" ht="15.75" customHeight="1">
      <c r="A3064" s="356"/>
      <c r="K3064" s="319" t="str">
        <f t="shared" si="1"/>
        <v/>
      </c>
    </row>
    <row r="3065" ht="15.75" customHeight="1">
      <c r="A3065" s="356"/>
      <c r="K3065" s="319" t="str">
        <f t="shared" si="1"/>
        <v/>
      </c>
    </row>
    <row r="3066" ht="15.75" customHeight="1">
      <c r="A3066" s="356"/>
      <c r="K3066" s="319" t="str">
        <f t="shared" si="1"/>
        <v/>
      </c>
    </row>
    <row r="3067" ht="15.75" customHeight="1">
      <c r="A3067" s="356"/>
      <c r="K3067" s="319" t="str">
        <f t="shared" si="1"/>
        <v/>
      </c>
    </row>
    <row r="3068" ht="15.75" customHeight="1">
      <c r="A3068" s="356"/>
      <c r="K3068" s="319" t="str">
        <f t="shared" si="1"/>
        <v/>
      </c>
    </row>
    <row r="3069" ht="15.75" customHeight="1">
      <c r="A3069" s="356"/>
      <c r="K3069" s="319" t="str">
        <f t="shared" si="1"/>
        <v/>
      </c>
    </row>
    <row r="3070" ht="15.75" customHeight="1">
      <c r="A3070" s="356"/>
      <c r="K3070" s="319" t="str">
        <f t="shared" si="1"/>
        <v/>
      </c>
    </row>
    <row r="3071" ht="15.75" customHeight="1">
      <c r="A3071" s="356"/>
      <c r="K3071" s="319" t="str">
        <f t="shared" si="1"/>
        <v/>
      </c>
    </row>
    <row r="3072" ht="15.75" customHeight="1">
      <c r="A3072" s="356"/>
      <c r="K3072" s="319" t="str">
        <f t="shared" si="1"/>
        <v/>
      </c>
    </row>
    <row r="3073" ht="15.75" customHeight="1">
      <c r="A3073" s="356"/>
      <c r="K3073" s="319" t="str">
        <f t="shared" si="1"/>
        <v/>
      </c>
    </row>
    <row r="3074" ht="15.75" customHeight="1">
      <c r="A3074" s="356"/>
      <c r="K3074" s="319" t="str">
        <f t="shared" si="1"/>
        <v/>
      </c>
    </row>
    <row r="3075" ht="15.75" customHeight="1">
      <c r="A3075" s="356"/>
      <c r="K3075" s="319" t="str">
        <f t="shared" si="1"/>
        <v/>
      </c>
    </row>
    <row r="3076" ht="15.75" customHeight="1">
      <c r="A3076" s="356"/>
      <c r="K3076" s="319" t="str">
        <f t="shared" si="1"/>
        <v/>
      </c>
    </row>
    <row r="3077" ht="15.75" customHeight="1">
      <c r="A3077" s="356"/>
      <c r="K3077" s="319" t="str">
        <f t="shared" si="1"/>
        <v/>
      </c>
    </row>
    <row r="3078" ht="15.75" customHeight="1">
      <c r="A3078" s="356"/>
      <c r="K3078" s="319" t="str">
        <f t="shared" si="1"/>
        <v/>
      </c>
    </row>
    <row r="3079" ht="15.75" customHeight="1">
      <c r="A3079" s="356"/>
      <c r="K3079" s="319" t="str">
        <f t="shared" si="1"/>
        <v/>
      </c>
    </row>
    <row r="3080" ht="15.75" customHeight="1">
      <c r="A3080" s="356"/>
      <c r="K3080" s="319" t="str">
        <f t="shared" si="1"/>
        <v/>
      </c>
    </row>
    <row r="3081" ht="15.75" customHeight="1">
      <c r="A3081" s="356"/>
      <c r="K3081" s="319" t="str">
        <f t="shared" si="1"/>
        <v/>
      </c>
    </row>
    <row r="3082" ht="15.75" customHeight="1">
      <c r="A3082" s="356"/>
      <c r="K3082" s="319" t="str">
        <f t="shared" si="1"/>
        <v/>
      </c>
    </row>
    <row r="3083" ht="15.75" customHeight="1">
      <c r="A3083" s="356"/>
      <c r="K3083" s="319" t="str">
        <f t="shared" si="1"/>
        <v/>
      </c>
    </row>
    <row r="3084" ht="15.75" customHeight="1">
      <c r="A3084" s="356"/>
      <c r="K3084" s="319" t="str">
        <f t="shared" si="1"/>
        <v/>
      </c>
    </row>
    <row r="3085" ht="15.75" customHeight="1">
      <c r="A3085" s="356"/>
      <c r="K3085" s="319" t="str">
        <f t="shared" si="1"/>
        <v/>
      </c>
    </row>
    <row r="3086" ht="15.75" customHeight="1">
      <c r="A3086" s="356"/>
      <c r="K3086" s="319" t="str">
        <f t="shared" si="1"/>
        <v/>
      </c>
    </row>
    <row r="3087" ht="15.75" customHeight="1">
      <c r="A3087" s="356"/>
      <c r="K3087" s="319" t="str">
        <f t="shared" si="1"/>
        <v/>
      </c>
    </row>
    <row r="3088" ht="15.75" customHeight="1">
      <c r="A3088" s="356"/>
      <c r="K3088" s="319" t="str">
        <f t="shared" si="1"/>
        <v/>
      </c>
    </row>
    <row r="3089" ht="15.75" customHeight="1">
      <c r="A3089" s="356"/>
      <c r="K3089" s="319" t="str">
        <f t="shared" si="1"/>
        <v/>
      </c>
    </row>
    <row r="3090" ht="15.75" customHeight="1">
      <c r="A3090" s="356"/>
      <c r="K3090" s="319" t="str">
        <f t="shared" si="1"/>
        <v/>
      </c>
    </row>
    <row r="3091" ht="15.75" customHeight="1">
      <c r="A3091" s="356"/>
      <c r="K3091" s="319" t="str">
        <f t="shared" si="1"/>
        <v/>
      </c>
    </row>
    <row r="3092" ht="15.75" customHeight="1">
      <c r="A3092" s="356"/>
      <c r="K3092" s="319" t="str">
        <f t="shared" si="1"/>
        <v/>
      </c>
    </row>
    <row r="3093" ht="15.75" customHeight="1">
      <c r="A3093" s="356"/>
      <c r="K3093" s="319" t="str">
        <f t="shared" si="1"/>
        <v/>
      </c>
    </row>
    <row r="3094" ht="15.75" customHeight="1">
      <c r="A3094" s="356"/>
      <c r="K3094" s="319" t="str">
        <f t="shared" si="1"/>
        <v/>
      </c>
    </row>
    <row r="3095" ht="15.75" customHeight="1">
      <c r="A3095" s="356"/>
      <c r="K3095" s="319" t="str">
        <f t="shared" si="1"/>
        <v/>
      </c>
    </row>
    <row r="3096" ht="15.75" customHeight="1">
      <c r="A3096" s="356"/>
      <c r="K3096" s="319" t="str">
        <f t="shared" si="1"/>
        <v/>
      </c>
    </row>
    <row r="3097" ht="15.75" customHeight="1">
      <c r="A3097" s="356"/>
      <c r="K3097" s="319" t="str">
        <f t="shared" si="1"/>
        <v/>
      </c>
    </row>
    <row r="3098" ht="15.75" customHeight="1">
      <c r="A3098" s="356"/>
      <c r="K3098" s="319" t="str">
        <f t="shared" si="1"/>
        <v/>
      </c>
    </row>
    <row r="3099" ht="15.75" customHeight="1">
      <c r="A3099" s="356"/>
      <c r="K3099" s="319" t="str">
        <f t="shared" si="1"/>
        <v/>
      </c>
    </row>
    <row r="3100" ht="15.75" customHeight="1">
      <c r="A3100" s="356"/>
      <c r="K3100" s="319" t="str">
        <f t="shared" si="1"/>
        <v/>
      </c>
    </row>
    <row r="3101" ht="15.75" customHeight="1">
      <c r="A3101" s="356"/>
      <c r="K3101" s="319" t="str">
        <f t="shared" si="1"/>
        <v/>
      </c>
    </row>
    <row r="3102" ht="15.75" customHeight="1">
      <c r="A3102" s="356"/>
      <c r="K3102" s="319" t="str">
        <f t="shared" si="1"/>
        <v/>
      </c>
    </row>
    <row r="3103" ht="15.75" customHeight="1">
      <c r="A3103" s="356"/>
      <c r="K3103" s="319" t="str">
        <f t="shared" si="1"/>
        <v/>
      </c>
    </row>
    <row r="3104" ht="15.75" customHeight="1">
      <c r="A3104" s="356"/>
      <c r="K3104" s="319" t="str">
        <f t="shared" si="1"/>
        <v/>
      </c>
    </row>
    <row r="3105" ht="15.75" customHeight="1">
      <c r="A3105" s="356"/>
      <c r="K3105" s="319" t="str">
        <f t="shared" si="1"/>
        <v/>
      </c>
    </row>
    <row r="3106" ht="15.75" customHeight="1">
      <c r="A3106" s="356"/>
      <c r="K3106" s="319" t="str">
        <f t="shared" si="1"/>
        <v/>
      </c>
    </row>
    <row r="3107" ht="15.75" customHeight="1">
      <c r="A3107" s="356"/>
      <c r="K3107" s="319" t="str">
        <f t="shared" si="1"/>
        <v/>
      </c>
    </row>
    <row r="3108" ht="15.75" customHeight="1">
      <c r="A3108" s="356"/>
      <c r="K3108" s="319" t="str">
        <f t="shared" si="1"/>
        <v/>
      </c>
    </row>
    <row r="3109" ht="15.75" customHeight="1">
      <c r="A3109" s="356"/>
      <c r="K3109" s="319" t="str">
        <f t="shared" si="1"/>
        <v/>
      </c>
    </row>
    <row r="3110" ht="15.75" customHeight="1">
      <c r="A3110" s="356"/>
      <c r="K3110" s="319" t="str">
        <f t="shared" si="1"/>
        <v/>
      </c>
    </row>
    <row r="3111" ht="15.75" customHeight="1">
      <c r="A3111" s="356"/>
      <c r="K3111" s="319" t="str">
        <f t="shared" si="1"/>
        <v/>
      </c>
    </row>
    <row r="3112" ht="15.75" customHeight="1">
      <c r="A3112" s="356"/>
      <c r="K3112" s="319" t="str">
        <f t="shared" si="1"/>
        <v/>
      </c>
    </row>
    <row r="3113" ht="15.75" customHeight="1">
      <c r="A3113" s="356"/>
      <c r="K3113" s="319" t="str">
        <f t="shared" si="1"/>
        <v/>
      </c>
    </row>
    <row r="3114" ht="15.75" customHeight="1">
      <c r="A3114" s="356"/>
      <c r="K3114" s="319" t="str">
        <f t="shared" si="1"/>
        <v/>
      </c>
    </row>
    <row r="3115" ht="15.75" customHeight="1">
      <c r="A3115" s="356"/>
      <c r="K3115" s="319" t="str">
        <f t="shared" si="1"/>
        <v/>
      </c>
    </row>
    <row r="3116" ht="15.75" customHeight="1">
      <c r="A3116" s="356"/>
      <c r="K3116" s="319" t="str">
        <f t="shared" si="1"/>
        <v/>
      </c>
    </row>
    <row r="3117" ht="15.75" customHeight="1">
      <c r="A3117" s="356"/>
      <c r="K3117" s="319" t="str">
        <f t="shared" si="1"/>
        <v/>
      </c>
    </row>
    <row r="3118" ht="15.75" customHeight="1">
      <c r="A3118" s="356"/>
      <c r="K3118" s="319" t="str">
        <f t="shared" si="1"/>
        <v/>
      </c>
    </row>
    <row r="3119" ht="15.75" customHeight="1">
      <c r="A3119" s="356"/>
      <c r="K3119" s="319" t="str">
        <f t="shared" si="1"/>
        <v/>
      </c>
    </row>
    <row r="3120" ht="15.75" customHeight="1">
      <c r="A3120" s="356"/>
      <c r="K3120" s="319" t="str">
        <f t="shared" si="1"/>
        <v/>
      </c>
    </row>
    <row r="3121" ht="15.75" customHeight="1">
      <c r="A3121" s="356"/>
      <c r="K3121" s="319" t="str">
        <f t="shared" si="1"/>
        <v/>
      </c>
    </row>
    <row r="3122" ht="15.75" customHeight="1">
      <c r="A3122" s="356"/>
      <c r="K3122" s="319" t="str">
        <f t="shared" si="1"/>
        <v/>
      </c>
    </row>
    <row r="3123" ht="15.75" customHeight="1">
      <c r="A3123" s="356"/>
      <c r="K3123" s="319" t="str">
        <f t="shared" si="1"/>
        <v/>
      </c>
    </row>
    <row r="3124" ht="15.75" customHeight="1">
      <c r="A3124" s="356"/>
      <c r="K3124" s="319" t="str">
        <f t="shared" si="1"/>
        <v/>
      </c>
    </row>
    <row r="3125" ht="15.75" customHeight="1">
      <c r="A3125" s="356"/>
      <c r="K3125" s="319" t="str">
        <f t="shared" si="1"/>
        <v/>
      </c>
    </row>
    <row r="3126" ht="15.75" customHeight="1">
      <c r="A3126" s="356"/>
      <c r="K3126" s="319" t="str">
        <f t="shared" si="1"/>
        <v/>
      </c>
    </row>
    <row r="3127" ht="15.75" customHeight="1">
      <c r="A3127" s="356"/>
      <c r="K3127" s="319" t="str">
        <f t="shared" si="1"/>
        <v/>
      </c>
    </row>
    <row r="3128" ht="15.75" customHeight="1">
      <c r="A3128" s="356"/>
      <c r="K3128" s="319" t="str">
        <f t="shared" si="1"/>
        <v/>
      </c>
    </row>
    <row r="3129" ht="15.75" customHeight="1">
      <c r="A3129" s="356"/>
      <c r="K3129" s="319" t="str">
        <f t="shared" si="1"/>
        <v/>
      </c>
    </row>
    <row r="3130" ht="15.75" customHeight="1">
      <c r="A3130" s="356"/>
      <c r="K3130" s="319" t="str">
        <f t="shared" si="1"/>
        <v/>
      </c>
    </row>
    <row r="3131" ht="15.75" customHeight="1">
      <c r="A3131" s="356"/>
      <c r="K3131" s="319" t="str">
        <f t="shared" si="1"/>
        <v/>
      </c>
    </row>
    <row r="3132" ht="15.75" customHeight="1">
      <c r="A3132" s="356"/>
      <c r="K3132" s="319" t="str">
        <f t="shared" si="1"/>
        <v/>
      </c>
    </row>
    <row r="3133" ht="15.75" customHeight="1">
      <c r="A3133" s="356"/>
      <c r="K3133" s="319" t="str">
        <f t="shared" si="1"/>
        <v/>
      </c>
    </row>
    <row r="3134" ht="15.75" customHeight="1">
      <c r="A3134" s="356"/>
      <c r="K3134" s="319" t="str">
        <f t="shared" si="1"/>
        <v/>
      </c>
    </row>
    <row r="3135" ht="15.75" customHeight="1">
      <c r="A3135" s="356"/>
      <c r="K3135" s="319" t="str">
        <f t="shared" si="1"/>
        <v/>
      </c>
    </row>
    <row r="3136" ht="15.75" customHeight="1">
      <c r="A3136" s="356"/>
      <c r="K3136" s="319" t="str">
        <f t="shared" si="1"/>
        <v/>
      </c>
    </row>
    <row r="3137" ht="15.75" customHeight="1">
      <c r="A3137" s="356"/>
      <c r="K3137" s="319" t="str">
        <f t="shared" si="1"/>
        <v/>
      </c>
    </row>
    <row r="3138" ht="15.75" customHeight="1">
      <c r="A3138" s="356"/>
      <c r="K3138" s="319" t="str">
        <f t="shared" si="1"/>
        <v/>
      </c>
    </row>
    <row r="3139" ht="15.75" customHeight="1">
      <c r="A3139" s="356"/>
      <c r="K3139" s="319" t="str">
        <f t="shared" si="1"/>
        <v/>
      </c>
    </row>
    <row r="3140" ht="15.75" customHeight="1">
      <c r="A3140" s="356"/>
      <c r="K3140" s="319" t="str">
        <f t="shared" si="1"/>
        <v/>
      </c>
    </row>
    <row r="3141" ht="15.75" customHeight="1">
      <c r="A3141" s="356"/>
      <c r="K3141" s="319" t="str">
        <f t="shared" si="1"/>
        <v/>
      </c>
    </row>
    <row r="3142" ht="15.75" customHeight="1">
      <c r="A3142" s="356"/>
      <c r="K3142" s="319" t="str">
        <f t="shared" si="1"/>
        <v/>
      </c>
    </row>
    <row r="3143" ht="15.75" customHeight="1">
      <c r="A3143" s="356"/>
      <c r="K3143" s="319" t="str">
        <f t="shared" si="1"/>
        <v/>
      </c>
    </row>
    <row r="3144" ht="15.75" customHeight="1">
      <c r="A3144" s="356"/>
      <c r="K3144" s="319" t="str">
        <f t="shared" si="1"/>
        <v/>
      </c>
    </row>
    <row r="3145" ht="15.75" customHeight="1">
      <c r="A3145" s="356"/>
      <c r="K3145" s="319" t="str">
        <f t="shared" si="1"/>
        <v/>
      </c>
    </row>
    <row r="3146" ht="15.75" customHeight="1">
      <c r="A3146" s="356"/>
      <c r="K3146" s="319" t="str">
        <f t="shared" si="1"/>
        <v/>
      </c>
    </row>
    <row r="3147" ht="15.75" customHeight="1">
      <c r="A3147" s="356"/>
      <c r="K3147" s="319" t="str">
        <f t="shared" si="1"/>
        <v/>
      </c>
    </row>
    <row r="3148" ht="15.75" customHeight="1">
      <c r="A3148" s="356"/>
      <c r="K3148" s="319" t="str">
        <f t="shared" si="1"/>
        <v/>
      </c>
    </row>
    <row r="3149" ht="15.75" customHeight="1">
      <c r="A3149" s="356"/>
      <c r="K3149" s="319" t="str">
        <f t="shared" si="1"/>
        <v/>
      </c>
    </row>
    <row r="3150" ht="15.75" customHeight="1">
      <c r="A3150" s="356"/>
      <c r="K3150" s="319" t="str">
        <f t="shared" si="1"/>
        <v/>
      </c>
    </row>
    <row r="3151" ht="15.75" customHeight="1">
      <c r="A3151" s="356"/>
      <c r="K3151" s="319" t="str">
        <f t="shared" si="1"/>
        <v/>
      </c>
    </row>
    <row r="3152" ht="15.75" customHeight="1">
      <c r="A3152" s="356"/>
      <c r="K3152" s="319" t="str">
        <f t="shared" si="1"/>
        <v/>
      </c>
    </row>
    <row r="3153" ht="15.75" customHeight="1">
      <c r="A3153" s="356"/>
      <c r="K3153" s="319" t="str">
        <f t="shared" si="1"/>
        <v/>
      </c>
    </row>
    <row r="3154" ht="15.75" customHeight="1">
      <c r="A3154" s="356"/>
      <c r="K3154" s="319" t="str">
        <f t="shared" si="1"/>
        <v/>
      </c>
    </row>
    <row r="3155" ht="15.75" customHeight="1">
      <c r="A3155" s="356"/>
      <c r="K3155" s="319" t="str">
        <f t="shared" si="1"/>
        <v/>
      </c>
    </row>
    <row r="3156" ht="15.75" customHeight="1">
      <c r="A3156" s="356"/>
      <c r="K3156" s="319" t="str">
        <f t="shared" si="1"/>
        <v/>
      </c>
    </row>
    <row r="3157" ht="15.75" customHeight="1">
      <c r="A3157" s="356"/>
      <c r="K3157" s="319" t="str">
        <f t="shared" si="1"/>
        <v/>
      </c>
    </row>
    <row r="3158" ht="15.75" customHeight="1">
      <c r="A3158" s="356"/>
      <c r="K3158" s="319" t="str">
        <f t="shared" si="1"/>
        <v/>
      </c>
    </row>
    <row r="3159" ht="15.75" customHeight="1">
      <c r="A3159" s="356"/>
      <c r="K3159" s="319" t="str">
        <f t="shared" si="1"/>
        <v/>
      </c>
    </row>
    <row r="3160" ht="15.75" customHeight="1">
      <c r="A3160" s="356"/>
      <c r="K3160" s="319" t="str">
        <f t="shared" si="1"/>
        <v/>
      </c>
    </row>
    <row r="3161" ht="15.75" customHeight="1">
      <c r="A3161" s="356"/>
      <c r="K3161" s="319" t="str">
        <f t="shared" si="1"/>
        <v/>
      </c>
    </row>
    <row r="3162" ht="15.75" customHeight="1">
      <c r="A3162" s="356"/>
      <c r="K3162" s="319" t="str">
        <f t="shared" si="1"/>
        <v/>
      </c>
    </row>
    <row r="3163" ht="15.75" customHeight="1">
      <c r="A3163" s="356"/>
      <c r="K3163" s="319" t="str">
        <f t="shared" si="1"/>
        <v/>
      </c>
    </row>
    <row r="3164" ht="15.75" customHeight="1">
      <c r="A3164" s="356"/>
      <c r="K3164" s="319" t="str">
        <f t="shared" si="1"/>
        <v/>
      </c>
    </row>
    <row r="3165" ht="15.75" customHeight="1">
      <c r="A3165" s="356"/>
      <c r="K3165" s="319" t="str">
        <f t="shared" si="1"/>
        <v/>
      </c>
    </row>
    <row r="3166" ht="15.75" customHeight="1">
      <c r="A3166" s="356"/>
      <c r="K3166" s="319" t="str">
        <f t="shared" si="1"/>
        <v/>
      </c>
    </row>
    <row r="3167" ht="15.75" customHeight="1">
      <c r="A3167" s="356"/>
      <c r="K3167" s="319" t="str">
        <f t="shared" si="1"/>
        <v/>
      </c>
    </row>
    <row r="3168" ht="15.75" customHeight="1">
      <c r="A3168" s="356"/>
      <c r="K3168" s="319" t="str">
        <f t="shared" si="1"/>
        <v/>
      </c>
    </row>
    <row r="3169" ht="15.75" customHeight="1">
      <c r="A3169" s="356"/>
      <c r="K3169" s="319" t="str">
        <f t="shared" si="1"/>
        <v/>
      </c>
    </row>
    <row r="3170" ht="15.75" customHeight="1">
      <c r="A3170" s="356"/>
      <c r="K3170" s="319" t="str">
        <f t="shared" si="1"/>
        <v/>
      </c>
    </row>
    <row r="3171" ht="15.75" customHeight="1">
      <c r="A3171" s="356"/>
      <c r="K3171" s="319" t="str">
        <f t="shared" si="1"/>
        <v/>
      </c>
    </row>
    <row r="3172" ht="15.75" customHeight="1">
      <c r="A3172" s="356"/>
      <c r="K3172" s="319" t="str">
        <f t="shared" si="1"/>
        <v/>
      </c>
    </row>
    <row r="3173" ht="15.75" customHeight="1">
      <c r="A3173" s="356"/>
      <c r="K3173" s="319" t="str">
        <f t="shared" si="1"/>
        <v/>
      </c>
    </row>
    <row r="3174" ht="15.75" customHeight="1">
      <c r="A3174" s="356"/>
      <c r="K3174" s="319" t="str">
        <f t="shared" si="1"/>
        <v/>
      </c>
    </row>
    <row r="3175" ht="15.75" customHeight="1">
      <c r="A3175" s="356"/>
      <c r="K3175" s="319" t="str">
        <f t="shared" si="1"/>
        <v/>
      </c>
    </row>
    <row r="3176" ht="15.75" customHeight="1">
      <c r="A3176" s="356"/>
      <c r="K3176" s="319" t="str">
        <f t="shared" si="1"/>
        <v/>
      </c>
    </row>
    <row r="3177" ht="15.75" customHeight="1">
      <c r="A3177" s="356"/>
      <c r="K3177" s="319" t="str">
        <f t="shared" si="1"/>
        <v/>
      </c>
    </row>
    <row r="3178" ht="15.75" customHeight="1">
      <c r="A3178" s="356"/>
      <c r="K3178" s="319" t="str">
        <f t="shared" si="1"/>
        <v/>
      </c>
    </row>
    <row r="3179" ht="15.75" customHeight="1">
      <c r="A3179" s="356"/>
      <c r="K3179" s="319" t="str">
        <f t="shared" si="1"/>
        <v/>
      </c>
    </row>
    <row r="3180" ht="15.75" customHeight="1">
      <c r="A3180" s="356"/>
      <c r="K3180" s="319" t="str">
        <f t="shared" si="1"/>
        <v/>
      </c>
    </row>
    <row r="3181" ht="15.75" customHeight="1">
      <c r="A3181" s="356"/>
      <c r="K3181" s="319" t="str">
        <f t="shared" si="1"/>
        <v/>
      </c>
    </row>
    <row r="3182" ht="15.75" customHeight="1">
      <c r="A3182" s="356"/>
      <c r="K3182" s="319" t="str">
        <f t="shared" si="1"/>
        <v/>
      </c>
    </row>
    <row r="3183" ht="15.75" customHeight="1">
      <c r="A3183" s="356"/>
      <c r="K3183" s="319" t="str">
        <f t="shared" si="1"/>
        <v/>
      </c>
    </row>
    <row r="3184" ht="15.75" customHeight="1">
      <c r="A3184" s="356"/>
      <c r="K3184" s="319" t="str">
        <f t="shared" si="1"/>
        <v/>
      </c>
    </row>
    <row r="3185" ht="15.75" customHeight="1">
      <c r="A3185" s="356"/>
      <c r="K3185" s="319" t="str">
        <f t="shared" si="1"/>
        <v/>
      </c>
    </row>
    <row r="3186" ht="15.75" customHeight="1">
      <c r="A3186" s="356"/>
      <c r="K3186" s="319" t="str">
        <f t="shared" si="1"/>
        <v/>
      </c>
    </row>
    <row r="3187" ht="15.75" customHeight="1">
      <c r="A3187" s="356"/>
      <c r="K3187" s="319" t="str">
        <f t="shared" si="1"/>
        <v/>
      </c>
    </row>
    <row r="3188" ht="15.75" customHeight="1">
      <c r="A3188" s="356"/>
      <c r="K3188" s="319" t="str">
        <f t="shared" si="1"/>
        <v/>
      </c>
    </row>
    <row r="3189" ht="15.75" customHeight="1">
      <c r="A3189" s="356"/>
      <c r="K3189" s="319" t="str">
        <f t="shared" si="1"/>
        <v/>
      </c>
    </row>
    <row r="3190" ht="15.75" customHeight="1">
      <c r="A3190" s="356"/>
      <c r="K3190" s="319" t="str">
        <f t="shared" si="1"/>
        <v/>
      </c>
    </row>
    <row r="3191" ht="15.75" customHeight="1">
      <c r="A3191" s="356"/>
      <c r="K3191" s="319" t="str">
        <f t="shared" si="1"/>
        <v/>
      </c>
    </row>
    <row r="3192" ht="15.75" customHeight="1">
      <c r="A3192" s="356"/>
      <c r="K3192" s="319" t="str">
        <f t="shared" si="1"/>
        <v/>
      </c>
    </row>
    <row r="3193" ht="15.75" customHeight="1">
      <c r="A3193" s="356"/>
      <c r="K3193" s="319" t="str">
        <f t="shared" si="1"/>
        <v/>
      </c>
    </row>
    <row r="3194" ht="15.75" customHeight="1">
      <c r="A3194" s="356"/>
      <c r="K3194" s="319" t="str">
        <f t="shared" si="1"/>
        <v/>
      </c>
    </row>
    <row r="3195" ht="15.75" customHeight="1">
      <c r="A3195" s="356"/>
      <c r="K3195" s="319" t="str">
        <f t="shared" si="1"/>
        <v/>
      </c>
    </row>
    <row r="3196" ht="15.75" customHeight="1">
      <c r="A3196" s="356"/>
      <c r="K3196" s="319" t="str">
        <f t="shared" si="1"/>
        <v/>
      </c>
    </row>
    <row r="3197" ht="15.75" customHeight="1">
      <c r="A3197" s="356"/>
      <c r="K3197" s="319" t="str">
        <f t="shared" si="1"/>
        <v/>
      </c>
    </row>
    <row r="3198" ht="15.75" customHeight="1">
      <c r="A3198" s="356"/>
      <c r="K3198" s="319" t="str">
        <f t="shared" si="1"/>
        <v/>
      </c>
    </row>
    <row r="3199" ht="15.75" customHeight="1">
      <c r="A3199" s="356"/>
      <c r="K3199" s="319" t="str">
        <f t="shared" si="1"/>
        <v/>
      </c>
    </row>
    <row r="3200" ht="15.75" customHeight="1">
      <c r="A3200" s="356"/>
      <c r="K3200" s="319" t="str">
        <f t="shared" si="1"/>
        <v/>
      </c>
    </row>
    <row r="3201" ht="15.75" customHeight="1">
      <c r="A3201" s="356"/>
      <c r="K3201" s="319" t="str">
        <f t="shared" si="1"/>
        <v/>
      </c>
    </row>
    <row r="3202" ht="15.75" customHeight="1">
      <c r="A3202" s="356"/>
      <c r="K3202" s="319" t="str">
        <f t="shared" si="1"/>
        <v/>
      </c>
    </row>
    <row r="3203" ht="15.75" customHeight="1">
      <c r="A3203" s="356"/>
      <c r="K3203" s="319" t="str">
        <f t="shared" si="1"/>
        <v/>
      </c>
    </row>
    <row r="3204" ht="15.75" customHeight="1">
      <c r="A3204" s="356"/>
      <c r="K3204" s="319" t="str">
        <f t="shared" si="1"/>
        <v/>
      </c>
    </row>
    <row r="3205" ht="15.75" customHeight="1">
      <c r="A3205" s="356"/>
      <c r="K3205" s="319" t="str">
        <f t="shared" si="1"/>
        <v/>
      </c>
    </row>
    <row r="3206" ht="15.75" customHeight="1">
      <c r="A3206" s="356"/>
      <c r="K3206" s="319" t="str">
        <f t="shared" si="1"/>
        <v/>
      </c>
    </row>
    <row r="3207" ht="15.75" customHeight="1">
      <c r="A3207" s="356"/>
      <c r="K3207" s="319" t="str">
        <f t="shared" si="1"/>
        <v/>
      </c>
    </row>
    <row r="3208" ht="15.75" customHeight="1">
      <c r="A3208" s="356"/>
      <c r="K3208" s="319" t="str">
        <f t="shared" si="1"/>
        <v/>
      </c>
    </row>
    <row r="3209" ht="15.75" customHeight="1">
      <c r="A3209" s="356"/>
      <c r="K3209" s="319" t="str">
        <f t="shared" si="1"/>
        <v/>
      </c>
    </row>
    <row r="3210" ht="15.75" customHeight="1">
      <c r="A3210" s="356"/>
      <c r="K3210" s="319" t="str">
        <f t="shared" si="1"/>
        <v/>
      </c>
    </row>
    <row r="3211" ht="15.75" customHeight="1">
      <c r="A3211" s="356"/>
      <c r="K3211" s="319" t="str">
        <f t="shared" si="1"/>
        <v/>
      </c>
    </row>
    <row r="3212" ht="15.75" customHeight="1">
      <c r="A3212" s="356"/>
      <c r="K3212" s="319" t="str">
        <f t="shared" si="1"/>
        <v/>
      </c>
    </row>
    <row r="3213" ht="15.75" customHeight="1">
      <c r="A3213" s="356"/>
      <c r="K3213" s="319" t="str">
        <f t="shared" si="1"/>
        <v/>
      </c>
    </row>
    <row r="3214" ht="15.75" customHeight="1">
      <c r="A3214" s="356"/>
      <c r="K3214" s="319" t="str">
        <f t="shared" si="1"/>
        <v/>
      </c>
    </row>
    <row r="3215" ht="15.75" customHeight="1">
      <c r="A3215" s="356"/>
      <c r="K3215" s="319" t="str">
        <f t="shared" si="1"/>
        <v/>
      </c>
    </row>
    <row r="3216" ht="15.75" customHeight="1">
      <c r="A3216" s="356"/>
      <c r="K3216" s="319" t="str">
        <f t="shared" si="1"/>
        <v/>
      </c>
    </row>
    <row r="3217" ht="15.75" customHeight="1">
      <c r="A3217" s="356"/>
      <c r="K3217" s="319" t="str">
        <f t="shared" si="1"/>
        <v/>
      </c>
    </row>
    <row r="3218" ht="15.75" customHeight="1">
      <c r="A3218" s="356"/>
      <c r="K3218" s="319" t="str">
        <f t="shared" si="1"/>
        <v/>
      </c>
    </row>
    <row r="3219" ht="15.75" customHeight="1">
      <c r="A3219" s="356"/>
      <c r="K3219" s="319" t="str">
        <f t="shared" si="1"/>
        <v/>
      </c>
    </row>
    <row r="3220" ht="15.75" customHeight="1">
      <c r="A3220" s="356"/>
      <c r="K3220" s="319" t="str">
        <f t="shared" si="1"/>
        <v/>
      </c>
    </row>
    <row r="3221" ht="15.75" customHeight="1">
      <c r="A3221" s="356"/>
      <c r="K3221" s="319" t="str">
        <f t="shared" si="1"/>
        <v/>
      </c>
    </row>
    <row r="3222" ht="15.75" customHeight="1">
      <c r="A3222" s="356"/>
      <c r="K3222" s="319" t="str">
        <f t="shared" si="1"/>
        <v/>
      </c>
    </row>
    <row r="3223" ht="15.75" customHeight="1">
      <c r="A3223" s="356"/>
      <c r="K3223" s="319" t="str">
        <f t="shared" si="1"/>
        <v/>
      </c>
    </row>
    <row r="3224" ht="15.75" customHeight="1">
      <c r="A3224" s="356"/>
      <c r="K3224" s="319" t="str">
        <f t="shared" si="1"/>
        <v/>
      </c>
    </row>
    <row r="3225" ht="15.75" customHeight="1">
      <c r="A3225" s="356"/>
      <c r="K3225" s="319" t="str">
        <f t="shared" si="1"/>
        <v/>
      </c>
    </row>
    <row r="3226" ht="15.75" customHeight="1">
      <c r="A3226" s="356"/>
      <c r="K3226" s="319" t="str">
        <f t="shared" si="1"/>
        <v/>
      </c>
    </row>
    <row r="3227" ht="15.75" customHeight="1">
      <c r="A3227" s="356"/>
      <c r="K3227" s="319" t="str">
        <f t="shared" si="1"/>
        <v/>
      </c>
    </row>
    <row r="3228" ht="15.75" customHeight="1">
      <c r="A3228" s="356"/>
      <c r="K3228" s="319" t="str">
        <f t="shared" si="1"/>
        <v/>
      </c>
    </row>
    <row r="3229" ht="15.75" customHeight="1">
      <c r="A3229" s="356"/>
      <c r="K3229" s="319" t="str">
        <f t="shared" si="1"/>
        <v/>
      </c>
    </row>
    <row r="3230" ht="15.75" customHeight="1">
      <c r="A3230" s="356"/>
      <c r="K3230" s="319" t="str">
        <f t="shared" si="1"/>
        <v/>
      </c>
    </row>
    <row r="3231" ht="15.75" customHeight="1">
      <c r="A3231" s="356"/>
      <c r="K3231" s="319" t="str">
        <f t="shared" si="1"/>
        <v/>
      </c>
    </row>
    <row r="3232" ht="15.75" customHeight="1">
      <c r="A3232" s="356"/>
      <c r="K3232" s="319" t="str">
        <f t="shared" si="1"/>
        <v/>
      </c>
    </row>
    <row r="3233" ht="15.75" customHeight="1">
      <c r="A3233" s="356"/>
      <c r="K3233" s="319" t="str">
        <f t="shared" si="1"/>
        <v/>
      </c>
    </row>
    <row r="3234" ht="15.75" customHeight="1">
      <c r="A3234" s="356"/>
      <c r="K3234" s="319" t="str">
        <f t="shared" si="1"/>
        <v/>
      </c>
    </row>
    <row r="3235" ht="15.75" customHeight="1">
      <c r="A3235" s="356"/>
      <c r="K3235" s="319" t="str">
        <f t="shared" si="1"/>
        <v/>
      </c>
    </row>
    <row r="3236" ht="15.75" customHeight="1">
      <c r="A3236" s="356"/>
      <c r="K3236" s="319" t="str">
        <f t="shared" si="1"/>
        <v/>
      </c>
    </row>
    <row r="3237" ht="15.75" customHeight="1">
      <c r="A3237" s="356"/>
      <c r="K3237" s="319" t="str">
        <f t="shared" si="1"/>
        <v/>
      </c>
    </row>
    <row r="3238" ht="15.75" customHeight="1">
      <c r="A3238" s="356"/>
      <c r="K3238" s="319" t="str">
        <f t="shared" si="1"/>
        <v/>
      </c>
    </row>
    <row r="3239" ht="15.75" customHeight="1">
      <c r="A3239" s="356"/>
      <c r="K3239" s="319" t="str">
        <f t="shared" si="1"/>
        <v/>
      </c>
    </row>
    <row r="3240" ht="15.75" customHeight="1">
      <c r="A3240" s="356"/>
      <c r="K3240" s="319" t="str">
        <f t="shared" si="1"/>
        <v/>
      </c>
    </row>
    <row r="3241" ht="15.75" customHeight="1">
      <c r="A3241" s="356"/>
      <c r="K3241" s="319" t="str">
        <f t="shared" si="1"/>
        <v/>
      </c>
    </row>
    <row r="3242" ht="15.75" customHeight="1">
      <c r="A3242" s="356"/>
      <c r="K3242" s="319" t="str">
        <f t="shared" si="1"/>
        <v/>
      </c>
    </row>
    <row r="3243" ht="15.75" customHeight="1">
      <c r="A3243" s="356"/>
      <c r="K3243" s="319" t="str">
        <f t="shared" si="1"/>
        <v/>
      </c>
    </row>
    <row r="3244" ht="15.75" customHeight="1">
      <c r="A3244" s="356"/>
      <c r="K3244" s="319" t="str">
        <f t="shared" si="1"/>
        <v/>
      </c>
    </row>
    <row r="3245" ht="15.75" customHeight="1">
      <c r="A3245" s="356"/>
      <c r="K3245" s="319" t="str">
        <f t="shared" si="1"/>
        <v/>
      </c>
    </row>
    <row r="3246" ht="15.75" customHeight="1">
      <c r="A3246" s="356"/>
      <c r="K3246" s="319" t="str">
        <f t="shared" si="1"/>
        <v/>
      </c>
    </row>
    <row r="3247" ht="15.75" customHeight="1">
      <c r="A3247" s="356"/>
      <c r="K3247" s="319" t="str">
        <f t="shared" si="1"/>
        <v/>
      </c>
    </row>
    <row r="3248" ht="15.75" customHeight="1">
      <c r="A3248" s="356"/>
      <c r="K3248" s="319" t="str">
        <f t="shared" si="1"/>
        <v/>
      </c>
    </row>
    <row r="3249" ht="15.75" customHeight="1">
      <c r="A3249" s="356"/>
      <c r="K3249" s="319" t="str">
        <f t="shared" si="1"/>
        <v/>
      </c>
    </row>
    <row r="3250" ht="15.75" customHeight="1">
      <c r="A3250" s="356"/>
      <c r="K3250" s="319" t="str">
        <f t="shared" si="1"/>
        <v/>
      </c>
    </row>
    <row r="3251" ht="15.75" customHeight="1">
      <c r="A3251" s="356"/>
      <c r="K3251" s="319" t="str">
        <f t="shared" si="1"/>
        <v/>
      </c>
    </row>
    <row r="3252" ht="15.75" customHeight="1">
      <c r="A3252" s="356"/>
      <c r="K3252" s="319" t="str">
        <f t="shared" si="1"/>
        <v/>
      </c>
    </row>
    <row r="3253" ht="15.75" customHeight="1">
      <c r="A3253" s="356"/>
      <c r="K3253" s="319" t="str">
        <f t="shared" si="1"/>
        <v/>
      </c>
    </row>
    <row r="3254" ht="15.75" customHeight="1">
      <c r="A3254" s="356"/>
      <c r="K3254" s="319" t="str">
        <f t="shared" si="1"/>
        <v/>
      </c>
    </row>
    <row r="3255" ht="15.75" customHeight="1">
      <c r="A3255" s="356"/>
      <c r="K3255" s="319" t="str">
        <f t="shared" si="1"/>
        <v/>
      </c>
    </row>
    <row r="3256" ht="15.75" customHeight="1">
      <c r="A3256" s="356"/>
      <c r="K3256" s="319" t="str">
        <f t="shared" si="1"/>
        <v/>
      </c>
    </row>
    <row r="3257" ht="15.75" customHeight="1">
      <c r="A3257" s="356"/>
      <c r="K3257" s="319" t="str">
        <f t="shared" si="1"/>
        <v/>
      </c>
    </row>
    <row r="3258" ht="15.75" customHeight="1">
      <c r="A3258" s="356"/>
      <c r="K3258" s="319" t="str">
        <f t="shared" si="1"/>
        <v/>
      </c>
    </row>
    <row r="3259" ht="15.75" customHeight="1">
      <c r="A3259" s="356"/>
      <c r="K3259" s="319" t="str">
        <f t="shared" si="1"/>
        <v/>
      </c>
    </row>
    <row r="3260" ht="15.75" customHeight="1">
      <c r="A3260" s="356"/>
      <c r="K3260" s="319" t="str">
        <f t="shared" si="1"/>
        <v/>
      </c>
    </row>
    <row r="3261" ht="15.75" customHeight="1">
      <c r="A3261" s="356"/>
      <c r="K3261" s="319" t="str">
        <f t="shared" si="1"/>
        <v/>
      </c>
    </row>
    <row r="3262" ht="15.75" customHeight="1">
      <c r="A3262" s="356"/>
      <c r="K3262" s="319" t="str">
        <f t="shared" si="1"/>
        <v/>
      </c>
    </row>
    <row r="3263" ht="15.75" customHeight="1">
      <c r="A3263" s="356"/>
      <c r="K3263" s="319" t="str">
        <f t="shared" si="1"/>
        <v/>
      </c>
    </row>
    <row r="3264" ht="15.75" customHeight="1">
      <c r="A3264" s="356"/>
      <c r="K3264" s="319" t="str">
        <f t="shared" si="1"/>
        <v/>
      </c>
    </row>
    <row r="3265" ht="15.75" customHeight="1">
      <c r="A3265" s="356"/>
      <c r="K3265" s="319" t="str">
        <f t="shared" si="1"/>
        <v/>
      </c>
    </row>
    <row r="3266" ht="15.75" customHeight="1">
      <c r="A3266" s="356"/>
      <c r="K3266" s="319" t="str">
        <f t="shared" si="1"/>
        <v/>
      </c>
    </row>
    <row r="3267" ht="15.75" customHeight="1">
      <c r="A3267" s="356"/>
      <c r="K3267" s="319" t="str">
        <f t="shared" si="1"/>
        <v/>
      </c>
    </row>
    <row r="3268" ht="15.75" customHeight="1">
      <c r="A3268" s="356"/>
      <c r="K3268" s="319" t="str">
        <f t="shared" si="1"/>
        <v/>
      </c>
    </row>
    <row r="3269" ht="15.75" customHeight="1">
      <c r="A3269" s="356"/>
      <c r="K3269" s="319" t="str">
        <f t="shared" si="1"/>
        <v/>
      </c>
    </row>
    <row r="3270" ht="15.75" customHeight="1">
      <c r="A3270" s="356"/>
      <c r="K3270" s="319" t="str">
        <f t="shared" si="1"/>
        <v/>
      </c>
    </row>
    <row r="3271" ht="15.75" customHeight="1">
      <c r="A3271" s="356"/>
      <c r="K3271" s="319" t="str">
        <f t="shared" si="1"/>
        <v/>
      </c>
    </row>
    <row r="3272" ht="15.75" customHeight="1">
      <c r="A3272" s="356"/>
      <c r="K3272" s="319" t="str">
        <f t="shared" si="1"/>
        <v/>
      </c>
    </row>
    <row r="3273" ht="15.75" customHeight="1">
      <c r="A3273" s="356"/>
      <c r="K3273" s="319" t="str">
        <f t="shared" si="1"/>
        <v/>
      </c>
    </row>
    <row r="3274" ht="15.75" customHeight="1">
      <c r="A3274" s="356"/>
      <c r="K3274" s="319" t="str">
        <f t="shared" si="1"/>
        <v/>
      </c>
    </row>
    <row r="3275" ht="15.75" customHeight="1">
      <c r="A3275" s="356"/>
      <c r="K3275" s="319" t="str">
        <f t="shared" si="1"/>
        <v/>
      </c>
    </row>
    <row r="3276" ht="15.75" customHeight="1">
      <c r="A3276" s="356"/>
      <c r="K3276" s="319" t="str">
        <f t="shared" si="1"/>
        <v/>
      </c>
    </row>
    <row r="3277" ht="15.75" customHeight="1">
      <c r="A3277" s="356"/>
      <c r="K3277" s="319" t="str">
        <f t="shared" si="1"/>
        <v/>
      </c>
    </row>
    <row r="3278" ht="15.75" customHeight="1">
      <c r="A3278" s="356"/>
      <c r="K3278" s="319" t="str">
        <f t="shared" si="1"/>
        <v/>
      </c>
    </row>
    <row r="3279" ht="15.75" customHeight="1">
      <c r="A3279" s="356"/>
      <c r="K3279" s="319" t="str">
        <f t="shared" si="1"/>
        <v/>
      </c>
    </row>
    <row r="3280" ht="15.75" customHeight="1">
      <c r="A3280" s="356"/>
      <c r="K3280" s="319" t="str">
        <f t="shared" si="1"/>
        <v/>
      </c>
    </row>
    <row r="3281" ht="15.75" customHeight="1">
      <c r="A3281" s="356"/>
      <c r="K3281" s="319" t="str">
        <f t="shared" si="1"/>
        <v/>
      </c>
    </row>
    <row r="3282" ht="15.75" customHeight="1">
      <c r="A3282" s="356"/>
      <c r="K3282" s="319" t="str">
        <f t="shared" si="1"/>
        <v/>
      </c>
    </row>
    <row r="3283" ht="15.75" customHeight="1">
      <c r="A3283" s="356"/>
      <c r="K3283" s="319" t="str">
        <f t="shared" si="1"/>
        <v/>
      </c>
    </row>
    <row r="3284" ht="15.75" customHeight="1">
      <c r="A3284" s="356"/>
      <c r="K3284" s="319" t="str">
        <f t="shared" si="1"/>
        <v/>
      </c>
    </row>
    <row r="3285" ht="15.75" customHeight="1">
      <c r="A3285" s="356"/>
      <c r="K3285" s="319" t="str">
        <f t="shared" si="1"/>
        <v/>
      </c>
    </row>
    <row r="3286" ht="15.75" customHeight="1">
      <c r="A3286" s="356"/>
      <c r="K3286" s="319" t="str">
        <f t="shared" si="1"/>
        <v/>
      </c>
    </row>
    <row r="3287" ht="15.75" customHeight="1">
      <c r="A3287" s="356"/>
      <c r="K3287" s="319" t="str">
        <f t="shared" si="1"/>
        <v/>
      </c>
    </row>
    <row r="3288" ht="15.75" customHeight="1">
      <c r="A3288" s="356"/>
      <c r="K3288" s="319" t="str">
        <f t="shared" si="1"/>
        <v/>
      </c>
    </row>
    <row r="3289" ht="15.75" customHeight="1">
      <c r="A3289" s="356"/>
      <c r="K3289" s="319" t="str">
        <f t="shared" si="1"/>
        <v/>
      </c>
    </row>
    <row r="3290" ht="15.75" customHeight="1">
      <c r="A3290" s="356"/>
      <c r="K3290" s="319" t="str">
        <f t="shared" si="1"/>
        <v/>
      </c>
    </row>
    <row r="3291" ht="15.75" customHeight="1">
      <c r="A3291" s="356"/>
      <c r="K3291" s="319" t="str">
        <f t="shared" si="1"/>
        <v/>
      </c>
    </row>
    <row r="3292" ht="15.75" customHeight="1">
      <c r="A3292" s="356"/>
      <c r="K3292" s="319" t="str">
        <f t="shared" si="1"/>
        <v/>
      </c>
    </row>
    <row r="3293" ht="15.75" customHeight="1">
      <c r="A3293" s="356"/>
      <c r="K3293" s="319" t="str">
        <f t="shared" si="1"/>
        <v/>
      </c>
    </row>
    <row r="3294" ht="15.75" customHeight="1">
      <c r="A3294" s="356"/>
      <c r="K3294" s="319" t="str">
        <f t="shared" si="1"/>
        <v/>
      </c>
    </row>
    <row r="3295" ht="15.75" customHeight="1">
      <c r="A3295" s="356"/>
      <c r="K3295" s="319" t="str">
        <f t="shared" si="1"/>
        <v/>
      </c>
    </row>
    <row r="3296" ht="15.75" customHeight="1">
      <c r="A3296" s="356"/>
      <c r="K3296" s="319" t="str">
        <f t="shared" si="1"/>
        <v/>
      </c>
    </row>
    <row r="3297" ht="15.75" customHeight="1">
      <c r="A3297" s="356"/>
      <c r="K3297" s="319" t="str">
        <f t="shared" si="1"/>
        <v/>
      </c>
    </row>
    <row r="3298" ht="15.75" customHeight="1">
      <c r="A3298" s="356"/>
      <c r="K3298" s="319" t="str">
        <f t="shared" si="1"/>
        <v/>
      </c>
    </row>
    <row r="3299" ht="15.75" customHeight="1">
      <c r="A3299" s="356"/>
      <c r="K3299" s="319" t="str">
        <f t="shared" si="1"/>
        <v/>
      </c>
    </row>
    <row r="3300" ht="15.75" customHeight="1">
      <c r="A3300" s="356"/>
      <c r="K3300" s="319" t="str">
        <f t="shared" si="1"/>
        <v/>
      </c>
    </row>
    <row r="3301" ht="15.75" customHeight="1">
      <c r="A3301" s="356"/>
      <c r="K3301" s="319" t="str">
        <f t="shared" si="1"/>
        <v/>
      </c>
    </row>
    <row r="3302" ht="15.75" customHeight="1">
      <c r="A3302" s="356"/>
      <c r="K3302" s="319" t="str">
        <f t="shared" si="1"/>
        <v/>
      </c>
    </row>
    <row r="3303" ht="15.75" customHeight="1">
      <c r="A3303" s="356"/>
      <c r="K3303" s="319" t="str">
        <f t="shared" si="1"/>
        <v/>
      </c>
    </row>
    <row r="3304" ht="15.75" customHeight="1">
      <c r="A3304" s="356"/>
      <c r="K3304" s="319" t="str">
        <f t="shared" si="1"/>
        <v/>
      </c>
    </row>
    <row r="3305" ht="15.75" customHeight="1">
      <c r="A3305" s="356"/>
      <c r="K3305" s="319" t="str">
        <f t="shared" si="1"/>
        <v/>
      </c>
    </row>
    <row r="3306" ht="15.75" customHeight="1">
      <c r="A3306" s="356"/>
      <c r="K3306" s="319" t="str">
        <f t="shared" si="1"/>
        <v/>
      </c>
    </row>
    <row r="3307" ht="15.75" customHeight="1">
      <c r="A3307" s="356"/>
      <c r="K3307" s="319" t="str">
        <f t="shared" si="1"/>
        <v/>
      </c>
    </row>
    <row r="3308" ht="15.75" customHeight="1">
      <c r="A3308" s="356"/>
      <c r="K3308" s="319" t="str">
        <f t="shared" si="1"/>
        <v/>
      </c>
    </row>
    <row r="3309" ht="15.75" customHeight="1">
      <c r="A3309" s="356"/>
      <c r="K3309" s="319" t="str">
        <f t="shared" si="1"/>
        <v/>
      </c>
    </row>
    <row r="3310" ht="15.75" customHeight="1">
      <c r="A3310" s="356"/>
      <c r="K3310" s="319" t="str">
        <f t="shared" si="1"/>
        <v/>
      </c>
    </row>
    <row r="3311" ht="15.75" customHeight="1">
      <c r="A3311" s="356"/>
      <c r="K3311" s="319" t="str">
        <f t="shared" si="1"/>
        <v/>
      </c>
    </row>
    <row r="3312" ht="15.75" customHeight="1">
      <c r="A3312" s="356"/>
      <c r="K3312" s="319" t="str">
        <f t="shared" si="1"/>
        <v/>
      </c>
    </row>
    <row r="3313" ht="15.75" customHeight="1">
      <c r="A3313" s="356"/>
      <c r="K3313" s="319" t="str">
        <f t="shared" si="1"/>
        <v/>
      </c>
    </row>
    <row r="3314" ht="15.75" customHeight="1">
      <c r="A3314" s="356"/>
      <c r="K3314" s="319" t="str">
        <f t="shared" si="1"/>
        <v/>
      </c>
    </row>
    <row r="3315" ht="15.75" customHeight="1">
      <c r="A3315" s="356"/>
      <c r="K3315" s="319" t="str">
        <f t="shared" si="1"/>
        <v/>
      </c>
    </row>
    <row r="3316" ht="15.75" customHeight="1">
      <c r="A3316" s="356"/>
      <c r="K3316" s="319" t="str">
        <f t="shared" si="1"/>
        <v/>
      </c>
    </row>
    <row r="3317" ht="15.75" customHeight="1">
      <c r="A3317" s="356"/>
      <c r="K3317" s="319" t="str">
        <f t="shared" si="1"/>
        <v/>
      </c>
    </row>
    <row r="3318" ht="15.75" customHeight="1">
      <c r="A3318" s="356"/>
      <c r="K3318" s="319" t="str">
        <f t="shared" si="1"/>
        <v/>
      </c>
    </row>
    <row r="3319" ht="15.75" customHeight="1">
      <c r="A3319" s="356"/>
      <c r="K3319" s="319" t="str">
        <f t="shared" si="1"/>
        <v/>
      </c>
    </row>
    <row r="3320" ht="15.75" customHeight="1">
      <c r="A3320" s="356"/>
      <c r="K3320" s="319" t="str">
        <f t="shared" si="1"/>
        <v/>
      </c>
    </row>
    <row r="3321" ht="15.75" customHeight="1">
      <c r="A3321" s="356"/>
      <c r="K3321" s="319" t="str">
        <f t="shared" si="1"/>
        <v/>
      </c>
    </row>
    <row r="3322" ht="15.75" customHeight="1">
      <c r="A3322" s="356"/>
      <c r="K3322" s="319" t="str">
        <f t="shared" si="1"/>
        <v/>
      </c>
    </row>
    <row r="3323" ht="15.75" customHeight="1">
      <c r="A3323" s="356"/>
      <c r="K3323" s="319" t="str">
        <f t="shared" si="1"/>
        <v/>
      </c>
    </row>
    <row r="3324" ht="15.75" customHeight="1">
      <c r="A3324" s="356"/>
      <c r="K3324" s="319" t="str">
        <f t="shared" si="1"/>
        <v/>
      </c>
    </row>
    <row r="3325" ht="15.75" customHeight="1">
      <c r="A3325" s="356"/>
      <c r="K3325" s="319" t="str">
        <f t="shared" si="1"/>
        <v/>
      </c>
    </row>
    <row r="3326" ht="15.75" customHeight="1">
      <c r="A3326" s="356"/>
      <c r="K3326" s="319" t="str">
        <f t="shared" si="1"/>
        <v/>
      </c>
    </row>
    <row r="3327" ht="15.75" customHeight="1">
      <c r="A3327" s="356"/>
      <c r="K3327" s="319" t="str">
        <f t="shared" si="1"/>
        <v/>
      </c>
    </row>
    <row r="3328" ht="15.75" customHeight="1">
      <c r="A3328" s="356"/>
      <c r="K3328" s="319" t="str">
        <f t="shared" si="1"/>
        <v/>
      </c>
    </row>
    <row r="3329" ht="15.75" customHeight="1">
      <c r="A3329" s="356"/>
      <c r="K3329" s="319" t="str">
        <f t="shared" si="1"/>
        <v/>
      </c>
    </row>
    <row r="3330" ht="15.75" customHeight="1">
      <c r="A3330" s="356"/>
      <c r="K3330" s="319" t="str">
        <f t="shared" si="1"/>
        <v/>
      </c>
    </row>
    <row r="3331" ht="15.75" customHeight="1">
      <c r="A3331" s="356"/>
      <c r="K3331" s="319" t="str">
        <f t="shared" si="1"/>
        <v/>
      </c>
    </row>
    <row r="3332" ht="15.75" customHeight="1">
      <c r="A3332" s="356"/>
      <c r="K3332" s="319" t="str">
        <f t="shared" si="1"/>
        <v/>
      </c>
    </row>
    <row r="3333" ht="15.75" customHeight="1">
      <c r="A3333" s="356"/>
      <c r="K3333" s="319" t="str">
        <f t="shared" si="1"/>
        <v/>
      </c>
    </row>
    <row r="3334" ht="15.75" customHeight="1">
      <c r="A3334" s="356"/>
      <c r="K3334" s="319" t="str">
        <f t="shared" si="1"/>
        <v/>
      </c>
    </row>
    <row r="3335" ht="15.75" customHeight="1">
      <c r="A3335" s="356"/>
      <c r="K3335" s="319" t="str">
        <f t="shared" si="1"/>
        <v/>
      </c>
    </row>
    <row r="3336" ht="15.75" customHeight="1">
      <c r="A3336" s="356"/>
      <c r="K3336" s="319" t="str">
        <f t="shared" si="1"/>
        <v/>
      </c>
    </row>
    <row r="3337" ht="15.75" customHeight="1">
      <c r="A3337" s="356"/>
      <c r="K3337" s="319" t="str">
        <f t="shared" si="1"/>
        <v/>
      </c>
    </row>
    <row r="3338" ht="15.75" customHeight="1">
      <c r="A3338" s="356"/>
      <c r="K3338" s="319" t="str">
        <f t="shared" si="1"/>
        <v/>
      </c>
    </row>
    <row r="3339" ht="15.75" customHeight="1">
      <c r="A3339" s="356"/>
      <c r="K3339" s="319" t="str">
        <f t="shared" si="1"/>
        <v/>
      </c>
    </row>
    <row r="3340" ht="15.75" customHeight="1">
      <c r="A3340" s="356"/>
      <c r="K3340" s="319" t="str">
        <f t="shared" si="1"/>
        <v/>
      </c>
    </row>
    <row r="3341" ht="15.75" customHeight="1">
      <c r="A3341" s="356"/>
      <c r="K3341" s="319" t="str">
        <f t="shared" si="1"/>
        <v/>
      </c>
    </row>
    <row r="3342" ht="15.75" customHeight="1">
      <c r="A3342" s="356"/>
      <c r="K3342" s="319" t="str">
        <f t="shared" si="1"/>
        <v/>
      </c>
    </row>
    <row r="3343" ht="15.75" customHeight="1">
      <c r="A3343" s="356"/>
      <c r="K3343" s="319" t="str">
        <f t="shared" si="1"/>
        <v/>
      </c>
    </row>
    <row r="3344" ht="15.75" customHeight="1">
      <c r="A3344" s="356"/>
      <c r="K3344" s="319" t="str">
        <f t="shared" si="1"/>
        <v/>
      </c>
    </row>
    <row r="3345" ht="15.75" customHeight="1">
      <c r="A3345" s="356"/>
      <c r="K3345" s="319" t="str">
        <f t="shared" si="1"/>
        <v/>
      </c>
    </row>
    <row r="3346" ht="15.75" customHeight="1">
      <c r="A3346" s="356"/>
      <c r="K3346" s="319" t="str">
        <f t="shared" si="1"/>
        <v/>
      </c>
    </row>
    <row r="3347" ht="15.75" customHeight="1">
      <c r="A3347" s="356"/>
      <c r="K3347" s="319" t="str">
        <f t="shared" si="1"/>
        <v/>
      </c>
    </row>
    <row r="3348" ht="15.75" customHeight="1">
      <c r="A3348" s="356"/>
      <c r="K3348" s="319" t="str">
        <f t="shared" si="1"/>
        <v/>
      </c>
    </row>
    <row r="3349" ht="15.75" customHeight="1">
      <c r="A3349" s="356"/>
      <c r="K3349" s="319" t="str">
        <f t="shared" si="1"/>
        <v/>
      </c>
    </row>
    <row r="3350" ht="15.75" customHeight="1">
      <c r="A3350" s="356"/>
      <c r="K3350" s="319" t="str">
        <f t="shared" si="1"/>
        <v/>
      </c>
    </row>
    <row r="3351" ht="15.75" customHeight="1">
      <c r="A3351" s="356"/>
      <c r="K3351" s="319" t="str">
        <f t="shared" si="1"/>
        <v/>
      </c>
    </row>
    <row r="3352" ht="15.75" customHeight="1">
      <c r="A3352" s="356"/>
      <c r="K3352" s="319" t="str">
        <f t="shared" si="1"/>
        <v/>
      </c>
    </row>
    <row r="3353" ht="15.75" customHeight="1">
      <c r="A3353" s="356"/>
      <c r="K3353" s="319" t="str">
        <f t="shared" si="1"/>
        <v/>
      </c>
    </row>
    <row r="3354" ht="15.75" customHeight="1">
      <c r="A3354" s="356"/>
      <c r="K3354" s="319" t="str">
        <f t="shared" si="1"/>
        <v/>
      </c>
    </row>
    <row r="3355" ht="15.75" customHeight="1">
      <c r="A3355" s="356"/>
      <c r="K3355" s="319" t="str">
        <f t="shared" si="1"/>
        <v/>
      </c>
    </row>
    <row r="3356" ht="15.75" customHeight="1">
      <c r="A3356" s="356"/>
      <c r="K3356" s="319" t="str">
        <f t="shared" si="1"/>
        <v/>
      </c>
    </row>
    <row r="3357" ht="15.75" customHeight="1">
      <c r="A3357" s="356"/>
      <c r="K3357" s="319" t="str">
        <f t="shared" si="1"/>
        <v/>
      </c>
    </row>
    <row r="3358" ht="15.75" customHeight="1">
      <c r="A3358" s="356"/>
      <c r="K3358" s="319" t="str">
        <f t="shared" si="1"/>
        <v/>
      </c>
    </row>
    <row r="3359" ht="15.75" customHeight="1">
      <c r="A3359" s="356"/>
      <c r="K3359" s="319" t="str">
        <f t="shared" si="1"/>
        <v/>
      </c>
    </row>
    <row r="3360" ht="15.75" customHeight="1">
      <c r="A3360" s="356"/>
      <c r="K3360" s="319" t="str">
        <f t="shared" si="1"/>
        <v/>
      </c>
    </row>
    <row r="3361" ht="15.75" customHeight="1">
      <c r="A3361" s="356"/>
      <c r="K3361" s="319" t="str">
        <f t="shared" si="1"/>
        <v/>
      </c>
    </row>
    <row r="3362" ht="15.75" customHeight="1">
      <c r="A3362" s="356"/>
      <c r="K3362" s="319" t="str">
        <f t="shared" si="1"/>
        <v/>
      </c>
    </row>
    <row r="3363" ht="15.75" customHeight="1">
      <c r="A3363" s="356"/>
      <c r="K3363" s="319" t="str">
        <f t="shared" si="1"/>
        <v/>
      </c>
    </row>
    <row r="3364" ht="15.75" customHeight="1">
      <c r="A3364" s="356"/>
      <c r="K3364" s="319" t="str">
        <f t="shared" si="1"/>
        <v/>
      </c>
    </row>
    <row r="3365" ht="15.75" customHeight="1">
      <c r="A3365" s="356"/>
      <c r="K3365" s="319" t="str">
        <f t="shared" si="1"/>
        <v/>
      </c>
    </row>
    <row r="3366" ht="15.75" customHeight="1">
      <c r="A3366" s="356"/>
      <c r="K3366" s="319" t="str">
        <f t="shared" si="1"/>
        <v/>
      </c>
    </row>
    <row r="3367" ht="15.75" customHeight="1">
      <c r="A3367" s="356"/>
      <c r="K3367" s="319" t="str">
        <f t="shared" si="1"/>
        <v/>
      </c>
    </row>
    <row r="3368" ht="15.75" customHeight="1">
      <c r="A3368" s="356"/>
      <c r="K3368" s="319" t="str">
        <f t="shared" si="1"/>
        <v/>
      </c>
    </row>
    <row r="3369" ht="15.75" customHeight="1">
      <c r="A3369" s="356"/>
      <c r="K3369" s="319" t="str">
        <f t="shared" si="1"/>
        <v/>
      </c>
    </row>
    <row r="3370" ht="15.75" customHeight="1">
      <c r="A3370" s="356"/>
      <c r="K3370" s="319" t="str">
        <f t="shared" si="1"/>
        <v/>
      </c>
    </row>
    <row r="3371" ht="15.75" customHeight="1">
      <c r="A3371" s="356"/>
      <c r="K3371" s="319" t="str">
        <f t="shared" si="1"/>
        <v/>
      </c>
    </row>
    <row r="3372" ht="15.75" customHeight="1">
      <c r="A3372" s="356"/>
      <c r="K3372" s="319" t="str">
        <f t="shared" si="1"/>
        <v/>
      </c>
    </row>
    <row r="3373" ht="15.75" customHeight="1">
      <c r="A3373" s="356"/>
      <c r="K3373" s="319" t="str">
        <f t="shared" si="1"/>
        <v/>
      </c>
    </row>
    <row r="3374" ht="15.75" customHeight="1">
      <c r="A3374" s="356"/>
      <c r="K3374" s="319" t="str">
        <f t="shared" si="1"/>
        <v/>
      </c>
    </row>
    <row r="3375" ht="15.75" customHeight="1">
      <c r="A3375" s="356"/>
      <c r="K3375" s="319" t="str">
        <f t="shared" si="1"/>
        <v/>
      </c>
    </row>
    <row r="3376" ht="15.75" customHeight="1">
      <c r="A3376" s="356"/>
      <c r="K3376" s="319" t="str">
        <f t="shared" si="1"/>
        <v/>
      </c>
    </row>
    <row r="3377" ht="15.75" customHeight="1">
      <c r="A3377" s="356"/>
      <c r="K3377" s="319" t="str">
        <f t="shared" si="1"/>
        <v/>
      </c>
    </row>
    <row r="3378" ht="15.75" customHeight="1">
      <c r="A3378" s="356"/>
      <c r="K3378" s="319" t="str">
        <f t="shared" si="1"/>
        <v/>
      </c>
    </row>
    <row r="3379" ht="15.75" customHeight="1">
      <c r="A3379" s="356"/>
      <c r="K3379" s="319" t="str">
        <f t="shared" si="1"/>
        <v/>
      </c>
    </row>
    <row r="3380" ht="15.75" customHeight="1">
      <c r="A3380" s="356"/>
      <c r="K3380" s="319" t="str">
        <f t="shared" si="1"/>
        <v/>
      </c>
    </row>
    <row r="3381" ht="15.75" customHeight="1">
      <c r="A3381" s="356"/>
      <c r="K3381" s="319" t="str">
        <f t="shared" si="1"/>
        <v/>
      </c>
    </row>
    <row r="3382" ht="15.75" customHeight="1">
      <c r="A3382" s="356"/>
      <c r="K3382" s="319" t="str">
        <f t="shared" si="1"/>
        <v/>
      </c>
    </row>
    <row r="3383" ht="15.75" customHeight="1">
      <c r="A3383" s="356"/>
      <c r="K3383" s="319" t="str">
        <f t="shared" si="1"/>
        <v/>
      </c>
    </row>
    <row r="3384" ht="15.75" customHeight="1">
      <c r="A3384" s="356"/>
      <c r="K3384" s="319" t="str">
        <f t="shared" si="1"/>
        <v/>
      </c>
    </row>
    <row r="3385" ht="15.75" customHeight="1">
      <c r="A3385" s="356"/>
      <c r="K3385" s="319" t="str">
        <f t="shared" si="1"/>
        <v/>
      </c>
    </row>
    <row r="3386" ht="15.75" customHeight="1">
      <c r="A3386" s="356"/>
      <c r="K3386" s="319" t="str">
        <f t="shared" si="1"/>
        <v/>
      </c>
    </row>
    <row r="3387" ht="15.75" customHeight="1">
      <c r="A3387" s="356"/>
      <c r="K3387" s="319" t="str">
        <f t="shared" si="1"/>
        <v/>
      </c>
    </row>
    <row r="3388" ht="15.75" customHeight="1">
      <c r="A3388" s="356"/>
      <c r="K3388" s="319" t="str">
        <f t="shared" si="1"/>
        <v/>
      </c>
    </row>
    <row r="3389" ht="15.75" customHeight="1">
      <c r="A3389" s="356"/>
      <c r="K3389" s="319" t="str">
        <f t="shared" si="1"/>
        <v/>
      </c>
    </row>
    <row r="3390" ht="15.75" customHeight="1">
      <c r="A3390" s="356"/>
      <c r="K3390" s="319" t="str">
        <f t="shared" si="1"/>
        <v/>
      </c>
    </row>
    <row r="3391" ht="15.75" customHeight="1">
      <c r="A3391" s="356"/>
      <c r="K3391" s="319" t="str">
        <f t="shared" si="1"/>
        <v/>
      </c>
    </row>
    <row r="3392" ht="15.75" customHeight="1">
      <c r="A3392" s="356"/>
      <c r="K3392" s="319" t="str">
        <f t="shared" si="1"/>
        <v/>
      </c>
    </row>
    <row r="3393" ht="15.75" customHeight="1">
      <c r="A3393" s="356"/>
      <c r="K3393" s="319" t="str">
        <f t="shared" si="1"/>
        <v/>
      </c>
    </row>
    <row r="3394" ht="15.75" customHeight="1">
      <c r="A3394" s="356"/>
      <c r="K3394" s="319" t="str">
        <f t="shared" si="1"/>
        <v/>
      </c>
    </row>
    <row r="3395" ht="15.75" customHeight="1">
      <c r="A3395" s="356"/>
      <c r="K3395" s="319" t="str">
        <f t="shared" si="1"/>
        <v/>
      </c>
    </row>
    <row r="3396" ht="15.75" customHeight="1">
      <c r="A3396" s="356"/>
      <c r="K3396" s="319" t="str">
        <f t="shared" si="1"/>
        <v/>
      </c>
    </row>
    <row r="3397" ht="15.75" customHeight="1">
      <c r="A3397" s="356"/>
      <c r="K3397" s="319" t="str">
        <f t="shared" si="1"/>
        <v/>
      </c>
    </row>
    <row r="3398" ht="15.75" customHeight="1">
      <c r="A3398" s="356"/>
      <c r="K3398" s="319" t="str">
        <f t="shared" si="1"/>
        <v/>
      </c>
    </row>
    <row r="3399" ht="15.75" customHeight="1">
      <c r="A3399" s="356"/>
      <c r="K3399" s="319" t="str">
        <f t="shared" si="1"/>
        <v/>
      </c>
    </row>
    <row r="3400" ht="15.75" customHeight="1">
      <c r="A3400" s="356"/>
      <c r="K3400" s="319" t="str">
        <f t="shared" si="1"/>
        <v/>
      </c>
    </row>
    <row r="3401" ht="15.75" customHeight="1">
      <c r="A3401" s="356"/>
      <c r="K3401" s="319" t="str">
        <f t="shared" si="1"/>
        <v/>
      </c>
    </row>
    <row r="3402" ht="15.75" customHeight="1">
      <c r="A3402" s="356"/>
      <c r="K3402" s="319" t="str">
        <f t="shared" si="1"/>
        <v/>
      </c>
    </row>
    <row r="3403" ht="15.75" customHeight="1">
      <c r="A3403" s="356"/>
      <c r="K3403" s="319" t="str">
        <f t="shared" si="1"/>
        <v/>
      </c>
    </row>
    <row r="3404" ht="15.75" customHeight="1">
      <c r="A3404" s="356"/>
      <c r="K3404" s="319" t="str">
        <f t="shared" si="1"/>
        <v/>
      </c>
    </row>
    <row r="3405" ht="15.75" customHeight="1">
      <c r="A3405" s="356"/>
      <c r="K3405" s="319" t="str">
        <f t="shared" si="1"/>
        <v/>
      </c>
    </row>
    <row r="3406" ht="15.75" customHeight="1">
      <c r="A3406" s="356"/>
      <c r="K3406" s="319" t="str">
        <f t="shared" si="1"/>
        <v/>
      </c>
    </row>
    <row r="3407" ht="15.75" customHeight="1">
      <c r="A3407" s="356"/>
      <c r="K3407" s="319" t="str">
        <f t="shared" si="1"/>
        <v/>
      </c>
    </row>
    <row r="3408" ht="15.75" customHeight="1">
      <c r="A3408" s="356"/>
      <c r="K3408" s="319" t="str">
        <f t="shared" si="1"/>
        <v/>
      </c>
    </row>
    <row r="3409" ht="15.75" customHeight="1">
      <c r="A3409" s="356"/>
      <c r="K3409" s="319" t="str">
        <f t="shared" si="1"/>
        <v/>
      </c>
    </row>
    <row r="3410" ht="15.75" customHeight="1">
      <c r="A3410" s="356"/>
      <c r="K3410" s="319" t="str">
        <f t="shared" si="1"/>
        <v/>
      </c>
    </row>
    <row r="3411" ht="15.75" customHeight="1">
      <c r="A3411" s="356"/>
      <c r="K3411" s="319" t="str">
        <f t="shared" si="1"/>
        <v/>
      </c>
    </row>
    <row r="3412" ht="15.75" customHeight="1">
      <c r="A3412" s="356"/>
      <c r="K3412" s="319" t="str">
        <f t="shared" si="1"/>
        <v/>
      </c>
    </row>
    <row r="3413" ht="15.75" customHeight="1">
      <c r="A3413" s="356"/>
      <c r="K3413" s="319" t="str">
        <f t="shared" si="1"/>
        <v/>
      </c>
    </row>
    <row r="3414" ht="15.75" customHeight="1">
      <c r="A3414" s="356"/>
      <c r="K3414" s="319" t="str">
        <f t="shared" si="1"/>
        <v/>
      </c>
    </row>
    <row r="3415" ht="15.75" customHeight="1">
      <c r="A3415" s="356"/>
      <c r="K3415" s="319" t="str">
        <f t="shared" si="1"/>
        <v/>
      </c>
    </row>
    <row r="3416" ht="15.75" customHeight="1">
      <c r="A3416" s="356"/>
      <c r="K3416" s="319" t="str">
        <f t="shared" si="1"/>
        <v/>
      </c>
    </row>
    <row r="3417" ht="15.75" customHeight="1">
      <c r="A3417" s="356"/>
      <c r="K3417" s="319" t="str">
        <f t="shared" si="1"/>
        <v/>
      </c>
    </row>
    <row r="3418" ht="15.75" customHeight="1">
      <c r="A3418" s="356"/>
      <c r="K3418" s="319" t="str">
        <f t="shared" si="1"/>
        <v/>
      </c>
    </row>
    <row r="3419" ht="15.75" customHeight="1">
      <c r="A3419" s="356"/>
      <c r="K3419" s="319" t="str">
        <f t="shared" si="1"/>
        <v/>
      </c>
    </row>
    <row r="3420" ht="15.75" customHeight="1">
      <c r="A3420" s="356"/>
      <c r="K3420" s="319" t="str">
        <f t="shared" si="1"/>
        <v/>
      </c>
    </row>
    <row r="3421" ht="15.75" customHeight="1">
      <c r="A3421" s="356"/>
      <c r="K3421" s="319" t="str">
        <f t="shared" si="1"/>
        <v/>
      </c>
    </row>
    <row r="3422" ht="15.75" customHeight="1">
      <c r="A3422" s="356"/>
      <c r="K3422" s="319" t="str">
        <f t="shared" si="1"/>
        <v/>
      </c>
    </row>
    <row r="3423" ht="15.75" customHeight="1">
      <c r="A3423" s="356"/>
      <c r="K3423" s="319" t="str">
        <f t="shared" si="1"/>
        <v/>
      </c>
    </row>
    <row r="3424" ht="15.75" customHeight="1">
      <c r="A3424" s="356"/>
      <c r="K3424" s="319" t="str">
        <f t="shared" si="1"/>
        <v/>
      </c>
    </row>
    <row r="3425" ht="15.75" customHeight="1">
      <c r="A3425" s="356"/>
      <c r="K3425" s="319" t="str">
        <f t="shared" si="1"/>
        <v/>
      </c>
    </row>
    <row r="3426" ht="15.75" customHeight="1">
      <c r="A3426" s="356"/>
      <c r="K3426" s="319" t="str">
        <f t="shared" si="1"/>
        <v/>
      </c>
    </row>
    <row r="3427" ht="15.75" customHeight="1">
      <c r="A3427" s="356"/>
      <c r="K3427" s="319" t="str">
        <f t="shared" si="1"/>
        <v/>
      </c>
    </row>
    <row r="3428" ht="15.75" customHeight="1">
      <c r="A3428" s="356"/>
      <c r="K3428" s="319" t="str">
        <f t="shared" si="1"/>
        <v/>
      </c>
    </row>
    <row r="3429" ht="15.75" customHeight="1">
      <c r="A3429" s="356"/>
      <c r="K3429" s="319" t="str">
        <f t="shared" si="1"/>
        <v/>
      </c>
    </row>
    <row r="3430" ht="15.75" customHeight="1">
      <c r="A3430" s="356"/>
      <c r="K3430" s="319" t="str">
        <f t="shared" si="1"/>
        <v/>
      </c>
    </row>
    <row r="3431" ht="15.75" customHeight="1">
      <c r="A3431" s="356"/>
      <c r="K3431" s="319" t="str">
        <f t="shared" si="1"/>
        <v/>
      </c>
    </row>
    <row r="3432" ht="15.75" customHeight="1">
      <c r="A3432" s="356"/>
      <c r="K3432" s="319" t="str">
        <f t="shared" si="1"/>
        <v/>
      </c>
    </row>
    <row r="3433" ht="15.75" customHeight="1">
      <c r="A3433" s="356"/>
      <c r="K3433" s="319" t="str">
        <f t="shared" si="1"/>
        <v/>
      </c>
    </row>
    <row r="3434" ht="15.75" customHeight="1">
      <c r="A3434" s="356"/>
      <c r="K3434" s="319" t="str">
        <f t="shared" si="1"/>
        <v/>
      </c>
    </row>
    <row r="3435" ht="15.75" customHeight="1">
      <c r="A3435" s="356"/>
      <c r="K3435" s="319" t="str">
        <f t="shared" si="1"/>
        <v/>
      </c>
    </row>
    <row r="3436" ht="15.75" customHeight="1">
      <c r="A3436" s="356"/>
      <c r="K3436" s="319" t="str">
        <f t="shared" si="1"/>
        <v/>
      </c>
    </row>
    <row r="3437" ht="15.75" customHeight="1">
      <c r="A3437" s="356"/>
      <c r="K3437" s="319" t="str">
        <f t="shared" si="1"/>
        <v/>
      </c>
    </row>
    <row r="3438" ht="15.75" customHeight="1">
      <c r="A3438" s="356"/>
      <c r="K3438" s="319" t="str">
        <f t="shared" si="1"/>
        <v/>
      </c>
    </row>
    <row r="3439" ht="15.75" customHeight="1">
      <c r="A3439" s="356"/>
      <c r="K3439" s="319" t="str">
        <f t="shared" si="1"/>
        <v/>
      </c>
    </row>
    <row r="3440" ht="15.75" customHeight="1">
      <c r="A3440" s="356"/>
      <c r="K3440" s="319" t="str">
        <f t="shared" si="1"/>
        <v/>
      </c>
    </row>
    <row r="3441" ht="15.75" customHeight="1">
      <c r="A3441" s="356"/>
      <c r="K3441" s="319" t="str">
        <f t="shared" si="1"/>
        <v/>
      </c>
    </row>
    <row r="3442" ht="15.75" customHeight="1">
      <c r="A3442" s="356"/>
      <c r="K3442" s="319" t="str">
        <f t="shared" si="1"/>
        <v/>
      </c>
    </row>
    <row r="3443" ht="15.75" customHeight="1">
      <c r="A3443" s="356"/>
      <c r="K3443" s="319" t="str">
        <f t="shared" si="1"/>
        <v/>
      </c>
    </row>
    <row r="3444" ht="15.75" customHeight="1">
      <c r="A3444" s="356"/>
      <c r="K3444" s="319" t="str">
        <f t="shared" si="1"/>
        <v/>
      </c>
    </row>
    <row r="3445" ht="15.75" customHeight="1">
      <c r="A3445" s="356"/>
      <c r="K3445" s="319" t="str">
        <f t="shared" si="1"/>
        <v/>
      </c>
    </row>
    <row r="3446" ht="15.75" customHeight="1">
      <c r="A3446" s="356"/>
      <c r="K3446" s="319" t="str">
        <f t="shared" si="1"/>
        <v/>
      </c>
    </row>
    <row r="3447" ht="15.75" customHeight="1">
      <c r="A3447" s="356"/>
      <c r="K3447" s="319" t="str">
        <f t="shared" si="1"/>
        <v/>
      </c>
    </row>
    <row r="3448" ht="15.75" customHeight="1">
      <c r="A3448" s="356"/>
      <c r="K3448" s="319" t="str">
        <f t="shared" si="1"/>
        <v/>
      </c>
    </row>
    <row r="3449" ht="15.75" customHeight="1">
      <c r="A3449" s="356"/>
      <c r="K3449" s="319" t="str">
        <f t="shared" si="1"/>
        <v/>
      </c>
    </row>
    <row r="3450" ht="15.75" customHeight="1">
      <c r="A3450" s="356"/>
      <c r="K3450" s="319" t="str">
        <f t="shared" si="1"/>
        <v/>
      </c>
    </row>
    <row r="3451" ht="15.75" customHeight="1">
      <c r="A3451" s="356"/>
      <c r="K3451" s="319" t="str">
        <f t="shared" si="1"/>
        <v/>
      </c>
    </row>
    <row r="3452" ht="15.75" customHeight="1">
      <c r="A3452" s="356"/>
      <c r="K3452" s="319" t="str">
        <f t="shared" si="1"/>
        <v/>
      </c>
    </row>
    <row r="3453" ht="15.75" customHeight="1">
      <c r="A3453" s="356"/>
      <c r="K3453" s="319" t="str">
        <f t="shared" si="1"/>
        <v/>
      </c>
    </row>
    <row r="3454" ht="15.75" customHeight="1">
      <c r="A3454" s="356"/>
      <c r="K3454" s="319" t="str">
        <f t="shared" si="1"/>
        <v/>
      </c>
    </row>
    <row r="3455" ht="15.75" customHeight="1">
      <c r="A3455" s="356"/>
      <c r="K3455" s="319" t="str">
        <f t="shared" si="1"/>
        <v/>
      </c>
    </row>
    <row r="3456" ht="15.75" customHeight="1">
      <c r="A3456" s="356"/>
      <c r="K3456" s="319" t="str">
        <f t="shared" si="1"/>
        <v/>
      </c>
    </row>
    <row r="3457" ht="15.75" customHeight="1">
      <c r="A3457" s="356"/>
      <c r="K3457" s="319" t="str">
        <f t="shared" si="1"/>
        <v/>
      </c>
    </row>
    <row r="3458" ht="15.75" customHeight="1">
      <c r="A3458" s="356"/>
      <c r="K3458" s="319" t="str">
        <f t="shared" si="1"/>
        <v/>
      </c>
    </row>
    <row r="3459" ht="15.75" customHeight="1">
      <c r="A3459" s="356"/>
      <c r="K3459" s="319" t="str">
        <f t="shared" si="1"/>
        <v/>
      </c>
    </row>
    <row r="3460" ht="15.75" customHeight="1">
      <c r="A3460" s="356"/>
      <c r="K3460" s="319" t="str">
        <f t="shared" si="1"/>
        <v/>
      </c>
    </row>
    <row r="3461" ht="15.75" customHeight="1">
      <c r="A3461" s="356"/>
      <c r="K3461" s="319" t="str">
        <f t="shared" si="1"/>
        <v/>
      </c>
    </row>
    <row r="3462" ht="15.75" customHeight="1">
      <c r="A3462" s="356"/>
      <c r="K3462" s="319" t="str">
        <f t="shared" si="1"/>
        <v/>
      </c>
    </row>
    <row r="3463" ht="15.75" customHeight="1">
      <c r="A3463" s="356"/>
      <c r="K3463" s="319" t="str">
        <f t="shared" si="1"/>
        <v/>
      </c>
    </row>
    <row r="3464" ht="15.75" customHeight="1">
      <c r="A3464" s="356"/>
      <c r="K3464" s="319" t="str">
        <f t="shared" si="1"/>
        <v/>
      </c>
    </row>
    <row r="3465" ht="15.75" customHeight="1">
      <c r="A3465" s="356"/>
      <c r="K3465" s="319" t="str">
        <f t="shared" si="1"/>
        <v/>
      </c>
    </row>
    <row r="3466" ht="15.75" customHeight="1">
      <c r="A3466" s="356"/>
      <c r="K3466" s="319" t="str">
        <f t="shared" si="1"/>
        <v/>
      </c>
    </row>
    <row r="3467" ht="15.75" customHeight="1">
      <c r="A3467" s="356"/>
      <c r="K3467" s="319" t="str">
        <f t="shared" si="1"/>
        <v/>
      </c>
    </row>
    <row r="3468" ht="15.75" customHeight="1">
      <c r="A3468" s="356"/>
      <c r="K3468" s="319" t="str">
        <f t="shared" si="1"/>
        <v/>
      </c>
    </row>
    <row r="3469" ht="15.75" customHeight="1">
      <c r="A3469" s="356"/>
      <c r="K3469" s="319" t="str">
        <f t="shared" si="1"/>
        <v/>
      </c>
    </row>
    <row r="3470" ht="15.75" customHeight="1">
      <c r="A3470" s="356"/>
      <c r="K3470" s="319" t="str">
        <f t="shared" si="1"/>
        <v/>
      </c>
    </row>
    <row r="3471" ht="15.75" customHeight="1">
      <c r="A3471" s="356"/>
      <c r="K3471" s="319" t="str">
        <f t="shared" si="1"/>
        <v/>
      </c>
    </row>
    <row r="3472" ht="15.75" customHeight="1">
      <c r="A3472" s="356"/>
      <c r="K3472" s="319" t="str">
        <f t="shared" si="1"/>
        <v/>
      </c>
    </row>
    <row r="3473" ht="15.75" customHeight="1">
      <c r="A3473" s="356"/>
      <c r="K3473" s="319" t="str">
        <f t="shared" si="1"/>
        <v/>
      </c>
    </row>
    <row r="3474" ht="15.75" customHeight="1">
      <c r="A3474" s="356"/>
      <c r="K3474" s="319" t="str">
        <f t="shared" si="1"/>
        <v/>
      </c>
    </row>
    <row r="3475" ht="15.75" customHeight="1">
      <c r="A3475" s="356"/>
      <c r="K3475" s="319" t="str">
        <f t="shared" si="1"/>
        <v/>
      </c>
    </row>
    <row r="3476" ht="15.75" customHeight="1">
      <c r="A3476" s="356"/>
      <c r="K3476" s="319" t="str">
        <f t="shared" si="1"/>
        <v/>
      </c>
    </row>
    <row r="3477" ht="15.75" customHeight="1">
      <c r="A3477" s="356"/>
      <c r="K3477" s="319" t="str">
        <f t="shared" si="1"/>
        <v/>
      </c>
    </row>
    <row r="3478" ht="15.75" customHeight="1">
      <c r="A3478" s="356"/>
      <c r="K3478" s="319" t="str">
        <f t="shared" si="1"/>
        <v/>
      </c>
    </row>
    <row r="3479" ht="15.75" customHeight="1">
      <c r="A3479" s="356"/>
      <c r="K3479" s="319" t="str">
        <f t="shared" si="1"/>
        <v/>
      </c>
    </row>
    <row r="3480" ht="15.75" customHeight="1">
      <c r="A3480" s="356"/>
      <c r="K3480" s="319" t="str">
        <f t="shared" si="1"/>
        <v/>
      </c>
    </row>
    <row r="3481" ht="15.75" customHeight="1">
      <c r="A3481" s="356"/>
      <c r="K3481" s="319" t="str">
        <f t="shared" si="1"/>
        <v/>
      </c>
    </row>
    <row r="3482" ht="15.75" customHeight="1">
      <c r="A3482" s="356"/>
      <c r="K3482" s="319" t="str">
        <f t="shared" si="1"/>
        <v/>
      </c>
    </row>
    <row r="3483" ht="15.75" customHeight="1">
      <c r="A3483" s="356"/>
      <c r="K3483" s="319" t="str">
        <f t="shared" si="1"/>
        <v/>
      </c>
    </row>
    <row r="3484" ht="15.75" customHeight="1">
      <c r="A3484" s="356"/>
      <c r="K3484" s="319" t="str">
        <f t="shared" si="1"/>
        <v/>
      </c>
    </row>
    <row r="3485" ht="15.75" customHeight="1">
      <c r="A3485" s="356"/>
      <c r="K3485" s="319" t="str">
        <f t="shared" si="1"/>
        <v/>
      </c>
    </row>
    <row r="3486" ht="15.75" customHeight="1">
      <c r="A3486" s="356"/>
      <c r="K3486" s="319" t="str">
        <f t="shared" si="1"/>
        <v/>
      </c>
    </row>
    <row r="3487" ht="15.75" customHeight="1">
      <c r="A3487" s="356"/>
      <c r="K3487" s="319" t="str">
        <f t="shared" si="1"/>
        <v/>
      </c>
    </row>
    <row r="3488" ht="15.75" customHeight="1">
      <c r="A3488" s="356"/>
      <c r="K3488" s="319" t="str">
        <f t="shared" si="1"/>
        <v/>
      </c>
    </row>
    <row r="3489" ht="15.75" customHeight="1">
      <c r="A3489" s="356"/>
      <c r="K3489" s="319" t="str">
        <f t="shared" si="1"/>
        <v/>
      </c>
    </row>
    <row r="3490" ht="15.75" customHeight="1">
      <c r="A3490" s="356"/>
      <c r="K3490" s="319" t="str">
        <f t="shared" si="1"/>
        <v/>
      </c>
    </row>
    <row r="3491" ht="15.75" customHeight="1">
      <c r="A3491" s="356"/>
      <c r="K3491" s="319" t="str">
        <f t="shared" si="1"/>
        <v/>
      </c>
    </row>
    <row r="3492" ht="15.75" customHeight="1">
      <c r="A3492" s="356"/>
      <c r="K3492" s="319" t="str">
        <f t="shared" si="1"/>
        <v/>
      </c>
    </row>
    <row r="3493" ht="15.75" customHeight="1">
      <c r="A3493" s="356"/>
      <c r="K3493" s="319" t="str">
        <f t="shared" si="1"/>
        <v/>
      </c>
    </row>
    <row r="3494" ht="15.75" customHeight="1">
      <c r="A3494" s="356"/>
      <c r="K3494" s="319" t="str">
        <f t="shared" si="1"/>
        <v/>
      </c>
    </row>
    <row r="3495" ht="15.75" customHeight="1">
      <c r="A3495" s="356"/>
      <c r="K3495" s="319" t="str">
        <f t="shared" si="1"/>
        <v/>
      </c>
    </row>
    <row r="3496" ht="15.75" customHeight="1">
      <c r="A3496" s="356"/>
      <c r="K3496" s="319" t="str">
        <f t="shared" si="1"/>
        <v/>
      </c>
    </row>
    <row r="3497" ht="15.75" customHeight="1">
      <c r="A3497" s="356"/>
      <c r="K3497" s="319" t="str">
        <f t="shared" si="1"/>
        <v/>
      </c>
    </row>
    <row r="3498" ht="15.75" customHeight="1">
      <c r="A3498" s="356"/>
      <c r="K3498" s="319" t="str">
        <f t="shared" si="1"/>
        <v/>
      </c>
    </row>
    <row r="3499" ht="15.75" customHeight="1">
      <c r="A3499" s="356"/>
      <c r="K3499" s="319" t="str">
        <f t="shared" si="1"/>
        <v/>
      </c>
    </row>
    <row r="3500" ht="15.75" customHeight="1">
      <c r="A3500" s="356"/>
      <c r="K3500" s="319" t="str">
        <f t="shared" si="1"/>
        <v/>
      </c>
    </row>
    <row r="3501" ht="15.75" customHeight="1">
      <c r="A3501" s="356"/>
      <c r="K3501" s="319" t="str">
        <f t="shared" si="1"/>
        <v/>
      </c>
    </row>
    <row r="3502" ht="15.75" customHeight="1">
      <c r="A3502" s="356"/>
      <c r="K3502" s="319" t="str">
        <f t="shared" si="1"/>
        <v/>
      </c>
    </row>
    <row r="3503" ht="15.75" customHeight="1">
      <c r="A3503" s="356"/>
      <c r="K3503" s="319" t="str">
        <f t="shared" si="1"/>
        <v/>
      </c>
    </row>
    <row r="3504" ht="15.75" customHeight="1">
      <c r="A3504" s="356"/>
      <c r="K3504" s="319" t="str">
        <f t="shared" si="1"/>
        <v/>
      </c>
    </row>
    <row r="3505" ht="15.75" customHeight="1">
      <c r="A3505" s="356"/>
      <c r="K3505" s="319" t="str">
        <f t="shared" si="1"/>
        <v/>
      </c>
    </row>
    <row r="3506" ht="15.75" customHeight="1">
      <c r="A3506" s="356"/>
      <c r="K3506" s="319" t="str">
        <f t="shared" si="1"/>
        <v/>
      </c>
    </row>
    <row r="3507" ht="15.75" customHeight="1">
      <c r="A3507" s="356"/>
      <c r="K3507" s="319" t="str">
        <f t="shared" si="1"/>
        <v/>
      </c>
    </row>
    <row r="3508" ht="15.75" customHeight="1">
      <c r="A3508" s="356"/>
      <c r="K3508" s="319" t="str">
        <f t="shared" si="1"/>
        <v/>
      </c>
    </row>
    <row r="3509" ht="15.75" customHeight="1">
      <c r="A3509" s="356"/>
      <c r="K3509" s="319" t="str">
        <f t="shared" si="1"/>
        <v/>
      </c>
    </row>
    <row r="3510" ht="15.75" customHeight="1">
      <c r="A3510" s="356"/>
      <c r="K3510" s="319" t="str">
        <f t="shared" si="1"/>
        <v/>
      </c>
    </row>
    <row r="3511" ht="15.75" customHeight="1">
      <c r="A3511" s="356"/>
      <c r="K3511" s="319" t="str">
        <f t="shared" si="1"/>
        <v/>
      </c>
    </row>
    <row r="3512" ht="15.75" customHeight="1">
      <c r="A3512" s="356"/>
      <c r="K3512" s="319" t="str">
        <f t="shared" si="1"/>
        <v/>
      </c>
    </row>
    <row r="3513" ht="15.75" customHeight="1">
      <c r="A3513" s="356"/>
      <c r="K3513" s="319" t="str">
        <f t="shared" si="1"/>
        <v/>
      </c>
    </row>
    <row r="3514" ht="15.75" customHeight="1">
      <c r="A3514" s="356"/>
      <c r="K3514" s="319" t="str">
        <f t="shared" si="1"/>
        <v/>
      </c>
    </row>
    <row r="3515" ht="15.75" customHeight="1">
      <c r="A3515" s="356"/>
      <c r="K3515" s="319" t="str">
        <f t="shared" si="1"/>
        <v/>
      </c>
    </row>
    <row r="3516" ht="15.75" customHeight="1">
      <c r="A3516" s="356"/>
      <c r="K3516" s="319" t="str">
        <f t="shared" si="1"/>
        <v/>
      </c>
    </row>
    <row r="3517" ht="15.75" customHeight="1">
      <c r="A3517" s="356"/>
      <c r="K3517" s="319" t="str">
        <f t="shared" si="1"/>
        <v/>
      </c>
    </row>
    <row r="3518" ht="15.75" customHeight="1">
      <c r="A3518" s="356"/>
      <c r="K3518" s="319" t="str">
        <f t="shared" si="1"/>
        <v/>
      </c>
    </row>
    <row r="3519" ht="15.75" customHeight="1">
      <c r="A3519" s="356"/>
      <c r="K3519" s="319" t="str">
        <f t="shared" si="1"/>
        <v/>
      </c>
    </row>
    <row r="3520" ht="15.75" customHeight="1">
      <c r="A3520" s="356"/>
      <c r="K3520" s="319" t="str">
        <f t="shared" si="1"/>
        <v/>
      </c>
    </row>
    <row r="3521" ht="15.75" customHeight="1">
      <c r="A3521" s="356"/>
      <c r="K3521" s="319" t="str">
        <f t="shared" si="1"/>
        <v/>
      </c>
    </row>
    <row r="3522" ht="15.75" customHeight="1">
      <c r="A3522" s="356"/>
      <c r="K3522" s="319" t="str">
        <f t="shared" si="1"/>
        <v/>
      </c>
    </row>
    <row r="3523" ht="15.75" customHeight="1">
      <c r="A3523" s="356"/>
      <c r="K3523" s="319" t="str">
        <f t="shared" si="1"/>
        <v/>
      </c>
    </row>
    <row r="3524" ht="15.75" customHeight="1">
      <c r="A3524" s="356"/>
      <c r="K3524" s="319" t="str">
        <f t="shared" si="1"/>
        <v/>
      </c>
    </row>
    <row r="3525" ht="15.75" customHeight="1">
      <c r="A3525" s="356"/>
      <c r="K3525" s="319" t="str">
        <f t="shared" si="1"/>
        <v/>
      </c>
    </row>
    <row r="3526" ht="15.75" customHeight="1">
      <c r="A3526" s="356"/>
      <c r="K3526" s="319" t="str">
        <f t="shared" si="1"/>
        <v/>
      </c>
    </row>
    <row r="3527" ht="15.75" customHeight="1">
      <c r="A3527" s="356"/>
      <c r="K3527" s="319" t="str">
        <f t="shared" si="1"/>
        <v/>
      </c>
    </row>
    <row r="3528" ht="15.75" customHeight="1">
      <c r="A3528" s="356"/>
      <c r="K3528" s="319" t="str">
        <f t="shared" si="1"/>
        <v/>
      </c>
    </row>
    <row r="3529" ht="15.75" customHeight="1">
      <c r="A3529" s="356"/>
      <c r="K3529" s="319" t="str">
        <f t="shared" si="1"/>
        <v/>
      </c>
    </row>
    <row r="3530" ht="15.75" customHeight="1">
      <c r="A3530" s="356"/>
      <c r="K3530" s="319" t="str">
        <f t="shared" si="1"/>
        <v/>
      </c>
    </row>
    <row r="3531" ht="15.75" customHeight="1">
      <c r="A3531" s="356"/>
      <c r="K3531" s="319" t="str">
        <f t="shared" si="1"/>
        <v/>
      </c>
    </row>
    <row r="3532" ht="15.75" customHeight="1">
      <c r="A3532" s="356"/>
      <c r="K3532" s="319" t="str">
        <f t="shared" si="1"/>
        <v/>
      </c>
    </row>
    <row r="3533" ht="15.75" customHeight="1">
      <c r="A3533" s="356"/>
      <c r="K3533" s="319" t="str">
        <f t="shared" si="1"/>
        <v/>
      </c>
    </row>
    <row r="3534" ht="15.75" customHeight="1">
      <c r="A3534" s="356"/>
      <c r="K3534" s="319" t="str">
        <f t="shared" si="1"/>
        <v/>
      </c>
    </row>
    <row r="3535" ht="15.75" customHeight="1">
      <c r="A3535" s="356"/>
      <c r="K3535" s="319" t="str">
        <f t="shared" si="1"/>
        <v/>
      </c>
    </row>
    <row r="3536" ht="15.75" customHeight="1">
      <c r="A3536" s="356"/>
      <c r="K3536" s="319" t="str">
        <f t="shared" si="1"/>
        <v/>
      </c>
    </row>
    <row r="3537" ht="15.75" customHeight="1">
      <c r="A3537" s="356"/>
      <c r="K3537" s="319" t="str">
        <f t="shared" si="1"/>
        <v/>
      </c>
    </row>
    <row r="3538" ht="15.75" customHeight="1">
      <c r="A3538" s="356"/>
      <c r="K3538" s="319" t="str">
        <f t="shared" si="1"/>
        <v/>
      </c>
    </row>
    <row r="3539" ht="15.75" customHeight="1">
      <c r="A3539" s="356"/>
      <c r="K3539" s="319" t="str">
        <f t="shared" si="1"/>
        <v/>
      </c>
    </row>
    <row r="3540" ht="15.75" customHeight="1">
      <c r="A3540" s="356"/>
      <c r="K3540" s="319" t="str">
        <f t="shared" si="1"/>
        <v/>
      </c>
    </row>
    <row r="3541" ht="15.75" customHeight="1">
      <c r="A3541" s="356"/>
      <c r="K3541" s="319" t="str">
        <f t="shared" si="1"/>
        <v/>
      </c>
    </row>
    <row r="3542" ht="15.75" customHeight="1">
      <c r="A3542" s="356"/>
      <c r="K3542" s="319" t="str">
        <f t="shared" si="1"/>
        <v/>
      </c>
    </row>
    <row r="3543" ht="15.75" customHeight="1">
      <c r="A3543" s="356"/>
      <c r="K3543" s="319" t="str">
        <f t="shared" si="1"/>
        <v/>
      </c>
    </row>
    <row r="3544" ht="15.75" customHeight="1">
      <c r="A3544" s="356"/>
      <c r="K3544" s="319" t="str">
        <f t="shared" si="1"/>
        <v/>
      </c>
    </row>
    <row r="3545" ht="15.75" customHeight="1">
      <c r="A3545" s="356"/>
      <c r="K3545" s="319" t="str">
        <f t="shared" si="1"/>
        <v/>
      </c>
    </row>
    <row r="3546" ht="15.75" customHeight="1">
      <c r="A3546" s="356"/>
      <c r="K3546" s="319" t="str">
        <f t="shared" si="1"/>
        <v/>
      </c>
    </row>
    <row r="3547" ht="15.75" customHeight="1">
      <c r="A3547" s="356"/>
      <c r="K3547" s="319" t="str">
        <f t="shared" si="1"/>
        <v/>
      </c>
    </row>
    <row r="3548" ht="15.75" customHeight="1">
      <c r="A3548" s="356"/>
      <c r="K3548" s="319" t="str">
        <f t="shared" si="1"/>
        <v/>
      </c>
    </row>
    <row r="3549" ht="15.75" customHeight="1">
      <c r="A3549" s="356"/>
      <c r="K3549" s="319" t="str">
        <f t="shared" si="1"/>
        <v/>
      </c>
    </row>
    <row r="3550" ht="15.75" customHeight="1">
      <c r="A3550" s="356"/>
      <c r="K3550" s="319" t="str">
        <f t="shared" si="1"/>
        <v/>
      </c>
    </row>
    <row r="3551" ht="15.75" customHeight="1">
      <c r="A3551" s="356"/>
      <c r="K3551" s="319" t="str">
        <f t="shared" si="1"/>
        <v/>
      </c>
    </row>
    <row r="3552" ht="15.75" customHeight="1">
      <c r="A3552" s="356"/>
      <c r="K3552" s="319" t="str">
        <f t="shared" si="1"/>
        <v/>
      </c>
    </row>
    <row r="3553" ht="15.75" customHeight="1">
      <c r="A3553" s="356"/>
      <c r="K3553" s="319" t="str">
        <f t="shared" si="1"/>
        <v/>
      </c>
    </row>
    <row r="3554" ht="15.75" customHeight="1">
      <c r="A3554" s="356"/>
      <c r="K3554" s="319" t="str">
        <f t="shared" si="1"/>
        <v/>
      </c>
    </row>
    <row r="3555" ht="15.75" customHeight="1">
      <c r="A3555" s="356"/>
      <c r="K3555" s="319" t="str">
        <f t="shared" si="1"/>
        <v/>
      </c>
    </row>
    <row r="3556" ht="15.75" customHeight="1">
      <c r="A3556" s="356"/>
      <c r="K3556" s="319" t="str">
        <f t="shared" si="1"/>
        <v/>
      </c>
    </row>
    <row r="3557" ht="15.75" customHeight="1">
      <c r="A3557" s="356"/>
      <c r="K3557" s="319" t="str">
        <f t="shared" si="1"/>
        <v/>
      </c>
    </row>
    <row r="3558" ht="15.75" customHeight="1">
      <c r="A3558" s="356"/>
      <c r="K3558" s="319" t="str">
        <f t="shared" si="1"/>
        <v/>
      </c>
    </row>
    <row r="3559" ht="15.75" customHeight="1">
      <c r="A3559" s="356"/>
      <c r="K3559" s="319" t="str">
        <f t="shared" si="1"/>
        <v/>
      </c>
    </row>
    <row r="3560" ht="15.75" customHeight="1">
      <c r="A3560" s="356"/>
      <c r="K3560" s="319" t="str">
        <f t="shared" si="1"/>
        <v/>
      </c>
    </row>
    <row r="3561" ht="15.75" customHeight="1">
      <c r="A3561" s="356"/>
      <c r="K3561" s="319" t="str">
        <f t="shared" si="1"/>
        <v/>
      </c>
    </row>
    <row r="3562" ht="15.75" customHeight="1">
      <c r="A3562" s="356"/>
      <c r="K3562" s="319" t="str">
        <f t="shared" si="1"/>
        <v/>
      </c>
    </row>
    <row r="3563" ht="15.75" customHeight="1">
      <c r="A3563" s="356"/>
      <c r="K3563" s="319" t="str">
        <f t="shared" si="1"/>
        <v/>
      </c>
    </row>
    <row r="3564" ht="15.75" customHeight="1">
      <c r="A3564" s="356"/>
      <c r="K3564" s="319" t="str">
        <f t="shared" si="1"/>
        <v/>
      </c>
    </row>
    <row r="3565" ht="15.75" customHeight="1">
      <c r="A3565" s="356"/>
      <c r="K3565" s="319" t="str">
        <f t="shared" si="1"/>
        <v/>
      </c>
    </row>
    <row r="3566" ht="15.75" customHeight="1">
      <c r="A3566" s="356"/>
      <c r="K3566" s="319" t="str">
        <f t="shared" si="1"/>
        <v/>
      </c>
    </row>
    <row r="3567" ht="15.75" customHeight="1">
      <c r="A3567" s="356"/>
      <c r="K3567" s="319" t="str">
        <f t="shared" si="1"/>
        <v/>
      </c>
    </row>
    <row r="3568" ht="15.75" customHeight="1">
      <c r="A3568" s="356"/>
      <c r="K3568" s="319" t="str">
        <f t="shared" si="1"/>
        <v/>
      </c>
    </row>
    <row r="3569" ht="15.75" customHeight="1">
      <c r="A3569" s="356"/>
      <c r="K3569" s="319" t="str">
        <f t="shared" si="1"/>
        <v/>
      </c>
    </row>
    <row r="3570" ht="15.75" customHeight="1">
      <c r="A3570" s="356"/>
      <c r="K3570" s="319" t="str">
        <f t="shared" si="1"/>
        <v/>
      </c>
    </row>
    <row r="3571" ht="15.75" customHeight="1">
      <c r="A3571" s="356"/>
      <c r="K3571" s="319" t="str">
        <f t="shared" si="1"/>
        <v/>
      </c>
    </row>
    <row r="3572" ht="15.75" customHeight="1">
      <c r="A3572" s="356"/>
      <c r="K3572" s="319" t="str">
        <f t="shared" si="1"/>
        <v/>
      </c>
    </row>
    <row r="3573" ht="15.75" customHeight="1">
      <c r="A3573" s="356"/>
      <c r="K3573" s="319" t="str">
        <f t="shared" si="1"/>
        <v/>
      </c>
    </row>
    <row r="3574" ht="15.75" customHeight="1">
      <c r="A3574" s="356"/>
      <c r="K3574" s="319" t="str">
        <f t="shared" si="1"/>
        <v/>
      </c>
    </row>
    <row r="3575" ht="15.75" customHeight="1">
      <c r="A3575" s="356"/>
      <c r="K3575" s="319" t="str">
        <f t="shared" si="1"/>
        <v/>
      </c>
    </row>
    <row r="3576" ht="15.75" customHeight="1">
      <c r="A3576" s="356"/>
      <c r="K3576" s="319" t="str">
        <f t="shared" si="1"/>
        <v/>
      </c>
    </row>
    <row r="3577" ht="15.75" customHeight="1">
      <c r="A3577" s="356"/>
      <c r="K3577" s="319" t="str">
        <f t="shared" si="1"/>
        <v/>
      </c>
    </row>
    <row r="3578" ht="15.75" customHeight="1">
      <c r="A3578" s="356"/>
      <c r="K3578" s="319" t="str">
        <f t="shared" si="1"/>
        <v/>
      </c>
    </row>
    <row r="3579" ht="15.75" customHeight="1">
      <c r="A3579" s="356"/>
      <c r="K3579" s="319" t="str">
        <f t="shared" si="1"/>
        <v/>
      </c>
    </row>
    <row r="3580" ht="15.75" customHeight="1">
      <c r="A3580" s="356"/>
      <c r="K3580" s="319" t="str">
        <f t="shared" si="1"/>
        <v/>
      </c>
    </row>
    <row r="3581" ht="15.75" customHeight="1">
      <c r="A3581" s="356"/>
      <c r="K3581" s="319" t="str">
        <f t="shared" si="1"/>
        <v/>
      </c>
    </row>
    <row r="3582" ht="15.75" customHeight="1">
      <c r="A3582" s="356"/>
      <c r="K3582" s="319" t="str">
        <f t="shared" si="1"/>
        <v/>
      </c>
    </row>
    <row r="3583" ht="15.75" customHeight="1">
      <c r="A3583" s="356"/>
      <c r="K3583" s="319" t="str">
        <f t="shared" si="1"/>
        <v/>
      </c>
    </row>
    <row r="3584" ht="15.75" customHeight="1">
      <c r="A3584" s="356"/>
      <c r="K3584" s="319" t="str">
        <f t="shared" si="1"/>
        <v/>
      </c>
    </row>
    <row r="3585" ht="15.75" customHeight="1">
      <c r="A3585" s="356"/>
      <c r="K3585" s="319" t="str">
        <f t="shared" si="1"/>
        <v/>
      </c>
    </row>
    <row r="3586" ht="15.75" customHeight="1">
      <c r="A3586" s="356"/>
      <c r="K3586" s="319" t="str">
        <f t="shared" si="1"/>
        <v/>
      </c>
    </row>
    <row r="3587" ht="15.75" customHeight="1">
      <c r="A3587" s="356"/>
      <c r="K3587" s="319" t="str">
        <f t="shared" si="1"/>
        <v/>
      </c>
    </row>
    <row r="3588" ht="15.75" customHeight="1">
      <c r="A3588" s="356"/>
      <c r="K3588" s="319" t="str">
        <f t="shared" si="1"/>
        <v/>
      </c>
    </row>
    <row r="3589" ht="15.75" customHeight="1">
      <c r="A3589" s="356"/>
      <c r="K3589" s="319" t="str">
        <f t="shared" si="1"/>
        <v/>
      </c>
    </row>
    <row r="3590" ht="15.75" customHeight="1">
      <c r="A3590" s="356"/>
      <c r="K3590" s="319" t="str">
        <f t="shared" si="1"/>
        <v/>
      </c>
    </row>
    <row r="3591" ht="15.75" customHeight="1">
      <c r="A3591" s="356"/>
      <c r="K3591" s="319" t="str">
        <f t="shared" si="1"/>
        <v/>
      </c>
    </row>
    <row r="3592" ht="15.75" customHeight="1">
      <c r="A3592" s="356"/>
      <c r="K3592" s="319" t="str">
        <f t="shared" si="1"/>
        <v/>
      </c>
    </row>
    <row r="3593" ht="15.75" customHeight="1">
      <c r="A3593" s="356"/>
      <c r="K3593" s="319" t="str">
        <f t="shared" si="1"/>
        <v/>
      </c>
    </row>
    <row r="3594" ht="15.75" customHeight="1">
      <c r="A3594" s="356"/>
      <c r="K3594" s="319" t="str">
        <f t="shared" si="1"/>
        <v/>
      </c>
    </row>
    <row r="3595" ht="15.75" customHeight="1">
      <c r="A3595" s="356"/>
      <c r="K3595" s="319" t="str">
        <f t="shared" si="1"/>
        <v/>
      </c>
    </row>
    <row r="3596" ht="15.75" customHeight="1">
      <c r="A3596" s="356"/>
      <c r="K3596" s="319" t="str">
        <f t="shared" si="1"/>
        <v/>
      </c>
    </row>
    <row r="3597" ht="15.75" customHeight="1">
      <c r="A3597" s="356"/>
      <c r="K3597" s="319" t="str">
        <f t="shared" si="1"/>
        <v/>
      </c>
    </row>
    <row r="3598" ht="15.75" customHeight="1">
      <c r="A3598" s="356"/>
      <c r="K3598" s="319" t="str">
        <f t="shared" si="1"/>
        <v/>
      </c>
    </row>
    <row r="3599" ht="15.75" customHeight="1">
      <c r="A3599" s="356"/>
      <c r="K3599" s="319" t="str">
        <f t="shared" si="1"/>
        <v/>
      </c>
    </row>
    <row r="3600" ht="15.75" customHeight="1">
      <c r="A3600" s="356"/>
      <c r="K3600" s="319" t="str">
        <f t="shared" si="1"/>
        <v/>
      </c>
    </row>
    <row r="3601" ht="15.75" customHeight="1">
      <c r="A3601" s="356"/>
      <c r="K3601" s="319" t="str">
        <f t="shared" si="1"/>
        <v/>
      </c>
    </row>
    <row r="3602" ht="15.75" customHeight="1">
      <c r="A3602" s="356"/>
      <c r="K3602" s="319" t="str">
        <f t="shared" si="1"/>
        <v/>
      </c>
    </row>
    <row r="3603" ht="15.75" customHeight="1">
      <c r="A3603" s="356"/>
      <c r="K3603" s="319" t="str">
        <f t="shared" si="1"/>
        <v/>
      </c>
    </row>
    <row r="3604" ht="15.75" customHeight="1">
      <c r="A3604" s="356"/>
      <c r="K3604" s="319" t="str">
        <f t="shared" si="1"/>
        <v/>
      </c>
    </row>
    <row r="3605" ht="15.75" customHeight="1">
      <c r="A3605" s="356"/>
      <c r="K3605" s="319" t="str">
        <f t="shared" si="1"/>
        <v/>
      </c>
    </row>
    <row r="3606" ht="15.75" customHeight="1">
      <c r="A3606" s="356"/>
      <c r="K3606" s="319" t="str">
        <f t="shared" si="1"/>
        <v/>
      </c>
    </row>
    <row r="3607" ht="15.75" customHeight="1">
      <c r="A3607" s="356"/>
      <c r="K3607" s="319" t="str">
        <f t="shared" si="1"/>
        <v/>
      </c>
    </row>
    <row r="3608" ht="15.75" customHeight="1">
      <c r="A3608" s="356"/>
      <c r="K3608" s="319" t="str">
        <f t="shared" si="1"/>
        <v/>
      </c>
    </row>
    <row r="3609" ht="15.75" customHeight="1">
      <c r="A3609" s="356"/>
      <c r="K3609" s="319" t="str">
        <f t="shared" si="1"/>
        <v/>
      </c>
    </row>
    <row r="3610" ht="15.75" customHeight="1">
      <c r="A3610" s="356"/>
      <c r="K3610" s="319" t="str">
        <f t="shared" si="1"/>
        <v/>
      </c>
    </row>
    <row r="3611" ht="15.75" customHeight="1">
      <c r="A3611" s="356"/>
      <c r="K3611" s="319" t="str">
        <f t="shared" si="1"/>
        <v/>
      </c>
    </row>
    <row r="3612" ht="15.75" customHeight="1">
      <c r="A3612" s="356"/>
      <c r="K3612" s="319" t="str">
        <f t="shared" si="1"/>
        <v/>
      </c>
    </row>
    <row r="3613" ht="15.75" customHeight="1">
      <c r="A3613" s="356"/>
      <c r="K3613" s="319" t="str">
        <f t="shared" si="1"/>
        <v/>
      </c>
    </row>
    <row r="3614" ht="15.75" customHeight="1">
      <c r="A3614" s="356"/>
      <c r="K3614" s="319" t="str">
        <f t="shared" si="1"/>
        <v/>
      </c>
    </row>
    <row r="3615" ht="15.75" customHeight="1">
      <c r="A3615" s="356"/>
      <c r="K3615" s="319" t="str">
        <f t="shared" si="1"/>
        <v/>
      </c>
    </row>
    <row r="3616" ht="15.75" customHeight="1">
      <c r="A3616" s="356"/>
      <c r="K3616" s="319" t="str">
        <f t="shared" si="1"/>
        <v/>
      </c>
    </row>
    <row r="3617" ht="15.75" customHeight="1">
      <c r="A3617" s="356"/>
      <c r="K3617" s="319" t="str">
        <f t="shared" si="1"/>
        <v/>
      </c>
    </row>
    <row r="3618" ht="15.75" customHeight="1">
      <c r="A3618" s="356"/>
      <c r="K3618" s="319" t="str">
        <f t="shared" si="1"/>
        <v/>
      </c>
    </row>
    <row r="3619" ht="15.75" customHeight="1">
      <c r="A3619" s="356"/>
      <c r="K3619" s="319" t="str">
        <f t="shared" si="1"/>
        <v/>
      </c>
    </row>
    <row r="3620" ht="15.75" customHeight="1">
      <c r="A3620" s="356"/>
      <c r="K3620" s="319" t="str">
        <f t="shared" si="1"/>
        <v/>
      </c>
    </row>
    <row r="3621" ht="15.75" customHeight="1">
      <c r="A3621" s="356"/>
      <c r="K3621" s="319" t="str">
        <f t="shared" si="1"/>
        <v/>
      </c>
    </row>
    <row r="3622" ht="15.75" customHeight="1">
      <c r="A3622" s="356"/>
      <c r="K3622" s="319" t="str">
        <f t="shared" si="1"/>
        <v/>
      </c>
    </row>
    <row r="3623" ht="15.75" customHeight="1">
      <c r="A3623" s="356"/>
      <c r="K3623" s="319" t="str">
        <f t="shared" si="1"/>
        <v/>
      </c>
    </row>
    <row r="3624" ht="15.75" customHeight="1">
      <c r="A3624" s="356"/>
      <c r="K3624" s="319" t="str">
        <f t="shared" si="1"/>
        <v/>
      </c>
    </row>
    <row r="3625" ht="15.75" customHeight="1">
      <c r="A3625" s="356"/>
      <c r="K3625" s="319" t="str">
        <f t="shared" si="1"/>
        <v/>
      </c>
    </row>
    <row r="3626" ht="15.75" customHeight="1">
      <c r="A3626" s="356"/>
      <c r="K3626" s="319" t="str">
        <f t="shared" si="1"/>
        <v/>
      </c>
    </row>
    <row r="3627" ht="15.75" customHeight="1">
      <c r="A3627" s="356"/>
      <c r="K3627" s="319" t="str">
        <f t="shared" si="1"/>
        <v/>
      </c>
    </row>
    <row r="3628" ht="15.75" customHeight="1">
      <c r="A3628" s="356"/>
      <c r="K3628" s="319" t="str">
        <f t="shared" si="1"/>
        <v/>
      </c>
    </row>
    <row r="3629" ht="15.75" customHeight="1">
      <c r="A3629" s="356"/>
      <c r="K3629" s="319" t="str">
        <f t="shared" si="1"/>
        <v/>
      </c>
    </row>
    <row r="3630" ht="15.75" customHeight="1">
      <c r="A3630" s="356"/>
      <c r="K3630" s="319" t="str">
        <f t="shared" si="1"/>
        <v/>
      </c>
    </row>
    <row r="3631" ht="15.75" customHeight="1">
      <c r="A3631" s="356"/>
      <c r="K3631" s="319" t="str">
        <f t="shared" si="1"/>
        <v/>
      </c>
    </row>
    <row r="3632" ht="15.75" customHeight="1">
      <c r="A3632" s="356"/>
      <c r="K3632" s="319" t="str">
        <f t="shared" si="1"/>
        <v/>
      </c>
    </row>
    <row r="3633" ht="15.75" customHeight="1">
      <c r="A3633" s="356"/>
      <c r="K3633" s="319" t="str">
        <f t="shared" si="1"/>
        <v/>
      </c>
    </row>
    <row r="3634" ht="15.75" customHeight="1">
      <c r="A3634" s="356"/>
      <c r="K3634" s="319" t="str">
        <f t="shared" si="1"/>
        <v/>
      </c>
    </row>
    <row r="3635" ht="15.75" customHeight="1">
      <c r="A3635" s="356"/>
      <c r="K3635" s="319" t="str">
        <f t="shared" si="1"/>
        <v/>
      </c>
    </row>
    <row r="3636" ht="15.75" customHeight="1">
      <c r="A3636" s="356"/>
      <c r="K3636" s="319" t="str">
        <f t="shared" si="1"/>
        <v/>
      </c>
    </row>
    <row r="3637" ht="15.75" customHeight="1">
      <c r="A3637" s="356"/>
      <c r="K3637" s="319" t="str">
        <f t="shared" si="1"/>
        <v/>
      </c>
    </row>
    <row r="3638" ht="15.75" customHeight="1">
      <c r="A3638" s="356"/>
      <c r="K3638" s="319" t="str">
        <f t="shared" si="1"/>
        <v/>
      </c>
    </row>
    <row r="3639" ht="15.75" customHeight="1">
      <c r="A3639" s="356"/>
      <c r="K3639" s="319" t="str">
        <f t="shared" si="1"/>
        <v/>
      </c>
    </row>
    <row r="3640" ht="15.75" customHeight="1">
      <c r="A3640" s="356"/>
      <c r="K3640" s="319" t="str">
        <f t="shared" si="1"/>
        <v/>
      </c>
    </row>
    <row r="3641" ht="15.75" customHeight="1">
      <c r="A3641" s="356"/>
      <c r="K3641" s="319" t="str">
        <f t="shared" si="1"/>
        <v/>
      </c>
    </row>
    <row r="3642" ht="15.75" customHeight="1">
      <c r="A3642" s="356"/>
      <c r="K3642" s="319" t="str">
        <f t="shared" si="1"/>
        <v/>
      </c>
    </row>
    <row r="3643" ht="15.75" customHeight="1">
      <c r="A3643" s="356"/>
      <c r="K3643" s="319" t="str">
        <f t="shared" si="1"/>
        <v/>
      </c>
    </row>
    <row r="3644" ht="15.75" customHeight="1">
      <c r="A3644" s="356"/>
      <c r="K3644" s="319" t="str">
        <f t="shared" si="1"/>
        <v/>
      </c>
    </row>
    <row r="3645" ht="15.75" customHeight="1">
      <c r="A3645" s="356"/>
      <c r="K3645" s="319" t="str">
        <f t="shared" si="1"/>
        <v/>
      </c>
    </row>
    <row r="3646" ht="15.75" customHeight="1">
      <c r="A3646" s="356"/>
      <c r="K3646" s="319" t="str">
        <f t="shared" si="1"/>
        <v/>
      </c>
    </row>
    <row r="3647" ht="15.75" customHeight="1">
      <c r="A3647" s="356"/>
      <c r="K3647" s="319" t="str">
        <f t="shared" si="1"/>
        <v/>
      </c>
    </row>
    <row r="3648" ht="15.75" customHeight="1">
      <c r="A3648" s="356"/>
      <c r="K3648" s="319" t="str">
        <f t="shared" si="1"/>
        <v/>
      </c>
    </row>
    <row r="3649" ht="15.75" customHeight="1">
      <c r="A3649" s="356"/>
      <c r="K3649" s="319" t="str">
        <f t="shared" si="1"/>
        <v/>
      </c>
    </row>
    <row r="3650" ht="15.75" customHeight="1">
      <c r="A3650" s="356"/>
      <c r="K3650" s="319" t="str">
        <f t="shared" si="1"/>
        <v/>
      </c>
    </row>
    <row r="3651" ht="15.75" customHeight="1">
      <c r="A3651" s="356"/>
      <c r="K3651" s="319" t="str">
        <f t="shared" si="1"/>
        <v/>
      </c>
    </row>
    <row r="3652" ht="15.75" customHeight="1">
      <c r="A3652" s="356"/>
      <c r="K3652" s="319" t="str">
        <f t="shared" si="1"/>
        <v/>
      </c>
    </row>
    <row r="3653" ht="15.75" customHeight="1">
      <c r="A3653" s="356"/>
      <c r="K3653" s="319" t="str">
        <f t="shared" si="1"/>
        <v/>
      </c>
    </row>
    <row r="3654" ht="15.75" customHeight="1">
      <c r="A3654" s="356"/>
      <c r="K3654" s="319" t="str">
        <f t="shared" si="1"/>
        <v/>
      </c>
    </row>
    <row r="3655" ht="15.75" customHeight="1">
      <c r="A3655" s="356"/>
      <c r="K3655" s="319" t="str">
        <f t="shared" si="1"/>
        <v/>
      </c>
    </row>
    <row r="3656" ht="15.75" customHeight="1">
      <c r="A3656" s="356"/>
      <c r="K3656" s="319" t="str">
        <f t="shared" si="1"/>
        <v/>
      </c>
    </row>
    <row r="3657" ht="15.75" customHeight="1">
      <c r="A3657" s="356"/>
      <c r="K3657" s="319" t="str">
        <f t="shared" si="1"/>
        <v/>
      </c>
    </row>
    <row r="3658" ht="15.75" customHeight="1">
      <c r="A3658" s="356"/>
      <c r="K3658" s="319" t="str">
        <f t="shared" si="1"/>
        <v/>
      </c>
    </row>
    <row r="3659" ht="15.75" customHeight="1">
      <c r="A3659" s="356"/>
      <c r="K3659" s="319" t="str">
        <f t="shared" si="1"/>
        <v/>
      </c>
    </row>
    <row r="3660" ht="15.75" customHeight="1">
      <c r="A3660" s="356"/>
      <c r="K3660" s="319" t="str">
        <f t="shared" si="1"/>
        <v/>
      </c>
    </row>
    <row r="3661" ht="15.75" customHeight="1">
      <c r="A3661" s="356"/>
      <c r="K3661" s="319" t="str">
        <f t="shared" si="1"/>
        <v/>
      </c>
    </row>
    <row r="3662" ht="15.75" customHeight="1">
      <c r="A3662" s="356"/>
      <c r="K3662" s="319" t="str">
        <f t="shared" si="1"/>
        <v/>
      </c>
    </row>
    <row r="3663" ht="15.75" customHeight="1">
      <c r="A3663" s="356"/>
      <c r="K3663" s="319" t="str">
        <f t="shared" si="1"/>
        <v/>
      </c>
    </row>
    <row r="3664" ht="15.75" customHeight="1">
      <c r="A3664" s="356"/>
      <c r="K3664" s="319" t="str">
        <f t="shared" si="1"/>
        <v/>
      </c>
    </row>
    <row r="3665" ht="15.75" customHeight="1">
      <c r="A3665" s="356"/>
      <c r="K3665" s="319" t="str">
        <f t="shared" si="1"/>
        <v/>
      </c>
    </row>
    <row r="3666" ht="15.75" customHeight="1">
      <c r="A3666" s="356"/>
      <c r="K3666" s="319" t="str">
        <f t="shared" si="1"/>
        <v/>
      </c>
    </row>
    <row r="3667" ht="15.75" customHeight="1">
      <c r="A3667" s="356"/>
      <c r="K3667" s="319" t="str">
        <f t="shared" si="1"/>
        <v/>
      </c>
    </row>
    <row r="3668" ht="15.75" customHeight="1">
      <c r="A3668" s="356"/>
      <c r="K3668" s="319" t="str">
        <f t="shared" si="1"/>
        <v/>
      </c>
    </row>
    <row r="3669" ht="15.75" customHeight="1">
      <c r="A3669" s="356"/>
      <c r="K3669" s="319" t="str">
        <f t="shared" si="1"/>
        <v/>
      </c>
    </row>
    <row r="3670" ht="15.75" customHeight="1">
      <c r="A3670" s="356"/>
      <c r="K3670" s="319" t="str">
        <f t="shared" si="1"/>
        <v/>
      </c>
    </row>
    <row r="3671" ht="15.75" customHeight="1">
      <c r="A3671" s="356"/>
      <c r="K3671" s="319" t="str">
        <f t="shared" si="1"/>
        <v/>
      </c>
    </row>
    <row r="3672" ht="15.75" customHeight="1">
      <c r="A3672" s="356"/>
      <c r="K3672" s="319" t="str">
        <f t="shared" si="1"/>
        <v/>
      </c>
    </row>
    <row r="3673" ht="15.75" customHeight="1">
      <c r="A3673" s="356"/>
      <c r="K3673" s="319" t="str">
        <f t="shared" si="1"/>
        <v/>
      </c>
    </row>
    <row r="3674" ht="15.75" customHeight="1">
      <c r="A3674" s="356"/>
      <c r="K3674" s="319" t="str">
        <f t="shared" si="1"/>
        <v/>
      </c>
    </row>
    <row r="3675" ht="15.75" customHeight="1">
      <c r="A3675" s="356"/>
      <c r="K3675" s="319" t="str">
        <f t="shared" si="1"/>
        <v/>
      </c>
    </row>
    <row r="3676" ht="15.75" customHeight="1">
      <c r="A3676" s="356"/>
      <c r="K3676" s="319" t="str">
        <f t="shared" si="1"/>
        <v/>
      </c>
    </row>
    <row r="3677" ht="15.75" customHeight="1">
      <c r="A3677" s="356"/>
      <c r="K3677" s="319" t="str">
        <f t="shared" si="1"/>
        <v/>
      </c>
    </row>
    <row r="3678" ht="15.75" customHeight="1">
      <c r="A3678" s="356"/>
      <c r="K3678" s="319" t="str">
        <f t="shared" si="1"/>
        <v/>
      </c>
    </row>
    <row r="3679" ht="15.75" customHeight="1">
      <c r="A3679" s="356"/>
      <c r="K3679" s="319" t="str">
        <f t="shared" si="1"/>
        <v/>
      </c>
    </row>
    <row r="3680" ht="15.75" customHeight="1">
      <c r="A3680" s="356"/>
      <c r="K3680" s="319" t="str">
        <f t="shared" si="1"/>
        <v/>
      </c>
    </row>
    <row r="3681" ht="15.75" customHeight="1">
      <c r="A3681" s="356"/>
      <c r="K3681" s="319" t="str">
        <f t="shared" si="1"/>
        <v/>
      </c>
    </row>
    <row r="3682" ht="15.75" customHeight="1">
      <c r="A3682" s="356"/>
      <c r="K3682" s="319" t="str">
        <f t="shared" si="1"/>
        <v/>
      </c>
    </row>
    <row r="3683" ht="15.75" customHeight="1">
      <c r="A3683" s="356"/>
      <c r="K3683" s="319" t="str">
        <f t="shared" si="1"/>
        <v/>
      </c>
    </row>
    <row r="3684" ht="15.75" customHeight="1">
      <c r="A3684" s="356"/>
      <c r="K3684" s="319" t="str">
        <f t="shared" si="1"/>
        <v/>
      </c>
    </row>
    <row r="3685" ht="15.75" customHeight="1">
      <c r="A3685" s="356"/>
      <c r="K3685" s="319" t="str">
        <f t="shared" si="1"/>
        <v/>
      </c>
    </row>
    <row r="3686" ht="15.75" customHeight="1">
      <c r="A3686" s="356"/>
      <c r="K3686" s="319" t="str">
        <f t="shared" si="1"/>
        <v/>
      </c>
    </row>
    <row r="3687" ht="15.75" customHeight="1">
      <c r="A3687" s="356"/>
      <c r="K3687" s="319" t="str">
        <f t="shared" si="1"/>
        <v/>
      </c>
    </row>
    <row r="3688" ht="15.75" customHeight="1">
      <c r="A3688" s="356"/>
      <c r="K3688" s="319" t="str">
        <f t="shared" si="1"/>
        <v/>
      </c>
    </row>
    <row r="3689" ht="15.75" customHeight="1">
      <c r="A3689" s="356"/>
      <c r="K3689" s="319" t="str">
        <f t="shared" si="1"/>
        <v/>
      </c>
    </row>
    <row r="3690" ht="15.75" customHeight="1">
      <c r="A3690" s="356"/>
      <c r="K3690" s="319" t="str">
        <f t="shared" si="1"/>
        <v/>
      </c>
    </row>
    <row r="3691" ht="15.75" customHeight="1">
      <c r="A3691" s="356"/>
      <c r="K3691" s="319" t="str">
        <f t="shared" si="1"/>
        <v/>
      </c>
    </row>
    <row r="3692" ht="15.75" customHeight="1">
      <c r="A3692" s="356"/>
      <c r="K3692" s="319" t="str">
        <f t="shared" si="1"/>
        <v/>
      </c>
    </row>
    <row r="3693" ht="15.75" customHeight="1">
      <c r="A3693" s="356"/>
      <c r="K3693" s="319" t="str">
        <f t="shared" si="1"/>
        <v/>
      </c>
    </row>
    <row r="3694" ht="15.75" customHeight="1">
      <c r="A3694" s="356"/>
      <c r="K3694" s="319" t="str">
        <f t="shared" si="1"/>
        <v/>
      </c>
    </row>
    <row r="3695" ht="15.75" customHeight="1">
      <c r="A3695" s="356"/>
      <c r="K3695" s="319" t="str">
        <f t="shared" si="1"/>
        <v/>
      </c>
    </row>
    <row r="3696" ht="15.75" customHeight="1">
      <c r="A3696" s="356"/>
      <c r="K3696" s="319" t="str">
        <f t="shared" si="1"/>
        <v/>
      </c>
    </row>
    <row r="3697" ht="15.75" customHeight="1">
      <c r="A3697" s="356"/>
      <c r="K3697" s="319" t="str">
        <f t="shared" si="1"/>
        <v/>
      </c>
    </row>
    <row r="3698" ht="15.75" customHeight="1">
      <c r="A3698" s="356"/>
      <c r="K3698" s="319" t="str">
        <f t="shared" si="1"/>
        <v/>
      </c>
    </row>
    <row r="3699" ht="15.75" customHeight="1">
      <c r="A3699" s="356"/>
      <c r="K3699" s="319" t="str">
        <f t="shared" si="1"/>
        <v/>
      </c>
    </row>
    <row r="3700" ht="15.75" customHeight="1">
      <c r="A3700" s="356"/>
      <c r="K3700" s="319" t="str">
        <f t="shared" si="1"/>
        <v/>
      </c>
    </row>
    <row r="3701" ht="15.75" customHeight="1">
      <c r="A3701" s="356"/>
      <c r="K3701" s="319" t="str">
        <f t="shared" si="1"/>
        <v/>
      </c>
    </row>
    <row r="3702" ht="15.75" customHeight="1">
      <c r="A3702" s="356"/>
      <c r="K3702" s="319" t="str">
        <f t="shared" si="1"/>
        <v/>
      </c>
    </row>
    <row r="3703" ht="15.75" customHeight="1">
      <c r="A3703" s="356"/>
      <c r="K3703" s="319" t="str">
        <f t="shared" si="1"/>
        <v/>
      </c>
    </row>
    <row r="3704" ht="15.75" customHeight="1">
      <c r="A3704" s="356"/>
      <c r="K3704" s="319" t="str">
        <f t="shared" si="1"/>
        <v/>
      </c>
    </row>
    <row r="3705" ht="15.75" customHeight="1">
      <c r="A3705" s="356"/>
      <c r="K3705" s="319" t="str">
        <f t="shared" si="1"/>
        <v/>
      </c>
    </row>
    <row r="3706" ht="15.75" customHeight="1">
      <c r="A3706" s="356"/>
      <c r="K3706" s="319" t="str">
        <f t="shared" si="1"/>
        <v/>
      </c>
    </row>
    <row r="3707" ht="15.75" customHeight="1">
      <c r="A3707" s="356"/>
      <c r="K3707" s="319" t="str">
        <f t="shared" si="1"/>
        <v/>
      </c>
    </row>
    <row r="3708" ht="15.75" customHeight="1">
      <c r="A3708" s="356"/>
      <c r="K3708" s="319" t="str">
        <f t="shared" si="1"/>
        <v/>
      </c>
    </row>
    <row r="3709" ht="15.75" customHeight="1">
      <c r="A3709" s="356"/>
      <c r="K3709" s="319" t="str">
        <f t="shared" si="1"/>
        <v/>
      </c>
    </row>
    <row r="3710" ht="15.75" customHeight="1">
      <c r="A3710" s="356"/>
      <c r="K3710" s="319" t="str">
        <f t="shared" si="1"/>
        <v/>
      </c>
    </row>
    <row r="3711" ht="15.75" customHeight="1">
      <c r="A3711" s="356"/>
      <c r="K3711" s="319" t="str">
        <f t="shared" si="1"/>
        <v/>
      </c>
    </row>
    <row r="3712" ht="15.75" customHeight="1">
      <c r="A3712" s="356"/>
      <c r="K3712" s="319" t="str">
        <f t="shared" si="1"/>
        <v/>
      </c>
    </row>
    <row r="3713" ht="15.75" customHeight="1">
      <c r="A3713" s="356"/>
      <c r="K3713" s="319" t="str">
        <f t="shared" si="1"/>
        <v/>
      </c>
    </row>
    <row r="3714" ht="15.75" customHeight="1">
      <c r="A3714" s="356"/>
      <c r="K3714" s="319" t="str">
        <f t="shared" si="1"/>
        <v/>
      </c>
    </row>
    <row r="3715" ht="15.75" customHeight="1">
      <c r="A3715" s="356"/>
      <c r="K3715" s="319" t="str">
        <f t="shared" si="1"/>
        <v/>
      </c>
    </row>
    <row r="3716" ht="15.75" customHeight="1">
      <c r="A3716" s="356"/>
      <c r="K3716" s="319" t="str">
        <f t="shared" si="1"/>
        <v/>
      </c>
    </row>
    <row r="3717" ht="15.75" customHeight="1">
      <c r="A3717" s="356"/>
      <c r="K3717" s="319" t="str">
        <f t="shared" si="1"/>
        <v/>
      </c>
    </row>
    <row r="3718" ht="15.75" customHeight="1">
      <c r="A3718" s="356"/>
      <c r="K3718" s="319" t="str">
        <f t="shared" si="1"/>
        <v/>
      </c>
    </row>
    <row r="3719" ht="15.75" customHeight="1">
      <c r="A3719" s="356"/>
      <c r="K3719" s="319" t="str">
        <f t="shared" si="1"/>
        <v/>
      </c>
    </row>
    <row r="3720" ht="15.75" customHeight="1">
      <c r="A3720" s="356"/>
      <c r="K3720" s="319" t="str">
        <f t="shared" si="1"/>
        <v/>
      </c>
    </row>
    <row r="3721" ht="15.75" customHeight="1">
      <c r="A3721" s="356"/>
      <c r="K3721" s="319" t="str">
        <f t="shared" si="1"/>
        <v/>
      </c>
    </row>
    <row r="3722" ht="15.75" customHeight="1">
      <c r="A3722" s="356"/>
      <c r="K3722" s="319" t="str">
        <f t="shared" si="1"/>
        <v/>
      </c>
    </row>
    <row r="3723" ht="15.75" customHeight="1">
      <c r="A3723" s="356"/>
      <c r="K3723" s="319" t="str">
        <f t="shared" si="1"/>
        <v/>
      </c>
    </row>
    <row r="3724" ht="15.75" customHeight="1">
      <c r="A3724" s="356"/>
      <c r="K3724" s="319" t="str">
        <f t="shared" si="1"/>
        <v/>
      </c>
    </row>
    <row r="3725" ht="15.75" customHeight="1">
      <c r="A3725" s="356"/>
      <c r="K3725" s="319" t="str">
        <f t="shared" si="1"/>
        <v/>
      </c>
    </row>
    <row r="3726" ht="15.75" customHeight="1">
      <c r="A3726" s="356"/>
      <c r="K3726" s="319" t="str">
        <f t="shared" si="1"/>
        <v/>
      </c>
    </row>
    <row r="3727" ht="15.75" customHeight="1">
      <c r="A3727" s="356"/>
      <c r="K3727" s="319" t="str">
        <f t="shared" si="1"/>
        <v/>
      </c>
    </row>
    <row r="3728" ht="15.75" customHeight="1">
      <c r="A3728" s="356"/>
      <c r="K3728" s="319" t="str">
        <f t="shared" si="1"/>
        <v/>
      </c>
    </row>
    <row r="3729" ht="15.75" customHeight="1">
      <c r="A3729" s="356"/>
      <c r="K3729" s="319" t="str">
        <f t="shared" si="1"/>
        <v/>
      </c>
    </row>
    <row r="3730" ht="15.75" customHeight="1">
      <c r="A3730" s="356"/>
      <c r="K3730" s="319" t="str">
        <f t="shared" si="1"/>
        <v/>
      </c>
    </row>
    <row r="3731" ht="15.75" customHeight="1">
      <c r="A3731" s="356"/>
      <c r="K3731" s="319" t="str">
        <f t="shared" si="1"/>
        <v/>
      </c>
    </row>
    <row r="3732" ht="15.75" customHeight="1">
      <c r="A3732" s="356"/>
      <c r="K3732" s="319" t="str">
        <f t="shared" si="1"/>
        <v/>
      </c>
    </row>
    <row r="3733" ht="15.75" customHeight="1">
      <c r="A3733" s="356"/>
      <c r="K3733" s="319" t="str">
        <f t="shared" si="1"/>
        <v/>
      </c>
    </row>
    <row r="3734" ht="15.75" customHeight="1">
      <c r="A3734" s="356"/>
      <c r="K3734" s="319" t="str">
        <f t="shared" si="1"/>
        <v/>
      </c>
    </row>
    <row r="3735" ht="15.75" customHeight="1">
      <c r="A3735" s="356"/>
      <c r="K3735" s="319" t="str">
        <f t="shared" si="1"/>
        <v/>
      </c>
    </row>
    <row r="3736" ht="15.75" customHeight="1">
      <c r="A3736" s="356"/>
      <c r="K3736" s="319" t="str">
        <f t="shared" si="1"/>
        <v/>
      </c>
    </row>
    <row r="3737" ht="15.75" customHeight="1">
      <c r="A3737" s="356"/>
      <c r="K3737" s="319" t="str">
        <f t="shared" si="1"/>
        <v/>
      </c>
    </row>
    <row r="3738" ht="15.75" customHeight="1">
      <c r="A3738" s="356"/>
      <c r="K3738" s="319" t="str">
        <f t="shared" si="1"/>
        <v/>
      </c>
    </row>
    <row r="3739" ht="15.75" customHeight="1">
      <c r="A3739" s="356"/>
      <c r="K3739" s="319" t="str">
        <f t="shared" si="1"/>
        <v/>
      </c>
    </row>
    <row r="3740" ht="15.75" customHeight="1">
      <c r="A3740" s="356"/>
      <c r="K3740" s="319" t="str">
        <f t="shared" si="1"/>
        <v/>
      </c>
    </row>
    <row r="3741" ht="15.75" customHeight="1">
      <c r="A3741" s="356"/>
      <c r="K3741" s="319" t="str">
        <f t="shared" si="1"/>
        <v/>
      </c>
    </row>
    <row r="3742" ht="15.75" customHeight="1">
      <c r="A3742" s="356"/>
      <c r="K3742" s="319" t="str">
        <f t="shared" si="1"/>
        <v/>
      </c>
    </row>
    <row r="3743" ht="15.75" customHeight="1">
      <c r="A3743" s="356"/>
      <c r="K3743" s="319" t="str">
        <f t="shared" si="1"/>
        <v/>
      </c>
    </row>
    <row r="3744" ht="15.75" customHeight="1">
      <c r="A3744" s="356"/>
      <c r="K3744" s="319" t="str">
        <f t="shared" si="1"/>
        <v/>
      </c>
    </row>
    <row r="3745" ht="15.75" customHeight="1">
      <c r="A3745" s="356"/>
      <c r="K3745" s="319" t="str">
        <f t="shared" si="1"/>
        <v/>
      </c>
    </row>
    <row r="3746" ht="15.75" customHeight="1">
      <c r="A3746" s="356"/>
      <c r="K3746" s="319" t="str">
        <f t="shared" si="1"/>
        <v/>
      </c>
    </row>
    <row r="3747" ht="15.75" customHeight="1">
      <c r="A3747" s="356"/>
      <c r="K3747" s="319" t="str">
        <f t="shared" si="1"/>
        <v/>
      </c>
    </row>
    <row r="3748" ht="15.75" customHeight="1">
      <c r="A3748" s="356"/>
      <c r="K3748" s="319" t="str">
        <f t="shared" si="1"/>
        <v/>
      </c>
    </row>
    <row r="3749" ht="15.75" customHeight="1">
      <c r="A3749" s="356"/>
      <c r="K3749" s="319" t="str">
        <f t="shared" si="1"/>
        <v/>
      </c>
    </row>
    <row r="3750" ht="15.75" customHeight="1">
      <c r="A3750" s="356"/>
      <c r="K3750" s="319" t="str">
        <f t="shared" si="1"/>
        <v/>
      </c>
    </row>
    <row r="3751" ht="15.75" customHeight="1">
      <c r="A3751" s="356"/>
      <c r="K3751" s="319" t="str">
        <f t="shared" si="1"/>
        <v/>
      </c>
    </row>
    <row r="3752" ht="15.75" customHeight="1">
      <c r="A3752" s="356"/>
      <c r="K3752" s="319" t="str">
        <f t="shared" si="1"/>
        <v/>
      </c>
    </row>
    <row r="3753" ht="15.75" customHeight="1">
      <c r="A3753" s="356"/>
      <c r="K3753" s="319" t="str">
        <f t="shared" si="1"/>
        <v/>
      </c>
    </row>
    <row r="3754" ht="15.75" customHeight="1">
      <c r="A3754" s="356"/>
      <c r="K3754" s="319" t="str">
        <f t="shared" si="1"/>
        <v/>
      </c>
    </row>
    <row r="3755" ht="15.75" customHeight="1">
      <c r="A3755" s="356"/>
      <c r="K3755" s="319" t="str">
        <f t="shared" si="1"/>
        <v/>
      </c>
    </row>
    <row r="3756" ht="15.75" customHeight="1">
      <c r="A3756" s="356"/>
      <c r="K3756" s="319" t="str">
        <f t="shared" si="1"/>
        <v/>
      </c>
    </row>
    <row r="3757" ht="15.75" customHeight="1">
      <c r="A3757" s="356"/>
      <c r="K3757" s="319" t="str">
        <f t="shared" si="1"/>
        <v/>
      </c>
    </row>
    <row r="3758" ht="15.75" customHeight="1">
      <c r="A3758" s="356"/>
      <c r="K3758" s="319" t="str">
        <f t="shared" si="1"/>
        <v/>
      </c>
    </row>
    <row r="3759" ht="15.75" customHeight="1">
      <c r="A3759" s="356"/>
      <c r="K3759" s="319" t="str">
        <f t="shared" si="1"/>
        <v/>
      </c>
    </row>
    <row r="3760" ht="15.75" customHeight="1">
      <c r="A3760" s="356"/>
      <c r="K3760" s="319" t="str">
        <f t="shared" si="1"/>
        <v/>
      </c>
    </row>
    <row r="3761" ht="15.75" customHeight="1">
      <c r="A3761" s="356"/>
      <c r="K3761" s="319" t="str">
        <f t="shared" si="1"/>
        <v/>
      </c>
    </row>
    <row r="3762" ht="15.75" customHeight="1">
      <c r="A3762" s="356"/>
      <c r="K3762" s="319" t="str">
        <f t="shared" si="1"/>
        <v/>
      </c>
    </row>
    <row r="3763" ht="15.75" customHeight="1">
      <c r="A3763" s="356"/>
      <c r="K3763" s="319" t="str">
        <f t="shared" si="1"/>
        <v/>
      </c>
    </row>
    <row r="3764" ht="15.75" customHeight="1">
      <c r="A3764" s="356"/>
      <c r="K3764" s="319" t="str">
        <f t="shared" si="1"/>
        <v/>
      </c>
    </row>
    <row r="3765" ht="15.75" customHeight="1">
      <c r="A3765" s="356"/>
      <c r="K3765" s="319" t="str">
        <f t="shared" si="1"/>
        <v/>
      </c>
    </row>
    <row r="3766" ht="15.75" customHeight="1">
      <c r="A3766" s="356"/>
      <c r="K3766" s="319" t="str">
        <f t="shared" si="1"/>
        <v/>
      </c>
    </row>
    <row r="3767" ht="15.75" customHeight="1">
      <c r="A3767" s="356"/>
      <c r="K3767" s="319" t="str">
        <f t="shared" si="1"/>
        <v/>
      </c>
    </row>
    <row r="3768" ht="15.75" customHeight="1">
      <c r="A3768" s="356"/>
      <c r="K3768" s="319" t="str">
        <f t="shared" si="1"/>
        <v/>
      </c>
    </row>
    <row r="3769" ht="15.75" customHeight="1">
      <c r="A3769" s="356"/>
      <c r="K3769" s="319" t="str">
        <f t="shared" si="1"/>
        <v/>
      </c>
    </row>
    <row r="3770" ht="15.75" customHeight="1">
      <c r="A3770" s="356"/>
      <c r="K3770" s="319" t="str">
        <f t="shared" si="1"/>
        <v/>
      </c>
    </row>
    <row r="3771" ht="15.75" customHeight="1">
      <c r="A3771" s="356"/>
      <c r="K3771" s="319" t="str">
        <f t="shared" si="1"/>
        <v/>
      </c>
    </row>
    <row r="3772" ht="15.75" customHeight="1">
      <c r="A3772" s="356"/>
      <c r="K3772" s="319" t="str">
        <f t="shared" si="1"/>
        <v/>
      </c>
    </row>
    <row r="3773" ht="15.75" customHeight="1">
      <c r="A3773" s="356"/>
      <c r="K3773" s="319" t="str">
        <f t="shared" si="1"/>
        <v/>
      </c>
    </row>
    <row r="3774" ht="15.75" customHeight="1">
      <c r="A3774" s="356"/>
      <c r="K3774" s="319" t="str">
        <f t="shared" si="1"/>
        <v/>
      </c>
    </row>
    <row r="3775" ht="15.75" customHeight="1">
      <c r="A3775" s="356"/>
      <c r="K3775" s="319" t="str">
        <f t="shared" si="1"/>
        <v/>
      </c>
    </row>
    <row r="3776" ht="15.75" customHeight="1">
      <c r="A3776" s="356"/>
      <c r="K3776" s="319" t="str">
        <f t="shared" si="1"/>
        <v/>
      </c>
    </row>
    <row r="3777" ht="15.75" customHeight="1">
      <c r="A3777" s="356"/>
      <c r="K3777" s="319" t="str">
        <f t="shared" si="1"/>
        <v/>
      </c>
    </row>
    <row r="3778" ht="15.75" customHeight="1">
      <c r="A3778" s="356"/>
      <c r="K3778" s="319" t="str">
        <f t="shared" si="1"/>
        <v/>
      </c>
    </row>
    <row r="3779" ht="15.75" customHeight="1">
      <c r="A3779" s="356"/>
      <c r="K3779" s="319" t="str">
        <f t="shared" si="1"/>
        <v/>
      </c>
    </row>
    <row r="3780" ht="15.75" customHeight="1">
      <c r="A3780" s="356"/>
      <c r="K3780" s="319" t="str">
        <f t="shared" si="1"/>
        <v/>
      </c>
    </row>
    <row r="3781" ht="15.75" customHeight="1">
      <c r="A3781" s="356"/>
      <c r="K3781" s="319" t="str">
        <f t="shared" si="1"/>
        <v/>
      </c>
    </row>
    <row r="3782" ht="15.75" customHeight="1">
      <c r="A3782" s="356"/>
      <c r="K3782" s="319" t="str">
        <f t="shared" si="1"/>
        <v/>
      </c>
    </row>
    <row r="3783" ht="15.75" customHeight="1">
      <c r="A3783" s="356"/>
      <c r="K3783" s="319" t="str">
        <f t="shared" si="1"/>
        <v/>
      </c>
    </row>
    <row r="3784" ht="15.75" customHeight="1">
      <c r="A3784" s="356"/>
      <c r="K3784" s="319" t="str">
        <f t="shared" si="1"/>
        <v/>
      </c>
    </row>
    <row r="3785" ht="15.75" customHeight="1">
      <c r="A3785" s="356"/>
      <c r="K3785" s="319" t="str">
        <f t="shared" si="1"/>
        <v/>
      </c>
    </row>
    <row r="3786" ht="15.75" customHeight="1">
      <c r="A3786" s="356"/>
      <c r="K3786" s="319" t="str">
        <f t="shared" si="1"/>
        <v/>
      </c>
    </row>
    <row r="3787" ht="15.75" customHeight="1">
      <c r="A3787" s="356"/>
      <c r="K3787" s="319" t="str">
        <f t="shared" si="1"/>
        <v/>
      </c>
    </row>
    <row r="3788" ht="15.75" customHeight="1">
      <c r="A3788" s="356"/>
      <c r="K3788" s="319" t="str">
        <f t="shared" si="1"/>
        <v/>
      </c>
    </row>
    <row r="3789" ht="15.75" customHeight="1">
      <c r="A3789" s="356"/>
      <c r="K3789" s="319" t="str">
        <f t="shared" si="1"/>
        <v/>
      </c>
    </row>
    <row r="3790" ht="15.75" customHeight="1">
      <c r="A3790" s="356"/>
      <c r="K3790" s="319" t="str">
        <f t="shared" si="1"/>
        <v/>
      </c>
    </row>
    <row r="3791" ht="15.75" customHeight="1">
      <c r="A3791" s="356"/>
      <c r="K3791" s="319" t="str">
        <f t="shared" si="1"/>
        <v/>
      </c>
    </row>
    <row r="3792" ht="15.75" customHeight="1">
      <c r="A3792" s="356"/>
      <c r="K3792" s="319" t="str">
        <f t="shared" si="1"/>
        <v/>
      </c>
    </row>
    <row r="3793" ht="15.75" customHeight="1">
      <c r="A3793" s="356"/>
      <c r="K3793" s="319" t="str">
        <f t="shared" si="1"/>
        <v/>
      </c>
    </row>
    <row r="3794" ht="15.75" customHeight="1">
      <c r="A3794" s="356"/>
      <c r="K3794" s="319" t="str">
        <f t="shared" si="1"/>
        <v/>
      </c>
    </row>
    <row r="3795" ht="15.75" customHeight="1">
      <c r="A3795" s="356"/>
      <c r="K3795" s="319" t="str">
        <f t="shared" si="1"/>
        <v/>
      </c>
    </row>
    <row r="3796" ht="15.75" customHeight="1">
      <c r="A3796" s="356"/>
      <c r="K3796" s="319" t="str">
        <f t="shared" si="1"/>
        <v/>
      </c>
    </row>
    <row r="3797" ht="15.75" customHeight="1">
      <c r="A3797" s="356"/>
      <c r="K3797" s="319" t="str">
        <f t="shared" si="1"/>
        <v/>
      </c>
    </row>
    <row r="3798" ht="15.75" customHeight="1">
      <c r="A3798" s="356"/>
      <c r="K3798" s="319" t="str">
        <f t="shared" si="1"/>
        <v/>
      </c>
    </row>
    <row r="3799" ht="15.75" customHeight="1">
      <c r="A3799" s="356"/>
      <c r="K3799" s="319" t="str">
        <f t="shared" si="1"/>
        <v/>
      </c>
    </row>
    <row r="3800" ht="15.75" customHeight="1">
      <c r="A3800" s="356"/>
      <c r="K3800" s="319" t="str">
        <f t="shared" si="1"/>
        <v/>
      </c>
    </row>
    <row r="3801" ht="15.75" customHeight="1">
      <c r="A3801" s="356"/>
      <c r="K3801" s="319" t="str">
        <f t="shared" si="1"/>
        <v/>
      </c>
    </row>
    <row r="3802" ht="15.75" customHeight="1">
      <c r="A3802" s="356"/>
      <c r="K3802" s="319" t="str">
        <f t="shared" si="1"/>
        <v/>
      </c>
    </row>
    <row r="3803" ht="15.75" customHeight="1">
      <c r="A3803" s="356"/>
      <c r="K3803" s="319" t="str">
        <f t="shared" si="1"/>
        <v/>
      </c>
    </row>
    <row r="3804" ht="15.75" customHeight="1">
      <c r="A3804" s="356"/>
      <c r="K3804" s="319" t="str">
        <f t="shared" si="1"/>
        <v/>
      </c>
    </row>
    <row r="3805" ht="15.75" customHeight="1">
      <c r="A3805" s="356"/>
      <c r="K3805" s="319" t="str">
        <f t="shared" si="1"/>
        <v/>
      </c>
    </row>
    <row r="3806" ht="15.75" customHeight="1">
      <c r="A3806" s="356"/>
      <c r="K3806" s="319" t="str">
        <f t="shared" si="1"/>
        <v/>
      </c>
    </row>
    <row r="3807" ht="15.75" customHeight="1">
      <c r="A3807" s="356"/>
      <c r="K3807" s="319" t="str">
        <f t="shared" si="1"/>
        <v/>
      </c>
    </row>
    <row r="3808" ht="15.75" customHeight="1">
      <c r="A3808" s="356"/>
      <c r="K3808" s="319" t="str">
        <f t="shared" si="1"/>
        <v/>
      </c>
    </row>
    <row r="3809" ht="15.75" customHeight="1">
      <c r="A3809" s="356"/>
      <c r="K3809" s="319" t="str">
        <f t="shared" si="1"/>
        <v/>
      </c>
    </row>
    <row r="3810" ht="15.75" customHeight="1">
      <c r="A3810" s="356"/>
      <c r="K3810" s="319" t="str">
        <f t="shared" si="1"/>
        <v/>
      </c>
    </row>
    <row r="3811" ht="15.75" customHeight="1">
      <c r="A3811" s="356"/>
      <c r="K3811" s="319" t="str">
        <f t="shared" si="1"/>
        <v/>
      </c>
    </row>
    <row r="3812" ht="15.75" customHeight="1">
      <c r="A3812" s="356"/>
      <c r="K3812" s="319" t="str">
        <f t="shared" si="1"/>
        <v/>
      </c>
    </row>
    <row r="3813" ht="15.75" customHeight="1">
      <c r="A3813" s="356"/>
      <c r="K3813" s="319" t="str">
        <f t="shared" si="1"/>
        <v/>
      </c>
    </row>
    <row r="3814" ht="15.75" customHeight="1">
      <c r="A3814" s="356"/>
      <c r="K3814" s="319" t="str">
        <f t="shared" si="1"/>
        <v/>
      </c>
    </row>
    <row r="3815" ht="15.75" customHeight="1">
      <c r="A3815" s="356"/>
      <c r="K3815" s="319" t="str">
        <f t="shared" si="1"/>
        <v/>
      </c>
    </row>
    <row r="3816" ht="15.75" customHeight="1">
      <c r="A3816" s="356"/>
      <c r="K3816" s="319" t="str">
        <f t="shared" si="1"/>
        <v/>
      </c>
    </row>
    <row r="3817" ht="15.75" customHeight="1">
      <c r="A3817" s="356"/>
      <c r="K3817" s="319" t="str">
        <f t="shared" si="1"/>
        <v/>
      </c>
    </row>
    <row r="3818" ht="15.75" customHeight="1">
      <c r="A3818" s="356"/>
      <c r="K3818" s="319" t="str">
        <f t="shared" si="1"/>
        <v/>
      </c>
    </row>
    <row r="3819" ht="15.75" customHeight="1">
      <c r="A3819" s="356"/>
      <c r="K3819" s="319" t="str">
        <f t="shared" si="1"/>
        <v/>
      </c>
    </row>
    <row r="3820" ht="15.75" customHeight="1">
      <c r="A3820" s="356"/>
      <c r="K3820" s="319" t="str">
        <f t="shared" si="1"/>
        <v/>
      </c>
    </row>
    <row r="3821" ht="15.75" customHeight="1">
      <c r="A3821" s="356"/>
      <c r="K3821" s="319" t="str">
        <f t="shared" si="1"/>
        <v/>
      </c>
    </row>
    <row r="3822" ht="15.75" customHeight="1">
      <c r="A3822" s="356"/>
      <c r="K3822" s="319" t="str">
        <f t="shared" si="1"/>
        <v/>
      </c>
    </row>
    <row r="3823" ht="15.75" customHeight="1">
      <c r="A3823" s="356"/>
      <c r="K3823" s="319" t="str">
        <f t="shared" si="1"/>
        <v/>
      </c>
    </row>
    <row r="3824" ht="15.75" customHeight="1">
      <c r="A3824" s="356"/>
      <c r="K3824" s="319" t="str">
        <f t="shared" si="1"/>
        <v/>
      </c>
    </row>
    <row r="3825" ht="15.75" customHeight="1">
      <c r="A3825" s="356"/>
      <c r="K3825" s="319" t="str">
        <f t="shared" si="1"/>
        <v/>
      </c>
    </row>
    <row r="3826" ht="15.75" customHeight="1">
      <c r="A3826" s="356"/>
      <c r="K3826" s="319" t="str">
        <f t="shared" si="1"/>
        <v/>
      </c>
    </row>
    <row r="3827" ht="15.75" customHeight="1">
      <c r="A3827" s="356"/>
      <c r="K3827" s="319" t="str">
        <f t="shared" si="1"/>
        <v/>
      </c>
    </row>
    <row r="3828" ht="15.75" customHeight="1">
      <c r="A3828" s="356"/>
      <c r="K3828" s="319" t="str">
        <f t="shared" si="1"/>
        <v/>
      </c>
    </row>
    <row r="3829" ht="15.75" customHeight="1">
      <c r="A3829" s="356"/>
      <c r="K3829" s="319" t="str">
        <f t="shared" si="1"/>
        <v/>
      </c>
    </row>
    <row r="3830" ht="15.75" customHeight="1">
      <c r="A3830" s="356"/>
      <c r="K3830" s="319" t="str">
        <f t="shared" si="1"/>
        <v/>
      </c>
    </row>
    <row r="3831" ht="15.75" customHeight="1">
      <c r="A3831" s="356"/>
      <c r="K3831" s="319" t="str">
        <f t="shared" si="1"/>
        <v/>
      </c>
    </row>
    <row r="3832" ht="15.75" customHeight="1">
      <c r="A3832" s="356"/>
      <c r="K3832" s="319" t="str">
        <f t="shared" si="1"/>
        <v/>
      </c>
    </row>
    <row r="3833" ht="15.75" customHeight="1">
      <c r="A3833" s="356"/>
      <c r="K3833" s="319" t="str">
        <f t="shared" si="1"/>
        <v/>
      </c>
    </row>
    <row r="3834" ht="15.75" customHeight="1">
      <c r="A3834" s="356"/>
      <c r="K3834" s="319" t="str">
        <f t="shared" si="1"/>
        <v/>
      </c>
    </row>
    <row r="3835" ht="15.75" customHeight="1">
      <c r="A3835" s="356"/>
      <c r="K3835" s="319" t="str">
        <f t="shared" si="1"/>
        <v/>
      </c>
    </row>
    <row r="3836" ht="15.75" customHeight="1">
      <c r="A3836" s="356"/>
      <c r="K3836" s="319" t="str">
        <f t="shared" si="1"/>
        <v/>
      </c>
    </row>
    <row r="3837" ht="15.75" customHeight="1">
      <c r="A3837" s="356"/>
      <c r="K3837" s="319" t="str">
        <f t="shared" si="1"/>
        <v/>
      </c>
    </row>
    <row r="3838" ht="15.75" customHeight="1">
      <c r="A3838" s="356"/>
      <c r="K3838" s="319" t="str">
        <f t="shared" si="1"/>
        <v/>
      </c>
    </row>
    <row r="3839" ht="15.75" customHeight="1">
      <c r="A3839" s="356"/>
      <c r="K3839" s="319" t="str">
        <f t="shared" si="1"/>
        <v/>
      </c>
    </row>
    <row r="3840" ht="15.75" customHeight="1">
      <c r="A3840" s="356"/>
      <c r="K3840" s="319" t="str">
        <f t="shared" si="1"/>
        <v/>
      </c>
    </row>
    <row r="3841" ht="15.75" customHeight="1">
      <c r="A3841" s="356"/>
      <c r="K3841" s="319" t="str">
        <f t="shared" si="1"/>
        <v/>
      </c>
    </row>
    <row r="3842" ht="15.75" customHeight="1">
      <c r="A3842" s="356"/>
      <c r="K3842" s="319" t="str">
        <f t="shared" si="1"/>
        <v/>
      </c>
    </row>
    <row r="3843" ht="15.75" customHeight="1">
      <c r="A3843" s="356"/>
      <c r="K3843" s="319" t="str">
        <f t="shared" si="1"/>
        <v/>
      </c>
    </row>
    <row r="3844" ht="15.75" customHeight="1">
      <c r="A3844" s="356"/>
      <c r="K3844" s="319" t="str">
        <f t="shared" si="1"/>
        <v/>
      </c>
    </row>
    <row r="3845" ht="15.75" customHeight="1">
      <c r="A3845" s="356"/>
      <c r="K3845" s="319" t="str">
        <f t="shared" si="1"/>
        <v/>
      </c>
    </row>
    <row r="3846" ht="15.75" customHeight="1">
      <c r="A3846" s="356"/>
      <c r="K3846" s="319" t="str">
        <f t="shared" si="1"/>
        <v/>
      </c>
    </row>
    <row r="3847" ht="15.75" customHeight="1">
      <c r="A3847" s="356"/>
      <c r="K3847" s="319" t="str">
        <f t="shared" si="1"/>
        <v/>
      </c>
    </row>
    <row r="3848" ht="15.75" customHeight="1">
      <c r="A3848" s="356"/>
      <c r="K3848" s="319" t="str">
        <f t="shared" si="1"/>
        <v/>
      </c>
    </row>
    <row r="3849" ht="15.75" customHeight="1">
      <c r="A3849" s="356"/>
      <c r="K3849" s="319" t="str">
        <f t="shared" si="1"/>
        <v/>
      </c>
    </row>
    <row r="3850" ht="15.75" customHeight="1">
      <c r="A3850" s="356"/>
      <c r="K3850" s="319" t="str">
        <f t="shared" si="1"/>
        <v/>
      </c>
    </row>
    <row r="3851" ht="15.75" customHeight="1">
      <c r="A3851" s="356"/>
      <c r="K3851" s="319" t="str">
        <f t="shared" si="1"/>
        <v/>
      </c>
    </row>
    <row r="3852" ht="15.75" customHeight="1">
      <c r="A3852" s="356"/>
      <c r="K3852" s="319" t="str">
        <f t="shared" si="1"/>
        <v/>
      </c>
    </row>
    <row r="3853" ht="15.75" customHeight="1">
      <c r="A3853" s="356"/>
      <c r="K3853" s="319" t="str">
        <f t="shared" si="1"/>
        <v/>
      </c>
    </row>
    <row r="3854" ht="15.75" customHeight="1">
      <c r="A3854" s="356"/>
      <c r="K3854" s="319" t="str">
        <f t="shared" si="1"/>
        <v/>
      </c>
    </row>
    <row r="3855" ht="15.75" customHeight="1">
      <c r="A3855" s="356"/>
      <c r="K3855" s="319" t="str">
        <f t="shared" si="1"/>
        <v/>
      </c>
    </row>
    <row r="3856" ht="15.75" customHeight="1">
      <c r="A3856" s="356"/>
      <c r="K3856" s="319" t="str">
        <f t="shared" si="1"/>
        <v/>
      </c>
    </row>
    <row r="3857" ht="15.75" customHeight="1">
      <c r="A3857" s="356"/>
      <c r="K3857" s="319" t="str">
        <f t="shared" si="1"/>
        <v/>
      </c>
    </row>
    <row r="3858" ht="15.75" customHeight="1">
      <c r="A3858" s="356"/>
      <c r="K3858" s="319" t="str">
        <f t="shared" si="1"/>
        <v/>
      </c>
    </row>
    <row r="3859" ht="15.75" customHeight="1">
      <c r="A3859" s="356"/>
      <c r="K3859" s="319" t="str">
        <f t="shared" si="1"/>
        <v/>
      </c>
    </row>
    <row r="3860" ht="15.75" customHeight="1">
      <c r="A3860" s="356"/>
      <c r="K3860" s="319" t="str">
        <f t="shared" si="1"/>
        <v/>
      </c>
    </row>
    <row r="3861" ht="15.75" customHeight="1">
      <c r="A3861" s="356"/>
      <c r="K3861" s="319" t="str">
        <f t="shared" si="1"/>
        <v/>
      </c>
    </row>
    <row r="3862" ht="15.75" customHeight="1">
      <c r="A3862" s="356"/>
      <c r="K3862" s="319" t="str">
        <f t="shared" si="1"/>
        <v/>
      </c>
    </row>
    <row r="3863" ht="15.75" customHeight="1">
      <c r="A3863" s="356"/>
      <c r="K3863" s="319" t="str">
        <f t="shared" si="1"/>
        <v/>
      </c>
    </row>
    <row r="3864" ht="15.75" customHeight="1">
      <c r="A3864" s="356"/>
      <c r="K3864" s="319" t="str">
        <f t="shared" si="1"/>
        <v/>
      </c>
    </row>
    <row r="3865" ht="15.75" customHeight="1">
      <c r="A3865" s="356"/>
      <c r="K3865" s="319" t="str">
        <f t="shared" si="1"/>
        <v/>
      </c>
    </row>
    <row r="3866" ht="15.75" customHeight="1">
      <c r="A3866" s="356"/>
      <c r="K3866" s="319" t="str">
        <f t="shared" si="1"/>
        <v/>
      </c>
    </row>
    <row r="3867" ht="15.75" customHeight="1">
      <c r="A3867" s="356"/>
      <c r="K3867" s="319" t="str">
        <f t="shared" si="1"/>
        <v/>
      </c>
    </row>
    <row r="3868" ht="15.75" customHeight="1">
      <c r="A3868" s="356"/>
      <c r="K3868" s="319" t="str">
        <f t="shared" si="1"/>
        <v/>
      </c>
    </row>
    <row r="3869" ht="15.75" customHeight="1">
      <c r="A3869" s="356"/>
      <c r="K3869" s="319" t="str">
        <f t="shared" si="1"/>
        <v/>
      </c>
    </row>
    <row r="3870" ht="15.75" customHeight="1">
      <c r="A3870" s="356"/>
      <c r="K3870" s="319" t="str">
        <f t="shared" si="1"/>
        <v/>
      </c>
    </row>
    <row r="3871" ht="15.75" customHeight="1">
      <c r="A3871" s="356"/>
      <c r="K3871" s="319" t="str">
        <f t="shared" si="1"/>
        <v/>
      </c>
    </row>
    <row r="3872" ht="15.75" customHeight="1">
      <c r="A3872" s="356"/>
      <c r="K3872" s="319" t="str">
        <f t="shared" si="1"/>
        <v/>
      </c>
    </row>
    <row r="3873" ht="15.75" customHeight="1">
      <c r="A3873" s="356"/>
      <c r="K3873" s="319" t="str">
        <f t="shared" si="1"/>
        <v/>
      </c>
    </row>
    <row r="3874" ht="15.75" customHeight="1">
      <c r="A3874" s="356"/>
      <c r="K3874" s="319" t="str">
        <f t="shared" si="1"/>
        <v/>
      </c>
    </row>
    <row r="3875" ht="15.75" customHeight="1">
      <c r="A3875" s="356"/>
      <c r="K3875" s="319" t="str">
        <f t="shared" si="1"/>
        <v/>
      </c>
    </row>
    <row r="3876" ht="15.75" customHeight="1">
      <c r="A3876" s="356"/>
      <c r="K3876" s="319" t="str">
        <f t="shared" si="1"/>
        <v/>
      </c>
    </row>
    <row r="3877" ht="15.75" customHeight="1">
      <c r="A3877" s="356"/>
      <c r="K3877" s="319" t="str">
        <f t="shared" si="1"/>
        <v/>
      </c>
    </row>
    <row r="3878" ht="15.75" customHeight="1">
      <c r="A3878" s="356"/>
      <c r="K3878" s="319" t="str">
        <f t="shared" si="1"/>
        <v/>
      </c>
    </row>
    <row r="3879" ht="15.75" customHeight="1">
      <c r="A3879" s="356"/>
      <c r="K3879" s="319" t="str">
        <f t="shared" si="1"/>
        <v/>
      </c>
    </row>
    <row r="3880" ht="15.75" customHeight="1">
      <c r="A3880" s="356"/>
      <c r="K3880" s="319" t="str">
        <f t="shared" si="1"/>
        <v/>
      </c>
    </row>
    <row r="3881" ht="15.75" customHeight="1">
      <c r="A3881" s="356"/>
      <c r="K3881" s="319" t="str">
        <f t="shared" si="1"/>
        <v/>
      </c>
    </row>
    <row r="3882" ht="15.75" customHeight="1">
      <c r="A3882" s="356"/>
      <c r="K3882" s="319" t="str">
        <f t="shared" si="1"/>
        <v/>
      </c>
    </row>
    <row r="3883" ht="15.75" customHeight="1">
      <c r="A3883" s="356"/>
      <c r="K3883" s="319" t="str">
        <f t="shared" si="1"/>
        <v/>
      </c>
    </row>
    <row r="3884" ht="15.75" customHeight="1">
      <c r="A3884" s="356"/>
      <c r="K3884" s="319" t="str">
        <f t="shared" si="1"/>
        <v/>
      </c>
    </row>
    <row r="3885" ht="15.75" customHeight="1">
      <c r="A3885" s="356"/>
      <c r="K3885" s="319" t="str">
        <f t="shared" si="1"/>
        <v/>
      </c>
    </row>
    <row r="3886" ht="15.75" customHeight="1">
      <c r="A3886" s="356"/>
      <c r="K3886" s="319" t="str">
        <f t="shared" si="1"/>
        <v/>
      </c>
    </row>
    <row r="3887" ht="15.75" customHeight="1">
      <c r="A3887" s="356"/>
      <c r="K3887" s="319" t="str">
        <f t="shared" si="1"/>
        <v/>
      </c>
    </row>
    <row r="3888" ht="15.75" customHeight="1">
      <c r="A3888" s="356"/>
      <c r="K3888" s="319" t="str">
        <f t="shared" si="1"/>
        <v/>
      </c>
    </row>
    <row r="3889" ht="15.75" customHeight="1">
      <c r="A3889" s="356"/>
      <c r="K3889" s="319" t="str">
        <f t="shared" si="1"/>
        <v/>
      </c>
    </row>
    <row r="3890" ht="15.75" customHeight="1">
      <c r="A3890" s="356"/>
      <c r="K3890" s="319" t="str">
        <f t="shared" si="1"/>
        <v/>
      </c>
    </row>
    <row r="3891" ht="15.75" customHeight="1">
      <c r="A3891" s="356"/>
      <c r="K3891" s="319" t="str">
        <f t="shared" si="1"/>
        <v/>
      </c>
    </row>
    <row r="3892" ht="15.75" customHeight="1">
      <c r="A3892" s="356"/>
      <c r="K3892" s="319" t="str">
        <f t="shared" si="1"/>
        <v/>
      </c>
    </row>
    <row r="3893" ht="15.75" customHeight="1">
      <c r="A3893" s="356"/>
      <c r="K3893" s="319" t="str">
        <f t="shared" si="1"/>
        <v/>
      </c>
    </row>
    <row r="3894" ht="15.75" customHeight="1">
      <c r="A3894" s="356"/>
      <c r="K3894" s="319" t="str">
        <f t="shared" si="1"/>
        <v/>
      </c>
    </row>
    <row r="3895" ht="15.75" customHeight="1">
      <c r="A3895" s="356"/>
      <c r="K3895" s="319" t="str">
        <f t="shared" si="1"/>
        <v/>
      </c>
    </row>
    <row r="3896" ht="15.75" customHeight="1">
      <c r="A3896" s="356"/>
      <c r="K3896" s="319" t="str">
        <f t="shared" si="1"/>
        <v/>
      </c>
    </row>
    <row r="3897" ht="15.75" customHeight="1">
      <c r="A3897" s="356"/>
      <c r="K3897" s="319" t="str">
        <f t="shared" si="1"/>
        <v/>
      </c>
    </row>
    <row r="3898" ht="15.75" customHeight="1">
      <c r="A3898" s="356"/>
      <c r="K3898" s="319" t="str">
        <f t="shared" si="1"/>
        <v/>
      </c>
    </row>
    <row r="3899" ht="15.75" customHeight="1">
      <c r="A3899" s="356"/>
      <c r="K3899" s="319" t="str">
        <f t="shared" si="1"/>
        <v/>
      </c>
    </row>
    <row r="3900" ht="15.75" customHeight="1">
      <c r="A3900" s="356"/>
      <c r="K3900" s="319" t="str">
        <f t="shared" si="1"/>
        <v/>
      </c>
    </row>
    <row r="3901" ht="15.75" customHeight="1">
      <c r="A3901" s="356"/>
      <c r="K3901" s="319" t="str">
        <f t="shared" si="1"/>
        <v/>
      </c>
    </row>
    <row r="3902" ht="15.75" customHeight="1">
      <c r="A3902" s="356"/>
      <c r="K3902" s="319" t="str">
        <f t="shared" si="1"/>
        <v/>
      </c>
    </row>
    <row r="3903" ht="15.75" customHeight="1">
      <c r="A3903" s="356"/>
      <c r="K3903" s="319" t="str">
        <f t="shared" si="1"/>
        <v/>
      </c>
    </row>
    <row r="3904" ht="15.75" customHeight="1">
      <c r="A3904" s="356"/>
      <c r="K3904" s="319" t="str">
        <f t="shared" si="1"/>
        <v/>
      </c>
    </row>
    <row r="3905" ht="15.75" customHeight="1">
      <c r="A3905" s="356"/>
      <c r="K3905" s="319" t="str">
        <f t="shared" si="1"/>
        <v/>
      </c>
    </row>
    <row r="3906" ht="15.75" customHeight="1">
      <c r="A3906" s="356"/>
      <c r="K3906" s="319" t="str">
        <f t="shared" si="1"/>
        <v/>
      </c>
    </row>
    <row r="3907" ht="15.75" customHeight="1">
      <c r="A3907" s="356"/>
      <c r="K3907" s="319" t="str">
        <f t="shared" si="1"/>
        <v/>
      </c>
    </row>
    <row r="3908" ht="15.75" customHeight="1">
      <c r="A3908" s="356"/>
      <c r="K3908" s="319" t="str">
        <f t="shared" si="1"/>
        <v/>
      </c>
    </row>
    <row r="3909" ht="15.75" customHeight="1">
      <c r="A3909" s="356"/>
      <c r="K3909" s="319" t="str">
        <f t="shared" si="1"/>
        <v/>
      </c>
    </row>
    <row r="3910" ht="15.75" customHeight="1">
      <c r="A3910" s="356"/>
      <c r="K3910" s="319" t="str">
        <f t="shared" si="1"/>
        <v/>
      </c>
    </row>
    <row r="3911" ht="15.75" customHeight="1">
      <c r="A3911" s="356"/>
      <c r="K3911" s="319" t="str">
        <f t="shared" si="1"/>
        <v/>
      </c>
    </row>
    <row r="3912" ht="15.75" customHeight="1">
      <c r="A3912" s="356"/>
      <c r="K3912" s="319" t="str">
        <f t="shared" si="1"/>
        <v/>
      </c>
    </row>
    <row r="3913" ht="15.75" customHeight="1">
      <c r="A3913" s="356"/>
      <c r="K3913" s="319" t="str">
        <f t="shared" si="1"/>
        <v/>
      </c>
    </row>
    <row r="3914" ht="15.75" customHeight="1">
      <c r="A3914" s="356"/>
      <c r="K3914" s="319" t="str">
        <f t="shared" si="1"/>
        <v/>
      </c>
    </row>
    <row r="3915" ht="15.75" customHeight="1">
      <c r="A3915" s="356"/>
      <c r="K3915" s="319" t="str">
        <f t="shared" si="1"/>
        <v/>
      </c>
    </row>
    <row r="3916" ht="15.75" customHeight="1">
      <c r="A3916" s="356"/>
      <c r="K3916" s="319" t="str">
        <f t="shared" si="1"/>
        <v/>
      </c>
    </row>
    <row r="3917" ht="15.75" customHeight="1">
      <c r="A3917" s="356"/>
      <c r="K3917" s="319" t="str">
        <f t="shared" si="1"/>
        <v/>
      </c>
    </row>
    <row r="3918" ht="15.75" customHeight="1">
      <c r="A3918" s="356"/>
      <c r="K3918" s="319" t="str">
        <f t="shared" si="1"/>
        <v/>
      </c>
    </row>
    <row r="3919" ht="15.75" customHeight="1">
      <c r="A3919" s="356"/>
      <c r="K3919" s="319" t="str">
        <f t="shared" si="1"/>
        <v/>
      </c>
    </row>
    <row r="3920" ht="15.75" customHeight="1">
      <c r="A3920" s="356"/>
      <c r="K3920" s="319" t="str">
        <f t="shared" si="1"/>
        <v/>
      </c>
    </row>
    <row r="3921" ht="15.75" customHeight="1">
      <c r="A3921" s="356"/>
      <c r="K3921" s="319" t="str">
        <f t="shared" si="1"/>
        <v/>
      </c>
    </row>
    <row r="3922" ht="15.75" customHeight="1">
      <c r="A3922" s="356"/>
      <c r="K3922" s="319" t="str">
        <f t="shared" si="1"/>
        <v/>
      </c>
    </row>
    <row r="3923" ht="15.75" customHeight="1">
      <c r="A3923" s="356"/>
      <c r="K3923" s="319" t="str">
        <f t="shared" si="1"/>
        <v/>
      </c>
    </row>
    <row r="3924" ht="15.75" customHeight="1">
      <c r="A3924" s="356"/>
      <c r="K3924" s="319" t="str">
        <f t="shared" si="1"/>
        <v/>
      </c>
    </row>
    <row r="3925" ht="15.75" customHeight="1">
      <c r="A3925" s="356"/>
      <c r="K3925" s="319" t="str">
        <f t="shared" si="1"/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4.63"/>
    <col customWidth="1" min="5" max="5" width="14.5"/>
    <col customWidth="1" min="6" max="6" width="17.0"/>
    <col customWidth="1" min="7" max="7" width="22.38"/>
    <col customWidth="1" min="8" max="8" width="16.25"/>
    <col customWidth="1" min="9" max="9" width="20.13"/>
  </cols>
  <sheetData>
    <row r="1" ht="34.5" customHeight="1">
      <c r="A1" s="350" t="s">
        <v>336</v>
      </c>
      <c r="B1" s="351" t="s">
        <v>337</v>
      </c>
      <c r="C1" s="351" t="s">
        <v>367</v>
      </c>
      <c r="D1" s="357" t="s">
        <v>342</v>
      </c>
      <c r="E1" s="357" t="s">
        <v>368</v>
      </c>
      <c r="F1" s="358" t="s">
        <v>0</v>
      </c>
      <c r="G1" s="358" t="s">
        <v>369</v>
      </c>
      <c r="H1" s="358" t="s">
        <v>370</v>
      </c>
      <c r="I1" s="359" t="s">
        <v>371</v>
      </c>
    </row>
    <row r="2" ht="15.75" customHeight="1">
      <c r="A2" s="356"/>
      <c r="F2" s="356"/>
    </row>
    <row r="3" ht="15.75" customHeight="1">
      <c r="A3" s="356"/>
      <c r="F3" s="356"/>
    </row>
    <row r="4" ht="15.75" customHeight="1">
      <c r="A4" s="356"/>
      <c r="F4" s="356"/>
    </row>
    <row r="5" ht="15.75" customHeight="1">
      <c r="A5" s="356"/>
      <c r="F5" s="356"/>
    </row>
    <row r="6" ht="15.75" customHeight="1">
      <c r="A6" s="356"/>
      <c r="F6" s="356"/>
    </row>
    <row r="7" ht="15.75" customHeight="1">
      <c r="A7" s="356"/>
      <c r="F7" s="356"/>
    </row>
    <row r="8" ht="15.75" customHeight="1">
      <c r="A8" s="356"/>
      <c r="F8" s="356"/>
    </row>
    <row r="9" ht="15.75" customHeight="1">
      <c r="A9" s="356"/>
      <c r="F9" s="356"/>
    </row>
    <row r="10" ht="15.75" customHeight="1">
      <c r="A10" s="356"/>
      <c r="F10" s="356"/>
    </row>
    <row r="11" ht="15.75" customHeight="1">
      <c r="A11" s="356"/>
      <c r="F11" s="356"/>
    </row>
    <row r="12" ht="15.75" customHeight="1">
      <c r="A12" s="356"/>
    </row>
    <row r="13" ht="15.75" customHeight="1">
      <c r="A13" s="356"/>
    </row>
    <row r="14" ht="15.75" customHeight="1">
      <c r="A14" s="356"/>
    </row>
    <row r="15" ht="15.75" customHeight="1">
      <c r="A15" s="356"/>
    </row>
    <row r="16" ht="15.75" customHeight="1">
      <c r="A16" s="356"/>
    </row>
    <row r="17" ht="15.75" customHeight="1">
      <c r="A17" s="356"/>
    </row>
    <row r="18" ht="15.75" customHeight="1">
      <c r="A18" s="356"/>
    </row>
    <row r="19" ht="15.75" customHeight="1">
      <c r="A19" s="356"/>
    </row>
    <row r="20" ht="15.75" customHeight="1">
      <c r="A20" s="356"/>
    </row>
    <row r="21" ht="15.75" customHeight="1">
      <c r="A21" s="356"/>
    </row>
    <row r="22" ht="15.75" customHeight="1">
      <c r="A22" s="356"/>
    </row>
    <row r="23" ht="15.75" customHeight="1">
      <c r="A23" s="356"/>
    </row>
    <row r="24" ht="15.75" customHeight="1">
      <c r="A24" s="356"/>
    </row>
    <row r="25" ht="15.75" customHeight="1">
      <c r="A25" s="356"/>
    </row>
    <row r="26" ht="15.75" customHeight="1">
      <c r="A26" s="356"/>
    </row>
    <row r="27" ht="15.75" customHeight="1">
      <c r="A27" s="356"/>
    </row>
    <row r="28" ht="15.75" customHeight="1">
      <c r="A28" s="356"/>
    </row>
    <row r="29" ht="15.75" customHeight="1">
      <c r="A29" s="356"/>
    </row>
    <row r="30" ht="15.75" customHeight="1">
      <c r="A30" s="356"/>
    </row>
    <row r="31" ht="15.75" customHeight="1">
      <c r="A31" s="356"/>
    </row>
    <row r="32" ht="15.75" customHeight="1">
      <c r="A32" s="356"/>
    </row>
    <row r="33" ht="15.75" customHeight="1">
      <c r="A33" s="356"/>
    </row>
    <row r="34" ht="15.75" customHeight="1">
      <c r="A34" s="356"/>
    </row>
    <row r="35" ht="15.75" customHeight="1">
      <c r="A35" s="356"/>
    </row>
    <row r="36" ht="15.75" customHeight="1">
      <c r="A36" s="356"/>
    </row>
    <row r="37" ht="15.75" customHeight="1">
      <c r="A37" s="356"/>
    </row>
    <row r="38" ht="15.75" customHeight="1">
      <c r="A38" s="356"/>
    </row>
    <row r="39" ht="15.75" customHeight="1">
      <c r="A39" s="356"/>
    </row>
    <row r="40" ht="15.75" customHeight="1">
      <c r="A40" s="356"/>
    </row>
    <row r="41" ht="15.75" customHeight="1">
      <c r="A41" s="356"/>
    </row>
    <row r="42" ht="15.75" customHeight="1">
      <c r="A42" s="356"/>
    </row>
    <row r="43" ht="15.75" customHeight="1">
      <c r="A43" s="356"/>
    </row>
    <row r="44" ht="15.75" customHeight="1">
      <c r="A44" s="356"/>
    </row>
    <row r="45" ht="15.75" customHeight="1">
      <c r="A45" s="356"/>
    </row>
    <row r="46" ht="15.75" customHeight="1">
      <c r="A46" s="356"/>
    </row>
    <row r="47" ht="15.75" customHeight="1">
      <c r="A47" s="356"/>
    </row>
    <row r="48" ht="15.75" customHeight="1">
      <c r="A48" s="356"/>
    </row>
    <row r="49" ht="15.75" customHeight="1">
      <c r="A49" s="356"/>
    </row>
    <row r="50" ht="15.75" customHeight="1">
      <c r="A50" s="356"/>
    </row>
    <row r="51" ht="15.75" customHeight="1">
      <c r="A51" s="356"/>
    </row>
    <row r="52" ht="15.75" customHeight="1">
      <c r="A52" s="356"/>
    </row>
    <row r="53" ht="15.75" customHeight="1">
      <c r="A53" s="356"/>
    </row>
    <row r="54" ht="15.75" customHeight="1">
      <c r="A54" s="356"/>
    </row>
    <row r="55" ht="15.75" customHeight="1">
      <c r="A55" s="356"/>
    </row>
    <row r="56" ht="15.75" customHeight="1">
      <c r="A56" s="356"/>
    </row>
    <row r="57" ht="15.75" customHeight="1">
      <c r="A57" s="356"/>
    </row>
    <row r="58" ht="15.75" customHeight="1">
      <c r="A58" s="356"/>
    </row>
    <row r="59" ht="15.75" customHeight="1">
      <c r="A59" s="356"/>
    </row>
    <row r="60" ht="15.75" customHeight="1">
      <c r="A60" s="356"/>
    </row>
    <row r="61" ht="15.75" customHeight="1">
      <c r="A61" s="356"/>
    </row>
    <row r="62" ht="15.75" customHeight="1">
      <c r="A62" s="356"/>
    </row>
    <row r="63" ht="15.75" customHeight="1">
      <c r="A63" s="356"/>
    </row>
    <row r="64" ht="15.75" customHeight="1">
      <c r="A64" s="356"/>
    </row>
    <row r="65" ht="15.75" customHeight="1">
      <c r="A65" s="356"/>
    </row>
    <row r="66" ht="15.75" customHeight="1">
      <c r="A66" s="356"/>
    </row>
    <row r="67" ht="15.75" customHeight="1">
      <c r="A67" s="356"/>
    </row>
    <row r="68" ht="15.75" customHeight="1">
      <c r="A68" s="356"/>
    </row>
    <row r="69" ht="15.75" customHeight="1">
      <c r="A69" s="356"/>
    </row>
    <row r="70" ht="15.75" customHeight="1">
      <c r="A70" s="356"/>
    </row>
    <row r="71" ht="15.75" customHeight="1">
      <c r="A71" s="356"/>
    </row>
    <row r="72" ht="15.75" customHeight="1">
      <c r="A72" s="356"/>
    </row>
    <row r="73" ht="15.75" customHeight="1">
      <c r="A73" s="356"/>
    </row>
    <row r="74" ht="15.75" customHeight="1">
      <c r="A74" s="356"/>
    </row>
    <row r="75" ht="15.75" customHeight="1">
      <c r="A75" s="356"/>
    </row>
    <row r="76" ht="15.75" customHeight="1">
      <c r="A76" s="356"/>
    </row>
    <row r="77" ht="15.75" customHeight="1">
      <c r="A77" s="356"/>
    </row>
    <row r="78" ht="15.75" customHeight="1">
      <c r="A78" s="356"/>
    </row>
    <row r="79" ht="15.75" customHeight="1">
      <c r="A79" s="356"/>
    </row>
    <row r="80" ht="15.75" customHeight="1">
      <c r="A80" s="356"/>
    </row>
    <row r="81" ht="15.75" customHeight="1">
      <c r="A81" s="356"/>
    </row>
    <row r="82" ht="15.75" customHeight="1">
      <c r="A82" s="356"/>
    </row>
    <row r="83" ht="15.75" customHeight="1">
      <c r="A83" s="356"/>
    </row>
    <row r="84" ht="15.75" customHeight="1">
      <c r="A84" s="356"/>
    </row>
    <row r="85" ht="15.75" customHeight="1">
      <c r="A85" s="356"/>
    </row>
    <row r="86" ht="15.75" customHeight="1">
      <c r="A86" s="356"/>
    </row>
    <row r="87" ht="15.75" customHeight="1">
      <c r="A87" s="356"/>
    </row>
    <row r="88" ht="15.75" customHeight="1">
      <c r="A88" s="356"/>
    </row>
    <row r="89" ht="15.75" customHeight="1">
      <c r="A89" s="356"/>
    </row>
    <row r="90" ht="15.75" customHeight="1">
      <c r="A90" s="356"/>
    </row>
    <row r="91" ht="15.75" customHeight="1">
      <c r="A91" s="356"/>
    </row>
    <row r="92" ht="15.75" customHeight="1">
      <c r="A92" s="356"/>
    </row>
    <row r="93" ht="15.75" customHeight="1">
      <c r="A93" s="356"/>
    </row>
    <row r="94" ht="15.75" customHeight="1">
      <c r="A94" s="356"/>
    </row>
    <row r="95" ht="15.75" customHeight="1">
      <c r="A95" s="356"/>
    </row>
    <row r="96" ht="15.75" customHeight="1">
      <c r="A96" s="356"/>
    </row>
    <row r="97" ht="15.75" customHeight="1">
      <c r="A97" s="356"/>
    </row>
    <row r="98" ht="15.75" customHeight="1">
      <c r="A98" s="356"/>
    </row>
    <row r="99" ht="15.75" customHeight="1">
      <c r="A99" s="356"/>
    </row>
    <row r="100" ht="15.75" customHeight="1">
      <c r="A100" s="356"/>
    </row>
    <row r="101" ht="15.75" customHeight="1">
      <c r="A101" s="356"/>
    </row>
    <row r="102" ht="15.75" customHeight="1">
      <c r="A102" s="356"/>
    </row>
    <row r="103" ht="15.75" customHeight="1">
      <c r="A103" s="356"/>
    </row>
    <row r="104" ht="15.75" customHeight="1">
      <c r="A104" s="356"/>
    </row>
    <row r="105" ht="15.75" customHeight="1">
      <c r="A105" s="356"/>
    </row>
    <row r="106" ht="15.75" customHeight="1">
      <c r="A106" s="356"/>
    </row>
    <row r="107" ht="15.75" customHeight="1">
      <c r="A107" s="356"/>
    </row>
    <row r="108" ht="15.75" customHeight="1">
      <c r="A108" s="356"/>
    </row>
    <row r="109" ht="15.75" customHeight="1">
      <c r="A109" s="356"/>
    </row>
    <row r="110" ht="15.75" customHeight="1">
      <c r="A110" s="356"/>
    </row>
    <row r="111" ht="15.75" customHeight="1">
      <c r="A111" s="356"/>
    </row>
    <row r="112" ht="15.75" customHeight="1">
      <c r="A112" s="356"/>
    </row>
    <row r="113" ht="15.75" customHeight="1">
      <c r="A113" s="356"/>
    </row>
    <row r="114" ht="15.75" customHeight="1">
      <c r="A114" s="356"/>
    </row>
    <row r="115" ht="15.75" customHeight="1">
      <c r="A115" s="356"/>
    </row>
    <row r="116" ht="15.75" customHeight="1">
      <c r="A116" s="356"/>
    </row>
    <row r="117" ht="15.75" customHeight="1">
      <c r="A117" s="356"/>
    </row>
    <row r="118" ht="15.75" customHeight="1">
      <c r="A118" s="356"/>
    </row>
    <row r="119" ht="15.75" customHeight="1">
      <c r="A119" s="356"/>
    </row>
    <row r="120" ht="15.75" customHeight="1">
      <c r="A120" s="356"/>
    </row>
    <row r="121" ht="15.75" customHeight="1">
      <c r="A121" s="356"/>
    </row>
    <row r="122" ht="15.75" customHeight="1">
      <c r="A122" s="356"/>
    </row>
    <row r="123" ht="15.75" customHeight="1">
      <c r="A123" s="356"/>
    </row>
    <row r="124" ht="15.75" customHeight="1">
      <c r="A124" s="356"/>
    </row>
    <row r="125" ht="15.75" customHeight="1">
      <c r="A125" s="356"/>
    </row>
    <row r="126" ht="15.75" customHeight="1">
      <c r="A126" s="356"/>
    </row>
    <row r="127" ht="15.75" customHeight="1">
      <c r="A127" s="356"/>
    </row>
    <row r="128" ht="15.75" customHeight="1">
      <c r="A128" s="356"/>
    </row>
    <row r="129" ht="15.75" customHeight="1">
      <c r="A129" s="356"/>
    </row>
    <row r="130" ht="15.75" customHeight="1">
      <c r="A130" s="356"/>
    </row>
    <row r="131" ht="15.75" customHeight="1">
      <c r="A131" s="356"/>
    </row>
    <row r="132" ht="15.75" customHeight="1">
      <c r="A132" s="356"/>
    </row>
    <row r="133" ht="15.75" customHeight="1">
      <c r="A133" s="356"/>
    </row>
    <row r="134" ht="15.75" customHeight="1">
      <c r="A134" s="356"/>
    </row>
    <row r="135" ht="15.75" customHeight="1">
      <c r="A135" s="356"/>
    </row>
    <row r="136" ht="15.75" customHeight="1">
      <c r="A136" s="356"/>
    </row>
    <row r="137" ht="15.75" customHeight="1">
      <c r="A137" s="356"/>
    </row>
    <row r="138" ht="15.75" customHeight="1">
      <c r="A138" s="356"/>
    </row>
    <row r="139" ht="15.75" customHeight="1">
      <c r="A139" s="356"/>
    </row>
    <row r="140" ht="15.75" customHeight="1">
      <c r="A140" s="356"/>
    </row>
    <row r="141" ht="15.75" customHeight="1">
      <c r="A141" s="356"/>
    </row>
    <row r="142" ht="15.75" customHeight="1">
      <c r="A142" s="356"/>
    </row>
    <row r="143" ht="15.75" customHeight="1">
      <c r="A143" s="356"/>
    </row>
    <row r="144" ht="15.75" customHeight="1">
      <c r="A144" s="356"/>
    </row>
    <row r="145" ht="15.75" customHeight="1">
      <c r="A145" s="356"/>
    </row>
    <row r="146" ht="15.75" customHeight="1">
      <c r="A146" s="356"/>
    </row>
    <row r="147" ht="15.75" customHeight="1">
      <c r="A147" s="356"/>
    </row>
    <row r="148" ht="15.75" customHeight="1">
      <c r="A148" s="356"/>
    </row>
    <row r="149" ht="15.75" customHeight="1">
      <c r="A149" s="356"/>
    </row>
    <row r="150" ht="15.75" customHeight="1">
      <c r="A150" s="356"/>
    </row>
    <row r="151" ht="15.75" customHeight="1">
      <c r="A151" s="356"/>
    </row>
    <row r="152" ht="15.75" customHeight="1">
      <c r="A152" s="356"/>
    </row>
    <row r="153" ht="15.75" customHeight="1">
      <c r="A153" s="356"/>
    </row>
    <row r="154" ht="15.75" customHeight="1">
      <c r="A154" s="356"/>
    </row>
    <row r="155" ht="15.75" customHeight="1">
      <c r="A155" s="356"/>
    </row>
    <row r="156" ht="15.75" customHeight="1">
      <c r="A156" s="356"/>
    </row>
    <row r="157" ht="15.75" customHeight="1">
      <c r="A157" s="356"/>
    </row>
    <row r="158" ht="15.75" customHeight="1">
      <c r="A158" s="356"/>
    </row>
    <row r="159" ht="15.75" customHeight="1">
      <c r="A159" s="356"/>
    </row>
    <row r="160" ht="15.75" customHeight="1">
      <c r="A160" s="356"/>
    </row>
    <row r="161" ht="15.75" customHeight="1">
      <c r="A161" s="356"/>
    </row>
    <row r="162" ht="15.75" customHeight="1">
      <c r="A162" s="356"/>
    </row>
    <row r="163" ht="15.75" customHeight="1">
      <c r="A163" s="356"/>
    </row>
    <row r="164" ht="15.75" customHeight="1">
      <c r="A164" s="356"/>
    </row>
    <row r="165" ht="15.75" customHeight="1">
      <c r="A165" s="356"/>
    </row>
    <row r="166" ht="15.75" customHeight="1">
      <c r="A166" s="356"/>
    </row>
    <row r="167" ht="15.75" customHeight="1">
      <c r="A167" s="356"/>
    </row>
    <row r="168" ht="15.75" customHeight="1">
      <c r="A168" s="356"/>
    </row>
    <row r="169" ht="15.75" customHeight="1">
      <c r="A169" s="356"/>
    </row>
    <row r="170" ht="15.75" customHeight="1">
      <c r="A170" s="356"/>
    </row>
    <row r="171" ht="15.75" customHeight="1">
      <c r="A171" s="356"/>
    </row>
    <row r="172" ht="15.75" customHeight="1">
      <c r="A172" s="356"/>
    </row>
    <row r="173" ht="15.75" customHeight="1">
      <c r="A173" s="356"/>
    </row>
    <row r="174" ht="15.75" customHeight="1">
      <c r="A174" s="356"/>
    </row>
    <row r="175" ht="15.75" customHeight="1">
      <c r="A175" s="356"/>
    </row>
    <row r="176" ht="15.75" customHeight="1">
      <c r="A176" s="356"/>
    </row>
    <row r="177" ht="15.75" customHeight="1">
      <c r="A177" s="356"/>
    </row>
    <row r="178" ht="15.75" customHeight="1">
      <c r="A178" s="356"/>
    </row>
    <row r="179" ht="15.75" customHeight="1">
      <c r="A179" s="356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6" width="12.63"/>
  </cols>
  <sheetData>
    <row r="1" ht="34.5" customHeight="1">
      <c r="A1" s="360" t="s">
        <v>336</v>
      </c>
      <c r="B1" s="361" t="s">
        <v>372</v>
      </c>
      <c r="C1" s="361" t="s">
        <v>115</v>
      </c>
    </row>
    <row r="2" ht="15.75" customHeight="1">
      <c r="A2" s="352">
        <v>46129.0</v>
      </c>
      <c r="B2" s="353">
        <v>1.0</v>
      </c>
      <c r="C2" s="353">
        <v>1.0</v>
      </c>
    </row>
    <row r="3" ht="15.75" customHeight="1">
      <c r="A3" s="352">
        <v>46128.0</v>
      </c>
      <c r="B3" s="353">
        <v>7.0</v>
      </c>
      <c r="C3" s="353">
        <v>7.0</v>
      </c>
    </row>
    <row r="4" ht="15.75" customHeight="1">
      <c r="A4" s="352">
        <v>46127.0</v>
      </c>
      <c r="B4" s="353">
        <v>6.0</v>
      </c>
      <c r="C4" s="353">
        <v>6.0</v>
      </c>
    </row>
    <row r="5" ht="15.75" customHeight="1">
      <c r="A5" s="352">
        <v>46126.0</v>
      </c>
      <c r="B5" s="353">
        <v>2.0</v>
      </c>
      <c r="C5" s="353">
        <v>2.0</v>
      </c>
    </row>
    <row r="6" ht="15.75" customHeight="1">
      <c r="A6" s="352">
        <v>46125.0</v>
      </c>
      <c r="B6" s="353">
        <v>4.0</v>
      </c>
      <c r="C6" s="353">
        <v>4.0</v>
      </c>
    </row>
    <row r="7" ht="15.75" customHeight="1">
      <c r="A7" s="352">
        <v>46124.0</v>
      </c>
      <c r="B7" s="353">
        <v>5.0</v>
      </c>
      <c r="C7" s="353">
        <v>5.0</v>
      </c>
    </row>
    <row r="8" ht="15.75" customHeight="1">
      <c r="A8" s="352">
        <v>46123.0</v>
      </c>
      <c r="B8" s="353">
        <v>1.0</v>
      </c>
      <c r="C8" s="353">
        <v>1.0</v>
      </c>
    </row>
    <row r="9" ht="15.75" customHeight="1">
      <c r="A9" s="352">
        <v>46122.0</v>
      </c>
      <c r="B9" s="353">
        <v>1.0</v>
      </c>
      <c r="C9" s="353">
        <v>1.0</v>
      </c>
    </row>
    <row r="10" ht="15.75" customHeight="1">
      <c r="A10" s="352">
        <v>46121.0</v>
      </c>
      <c r="B10" s="353">
        <v>1.0</v>
      </c>
      <c r="C10" s="353">
        <v>1.0</v>
      </c>
    </row>
    <row r="11" ht="15.75" customHeight="1">
      <c r="A11" s="352">
        <v>46120.0</v>
      </c>
      <c r="B11" s="353">
        <v>3.0</v>
      </c>
      <c r="C11" s="353">
        <v>3.0</v>
      </c>
    </row>
    <row r="12" ht="15.75" customHeight="1">
      <c r="A12" s="352">
        <v>46119.0</v>
      </c>
      <c r="B12" s="353">
        <v>2.0</v>
      </c>
      <c r="C12" s="353">
        <v>2.0</v>
      </c>
    </row>
    <row r="13" ht="15.75" customHeight="1">
      <c r="A13" s="352">
        <v>46118.0</v>
      </c>
      <c r="B13" s="353">
        <v>8.0</v>
      </c>
      <c r="C13" s="353">
        <v>9.0</v>
      </c>
    </row>
    <row r="14" ht="15.75" customHeight="1">
      <c r="A14" s="352">
        <v>46117.0</v>
      </c>
      <c r="B14" s="353">
        <v>3.0</v>
      </c>
      <c r="C14" s="353">
        <v>3.0</v>
      </c>
    </row>
    <row r="15" ht="15.75" customHeight="1">
      <c r="A15" s="352">
        <v>46116.0</v>
      </c>
      <c r="B15" s="353">
        <v>3.0</v>
      </c>
      <c r="C15" s="353">
        <v>3.0</v>
      </c>
    </row>
    <row r="16" ht="15.75" customHeight="1">
      <c r="A16" s="352">
        <v>46115.0</v>
      </c>
      <c r="B16" s="353">
        <v>28.0</v>
      </c>
      <c r="C16" s="353">
        <v>28.0</v>
      </c>
    </row>
    <row r="17" ht="15.75" customHeight="1">
      <c r="A17" s="352">
        <v>46114.0</v>
      </c>
      <c r="B17" s="353">
        <v>11.0</v>
      </c>
      <c r="C17" s="353">
        <v>11.0</v>
      </c>
    </row>
    <row r="18" ht="15.75" customHeight="1">
      <c r="A18" s="352">
        <v>46113.0</v>
      </c>
      <c r="B18" s="353">
        <v>2.0</v>
      </c>
      <c r="C18" s="353">
        <v>2.0</v>
      </c>
    </row>
    <row r="19" ht="15.75" customHeight="1">
      <c r="A19" s="352">
        <v>46112.0</v>
      </c>
      <c r="B19" s="353">
        <v>3.0</v>
      </c>
      <c r="C19" s="353">
        <v>4.0</v>
      </c>
    </row>
    <row r="20" ht="15.75" customHeight="1">
      <c r="A20" s="352">
        <v>46111.0</v>
      </c>
      <c r="B20" s="353">
        <v>5.0</v>
      </c>
      <c r="C20" s="353">
        <v>6.0</v>
      </c>
    </row>
    <row r="21" ht="15.75" customHeight="1">
      <c r="A21" s="352">
        <v>46110.0</v>
      </c>
      <c r="B21" s="353">
        <v>3.0</v>
      </c>
      <c r="C21" s="353">
        <v>3.0</v>
      </c>
    </row>
    <row r="22" ht="15.75" customHeight="1">
      <c r="A22" s="352">
        <v>46109.0</v>
      </c>
      <c r="B22" s="353">
        <v>5.0</v>
      </c>
      <c r="C22" s="353">
        <v>5.0</v>
      </c>
    </row>
    <row r="23" ht="15.75" customHeight="1">
      <c r="A23" s="352">
        <v>46108.0</v>
      </c>
      <c r="B23" s="353">
        <v>4.0</v>
      </c>
      <c r="C23" s="353">
        <v>5.0</v>
      </c>
    </row>
    <row r="24" ht="15.75" customHeight="1">
      <c r="A24" s="352">
        <v>46107.0</v>
      </c>
      <c r="B24" s="353">
        <v>7.0</v>
      </c>
      <c r="C24" s="353">
        <v>8.0</v>
      </c>
    </row>
    <row r="25" ht="15.75" customHeight="1">
      <c r="A25" s="352">
        <v>46106.0</v>
      </c>
      <c r="B25" s="353">
        <v>8.0</v>
      </c>
      <c r="C25" s="353">
        <v>8.0</v>
      </c>
    </row>
    <row r="26" ht="15.75" customHeight="1">
      <c r="A26" s="352">
        <v>46105.0</v>
      </c>
      <c r="B26" s="353">
        <v>4.0</v>
      </c>
      <c r="C26" s="353">
        <v>5.0</v>
      </c>
    </row>
    <row r="27" ht="15.75" customHeight="1">
      <c r="A27" s="352">
        <v>46104.0</v>
      </c>
      <c r="B27" s="353">
        <v>6.0</v>
      </c>
      <c r="C27" s="353">
        <v>6.0</v>
      </c>
    </row>
    <row r="28" ht="15.75" customHeight="1">
      <c r="A28" s="352">
        <v>46103.0</v>
      </c>
      <c r="B28" s="353">
        <v>3.0</v>
      </c>
      <c r="C28" s="353">
        <v>3.0</v>
      </c>
    </row>
    <row r="29" ht="15.75" customHeight="1">
      <c r="A29" s="352">
        <v>46102.0</v>
      </c>
      <c r="B29" s="353">
        <v>8.0</v>
      </c>
      <c r="C29" s="353">
        <v>8.0</v>
      </c>
    </row>
    <row r="30" ht="15.75" customHeight="1">
      <c r="A30" s="352">
        <v>46101.0</v>
      </c>
      <c r="B30" s="353">
        <v>3.0</v>
      </c>
      <c r="C30" s="353">
        <v>3.0</v>
      </c>
    </row>
    <row r="31" ht="15.75" customHeight="1">
      <c r="A31" s="352">
        <v>46100.0</v>
      </c>
      <c r="B31" s="353">
        <v>2.0</v>
      </c>
      <c r="C31" s="353">
        <v>2.0</v>
      </c>
    </row>
    <row r="32" ht="15.75" customHeight="1">
      <c r="A32" s="352">
        <v>46099.0</v>
      </c>
      <c r="B32" s="353">
        <v>5.0</v>
      </c>
      <c r="C32" s="353">
        <v>5.0</v>
      </c>
    </row>
    <row r="33" ht="15.75" customHeight="1">
      <c r="A33" s="352">
        <v>46098.0</v>
      </c>
      <c r="B33" s="353">
        <v>5.0</v>
      </c>
      <c r="C33" s="353">
        <v>5.0</v>
      </c>
    </row>
    <row r="34" ht="15.75" customHeight="1">
      <c r="A34" s="352">
        <v>46097.0</v>
      </c>
      <c r="B34" s="353">
        <v>1.0</v>
      </c>
      <c r="C34" s="353">
        <v>1.0</v>
      </c>
    </row>
    <row r="35" ht="15.75" customHeight="1">
      <c r="A35" s="352">
        <v>46096.0</v>
      </c>
      <c r="B35" s="353">
        <v>2.0</v>
      </c>
      <c r="C35" s="353">
        <v>2.0</v>
      </c>
    </row>
    <row r="36" ht="15.75" customHeight="1">
      <c r="A36" s="352">
        <v>46095.0</v>
      </c>
      <c r="B36" s="353">
        <v>4.0</v>
      </c>
      <c r="C36" s="353">
        <v>4.0</v>
      </c>
    </row>
    <row r="37" ht="15.75" customHeight="1">
      <c r="A37" s="352">
        <v>46094.0</v>
      </c>
      <c r="B37" s="353">
        <v>6.0</v>
      </c>
      <c r="C37" s="353">
        <v>6.0</v>
      </c>
    </row>
    <row r="38" ht="15.75" customHeight="1">
      <c r="A38" s="352">
        <v>46093.0</v>
      </c>
      <c r="B38" s="353">
        <v>4.0</v>
      </c>
      <c r="C38" s="353">
        <v>4.0</v>
      </c>
    </row>
    <row r="39" ht="15.75" customHeight="1">
      <c r="A39" s="352">
        <v>46092.0</v>
      </c>
      <c r="B39" s="353">
        <v>4.0</v>
      </c>
      <c r="C39" s="353">
        <v>4.0</v>
      </c>
    </row>
    <row r="40" ht="15.75" customHeight="1">
      <c r="A40" s="352">
        <v>46091.0</v>
      </c>
      <c r="B40" s="353">
        <v>4.0</v>
      </c>
      <c r="C40" s="353">
        <v>4.0</v>
      </c>
    </row>
    <row r="41" ht="15.75" customHeight="1">
      <c r="A41" s="352">
        <v>46090.0</v>
      </c>
      <c r="B41" s="353">
        <v>4.0</v>
      </c>
      <c r="C41" s="353">
        <v>4.0</v>
      </c>
    </row>
    <row r="42" ht="15.75" customHeight="1">
      <c r="A42" s="352">
        <v>46089.0</v>
      </c>
      <c r="B42" s="353">
        <v>3.0</v>
      </c>
      <c r="C42" s="353">
        <v>3.0</v>
      </c>
    </row>
    <row r="43" ht="15.75" customHeight="1">
      <c r="A43" s="352">
        <v>46088.0</v>
      </c>
      <c r="B43" s="353">
        <v>1.0</v>
      </c>
      <c r="C43" s="353">
        <v>1.0</v>
      </c>
    </row>
    <row r="44" ht="15.75" customHeight="1">
      <c r="A44" s="352">
        <v>46087.0</v>
      </c>
      <c r="B44" s="353">
        <v>4.0</v>
      </c>
      <c r="C44" s="353">
        <v>5.0</v>
      </c>
    </row>
    <row r="45" ht="15.75" customHeight="1">
      <c r="A45" s="352">
        <v>46086.0</v>
      </c>
      <c r="B45" s="353">
        <v>3.0</v>
      </c>
      <c r="C45" s="353">
        <v>3.0</v>
      </c>
    </row>
    <row r="46" ht="15.75" customHeight="1">
      <c r="A46" s="352">
        <v>46085.0</v>
      </c>
      <c r="B46" s="353">
        <v>4.0</v>
      </c>
      <c r="C46" s="353">
        <v>4.0</v>
      </c>
    </row>
    <row r="47" ht="15.75" customHeight="1">
      <c r="A47" s="352">
        <v>46084.0</v>
      </c>
      <c r="B47" s="353">
        <v>2.0</v>
      </c>
      <c r="C47" s="353">
        <v>2.0</v>
      </c>
    </row>
    <row r="48" ht="15.75" customHeight="1">
      <c r="A48" s="352">
        <v>46083.0</v>
      </c>
      <c r="B48" s="353">
        <v>4.0</v>
      </c>
      <c r="C48" s="353">
        <v>4.0</v>
      </c>
    </row>
    <row r="49" ht="15.75" customHeight="1">
      <c r="A49" s="352">
        <v>46082.0</v>
      </c>
      <c r="B49" s="353">
        <v>1.0</v>
      </c>
      <c r="C49" s="353">
        <v>1.0</v>
      </c>
    </row>
    <row r="50" ht="15.75" customHeight="1">
      <c r="A50" s="352">
        <v>46081.0</v>
      </c>
      <c r="B50" s="353">
        <v>2.0</v>
      </c>
      <c r="C50" s="353">
        <v>2.0</v>
      </c>
    </row>
    <row r="51" ht="15.75" customHeight="1">
      <c r="A51" s="352">
        <v>46080.0</v>
      </c>
      <c r="B51" s="353">
        <v>2.0</v>
      </c>
      <c r="C51" s="353">
        <v>2.0</v>
      </c>
    </row>
    <row r="52" ht="15.75" customHeight="1">
      <c r="A52" s="352">
        <v>46079.0</v>
      </c>
      <c r="B52" s="353">
        <v>9.0</v>
      </c>
      <c r="C52" s="353">
        <v>9.0</v>
      </c>
    </row>
    <row r="53" ht="15.75" customHeight="1">
      <c r="A53" s="352">
        <v>46078.0</v>
      </c>
      <c r="B53" s="353">
        <v>5.0</v>
      </c>
      <c r="C53" s="353">
        <v>5.0</v>
      </c>
    </row>
    <row r="54" ht="15.75" customHeight="1">
      <c r="A54" s="352">
        <v>46077.0</v>
      </c>
      <c r="B54" s="353">
        <v>1.0</v>
      </c>
      <c r="C54" s="353">
        <v>1.0</v>
      </c>
    </row>
    <row r="55" ht="15.75" customHeight="1">
      <c r="A55" s="352">
        <v>46076.0</v>
      </c>
      <c r="B55" s="353">
        <v>2.0</v>
      </c>
      <c r="C55" s="353">
        <v>3.0</v>
      </c>
    </row>
    <row r="56" ht="15.75" customHeight="1">
      <c r="A56" s="352">
        <v>46075.0</v>
      </c>
      <c r="B56" s="353">
        <v>4.0</v>
      </c>
      <c r="C56" s="353">
        <v>4.0</v>
      </c>
    </row>
    <row r="57" ht="15.75" customHeight="1">
      <c r="A57" s="352">
        <v>46074.0</v>
      </c>
      <c r="B57" s="353">
        <v>1.0</v>
      </c>
      <c r="C57" s="353">
        <v>1.0</v>
      </c>
    </row>
    <row r="58" ht="15.75" customHeight="1">
      <c r="A58" s="352">
        <v>46073.0</v>
      </c>
      <c r="B58" s="353">
        <v>3.0</v>
      </c>
      <c r="C58" s="353">
        <v>3.0</v>
      </c>
    </row>
    <row r="59" ht="15.75" customHeight="1">
      <c r="A59" s="352">
        <v>46072.0</v>
      </c>
      <c r="B59" s="353">
        <v>1.0</v>
      </c>
      <c r="C59" s="353">
        <v>1.0</v>
      </c>
    </row>
    <row r="60" ht="15.75" customHeight="1">
      <c r="A60" s="352">
        <v>46071.0</v>
      </c>
      <c r="B60" s="353">
        <v>2.0</v>
      </c>
      <c r="C60" s="353">
        <v>2.0</v>
      </c>
    </row>
    <row r="61" ht="15.75" customHeight="1">
      <c r="A61" s="352">
        <v>46070.0</v>
      </c>
      <c r="B61" s="353">
        <v>3.0</v>
      </c>
      <c r="C61" s="353">
        <v>4.0</v>
      </c>
    </row>
    <row r="62" ht="15.75" customHeight="1">
      <c r="A62" s="352">
        <v>46069.0</v>
      </c>
      <c r="B62" s="353">
        <v>2.0</v>
      </c>
      <c r="C62" s="353">
        <v>2.0</v>
      </c>
    </row>
    <row r="63" ht="15.75" customHeight="1">
      <c r="A63" s="352">
        <v>46068.0</v>
      </c>
      <c r="B63" s="353">
        <v>1.0</v>
      </c>
      <c r="C63" s="353">
        <v>1.0</v>
      </c>
    </row>
    <row r="64" ht="15.75" customHeight="1">
      <c r="A64" s="352">
        <v>46067.0</v>
      </c>
      <c r="B64" s="353">
        <v>3.0</v>
      </c>
      <c r="C64" s="353">
        <v>3.0</v>
      </c>
    </row>
    <row r="65" ht="15.75" customHeight="1">
      <c r="A65" s="352">
        <v>46066.0</v>
      </c>
      <c r="B65" s="353">
        <v>2.0</v>
      </c>
      <c r="C65" s="353">
        <v>2.0</v>
      </c>
    </row>
    <row r="66" ht="15.75" customHeight="1">
      <c r="A66" s="352">
        <v>46065.0</v>
      </c>
      <c r="B66" s="353">
        <v>2.0</v>
      </c>
      <c r="C66" s="353">
        <v>2.0</v>
      </c>
    </row>
    <row r="67" ht="15.75" customHeight="1">
      <c r="A67" s="352">
        <v>46064.0</v>
      </c>
      <c r="B67" s="353">
        <v>5.0</v>
      </c>
      <c r="C67" s="353">
        <v>5.0</v>
      </c>
    </row>
    <row r="68" ht="15.75" customHeight="1">
      <c r="A68" s="352">
        <v>46063.0</v>
      </c>
      <c r="B68" s="353">
        <v>3.0</v>
      </c>
      <c r="C68" s="353">
        <v>4.0</v>
      </c>
    </row>
    <row r="69" ht="15.75" customHeight="1">
      <c r="A69" s="352">
        <v>46062.0</v>
      </c>
      <c r="B69" s="353">
        <v>2.0</v>
      </c>
      <c r="C69" s="353">
        <v>2.0</v>
      </c>
    </row>
    <row r="70" ht="15.75" customHeight="1">
      <c r="A70" s="352">
        <v>46061.0</v>
      </c>
      <c r="B70" s="353">
        <v>3.0</v>
      </c>
      <c r="C70" s="353">
        <v>4.0</v>
      </c>
    </row>
    <row r="71" ht="15.75" customHeight="1">
      <c r="A71" s="352">
        <v>46060.0</v>
      </c>
      <c r="B71" s="353">
        <v>8.0</v>
      </c>
      <c r="C71" s="353">
        <v>8.0</v>
      </c>
    </row>
    <row r="72" ht="15.75" customHeight="1">
      <c r="A72" s="352">
        <v>46059.0</v>
      </c>
      <c r="B72" s="353">
        <v>2.0</v>
      </c>
      <c r="C72" s="353">
        <v>2.0</v>
      </c>
    </row>
    <row r="73" ht="15.75" customHeight="1">
      <c r="A73" s="352">
        <v>46058.0</v>
      </c>
      <c r="B73" s="353">
        <v>25.0</v>
      </c>
      <c r="C73" s="353">
        <v>25.0</v>
      </c>
    </row>
    <row r="74" ht="15.75" customHeight="1">
      <c r="A74" s="352">
        <v>46057.0</v>
      </c>
      <c r="B74" s="353">
        <v>24.0</v>
      </c>
      <c r="C74" s="353">
        <v>25.0</v>
      </c>
    </row>
    <row r="75" ht="15.75" customHeight="1">
      <c r="A75" s="352">
        <v>46056.0</v>
      </c>
      <c r="B75" s="353">
        <v>19.0</v>
      </c>
      <c r="C75" s="353">
        <v>19.0</v>
      </c>
    </row>
    <row r="76" ht="15.75" customHeight="1">
      <c r="A76" s="352">
        <v>46055.0</v>
      </c>
      <c r="B76" s="353">
        <v>44.0</v>
      </c>
      <c r="C76" s="353">
        <v>47.0</v>
      </c>
    </row>
    <row r="77" ht="15.75" customHeight="1">
      <c r="A77" s="352">
        <v>46054.0</v>
      </c>
      <c r="B77" s="353">
        <v>129.0</v>
      </c>
      <c r="C77" s="353">
        <v>129.0</v>
      </c>
    </row>
    <row r="78" ht="15.75" customHeight="1">
      <c r="A78" s="352">
        <v>46053.0</v>
      </c>
      <c r="B78" s="353">
        <v>1.0</v>
      </c>
      <c r="C78" s="353">
        <v>1.0</v>
      </c>
    </row>
    <row r="79" ht="15.75" customHeight="1">
      <c r="A79" s="352">
        <v>46052.0</v>
      </c>
      <c r="B79" s="353">
        <v>9.0</v>
      </c>
      <c r="C79" s="353">
        <v>9.0</v>
      </c>
    </row>
    <row r="80" ht="15.75" customHeight="1">
      <c r="A80" s="352">
        <v>46051.0</v>
      </c>
      <c r="B80" s="353">
        <v>7.0</v>
      </c>
      <c r="C80" s="353">
        <v>8.0</v>
      </c>
    </row>
    <row r="81" ht="15.75" customHeight="1">
      <c r="A81" s="352">
        <v>46050.0</v>
      </c>
      <c r="B81" s="353">
        <v>13.0</v>
      </c>
      <c r="C81" s="353">
        <v>19.0</v>
      </c>
    </row>
    <row r="82" ht="15.75" customHeight="1">
      <c r="A82" s="352">
        <v>46049.0</v>
      </c>
      <c r="B82" s="353">
        <v>6.0</v>
      </c>
      <c r="C82" s="353">
        <v>7.0</v>
      </c>
    </row>
    <row r="83" ht="15.75" customHeight="1">
      <c r="A83" s="352">
        <v>46048.0</v>
      </c>
      <c r="B83" s="353">
        <v>5.0</v>
      </c>
      <c r="C83" s="353">
        <v>6.0</v>
      </c>
    </row>
    <row r="84" ht="15.75" customHeight="1">
      <c r="A84" s="352">
        <v>46047.0</v>
      </c>
      <c r="B84" s="353">
        <v>3.0</v>
      </c>
      <c r="C84" s="353">
        <v>3.0</v>
      </c>
    </row>
    <row r="85" ht="15.75" customHeight="1">
      <c r="A85" s="352">
        <v>46045.0</v>
      </c>
      <c r="B85" s="353">
        <v>6.0</v>
      </c>
      <c r="C85" s="353">
        <v>6.0</v>
      </c>
    </row>
    <row r="86" ht="15.75" customHeight="1">
      <c r="A86" s="352">
        <v>46044.0</v>
      </c>
      <c r="B86" s="353">
        <v>2.0</v>
      </c>
      <c r="C86" s="353">
        <v>2.0</v>
      </c>
    </row>
    <row r="87" ht="15.75" customHeight="1">
      <c r="A87" s="352">
        <v>46043.0</v>
      </c>
      <c r="B87" s="353">
        <v>4.0</v>
      </c>
      <c r="C87" s="353">
        <v>5.0</v>
      </c>
    </row>
    <row r="88" ht="15.75" customHeight="1">
      <c r="A88" s="352">
        <v>46042.0</v>
      </c>
      <c r="B88" s="353">
        <v>7.0</v>
      </c>
      <c r="C88" s="353">
        <v>9.0</v>
      </c>
    </row>
    <row r="89" ht="15.75" customHeight="1">
      <c r="A89" s="352">
        <v>46041.0</v>
      </c>
      <c r="B89" s="353">
        <v>6.0</v>
      </c>
      <c r="C89" s="353">
        <v>7.0</v>
      </c>
    </row>
    <row r="90" ht="15.75" customHeight="1">
      <c r="A90" s="352">
        <v>46040.0</v>
      </c>
      <c r="B90" s="353">
        <v>4.0</v>
      </c>
      <c r="C90" s="353">
        <v>4.0</v>
      </c>
    </row>
    <row r="91" ht="15.75" customHeight="1">
      <c r="A91" s="352">
        <v>46038.0</v>
      </c>
      <c r="B91" s="353">
        <v>5.0</v>
      </c>
      <c r="C91" s="353">
        <v>5.0</v>
      </c>
    </row>
    <row r="92" ht="15.75" customHeight="1">
      <c r="A92" s="352">
        <v>46037.0</v>
      </c>
      <c r="B92" s="353">
        <v>4.0</v>
      </c>
      <c r="C92" s="353">
        <v>4.0</v>
      </c>
    </row>
    <row r="93" ht="15.75" customHeight="1">
      <c r="A93" s="352">
        <v>46036.0</v>
      </c>
      <c r="B93" s="353">
        <v>3.0</v>
      </c>
      <c r="C93" s="353">
        <v>3.0</v>
      </c>
    </row>
    <row r="94" ht="15.75" customHeight="1">
      <c r="A94" s="352">
        <v>46035.0</v>
      </c>
      <c r="B94" s="353">
        <v>11.0</v>
      </c>
      <c r="C94" s="353">
        <v>13.0</v>
      </c>
    </row>
    <row r="95" ht="15.75" customHeight="1">
      <c r="A95" s="352">
        <v>46034.0</v>
      </c>
      <c r="B95" s="353">
        <v>10.0</v>
      </c>
      <c r="C95" s="353">
        <v>11.0</v>
      </c>
    </row>
    <row r="96" ht="15.75" customHeight="1">
      <c r="A96" s="352">
        <v>46033.0</v>
      </c>
      <c r="B96" s="353">
        <v>6.0</v>
      </c>
      <c r="C96" s="353">
        <v>7.0</v>
      </c>
    </row>
    <row r="97" ht="15.75" customHeight="1">
      <c r="A97" s="352">
        <v>46032.0</v>
      </c>
      <c r="B97" s="353">
        <v>1.0</v>
      </c>
      <c r="C97" s="353">
        <v>1.0</v>
      </c>
    </row>
    <row r="98" ht="15.75" customHeight="1">
      <c r="A98" s="352">
        <v>46031.0</v>
      </c>
      <c r="B98" s="353">
        <v>7.0</v>
      </c>
      <c r="C98" s="353">
        <v>7.0</v>
      </c>
    </row>
    <row r="99" ht="15.75" customHeight="1">
      <c r="A99" s="352">
        <v>46030.0</v>
      </c>
      <c r="B99" s="353">
        <v>1.0</v>
      </c>
      <c r="C99" s="353">
        <v>1.0</v>
      </c>
    </row>
    <row r="100" ht="15.75" customHeight="1">
      <c r="A100" s="352">
        <v>46029.0</v>
      </c>
      <c r="B100" s="353">
        <v>5.0</v>
      </c>
      <c r="C100" s="353">
        <v>5.0</v>
      </c>
    </row>
    <row r="101" ht="15.75" customHeight="1">
      <c r="A101" s="352">
        <v>46028.0</v>
      </c>
      <c r="B101" s="353">
        <v>4.0</v>
      </c>
      <c r="C101" s="353">
        <v>5.0</v>
      </c>
    </row>
    <row r="102" ht="15.75" customHeight="1">
      <c r="A102" s="352">
        <v>46027.0</v>
      </c>
      <c r="B102" s="353">
        <v>8.0</v>
      </c>
      <c r="C102" s="353">
        <v>8.0</v>
      </c>
    </row>
    <row r="103" ht="15.75" customHeight="1">
      <c r="A103" s="352">
        <v>46026.0</v>
      </c>
      <c r="B103" s="353">
        <v>3.0</v>
      </c>
      <c r="C103" s="353">
        <v>3.0</v>
      </c>
    </row>
    <row r="104" ht="15.75" customHeight="1">
      <c r="A104" s="352">
        <v>46025.0</v>
      </c>
      <c r="B104" s="353">
        <v>2.0</v>
      </c>
      <c r="C104" s="353">
        <v>2.0</v>
      </c>
    </row>
    <row r="105" ht="15.75" customHeight="1">
      <c r="A105" s="352">
        <v>46024.0</v>
      </c>
      <c r="B105" s="353">
        <v>1.0</v>
      </c>
      <c r="C105" s="353">
        <v>1.0</v>
      </c>
    </row>
    <row r="106" ht="15.75" customHeight="1">
      <c r="A106" s="352">
        <v>46022.0</v>
      </c>
      <c r="B106" s="353">
        <v>3.0</v>
      </c>
      <c r="C106" s="353">
        <v>3.0</v>
      </c>
    </row>
    <row r="107" ht="15.75" customHeight="1">
      <c r="A107" s="352">
        <v>46021.0</v>
      </c>
      <c r="B107" s="353">
        <v>13.0</v>
      </c>
      <c r="C107" s="353">
        <v>15.0</v>
      </c>
    </row>
    <row r="108" ht="15.75" customHeight="1">
      <c r="A108" s="352">
        <v>46020.0</v>
      </c>
      <c r="B108" s="353">
        <v>3.0</v>
      </c>
      <c r="C108" s="353">
        <v>4.0</v>
      </c>
    </row>
    <row r="109" ht="15.75" customHeight="1">
      <c r="A109" s="352">
        <v>46019.0</v>
      </c>
      <c r="B109" s="353">
        <v>2.0</v>
      </c>
      <c r="C109" s="353">
        <v>2.0</v>
      </c>
    </row>
    <row r="110" ht="15.75" customHeight="1">
      <c r="A110" s="352">
        <v>46018.0</v>
      </c>
      <c r="B110" s="353">
        <v>6.0</v>
      </c>
      <c r="C110" s="353">
        <v>7.0</v>
      </c>
    </row>
    <row r="111" ht="15.75" customHeight="1">
      <c r="A111" s="352">
        <v>46017.0</v>
      </c>
      <c r="B111" s="353">
        <v>4.0</v>
      </c>
      <c r="C111" s="353">
        <v>4.0</v>
      </c>
    </row>
    <row r="112" ht="15.75" customHeight="1">
      <c r="A112" s="352">
        <v>46016.0</v>
      </c>
      <c r="B112" s="353">
        <v>1.0</v>
      </c>
      <c r="C112" s="353">
        <v>1.0</v>
      </c>
    </row>
    <row r="113" ht="15.75" customHeight="1">
      <c r="A113" s="352">
        <v>46015.0</v>
      </c>
      <c r="B113" s="353">
        <v>1.0</v>
      </c>
      <c r="C113" s="353">
        <v>1.0</v>
      </c>
    </row>
    <row r="114" ht="15.75" customHeight="1">
      <c r="A114" s="352">
        <v>46014.0</v>
      </c>
      <c r="B114" s="353">
        <v>4.0</v>
      </c>
      <c r="C114" s="353">
        <v>4.0</v>
      </c>
    </row>
    <row r="115" ht="15.75" customHeight="1">
      <c r="A115" s="352">
        <v>46013.0</v>
      </c>
      <c r="B115" s="353">
        <v>3.0</v>
      </c>
      <c r="C115" s="353">
        <v>3.0</v>
      </c>
    </row>
    <row r="116" ht="15.75" customHeight="1">
      <c r="A116" s="352">
        <v>46011.0</v>
      </c>
      <c r="B116" s="353">
        <v>7.0</v>
      </c>
      <c r="C116" s="353">
        <v>7.0</v>
      </c>
    </row>
    <row r="117" ht="15.75" customHeight="1">
      <c r="A117" s="352">
        <v>46010.0</v>
      </c>
      <c r="B117" s="353">
        <v>8.0</v>
      </c>
      <c r="C117" s="353">
        <v>10.0</v>
      </c>
    </row>
    <row r="118" ht="15.75" customHeight="1">
      <c r="A118" s="352">
        <v>46009.0</v>
      </c>
      <c r="B118" s="353">
        <v>20.0</v>
      </c>
      <c r="C118" s="353">
        <v>24.0</v>
      </c>
    </row>
    <row r="119" ht="15.75" customHeight="1">
      <c r="A119" s="352">
        <v>46008.0</v>
      </c>
      <c r="B119" s="353">
        <v>33.0</v>
      </c>
      <c r="C119" s="353">
        <v>35.0</v>
      </c>
    </row>
    <row r="120" ht="15.75" customHeight="1">
      <c r="A120" s="352">
        <v>46007.0</v>
      </c>
      <c r="B120" s="353">
        <v>8.0</v>
      </c>
      <c r="C120" s="353">
        <v>8.0</v>
      </c>
    </row>
    <row r="121" ht="15.75" customHeight="1">
      <c r="A121" s="352">
        <v>46006.0</v>
      </c>
      <c r="B121" s="353">
        <v>8.0</v>
      </c>
      <c r="C121" s="353">
        <v>9.0</v>
      </c>
    </row>
    <row r="122" ht="15.75" customHeight="1">
      <c r="A122" s="352">
        <v>46005.0</v>
      </c>
      <c r="B122" s="353">
        <v>3.0</v>
      </c>
      <c r="C122" s="353">
        <v>4.0</v>
      </c>
    </row>
    <row r="123" ht="15.75" customHeight="1">
      <c r="A123" s="352">
        <v>46003.0</v>
      </c>
      <c r="B123" s="353">
        <v>4.0</v>
      </c>
      <c r="C123" s="353">
        <v>5.0</v>
      </c>
    </row>
    <row r="124" ht="15.75" customHeight="1">
      <c r="A124" s="352">
        <v>46002.0</v>
      </c>
      <c r="B124" s="353">
        <v>4.0</v>
      </c>
      <c r="C124" s="353">
        <v>4.0</v>
      </c>
    </row>
    <row r="125" ht="15.75" customHeight="1">
      <c r="A125" s="352">
        <v>46001.0</v>
      </c>
      <c r="B125" s="353">
        <v>13.0</v>
      </c>
      <c r="C125" s="353">
        <v>15.0</v>
      </c>
    </row>
    <row r="126" ht="15.75" customHeight="1">
      <c r="A126" s="352">
        <v>46000.0</v>
      </c>
      <c r="B126" s="353">
        <v>17.0</v>
      </c>
      <c r="C126" s="353">
        <v>20.0</v>
      </c>
    </row>
    <row r="127" ht="15.75" customHeight="1">
      <c r="A127" s="352">
        <v>45999.0</v>
      </c>
      <c r="B127" s="353">
        <v>24.0</v>
      </c>
      <c r="C127" s="353">
        <v>29.0</v>
      </c>
    </row>
    <row r="128" ht="15.75" customHeight="1">
      <c r="A128" s="352">
        <v>45998.0</v>
      </c>
      <c r="B128" s="353">
        <v>27.0</v>
      </c>
      <c r="C128" s="353">
        <v>27.0</v>
      </c>
    </row>
    <row r="129" ht="15.75" customHeight="1">
      <c r="A129" s="352">
        <v>45997.0</v>
      </c>
      <c r="B129" s="353">
        <v>15.0</v>
      </c>
      <c r="C129" s="353">
        <v>15.0</v>
      </c>
    </row>
    <row r="130" ht="15.75" customHeight="1">
      <c r="A130" s="352">
        <v>45996.0</v>
      </c>
      <c r="B130" s="353">
        <v>56.0</v>
      </c>
      <c r="C130" s="353">
        <v>57.0</v>
      </c>
    </row>
    <row r="131" ht="15.75" customHeight="1">
      <c r="A131" s="352">
        <v>45995.0</v>
      </c>
      <c r="B131" s="353">
        <v>85.0</v>
      </c>
      <c r="C131" s="353">
        <v>90.0</v>
      </c>
    </row>
    <row r="132" ht="15.75" customHeight="1">
      <c r="A132" s="352">
        <v>45994.0</v>
      </c>
      <c r="B132" s="353">
        <v>9.0</v>
      </c>
      <c r="C132" s="353">
        <v>12.0</v>
      </c>
    </row>
    <row r="133" ht="15.75" customHeight="1">
      <c r="A133" s="352">
        <v>45993.0</v>
      </c>
      <c r="B133" s="353">
        <v>19.0</v>
      </c>
      <c r="C133" s="353">
        <v>22.0</v>
      </c>
    </row>
    <row r="134" ht="15.75" customHeight="1">
      <c r="A134" s="352">
        <v>45992.0</v>
      </c>
      <c r="B134" s="353">
        <v>9.0</v>
      </c>
      <c r="C134" s="353">
        <v>9.0</v>
      </c>
    </row>
    <row r="135" ht="15.75" customHeight="1">
      <c r="A135" s="352">
        <v>45991.0</v>
      </c>
      <c r="B135" s="353">
        <v>16.0</v>
      </c>
      <c r="C135" s="353">
        <v>24.0</v>
      </c>
    </row>
    <row r="136" ht="15.75" customHeight="1">
      <c r="A136" s="352">
        <v>45990.0</v>
      </c>
      <c r="B136" s="353">
        <v>18.0</v>
      </c>
      <c r="C136" s="353">
        <v>21.0</v>
      </c>
    </row>
    <row r="137" ht="15.75" customHeight="1">
      <c r="A137" s="352">
        <v>45989.0</v>
      </c>
      <c r="B137" s="353">
        <v>18.0</v>
      </c>
      <c r="C137" s="353">
        <v>20.0</v>
      </c>
    </row>
    <row r="138" ht="15.75" customHeight="1">
      <c r="A138" s="352">
        <v>45988.0</v>
      </c>
      <c r="B138" s="353">
        <v>17.0</v>
      </c>
      <c r="C138" s="353">
        <v>19.0</v>
      </c>
    </row>
    <row r="139" ht="15.75" customHeight="1">
      <c r="A139" s="352">
        <v>45987.0</v>
      </c>
      <c r="B139" s="353">
        <v>7.0</v>
      </c>
      <c r="C139" s="353">
        <v>8.0</v>
      </c>
    </row>
    <row r="140" ht="15.75" customHeight="1">
      <c r="A140" s="352">
        <v>45986.0</v>
      </c>
      <c r="B140" s="353">
        <v>17.0</v>
      </c>
      <c r="C140" s="353">
        <v>19.0</v>
      </c>
    </row>
    <row r="141" ht="15.75" customHeight="1">
      <c r="A141" s="352">
        <v>45985.0</v>
      </c>
      <c r="B141" s="353">
        <v>12.0</v>
      </c>
      <c r="C141" s="353">
        <v>13.0</v>
      </c>
    </row>
    <row r="142" ht="15.75" customHeight="1">
      <c r="A142" s="352">
        <v>45984.0</v>
      </c>
      <c r="B142" s="353">
        <v>9.0</v>
      </c>
      <c r="C142" s="353">
        <v>9.0</v>
      </c>
    </row>
    <row r="143" ht="15.75" customHeight="1">
      <c r="A143" s="352">
        <v>45983.0</v>
      </c>
      <c r="B143" s="353">
        <v>16.0</v>
      </c>
      <c r="C143" s="353">
        <v>16.0</v>
      </c>
    </row>
    <row r="144" ht="15.75" customHeight="1">
      <c r="A144" s="352">
        <v>45982.0</v>
      </c>
      <c r="B144" s="353">
        <v>14.0</v>
      </c>
      <c r="C144" s="353">
        <v>17.0</v>
      </c>
    </row>
    <row r="145" ht="15.75" customHeight="1">
      <c r="A145" s="352">
        <v>45981.0</v>
      </c>
      <c r="B145" s="353">
        <v>8.0</v>
      </c>
      <c r="C145" s="353">
        <v>8.0</v>
      </c>
    </row>
    <row r="146" ht="15.75" customHeight="1">
      <c r="A146" s="352">
        <v>45980.0</v>
      </c>
      <c r="B146" s="353">
        <v>7.0</v>
      </c>
      <c r="C146" s="353">
        <v>7.0</v>
      </c>
    </row>
    <row r="147" ht="15.75" customHeight="1">
      <c r="A147" s="352">
        <v>45979.0</v>
      </c>
      <c r="B147" s="353">
        <v>15.0</v>
      </c>
      <c r="C147" s="353">
        <v>16.0</v>
      </c>
    </row>
    <row r="148" ht="15.75" customHeight="1">
      <c r="A148" s="352">
        <v>45978.0</v>
      </c>
      <c r="B148" s="353">
        <v>26.0</v>
      </c>
      <c r="C148" s="353">
        <v>35.0</v>
      </c>
    </row>
    <row r="149" ht="15.75" customHeight="1">
      <c r="A149" s="352">
        <v>45977.0</v>
      </c>
      <c r="B149" s="353">
        <v>73.0</v>
      </c>
      <c r="C149" s="353">
        <v>80.0</v>
      </c>
    </row>
    <row r="150" ht="15.75" customHeight="1">
      <c r="A150" s="352">
        <v>45976.0</v>
      </c>
      <c r="B150" s="353">
        <v>13.0</v>
      </c>
      <c r="C150" s="353">
        <v>14.0</v>
      </c>
    </row>
    <row r="151" ht="15.75" customHeight="1">
      <c r="A151" s="352">
        <v>45975.0</v>
      </c>
      <c r="B151" s="353">
        <v>16.0</v>
      </c>
      <c r="C151" s="353">
        <v>20.0</v>
      </c>
    </row>
    <row r="152" ht="15.75" customHeight="1">
      <c r="A152" s="352">
        <v>45974.0</v>
      </c>
      <c r="B152" s="353">
        <v>13.0</v>
      </c>
      <c r="C152" s="353">
        <v>13.0</v>
      </c>
    </row>
    <row r="153" ht="15.75" customHeight="1">
      <c r="A153" s="352">
        <v>45973.0</v>
      </c>
      <c r="B153" s="353">
        <v>10.0</v>
      </c>
      <c r="C153" s="353">
        <v>16.0</v>
      </c>
    </row>
    <row r="154" ht="15.75" customHeight="1">
      <c r="A154" s="352">
        <v>45972.0</v>
      </c>
      <c r="B154" s="353">
        <v>10.0</v>
      </c>
      <c r="C154" s="353">
        <v>14.0</v>
      </c>
    </row>
    <row r="155" ht="15.75" customHeight="1">
      <c r="A155" s="352">
        <v>45971.0</v>
      </c>
      <c r="B155" s="353">
        <v>104.0</v>
      </c>
      <c r="C155" s="353">
        <v>109.0</v>
      </c>
    </row>
    <row r="156" ht="15.75" customHeight="1">
      <c r="A156" s="352">
        <v>45970.0</v>
      </c>
      <c r="B156" s="353">
        <v>32.0</v>
      </c>
      <c r="C156" s="353">
        <v>42.0</v>
      </c>
    </row>
    <row r="157" ht="15.75" customHeight="1">
      <c r="A157" s="352">
        <v>45969.0</v>
      </c>
      <c r="B157" s="353">
        <v>28.0</v>
      </c>
      <c r="C157" s="353">
        <v>32.0</v>
      </c>
    </row>
    <row r="158" ht="15.75" customHeight="1">
      <c r="A158" s="352">
        <v>45968.0</v>
      </c>
      <c r="B158" s="353">
        <v>211.0</v>
      </c>
      <c r="C158" s="353">
        <v>215.0</v>
      </c>
    </row>
    <row r="159" ht="15.75" customHeight="1">
      <c r="A159" s="352">
        <v>45967.0</v>
      </c>
      <c r="B159" s="353">
        <v>15.0</v>
      </c>
      <c r="C159" s="353">
        <v>18.0</v>
      </c>
    </row>
    <row r="160" ht="15.75" customHeight="1">
      <c r="A160" s="352">
        <v>45966.0</v>
      </c>
      <c r="B160" s="353">
        <v>12.0</v>
      </c>
      <c r="C160" s="353">
        <v>19.0</v>
      </c>
    </row>
    <row r="161" ht="15.75" customHeight="1">
      <c r="A161" s="352">
        <v>45965.0</v>
      </c>
      <c r="B161" s="353">
        <v>15.0</v>
      </c>
      <c r="C161" s="353">
        <v>20.0</v>
      </c>
    </row>
    <row r="162" ht="15.75" customHeight="1">
      <c r="A162" s="352">
        <v>45964.0</v>
      </c>
      <c r="B162" s="353">
        <v>25.0</v>
      </c>
      <c r="C162" s="353">
        <v>28.0</v>
      </c>
    </row>
    <row r="163" ht="15.75" customHeight="1">
      <c r="A163" s="352">
        <v>45963.0</v>
      </c>
      <c r="B163" s="353">
        <v>28.0</v>
      </c>
      <c r="C163" s="353">
        <v>30.0</v>
      </c>
    </row>
    <row r="164" ht="15.75" customHeight="1">
      <c r="A164" s="352">
        <v>45962.0</v>
      </c>
      <c r="B164" s="353">
        <v>115.0</v>
      </c>
      <c r="C164" s="353">
        <v>116.0</v>
      </c>
    </row>
    <row r="165" ht="15.75" customHeight="1">
      <c r="A165" s="352">
        <v>45961.0</v>
      </c>
      <c r="B165" s="353">
        <v>22.0</v>
      </c>
      <c r="C165" s="353">
        <v>24.0</v>
      </c>
    </row>
    <row r="166" ht="15.75" customHeight="1">
      <c r="A166" s="352">
        <v>45960.0</v>
      </c>
      <c r="B166" s="353">
        <v>12.0</v>
      </c>
      <c r="C166" s="353">
        <v>12.0</v>
      </c>
    </row>
    <row r="167" ht="15.75" customHeight="1">
      <c r="A167" s="352">
        <v>45959.0</v>
      </c>
      <c r="B167" s="353">
        <v>17.0</v>
      </c>
      <c r="C167" s="353">
        <v>17.0</v>
      </c>
    </row>
    <row r="168" ht="15.75" customHeight="1">
      <c r="A168" s="352">
        <v>45958.0</v>
      </c>
      <c r="B168" s="353">
        <v>71.0</v>
      </c>
      <c r="C168" s="353">
        <v>72.0</v>
      </c>
    </row>
    <row r="169" ht="15.75" customHeight="1">
      <c r="A169" s="352">
        <v>45957.0</v>
      </c>
      <c r="B169" s="353">
        <v>14.0</v>
      </c>
      <c r="C169" s="353">
        <v>15.0</v>
      </c>
    </row>
    <row r="170" ht="15.75" customHeight="1">
      <c r="A170" s="356"/>
    </row>
    <row r="171" ht="15.75" customHeight="1">
      <c r="A171" s="356"/>
    </row>
    <row r="172" ht="15.75" customHeight="1">
      <c r="A172" s="356"/>
    </row>
    <row r="173" ht="15.75" customHeight="1">
      <c r="A173" s="356"/>
    </row>
    <row r="174" ht="15.75" customHeight="1">
      <c r="A174" s="356"/>
    </row>
    <row r="175" ht="15.75" customHeight="1">
      <c r="A175" s="356"/>
    </row>
    <row r="176" ht="15.75" customHeight="1">
      <c r="A176" s="356"/>
    </row>
    <row r="177" ht="15.75" customHeight="1">
      <c r="A177" s="356"/>
    </row>
    <row r="178" ht="15.75" customHeight="1">
      <c r="A178" s="356"/>
    </row>
    <row r="179" ht="15.75" customHeight="1">
      <c r="A179" s="356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373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39"/>
      <c r="D4" s="340"/>
      <c r="E4" s="309">
        <v>1.0</v>
      </c>
      <c r="F4" s="309">
        <v>2.0</v>
      </c>
      <c r="G4" s="309">
        <v>3.0</v>
      </c>
      <c r="H4" s="309">
        <v>4.0</v>
      </c>
      <c r="J4" s="311" t="s">
        <v>242</v>
      </c>
      <c r="K4" s="312"/>
    </row>
    <row r="5" ht="45.0" customHeight="1">
      <c r="B5" s="313"/>
      <c r="C5" s="313"/>
      <c r="D5" s="314"/>
      <c r="E5" s="315"/>
      <c r="F5" s="315"/>
      <c r="G5" s="315"/>
      <c r="H5" s="316"/>
      <c r="J5" s="317" t="s">
        <v>243</v>
      </c>
      <c r="K5" s="318"/>
    </row>
    <row r="6" ht="15.75" customHeight="1">
      <c r="A6" s="319"/>
      <c r="B6" s="310">
        <v>5.0</v>
      </c>
      <c r="C6" s="310">
        <v>6.0</v>
      </c>
      <c r="D6" s="310">
        <v>7.0</v>
      </c>
      <c r="E6" s="310">
        <v>8.0</v>
      </c>
      <c r="F6" s="310">
        <v>9.0</v>
      </c>
      <c r="G6" s="309">
        <v>10.0</v>
      </c>
      <c r="H6" s="324">
        <v>11.0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/>
      <c r="H7" s="316" t="s">
        <v>374</v>
      </c>
      <c r="J7" s="321" t="s">
        <v>245</v>
      </c>
    </row>
    <row r="8" ht="15.75" customHeight="1">
      <c r="A8" s="319"/>
      <c r="B8" s="310">
        <v>12.0</v>
      </c>
      <c r="C8" s="310">
        <v>13.0</v>
      </c>
      <c r="D8" s="310">
        <v>14.0</v>
      </c>
      <c r="E8" s="324">
        <v>15.0</v>
      </c>
      <c r="F8" s="310">
        <v>16.0</v>
      </c>
      <c r="G8" s="309">
        <v>17.0</v>
      </c>
      <c r="H8" s="309">
        <v>18.0</v>
      </c>
      <c r="J8" s="323" t="s">
        <v>246</v>
      </c>
    </row>
    <row r="9" ht="45.0" customHeight="1">
      <c r="B9" s="316"/>
      <c r="C9" s="316"/>
      <c r="D9" s="316"/>
      <c r="E9" s="316" t="s">
        <v>273</v>
      </c>
      <c r="F9" s="316"/>
      <c r="G9" s="316"/>
      <c r="H9" s="316"/>
    </row>
    <row r="10" ht="15.75" customHeight="1">
      <c r="A10" s="319"/>
      <c r="B10" s="310">
        <v>19.0</v>
      </c>
      <c r="C10" s="310">
        <v>20.0</v>
      </c>
      <c r="D10" s="310">
        <v>21.0</v>
      </c>
      <c r="E10" s="310">
        <v>22.0</v>
      </c>
      <c r="F10" s="310">
        <v>23.0</v>
      </c>
      <c r="G10" s="309">
        <v>24.0</v>
      </c>
      <c r="H10" s="309">
        <v>25.0</v>
      </c>
    </row>
    <row r="11" ht="45.0" customHeight="1">
      <c r="B11" s="325"/>
      <c r="C11" s="325"/>
      <c r="D11" s="316"/>
      <c r="E11" s="316"/>
      <c r="F11" s="316"/>
      <c r="G11" s="316"/>
      <c r="H11" s="316"/>
    </row>
    <row r="12" ht="15.75" customHeight="1">
      <c r="A12" s="319"/>
      <c r="B12" s="310">
        <v>26.0</v>
      </c>
      <c r="C12" s="310">
        <v>27.0</v>
      </c>
      <c r="D12" s="310">
        <v>28.0</v>
      </c>
      <c r="E12" s="310">
        <v>29.0</v>
      </c>
      <c r="F12" s="310">
        <v>30.0</v>
      </c>
      <c r="G12" s="310">
        <v>31.0</v>
      </c>
    </row>
    <row r="13" ht="45.0" customHeight="1">
      <c r="B13" s="316"/>
      <c r="C13" s="316"/>
      <c r="D13" s="316"/>
      <c r="E13" s="316"/>
      <c r="F13" s="316"/>
      <c r="G13" s="316"/>
      <c r="H13" s="342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375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39"/>
      <c r="D4" s="339"/>
      <c r="E4" s="339"/>
      <c r="F4" s="339"/>
      <c r="G4" s="339"/>
      <c r="H4" s="309">
        <v>1.0</v>
      </c>
      <c r="J4" s="311" t="s">
        <v>242</v>
      </c>
      <c r="K4" s="312"/>
    </row>
    <row r="5" ht="45.0" customHeight="1">
      <c r="B5" s="313"/>
      <c r="C5" s="313"/>
      <c r="D5" s="313"/>
      <c r="E5" s="313"/>
      <c r="F5" s="313"/>
      <c r="G5" s="313"/>
      <c r="H5" s="316"/>
      <c r="J5" s="317" t="s">
        <v>243</v>
      </c>
      <c r="K5" s="318"/>
    </row>
    <row r="6" ht="15.75" customHeight="1">
      <c r="A6" s="319"/>
      <c r="B6" s="309">
        <v>2.0</v>
      </c>
      <c r="C6" s="309">
        <v>3.0</v>
      </c>
      <c r="D6" s="309">
        <v>4.0</v>
      </c>
      <c r="E6" s="310">
        <v>5.0</v>
      </c>
      <c r="F6" s="310">
        <v>6.0</v>
      </c>
      <c r="G6" s="341">
        <v>7.0</v>
      </c>
      <c r="H6" s="310">
        <v>8.0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 t="s">
        <v>376</v>
      </c>
      <c r="H7" s="316"/>
      <c r="J7" s="321" t="s">
        <v>245</v>
      </c>
    </row>
    <row r="8" ht="15.75" customHeight="1">
      <c r="A8" s="319"/>
      <c r="B8" s="309">
        <v>9.0</v>
      </c>
      <c r="C8" s="309">
        <v>10.0</v>
      </c>
      <c r="D8" s="309">
        <v>11.0</v>
      </c>
      <c r="E8" s="310">
        <v>12.0</v>
      </c>
      <c r="F8" s="310">
        <v>13.0</v>
      </c>
      <c r="G8" s="310">
        <v>14.0</v>
      </c>
      <c r="H8" s="336">
        <v>15.0</v>
      </c>
      <c r="J8" s="323" t="s">
        <v>246</v>
      </c>
    </row>
    <row r="9" ht="45.0" customHeight="1">
      <c r="B9" s="316"/>
      <c r="C9" s="316"/>
      <c r="D9" s="316"/>
      <c r="E9" s="316"/>
      <c r="F9" s="316"/>
      <c r="G9" s="316"/>
      <c r="H9" s="316" t="s">
        <v>377</v>
      </c>
    </row>
    <row r="10" ht="15.75" customHeight="1">
      <c r="A10" s="319"/>
      <c r="B10" s="309">
        <v>16.0</v>
      </c>
      <c r="C10" s="309">
        <v>17.0</v>
      </c>
      <c r="D10" s="309">
        <v>18.0</v>
      </c>
      <c r="E10" s="310">
        <v>19.0</v>
      </c>
      <c r="F10" s="310">
        <v>20.0</v>
      </c>
      <c r="G10" s="310">
        <v>21.0</v>
      </c>
      <c r="H10" s="324">
        <v>22.0</v>
      </c>
    </row>
    <row r="11" ht="45.0" customHeight="1">
      <c r="B11" s="325"/>
      <c r="C11" s="325"/>
      <c r="D11" s="316"/>
      <c r="E11" s="316"/>
      <c r="F11" s="316"/>
      <c r="G11" s="316"/>
      <c r="H11" s="316" t="s">
        <v>378</v>
      </c>
    </row>
    <row r="12" ht="15.75" customHeight="1">
      <c r="A12" s="319"/>
      <c r="B12" s="309">
        <v>23.0</v>
      </c>
      <c r="C12" s="309">
        <v>24.0</v>
      </c>
      <c r="D12" s="309">
        <v>25.0</v>
      </c>
      <c r="E12" s="310">
        <v>26.0</v>
      </c>
      <c r="F12" s="310">
        <v>27.0</v>
      </c>
      <c r="G12" s="310">
        <v>28.0</v>
      </c>
      <c r="H12" s="310">
        <v>29.0</v>
      </c>
    </row>
    <row r="13" ht="45.0" customHeight="1">
      <c r="B13" s="316"/>
      <c r="C13" s="316"/>
      <c r="D13" s="316"/>
      <c r="E13" s="316"/>
      <c r="F13" s="316"/>
      <c r="G13" s="316"/>
      <c r="H13" s="316"/>
    </row>
    <row r="14" ht="15.75" customHeight="1">
      <c r="A14" s="319"/>
      <c r="B14" s="309">
        <v>30.0</v>
      </c>
      <c r="C14" s="326"/>
      <c r="D14" s="326"/>
      <c r="E14" s="326"/>
      <c r="F14" s="326"/>
      <c r="G14" s="326"/>
      <c r="H14" s="326"/>
    </row>
    <row r="15" ht="45.0" customHeight="1">
      <c r="B15" s="316"/>
      <c r="C15" s="342"/>
      <c r="D15" s="342"/>
      <c r="E15" s="342"/>
      <c r="F15" s="342"/>
      <c r="G15" s="342"/>
      <c r="H15" s="342"/>
    </row>
    <row r="16">
      <c r="A16" s="319"/>
      <c r="B16" s="328"/>
      <c r="C16" s="328"/>
      <c r="D16" s="328"/>
      <c r="E16" s="328"/>
    </row>
    <row r="17" ht="15.75" customHeight="1">
      <c r="A17" s="319"/>
      <c r="B17" s="329" t="s">
        <v>249</v>
      </c>
      <c r="C17" s="330"/>
      <c r="D17" s="330"/>
      <c r="E17" s="109"/>
    </row>
    <row r="18" ht="15.75" customHeight="1">
      <c r="A18" s="331"/>
      <c r="B18" s="332"/>
      <c r="C18" s="333"/>
      <c r="D18" s="333"/>
      <c r="E18" s="179"/>
    </row>
    <row r="19" ht="15.75" customHeight="1">
      <c r="A19" s="331"/>
      <c r="B19" s="334"/>
      <c r="E19" s="106"/>
    </row>
    <row r="20" ht="15.75" customHeight="1">
      <c r="A20" s="331"/>
      <c r="B20" s="334"/>
      <c r="E20" s="106"/>
    </row>
    <row r="21" ht="15.75" customHeight="1">
      <c r="A21" s="331"/>
      <c r="B21" s="335"/>
      <c r="C21" s="330"/>
      <c r="D21" s="330"/>
      <c r="E21" s="10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379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09">
        <v>1.0</v>
      </c>
      <c r="D4" s="309">
        <v>2.0</v>
      </c>
      <c r="E4" s="309">
        <v>3.0</v>
      </c>
      <c r="F4" s="309">
        <v>4.0</v>
      </c>
      <c r="G4" s="310">
        <v>5.0</v>
      </c>
      <c r="H4" s="310">
        <v>6.0</v>
      </c>
      <c r="J4" s="311" t="s">
        <v>242</v>
      </c>
      <c r="K4" s="312"/>
    </row>
    <row r="5" ht="45.0" customHeight="1">
      <c r="B5" s="314"/>
      <c r="C5" s="316"/>
      <c r="D5" s="315"/>
      <c r="E5" s="315"/>
      <c r="F5" s="315"/>
      <c r="G5" s="315"/>
      <c r="H5" s="327"/>
      <c r="J5" s="317" t="s">
        <v>243</v>
      </c>
      <c r="K5" s="318"/>
    </row>
    <row r="6" ht="15.75" customHeight="1">
      <c r="A6" s="319"/>
      <c r="B6" s="310">
        <v>7.0</v>
      </c>
      <c r="C6" s="310">
        <v>8.0</v>
      </c>
      <c r="D6" s="309">
        <v>9.0</v>
      </c>
      <c r="E6" s="309">
        <v>10.0</v>
      </c>
      <c r="F6" s="309">
        <v>11.0</v>
      </c>
      <c r="G6" s="336">
        <v>12.0</v>
      </c>
      <c r="H6" s="310">
        <v>13.0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 t="s">
        <v>380</v>
      </c>
      <c r="H7" s="316"/>
      <c r="J7" s="321" t="s">
        <v>245</v>
      </c>
    </row>
    <row r="8" ht="15.75" customHeight="1">
      <c r="A8" s="319"/>
      <c r="B8" s="310">
        <v>14.0</v>
      </c>
      <c r="C8" s="310">
        <v>15.0</v>
      </c>
      <c r="D8" s="309">
        <v>16.0</v>
      </c>
      <c r="E8" s="309">
        <v>17.0</v>
      </c>
      <c r="F8" s="309">
        <v>18.0</v>
      </c>
      <c r="G8" s="310">
        <v>19.0</v>
      </c>
      <c r="H8" s="310">
        <v>20.0</v>
      </c>
      <c r="J8" s="323" t="s">
        <v>246</v>
      </c>
    </row>
    <row r="9" ht="45.0" customHeight="1">
      <c r="B9" s="316"/>
      <c r="C9" s="316"/>
      <c r="D9" s="316"/>
      <c r="E9" s="316"/>
      <c r="F9" s="316"/>
      <c r="G9" s="316"/>
      <c r="H9" s="316"/>
    </row>
    <row r="10" ht="15.75" customHeight="1">
      <c r="A10" s="319"/>
      <c r="B10" s="310">
        <v>21.0</v>
      </c>
      <c r="C10" s="310">
        <v>22.0</v>
      </c>
      <c r="D10" s="309">
        <v>23.0</v>
      </c>
      <c r="E10" s="309">
        <v>24.0</v>
      </c>
      <c r="F10" s="309">
        <v>25.0</v>
      </c>
      <c r="G10" s="310">
        <v>26.0</v>
      </c>
      <c r="H10" s="310">
        <v>27.0</v>
      </c>
    </row>
    <row r="11" ht="45.0" customHeight="1">
      <c r="B11" s="325"/>
      <c r="C11" s="325"/>
      <c r="D11" s="316"/>
      <c r="E11" s="316"/>
      <c r="F11" s="316"/>
      <c r="G11" s="316"/>
      <c r="H11" s="316"/>
    </row>
    <row r="12" ht="15.75" customHeight="1">
      <c r="A12" s="319"/>
      <c r="B12" s="310">
        <v>28.0</v>
      </c>
      <c r="C12" s="310">
        <v>29.0</v>
      </c>
      <c r="D12" s="309">
        <v>30.0</v>
      </c>
      <c r="E12" s="324">
        <v>31.0</v>
      </c>
    </row>
    <row r="13" ht="45.0" customHeight="1">
      <c r="B13" s="316"/>
      <c r="C13" s="316"/>
      <c r="D13" s="316"/>
      <c r="E13" s="316" t="s">
        <v>381</v>
      </c>
      <c r="F13" s="342"/>
      <c r="G13" s="342"/>
      <c r="H13" s="342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382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39"/>
      <c r="D4" s="339"/>
      <c r="E4" s="340"/>
      <c r="F4" s="309">
        <v>1.0</v>
      </c>
      <c r="G4" s="309">
        <v>2.0</v>
      </c>
      <c r="H4" s="309">
        <v>3.0</v>
      </c>
      <c r="J4" s="311" t="s">
        <v>242</v>
      </c>
      <c r="K4" s="312"/>
    </row>
    <row r="5" ht="45.0" customHeight="1">
      <c r="B5" s="362"/>
      <c r="C5" s="363"/>
      <c r="D5" s="362"/>
      <c r="E5" s="364"/>
      <c r="F5" s="365"/>
      <c r="G5" s="365"/>
      <c r="H5" s="366"/>
      <c r="J5" s="317" t="s">
        <v>243</v>
      </c>
      <c r="K5" s="318"/>
    </row>
    <row r="6" ht="15.75" customHeight="1">
      <c r="A6" s="319"/>
      <c r="B6" s="310">
        <v>4.0</v>
      </c>
      <c r="C6" s="310">
        <v>5.0</v>
      </c>
      <c r="D6" s="310">
        <v>6.0</v>
      </c>
      <c r="E6" s="310">
        <v>7.0</v>
      </c>
      <c r="F6" s="310">
        <v>8.0</v>
      </c>
      <c r="G6" s="309">
        <v>9.0</v>
      </c>
      <c r="H6" s="309">
        <v>10.0</v>
      </c>
      <c r="J6" s="320" t="s">
        <v>244</v>
      </c>
    </row>
    <row r="7" ht="45.0" customHeight="1">
      <c r="B7" s="367"/>
      <c r="C7" s="367"/>
      <c r="D7" s="367"/>
      <c r="E7" s="367"/>
      <c r="F7" s="367"/>
      <c r="G7" s="367"/>
      <c r="H7" s="367"/>
      <c r="J7" s="321" t="s">
        <v>245</v>
      </c>
    </row>
    <row r="8" ht="15.75" customHeight="1">
      <c r="A8" s="319"/>
      <c r="B8" s="310">
        <v>11.0</v>
      </c>
      <c r="C8" s="310">
        <v>12.0</v>
      </c>
      <c r="D8" s="310">
        <v>13.0</v>
      </c>
      <c r="E8" s="310">
        <v>14.0</v>
      </c>
      <c r="F8" s="310">
        <v>15.0</v>
      </c>
      <c r="G8" s="309">
        <v>16.0</v>
      </c>
      <c r="H8" s="309">
        <v>17.0</v>
      </c>
      <c r="J8" s="323" t="s">
        <v>246</v>
      </c>
    </row>
    <row r="9" ht="45.0" customHeight="1">
      <c r="B9" s="367"/>
      <c r="C9" s="367"/>
      <c r="D9" s="367"/>
      <c r="E9" s="367"/>
      <c r="F9" s="367"/>
      <c r="G9" s="367"/>
      <c r="H9" s="367"/>
    </row>
    <row r="10" ht="15.75" customHeight="1">
      <c r="A10" s="319"/>
      <c r="B10" s="310">
        <v>18.0</v>
      </c>
      <c r="C10" s="310">
        <v>19.0</v>
      </c>
      <c r="D10" s="310">
        <v>20.0</v>
      </c>
      <c r="E10" s="310">
        <v>21.0</v>
      </c>
      <c r="F10" s="336">
        <v>22.0</v>
      </c>
      <c r="G10" s="309">
        <v>23.0</v>
      </c>
      <c r="H10" s="309">
        <v>24.0</v>
      </c>
    </row>
    <row r="11" ht="45.0" customHeight="1">
      <c r="B11" s="368"/>
      <c r="C11" s="368"/>
      <c r="D11" s="367"/>
      <c r="E11" s="367"/>
      <c r="F11" s="367" t="s">
        <v>383</v>
      </c>
      <c r="G11" s="367"/>
      <c r="H11" s="367"/>
    </row>
    <row r="12" ht="15.75" customHeight="1">
      <c r="A12" s="319"/>
      <c r="B12" s="336">
        <v>25.0</v>
      </c>
      <c r="C12" s="310">
        <v>26.0</v>
      </c>
      <c r="D12" s="310">
        <v>27.0</v>
      </c>
      <c r="E12" s="310">
        <v>28.0</v>
      </c>
      <c r="F12" s="310">
        <v>29.0</v>
      </c>
      <c r="G12" s="309">
        <v>30.0</v>
      </c>
    </row>
    <row r="13" ht="45.0" customHeight="1">
      <c r="B13" s="367" t="s">
        <v>384</v>
      </c>
      <c r="C13" s="367"/>
      <c r="D13" s="367"/>
      <c r="E13" s="367"/>
      <c r="F13" s="367"/>
      <c r="G13" s="367"/>
      <c r="H13" s="342"/>
    </row>
    <row r="14">
      <c r="A14" s="319"/>
      <c r="B14" s="328"/>
      <c r="C14" s="328"/>
      <c r="D14" s="328"/>
      <c r="E14" s="328"/>
    </row>
    <row r="15" ht="15.75" customHeight="1">
      <c r="A15" s="319"/>
      <c r="B15" s="329" t="s">
        <v>249</v>
      </c>
      <c r="C15" s="330"/>
      <c r="D15" s="330"/>
      <c r="E15" s="109"/>
    </row>
    <row r="16" ht="15.75" customHeight="1">
      <c r="A16" s="331"/>
      <c r="B16" s="332"/>
      <c r="C16" s="333"/>
      <c r="D16" s="333"/>
      <c r="E16" s="179"/>
    </row>
    <row r="17" ht="15.75" customHeight="1">
      <c r="A17" s="331"/>
      <c r="B17" s="334"/>
      <c r="E17" s="106"/>
    </row>
    <row r="18" ht="15.75" customHeight="1">
      <c r="A18" s="331"/>
      <c r="B18" s="334"/>
      <c r="E18" s="106"/>
    </row>
    <row r="19" ht="15.75" customHeight="1">
      <c r="A19" s="331"/>
      <c r="B19" s="335"/>
      <c r="C19" s="330"/>
      <c r="D19" s="330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1"/>
      <c r="B1" s="302" t="s">
        <v>385</v>
      </c>
      <c r="E1" s="303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ht="15.75" customHeight="1"/>
    <row r="3" ht="24.0" customHeight="1">
      <c r="A3" s="304"/>
      <c r="B3" s="305" t="s">
        <v>234</v>
      </c>
      <c r="C3" s="305" t="s">
        <v>235</v>
      </c>
      <c r="D3" s="305" t="s">
        <v>236</v>
      </c>
      <c r="E3" s="305" t="s">
        <v>237</v>
      </c>
      <c r="F3" s="305" t="s">
        <v>238</v>
      </c>
      <c r="G3" s="305" t="s">
        <v>239</v>
      </c>
      <c r="H3" s="305" t="s">
        <v>240</v>
      </c>
      <c r="J3" s="306" t="s">
        <v>241</v>
      </c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ht="15.75" customHeight="1">
      <c r="B4" s="339"/>
      <c r="C4" s="339"/>
      <c r="D4" s="339"/>
      <c r="E4" s="339"/>
      <c r="F4" s="339"/>
      <c r="G4" s="339"/>
      <c r="H4" s="309">
        <v>1.0</v>
      </c>
      <c r="J4" s="311" t="s">
        <v>242</v>
      </c>
      <c r="K4" s="312"/>
    </row>
    <row r="5" ht="45.0" customHeight="1">
      <c r="B5" s="313"/>
      <c r="C5" s="369"/>
      <c r="D5" s="313"/>
      <c r="E5" s="313"/>
      <c r="F5" s="313"/>
      <c r="G5" s="313"/>
      <c r="H5" s="327"/>
      <c r="J5" s="317" t="s">
        <v>243</v>
      </c>
      <c r="K5" s="318"/>
    </row>
    <row r="6" ht="15.75" customHeight="1">
      <c r="A6" s="319"/>
      <c r="B6" s="310">
        <v>2.0</v>
      </c>
      <c r="C6" s="310">
        <v>3.0</v>
      </c>
      <c r="D6" s="310">
        <v>4.0</v>
      </c>
      <c r="E6" s="310">
        <v>5.0</v>
      </c>
      <c r="F6" s="310">
        <v>6.0</v>
      </c>
      <c r="G6" s="310">
        <v>7.0</v>
      </c>
      <c r="H6" s="310">
        <v>8.0</v>
      </c>
      <c r="J6" s="320" t="s">
        <v>244</v>
      </c>
    </row>
    <row r="7" ht="45.0" customHeight="1">
      <c r="B7" s="316"/>
      <c r="C7" s="316"/>
      <c r="D7" s="316"/>
      <c r="E7" s="316"/>
      <c r="F7" s="316"/>
      <c r="G7" s="316"/>
      <c r="H7" s="316"/>
      <c r="J7" s="321" t="s">
        <v>245</v>
      </c>
    </row>
    <row r="8" ht="15.75" customHeight="1">
      <c r="A8" s="319"/>
      <c r="B8" s="310">
        <v>9.0</v>
      </c>
      <c r="C8" s="310">
        <v>10.0</v>
      </c>
      <c r="D8" s="310">
        <v>11.0</v>
      </c>
      <c r="E8" s="310">
        <v>12.0</v>
      </c>
      <c r="F8" s="310">
        <v>13.0</v>
      </c>
      <c r="G8" s="310">
        <v>14.0</v>
      </c>
      <c r="H8" s="310">
        <v>15.0</v>
      </c>
      <c r="J8" s="323" t="s">
        <v>246</v>
      </c>
    </row>
    <row r="9" ht="45.0" customHeight="1">
      <c r="B9" s="316"/>
      <c r="C9" s="316"/>
      <c r="D9" s="316"/>
      <c r="E9" s="316"/>
      <c r="F9" s="316"/>
      <c r="G9" s="316"/>
      <c r="H9" s="316"/>
    </row>
    <row r="10" ht="15.75" customHeight="1">
      <c r="A10" s="319"/>
      <c r="B10" s="310">
        <v>16.0</v>
      </c>
      <c r="C10" s="310">
        <v>17.0</v>
      </c>
      <c r="D10" s="310">
        <v>18.0</v>
      </c>
      <c r="E10" s="310">
        <v>19.0</v>
      </c>
      <c r="F10" s="310">
        <v>20.0</v>
      </c>
      <c r="G10" s="310">
        <v>21.0</v>
      </c>
      <c r="H10" s="310">
        <v>22.0</v>
      </c>
    </row>
    <row r="11" ht="45.0" customHeight="1">
      <c r="B11" s="325"/>
      <c r="C11" s="325"/>
      <c r="D11" s="316"/>
      <c r="E11" s="316"/>
      <c r="F11" s="316"/>
      <c r="G11" s="316"/>
      <c r="H11" s="316"/>
    </row>
    <row r="12" ht="15.75" customHeight="1">
      <c r="A12" s="319"/>
      <c r="B12" s="310">
        <v>23.0</v>
      </c>
      <c r="C12" s="310">
        <v>24.0</v>
      </c>
      <c r="D12" s="336">
        <v>25.0</v>
      </c>
      <c r="E12" s="310">
        <v>26.0</v>
      </c>
      <c r="F12" s="310">
        <v>27.0</v>
      </c>
      <c r="G12" s="310">
        <v>28.0</v>
      </c>
      <c r="H12" s="310">
        <v>29.0</v>
      </c>
    </row>
    <row r="13" ht="45.0" customHeight="1">
      <c r="B13" s="316"/>
      <c r="C13" s="316"/>
      <c r="D13" s="316" t="s">
        <v>386</v>
      </c>
      <c r="E13" s="316"/>
      <c r="F13" s="316"/>
      <c r="G13" s="316"/>
      <c r="H13" s="316"/>
    </row>
    <row r="14" ht="15.75" customHeight="1">
      <c r="A14" s="319"/>
      <c r="B14" s="310">
        <v>30.0</v>
      </c>
      <c r="C14" s="341">
        <v>31.0</v>
      </c>
      <c r="D14" s="326"/>
      <c r="E14" s="326"/>
      <c r="F14" s="326"/>
      <c r="G14" s="326"/>
      <c r="H14" s="326"/>
    </row>
    <row r="15" ht="45.0" customHeight="1">
      <c r="B15" s="316"/>
      <c r="C15" s="316" t="s">
        <v>387</v>
      </c>
      <c r="D15" s="326"/>
      <c r="E15" s="326"/>
      <c r="F15" s="326"/>
      <c r="G15" s="326"/>
      <c r="H15" s="326"/>
    </row>
    <row r="16">
      <c r="A16" s="319"/>
      <c r="B16" s="328"/>
      <c r="C16" s="328"/>
      <c r="D16" s="328"/>
      <c r="E16" s="328"/>
    </row>
    <row r="17" ht="15.75" customHeight="1">
      <c r="A17" s="319"/>
      <c r="B17" s="329" t="s">
        <v>249</v>
      </c>
      <c r="C17" s="330"/>
      <c r="D17" s="330"/>
      <c r="E17" s="109"/>
    </row>
    <row r="18" ht="15.75" customHeight="1">
      <c r="A18" s="331"/>
      <c r="B18" s="332"/>
      <c r="C18" s="333"/>
      <c r="D18" s="333"/>
      <c r="E18" s="179"/>
    </row>
    <row r="19" ht="15.75" customHeight="1">
      <c r="A19" s="331"/>
      <c r="B19" s="334"/>
      <c r="E19" s="106"/>
    </row>
    <row r="20" ht="15.75" customHeight="1">
      <c r="A20" s="331"/>
      <c r="B20" s="334"/>
      <c r="E20" s="106"/>
    </row>
    <row r="21" ht="15.75" customHeight="1">
      <c r="A21" s="331"/>
      <c r="B21" s="335"/>
      <c r="C21" s="330"/>
      <c r="D21" s="330"/>
      <c r="E21" s="10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